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29DF1AC7-C6B1-4F7A-A31F-6C273C58019B}" xr6:coauthVersionLast="47" xr6:coauthVersionMax="47" xr10:uidLastSave="{00000000-0000-0000-0000-000000000000}"/>
  <bookViews>
    <workbookView xWindow="-108" yWindow="-108" windowWidth="41496" windowHeight="16896" xr2:uid="{37DDADEB-3ED0-43F8-8CD0-A735E2DAEA02}"/>
  </bookViews>
  <sheets>
    <sheet name="IDF293" sheetId="1" r:id="rId1"/>
  </sheets>
  <definedNames>
    <definedName name="JR_PAGE_ANCHOR_0_53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</calcChain>
</file>

<file path=xl/sharedStrings.xml><?xml version="1.0" encoding="utf-8"?>
<sst xmlns="http://schemas.openxmlformats.org/spreadsheetml/2006/main" count="120" uniqueCount="98">
  <si>
    <t>IDF293</t>
  </si>
  <si>
    <t>INDEX</t>
  </si>
  <si>
    <t>Portfolio Statement as on September 30, 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</si>
  <si>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</si>
  <si>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</si>
  <si>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</si>
  <si>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</si>
  <si>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</si>
  <si>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</si>
  <si>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</si>
  <si>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</si>
  <si>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</si>
  <si>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</si>
  <si>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</si>
  <si>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</si>
  <si>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</si>
  <si>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</si>
  <si>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</si>
  <si>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</si>
  <si>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</si>
  <si>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</si>
  <si>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</si>
  <si>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</si>
  <si>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</si>
  <si>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</si>
  <si>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</si>
  <si>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</si>
  <si>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</si>
  <si>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</si>
  <si>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</si>
  <si>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</si>
  <si>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</si>
  <si>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PSYL02</t>
  </si>
  <si>
    <t>Persistent Systems Limited</t>
  </si>
  <si>
    <t>INE262H01021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</si>
  <si>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</si>
  <si>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</si>
  <si>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</si>
  <si>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</si>
  <si>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</si>
  <si>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</si>
  <si>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</si>
  <si>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</si>
  <si>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</si>
  <si>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</si>
  <si>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</si>
  <si>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</si>
  <si>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</si>
  <si>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</si>
  <si>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</si>
  <si>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</si>
  <si>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</si>
  <si>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</si>
  <si>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</si>
  <si>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</si>
  <si>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</si>
  <si>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</si>
  <si>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</si>
  <si>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</si>
  <si>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</si>
  <si>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</si>
  <si>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</si>
  <si>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</si>
  <si>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</si>
  <si>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</si>
  <si>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</si>
  <si>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IDF293-AG</t>
  </si>
  <si>
    <t>Growth</t>
  </si>
  <si>
    <t>IDF293-AD</t>
  </si>
  <si>
    <t>IDCW #</t>
  </si>
  <si>
    <t>Direct Plan</t>
  </si>
  <si>
    <t>IDF293-ZG</t>
  </si>
  <si>
    <t>IDF293-ZD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</si>
  <si>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</si>
  <si>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</si>
  <si>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</si>
  <si>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</si>
  <si>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0.15 times and aggregate for all asset category is 0.15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</si>
  <si>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</si>
  <si>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</si>
  <si>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</si>
  <si>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</si>
  <si>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</si>
  <si>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</si>
  <si>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</si>
  <si>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</si>
  <si>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</si>
  <si>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</si>
  <si>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</si>
  <si>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L&amp;T Group</t>
  </si>
  <si>
    <t>Persistent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</si>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</sst>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7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1" applyNumberFormat="1" applyFont="1" applyBorder="1"/>
    <xf numFmtId="167" fontId="12" fillId="0" borderId="27" xfId="1" applyNumberFormat="1" applyFont="1" applyBorder="1"/>
    <xf numFmtId="168" fontId="12" fillId="0" borderId="21" xfId="1" applyNumberFormat="1" applyFont="1" applyBorder="1"/>
    <xf numFmtId="168" fontId="12" fillId="0" borderId="21" xfId="1" applyNumberFormat="1" applyFont="1" applyBorder="1" applyAlignment="1">
      <alignment horizontal="right"/>
    </xf>
    <xf numFmtId="0" fontId="1" fillId="0" borderId="21" xfId="1" applyBorder="1"/>
    <xf numFmtId="0" fontId="12" fillId="0" borderId="23" xfId="1" applyFont="1" applyBorder="1"/>
    <xf numFmtId="168" fontId="12" fillId="0" borderId="0" xfId="2" applyNumberFormat="1" applyFont="1"/>
    <xf numFmtId="0" fontId="1" fillId="0" borderId="0" xfId="1"/>
    <xf numFmtId="166" fontId="13" fillId="0" borderId="24" xfId="1" applyNumberFormat="1" applyFont="1" applyBorder="1"/>
    <xf numFmtId="168" fontId="12" fillId="0" borderId="0" xfId="3" applyNumberFormat="1" applyFont="1"/>
    <xf numFmtId="0" fontId="15" fillId="0" borderId="23" xfId="1" applyFont="1" applyBorder="1"/>
    <xf numFmtId="168" fontId="12" fillId="0" borderId="0" xfId="1" applyNumberFormat="1" applyFont="1" applyAlignment="1">
      <alignment horizontal="right"/>
    </xf>
    <xf numFmtId="168" fontId="12" fillId="0" borderId="26" xfId="1" applyNumberFormat="1" applyFont="1" applyBorder="1"/>
    <xf numFmtId="169" fontId="13" fillId="0" borderId="26" xfId="1" applyNumberFormat="1" applyFont="1" applyBorder="1"/>
    <xf numFmtId="166" fontId="13" fillId="0" borderId="27" xfId="1" applyNumberFormat="1" applyFont="1" applyBorder="1"/>
    <xf numFmtId="168" fontId="12" fillId="0" borderId="0" xfId="4" applyNumberFormat="1" applyFont="1" applyFill="1" applyBorder="1" applyAlignment="1"/>
    <xf numFmtId="168" fontId="12" fillId="0" borderId="0" xfId="1" applyNumberFormat="1" applyFont="1"/>
    <xf numFmtId="167" fontId="12" fillId="0" borderId="0" xfId="4" applyNumberFormat="1" applyFont="1" applyFill="1" applyBorder="1" applyAlignment="1"/>
    <xf numFmtId="0" fontId="12" fillId="0" borderId="24" xfId="1" applyFont="1" applyBorder="1"/>
    <xf numFmtId="170" fontId="17" fillId="0" borderId="0" xfId="1" applyNumberFormat="1" applyFont="1"/>
    <xf numFmtId="0" fontId="12" fillId="0" borderId="23" xfId="2" applyFont="1" applyBorder="1"/>
    <xf numFmtId="0" fontId="18" fillId="0" borderId="0" xfId="1" applyFont="1"/>
    <xf numFmtId="168" fontId="18" fillId="0" borderId="0" xfId="1" applyNumberFormat="1" applyFont="1"/>
    <xf numFmtId="0" fontId="17" fillId="0" borderId="24" xfId="1" applyFont="1" applyBorder="1"/>
    <xf numFmtId="166" fontId="12" fillId="0" borderId="0" xfId="1" applyNumberFormat="1" applyFont="1"/>
    <xf numFmtId="0" fontId="19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5">
    <cellStyle name="Comma 5" xfId="4" xr:uid="{5789C4AF-418B-467F-8555-9141A30DC675}"/>
    <cellStyle name="Normal" xfId="0" builtinId="0"/>
    <cellStyle name="Normal 3 2 2" xfId="2" xr:uid="{30A2645F-939F-4FCB-98FE-04F9EFBBEA29}"/>
    <cellStyle name="Normal 3 2 3" xfId="3" xr:uid="{43105026-BC56-417A-8218-C8B0AAD62746}"/>
    <cellStyle name="Normal 7" xfId="1" xr:uid="{E3EDE0BD-B06D-49BC-A427-419DCA7EF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86317-56CF-414D-A0DE-FC5F42274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571500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5186C-8A69-4904-974D-D7FAE0CAA1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4706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DC1F-B3C1-4645-8BA2-A6663005E877}">
  <sheetPr codeName="Sheet53">
    <outlinePr summaryBelow="0"/>
  </sheetPr>
  <dimension ref="A1:H82"/>
  <sheetViews>
    <sheetView tabSelected="1" topLeftCell="A88" workbookViewId="0">
      <selection activeCell="C120" sqref="C120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37616</v>
      </c>
      <c r="F8" s="18">
        <v>705.53</v>
      </c>
      <c r="G8" s="19">
        <v>0.27900000000000003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13868</v>
      </c>
      <c r="F9" s="18">
        <v>591.96</v>
      </c>
      <c r="G9" s="19">
        <v>0.2341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14487</v>
      </c>
      <c r="F10" s="18">
        <v>260.2</v>
      </c>
      <c r="G10" s="19">
        <v>0.10290000000000001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14689</v>
      </c>
      <c r="F11" s="18">
        <v>231.67</v>
      </c>
      <c r="G11" s="19">
        <v>9.1600000000000001E-2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37276</v>
      </c>
      <c r="F12" s="18">
        <v>201.83</v>
      </c>
      <c r="G12" s="19">
        <v>7.9799999999999996E-2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2423</v>
      </c>
      <c r="F13" s="18">
        <v>151.30000000000001</v>
      </c>
      <c r="G13" s="19">
        <v>5.9799999999999999E-2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2765</v>
      </c>
      <c r="F14" s="18">
        <v>150.69999999999999</v>
      </c>
      <c r="G14" s="19">
        <v>5.96E-2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1742</v>
      </c>
      <c r="F15" s="18">
        <v>122.23</v>
      </c>
      <c r="G15" s="19">
        <v>4.8300000000000003E-2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2196</v>
      </c>
      <c r="F16" s="18">
        <v>66.11</v>
      </c>
      <c r="G16" s="19">
        <v>2.6100000000000002E-2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725</v>
      </c>
      <c r="F17" s="18">
        <v>38.75</v>
      </c>
      <c r="G17" s="19">
        <v>1.5299999999999999E-2</v>
      </c>
      <c r="H17" s="20"/>
    </row>
    <row r="18" spans="1:8" ht="13.05" customHeight="1">
      <c r="A18" s="4"/>
      <c r="B18" s="21" t="s">
        <v>45</v>
      </c>
      <c r="C18" s="22"/>
      <c r="D18" s="21"/>
      <c r="E18" s="21"/>
      <c r="F18" s="23">
        <v>2520.2800000000002</v>
      </c>
      <c r="G18" s="24">
        <v>0.99650000000000005</v>
      </c>
      <c r="H18" s="25"/>
    </row>
    <row r="19" spans="1:8" ht="13.05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3.05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3.05" customHeight="1">
      <c r="A21" s="4"/>
      <c r="B21" s="21" t="s">
        <v>48</v>
      </c>
      <c r="C21" s="26"/>
      <c r="D21" s="27"/>
      <c r="E21" s="29"/>
      <c r="F21" s="30">
        <v>2520.2800000000002</v>
      </c>
      <c r="G21" s="31">
        <v>0.99650000000000005</v>
      </c>
      <c r="H21" s="32"/>
    </row>
    <row r="22" spans="1:8" ht="13.05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51</v>
      </c>
      <c r="B24" s="16" t="s">
        <v>52</v>
      </c>
      <c r="C24" s="12"/>
      <c r="D24" s="13"/>
      <c r="E24" s="34"/>
      <c r="F24" s="18">
        <v>14.23</v>
      </c>
      <c r="G24" s="19">
        <v>5.5999999999999999E-3</v>
      </c>
      <c r="H24" s="20">
        <v>6.6308584031938594E-2</v>
      </c>
    </row>
    <row r="25" spans="1:8" ht="13.05" customHeight="1">
      <c r="A25" s="4"/>
      <c r="B25" s="21" t="s">
        <v>48</v>
      </c>
      <c r="C25" s="26"/>
      <c r="D25" s="27"/>
      <c r="E25" s="29"/>
      <c r="F25" s="30">
        <v>14.23</v>
      </c>
      <c r="G25" s="31">
        <v>5.5999999999999999E-3</v>
      </c>
      <c r="H25" s="32"/>
    </row>
    <row r="26" spans="1:8" ht="13.05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3.05" customHeight="1">
      <c r="A27" s="4"/>
      <c r="B27" s="27" t="s">
        <v>54</v>
      </c>
      <c r="C27" s="26"/>
      <c r="D27" s="27"/>
      <c r="E27" s="27"/>
      <c r="F27" s="23">
        <v>0.11</v>
      </c>
      <c r="G27" s="38" t="s">
        <v>55</v>
      </c>
      <c r="H27" s="37"/>
    </row>
    <row r="28" spans="1:8" ht="13.05" customHeight="1">
      <c r="A28" s="4"/>
      <c r="B28" s="21" t="s">
        <v>45</v>
      </c>
      <c r="C28" s="22"/>
      <c r="D28" s="21"/>
      <c r="E28" s="21"/>
      <c r="F28" s="23">
        <v>0.11</v>
      </c>
      <c r="G28" s="38" t="s">
        <v>55</v>
      </c>
      <c r="H28" s="37"/>
    </row>
    <row r="29" spans="1:8" ht="13.05" customHeight="1">
      <c r="A29" s="4"/>
      <c r="B29" s="21" t="s">
        <v>56</v>
      </c>
      <c r="C29" s="26"/>
      <c r="D29" s="27"/>
      <c r="E29" s="27"/>
      <c r="F29" s="23">
        <v>-5.81</v>
      </c>
      <c r="G29" s="39">
        <v>-2.0999999999999999E-3</v>
      </c>
      <c r="H29" s="37"/>
    </row>
    <row r="30" spans="1:8" ht="13.05" customHeight="1" thickBot="1">
      <c r="A30" s="4"/>
      <c r="B30" s="40" t="s">
        <v>57</v>
      </c>
      <c r="C30" s="41"/>
      <c r="D30" s="42"/>
      <c r="E30" s="42"/>
      <c r="F30" s="43">
        <v>2528.8093319506002</v>
      </c>
      <c r="G30" s="44">
        <v>1</v>
      </c>
      <c r="H30" s="45"/>
    </row>
    <row r="31" spans="1:8" ht="13.05" customHeight="1">
      <c r="A31" s="4"/>
      <c r="B31" s="46"/>
      <c r="C31" s="4"/>
      <c r="D31" s="4"/>
      <c r="E31" s="4"/>
      <c r="F31" s="4"/>
      <c r="G31" s="4"/>
      <c r="H31" s="4"/>
    </row>
    <row r="32" spans="1:8" ht="13.05" customHeight="1">
      <c r="A32" s="4"/>
      <c r="B32" s="46" t="s">
        <v>58</v>
      </c>
      <c r="C32" s="4"/>
      <c r="D32" s="4"/>
      <c r="E32" s="4"/>
      <c r="F32" s="4"/>
      <c r="G32" s="4"/>
      <c r="H32" s="4"/>
    </row>
    <row r="33" spans="1:8" ht="13.05" customHeight="1" thickBot="1">
      <c r="A33" s="4"/>
      <c r="B33" s="46"/>
      <c r="C33" s="4"/>
      <c r="D33" s="4"/>
      <c r="E33" s="4"/>
      <c r="F33" s="4"/>
      <c r="G33" s="4"/>
      <c r="H33" s="4"/>
    </row>
    <row r="34" spans="1:8">
      <c r="A34" s="1"/>
      <c r="B34" s="47" t="s">
        <v>59</v>
      </c>
      <c r="C34" s="48"/>
      <c r="D34" s="48"/>
      <c r="E34" s="49"/>
      <c r="F34" s="50"/>
    </row>
    <row r="35" spans="1:8">
      <c r="A35" s="1"/>
      <c r="B35" s="51" t="s">
        <v>60</v>
      </c>
      <c r="C35" s="52"/>
      <c r="D35" s="52"/>
      <c r="E35" s="52"/>
      <c r="F35" s="53"/>
    </row>
    <row r="36" spans="1:8">
      <c r="A36" s="1"/>
      <c r="B36" s="54" t="s">
        <v>61</v>
      </c>
      <c r="C36" s="52"/>
      <c r="D36" s="52"/>
      <c r="E36" s="55"/>
      <c r="F36" s="53"/>
    </row>
    <row r="37" spans="1:8" ht="15" thickBot="1">
      <c r="A37" s="1"/>
      <c r="B37" s="56" t="s">
        <v>62</v>
      </c>
      <c r="C37" s="57"/>
      <c r="D37" s="57"/>
      <c r="E37" s="57"/>
      <c r="F37" s="58"/>
    </row>
    <row r="38" spans="1:8">
      <c r="A38" s="1"/>
      <c r="B38" s="59" t="s">
        <v>63</v>
      </c>
      <c r="C38" s="60" t="s">
        <v>64</v>
      </c>
      <c r="D38" s="60"/>
      <c r="E38" s="61"/>
      <c r="F38" s="62"/>
    </row>
    <row r="39" spans="1:8" ht="15" thickBot="1">
      <c r="A39" s="1"/>
      <c r="B39" s="63"/>
      <c r="C39" s="64">
        <v>45565</v>
      </c>
      <c r="D39" s="64">
        <v>45382</v>
      </c>
      <c r="E39" s="64"/>
      <c r="F39" s="65"/>
    </row>
    <row r="40" spans="1:8">
      <c r="A40" s="1"/>
      <c r="B40" s="59" t="s">
        <v>65</v>
      </c>
      <c r="C40" s="66"/>
      <c r="D40" s="67"/>
      <c r="E40" s="68"/>
      <c r="F40" s="50"/>
    </row>
    <row r="41" spans="1:8">
      <c r="A41" s="1" t="s">
        <v>66</v>
      </c>
      <c r="B41" s="69" t="s">
        <v>67</v>
      </c>
      <c r="C41" s="70">
        <v>13.716100000000001</v>
      </c>
      <c r="D41" s="70">
        <v>11.3391</v>
      </c>
      <c r="E41" s="71"/>
      <c r="F41" s="72"/>
    </row>
    <row r="42" spans="1:8">
      <c r="A42" s="1" t="s">
        <v>68</v>
      </c>
      <c r="B42" s="69" t="s">
        <v>69</v>
      </c>
      <c r="C42" s="70">
        <v>13.7148</v>
      </c>
      <c r="D42" s="70">
        <v>11.337899999999999</v>
      </c>
      <c r="E42" s="71"/>
      <c r="F42" s="72"/>
    </row>
    <row r="43" spans="1:8">
      <c r="A43" s="1"/>
      <c r="B43" s="69"/>
      <c r="C43" s="73"/>
      <c r="D43" s="73"/>
      <c r="E43" s="71"/>
      <c r="F43" s="72"/>
    </row>
    <row r="44" spans="1:8">
      <c r="A44" s="1"/>
      <c r="B44" s="74" t="s">
        <v>70</v>
      </c>
      <c r="C44" s="73"/>
      <c r="D44" s="73"/>
      <c r="E44" s="71"/>
      <c r="F44" s="72"/>
    </row>
    <row r="45" spans="1:8">
      <c r="A45" s="1" t="s">
        <v>71</v>
      </c>
      <c r="B45" s="69" t="s">
        <v>67</v>
      </c>
      <c r="C45" s="70">
        <v>13.8123</v>
      </c>
      <c r="D45" s="70">
        <v>11.3811</v>
      </c>
      <c r="E45" s="71"/>
      <c r="F45" s="72"/>
    </row>
    <row r="46" spans="1:8">
      <c r="A46" s="1" t="s">
        <v>72</v>
      </c>
      <c r="B46" s="69" t="s">
        <v>69</v>
      </c>
      <c r="C46" s="70">
        <v>13.8169</v>
      </c>
      <c r="D46" s="70">
        <v>11.3847</v>
      </c>
      <c r="E46" s="71"/>
      <c r="F46" s="72"/>
    </row>
    <row r="47" spans="1:8">
      <c r="A47" s="1"/>
      <c r="B47" s="69" t="s">
        <v>73</v>
      </c>
      <c r="C47" s="70"/>
      <c r="D47" s="75"/>
      <c r="E47" s="71"/>
      <c r="F47" s="72"/>
    </row>
    <row r="48" spans="1:8" ht="15" thickBot="1">
      <c r="A48" s="1"/>
      <c r="B48" s="56"/>
      <c r="C48" s="76"/>
      <c r="D48" s="76"/>
      <c r="E48" s="77"/>
      <c r="F48" s="78"/>
    </row>
    <row r="49" spans="1:6">
      <c r="A49" s="1"/>
      <c r="B49" s="69" t="s">
        <v>74</v>
      </c>
      <c r="C49" s="79"/>
      <c r="D49" s="80"/>
      <c r="E49" s="81"/>
      <c r="F49" s="82"/>
    </row>
    <row r="50" spans="1:6">
      <c r="A50" s="1"/>
      <c r="B50" s="69" t="s">
        <v>75</v>
      </c>
      <c r="C50" s="52"/>
      <c r="D50" s="80"/>
      <c r="E50" s="55"/>
      <c r="F50" s="72"/>
    </row>
    <row r="51" spans="1:6">
      <c r="A51" s="1"/>
      <c r="B51" s="69" t="s">
        <v>76</v>
      </c>
      <c r="C51" s="52"/>
      <c r="D51" s="83"/>
      <c r="E51" s="55"/>
      <c r="F51" s="72"/>
    </row>
    <row r="52" spans="1:6">
      <c r="A52" s="1"/>
      <c r="B52" s="84" t="s">
        <v>77</v>
      </c>
      <c r="C52" s="85"/>
      <c r="D52" s="86"/>
      <c r="E52" s="85"/>
      <c r="F52" s="87"/>
    </row>
    <row r="53" spans="1:6">
      <c r="A53" s="1"/>
      <c r="B53" s="69" t="s">
        <v>78</v>
      </c>
      <c r="C53" s="52"/>
      <c r="D53" s="52"/>
      <c r="E53" s="52"/>
      <c r="F53" s="53"/>
    </row>
    <row r="54" spans="1:6">
      <c r="A54" s="1"/>
      <c r="B54" s="69" t="s">
        <v>79</v>
      </c>
      <c r="C54" s="52"/>
      <c r="D54" s="52"/>
      <c r="E54" s="52"/>
      <c r="F54" s="53"/>
    </row>
    <row r="55" spans="1:6" ht="15" thickBot="1">
      <c r="A55" s="1"/>
      <c r="B55" s="56"/>
      <c r="C55" s="57"/>
      <c r="D55" s="57"/>
      <c r="E55" s="57"/>
      <c r="F55" s="58"/>
    </row>
    <row r="56" spans="1:6">
      <c r="A56" s="1"/>
      <c r="B56" s="52"/>
      <c r="C56" s="52"/>
      <c r="D56" s="52"/>
      <c r="E56" s="52"/>
      <c r="F56" s="88"/>
    </row>
    <row r="57" spans="1:6">
      <c r="B57" s="89" t="s">
        <v>80</v>
      </c>
      <c r="C57" s="4"/>
    </row>
    <row r="58" spans="1:6">
      <c r="B58" s="90" t="s">
        <v>81</v>
      </c>
      <c r="C58" s="90" t="s">
        <v>9</v>
      </c>
    </row>
    <row r="59" spans="1:6">
      <c r="B59" s="91" t="str">
        <f>+B8</f>
        <v>Infosys Limited</v>
      </c>
      <c r="C59" s="92">
        <f>+G8</f>
        <v>0.27900000000000003</v>
      </c>
    </row>
    <row r="60" spans="1:6">
      <c r="B60" s="91" t="str">
        <f t="shared" ref="B60:B65" si="0">+B9</f>
        <v>Tata Consultancy Services Limited</v>
      </c>
      <c r="C60" s="92">
        <f t="shared" ref="C60:C65" si="1">+G9</f>
        <v>0.2341</v>
      </c>
    </row>
    <row r="61" spans="1:6">
      <c r="B61" s="91" t="str">
        <f t="shared" si="0"/>
        <v>HCL Technologies Limited</v>
      </c>
      <c r="C61" s="92">
        <f t="shared" si="1"/>
        <v>0.10290000000000001</v>
      </c>
    </row>
    <row r="62" spans="1:6">
      <c r="B62" s="91" t="str">
        <f t="shared" si="0"/>
        <v>Tech Mahindra Limited</v>
      </c>
      <c r="C62" s="92">
        <f t="shared" si="1"/>
        <v>9.1600000000000001E-2</v>
      </c>
    </row>
    <row r="63" spans="1:6">
      <c r="B63" s="91" t="str">
        <f t="shared" si="0"/>
        <v>Wipro Limited</v>
      </c>
      <c r="C63" s="92">
        <f t="shared" si="1"/>
        <v>7.9799999999999996E-2</v>
      </c>
    </row>
    <row r="64" spans="1:6">
      <c r="B64" s="91" t="str">
        <f t="shared" si="0"/>
        <v>LTIMindtree Limited</v>
      </c>
      <c r="C64" s="92">
        <f t="shared" si="1"/>
        <v>5.9799999999999999E-2</v>
      </c>
    </row>
    <row r="65" spans="2:3">
      <c r="B65" s="91" t="str">
        <f t="shared" si="0"/>
        <v>Persistent Systems Limited</v>
      </c>
      <c r="C65" s="92">
        <f t="shared" si="1"/>
        <v>5.96E-2</v>
      </c>
    </row>
    <row r="67" spans="2:3">
      <c r="B67" s="89" t="s">
        <v>82</v>
      </c>
    </row>
    <row r="68" spans="2:3">
      <c r="B68" s="90" t="s">
        <v>83</v>
      </c>
      <c r="C68" s="90" t="s">
        <v>9</v>
      </c>
    </row>
    <row r="69" spans="2:3">
      <c r="B69" s="91" t="s">
        <v>84</v>
      </c>
      <c r="C69" s="92">
        <v>0.27900000000000003</v>
      </c>
    </row>
    <row r="70" spans="2:3">
      <c r="B70" s="91" t="s">
        <v>85</v>
      </c>
      <c r="C70" s="92">
        <v>0.2341</v>
      </c>
    </row>
    <row r="71" spans="2:3">
      <c r="B71" s="91" t="s">
        <v>86</v>
      </c>
      <c r="C71" s="92">
        <v>0.10290000000000001</v>
      </c>
    </row>
    <row r="72" spans="2:3">
      <c r="B72" s="91" t="s">
        <v>87</v>
      </c>
      <c r="C72" s="92">
        <v>9.1600000000000001E-2</v>
      </c>
    </row>
    <row r="73" spans="2:3">
      <c r="B73" s="91" t="s">
        <v>88</v>
      </c>
      <c r="C73" s="92">
        <v>7.9799999999999996E-2</v>
      </c>
    </row>
    <row r="74" spans="2:3">
      <c r="B74" s="91" t="s">
        <v>89</v>
      </c>
      <c r="C74" s="92">
        <v>5.9799999999999999E-2</v>
      </c>
    </row>
    <row r="75" spans="2:3">
      <c r="B75" s="91" t="s">
        <v>90</v>
      </c>
      <c r="C75" s="92">
        <v>5.96E-2</v>
      </c>
    </row>
    <row r="77" spans="2:3">
      <c r="B77" s="89" t="s">
        <v>91</v>
      </c>
    </row>
    <row r="78" spans="2:3">
      <c r="B78" s="90" t="s">
        <v>92</v>
      </c>
      <c r="C78" s="90" t="s">
        <v>9</v>
      </c>
    </row>
    <row r="79" spans="2:3">
      <c r="B79" s="91" t="s">
        <v>93</v>
      </c>
      <c r="C79" s="92">
        <v>0.99649999999999994</v>
      </c>
    </row>
    <row r="80" spans="2:3">
      <c r="B80" s="91" t="s">
        <v>94</v>
      </c>
      <c r="C80" s="92">
        <v>5.5999999999999999E-3</v>
      </c>
    </row>
    <row r="81" spans="2:6">
      <c r="F81" s="93" t="s">
        <v>95</v>
      </c>
    </row>
    <row r="82" spans="2:6">
      <c r="B82" s="93" t="s">
        <v>96</v>
      </c>
      <c r="F82" s="93" t="s">
        <v>97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2024-10-09T13:11:50Z</dcterms:created>
  <dcterms:modified xsi:type="dcterms:W3CDTF">2024-10-09T13:11:52Z</dcterms:modified>
</cp:coreProperties>
</file>