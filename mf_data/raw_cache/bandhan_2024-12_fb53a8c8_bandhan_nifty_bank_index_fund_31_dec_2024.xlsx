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2AF8BB51-8924-41E3-8DEF-4432231443BA}" xr6:coauthVersionLast="47" xr6:coauthVersionMax="47" xr10:uidLastSave="{00000000-0000-0000-0000-000000000000}"/>
  <bookViews>
    <workbookView xWindow="-108" yWindow="-108" windowWidth="41496" windowHeight="16896" xr2:uid="{FDEE5952-8204-4E41-9AA7-5F1CC41AED5F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</calcChain>
</file>

<file path=xl/sharedStrings.xml><?xml version="1.0" encoding="utf-8"?>
<sst xmlns="http://schemas.openxmlformats.org/spreadsheetml/2006/main" count="105" uniqueCount="81">
  <si>
    <t>IDF302</t>
  </si>
  <si>
    <t>INDEX</t>
  </si>
  <si>
    <t>Portfolio Statement as on December 31,2024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</si>
  <si>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</si>
  <si>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</si>
  <si>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</si>
  <si>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</si>
  <si>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</si>
  <si>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</si>
  <si>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</si>
  <si>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</si>
  <si>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</si>
  <si>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</si>
  <si>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</si>
  <si>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</si>
  <si>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</si>
  <si>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</si>
  <si>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</si>
  <si>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</si>
  <si>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</si>
  <si>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</si>
  <si>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</si>
  <si>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</si>
  <si>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</si>
  <si>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</si>
  <si>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</si>
  <si>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</si>
  <si>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</si>
  <si>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</si>
  <si>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</si>
  <si>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</si>
  <si>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</si>
  <si>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</si>
  <si>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</si>
  <si>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</si>
  <si>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</si>
  <si>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</si>
  <si>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</si>
  <si>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</si>
  <si>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</si>
  <si>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</si>
  <si>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</si>
  <si>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</si>
  <si>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</si>
  <si>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CANB02</t>
  </si>
  <si>
    <t>Canara Bank</t>
  </si>
  <si>
    <t>INE476A01022</t>
  </si>
  <si>
    <t>AFPL02</t>
  </si>
  <si>
    <t>AU Small Finance Bank Limited</t>
  </si>
  <si>
    <t>INE949L01017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</si>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</sst>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D90148-33DA-465E-AE11-F354A60AA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8127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556260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DB44CC-E23D-48FC-A3B3-DDA21AEEE2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08127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7F61-65EC-4072-BB52-2E0C1882A4BC}">
  <sheetPr codeName="Sheet61">
    <outlinePr summaryBelow="0"/>
  </sheetPr>
  <dimension ref="A1:H61"/>
  <sheetViews>
    <sheetView tabSelected="1" topLeftCell="A18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22200</v>
      </c>
      <c r="F8" s="18">
        <v>393.57</v>
      </c>
      <c r="G8" s="19">
        <v>0.28170000000000001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27295</v>
      </c>
      <c r="F9" s="18">
        <v>349.83</v>
      </c>
      <c r="G9" s="19">
        <v>0.25040000000000001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6900</v>
      </c>
      <c r="F10" s="18">
        <v>123.24</v>
      </c>
      <c r="G10" s="19">
        <v>8.8200000000000001E-2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11233</v>
      </c>
      <c r="F11" s="18">
        <v>119.6</v>
      </c>
      <c r="G11" s="19">
        <v>8.5599999999999996E-2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14886</v>
      </c>
      <c r="F12" s="18">
        <v>118.34</v>
      </c>
      <c r="G12" s="19">
        <v>8.4699999999999998E-2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6581</v>
      </c>
      <c r="F13" s="18">
        <v>63.19</v>
      </c>
      <c r="G13" s="19">
        <v>4.5199999999999997E-2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24381</v>
      </c>
      <c r="F14" s="18">
        <v>48.77</v>
      </c>
      <c r="G14" s="19">
        <v>3.49E-2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18568</v>
      </c>
      <c r="F15" s="18">
        <v>44.67</v>
      </c>
      <c r="G15" s="19">
        <v>3.2000000000000001E-2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61665</v>
      </c>
      <c r="F16" s="18">
        <v>38.94</v>
      </c>
      <c r="G16" s="19">
        <v>2.7900000000000001E-2</v>
      </c>
      <c r="H16" s="20"/>
    </row>
    <row r="17" spans="1:8" ht="13.05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34303</v>
      </c>
      <c r="F17" s="18">
        <v>35.26</v>
      </c>
      <c r="G17" s="19">
        <v>2.52E-2</v>
      </c>
      <c r="H17" s="20"/>
    </row>
    <row r="18" spans="1:8" ht="13.05" customHeight="1">
      <c r="A18" s="15" t="s">
        <v>44</v>
      </c>
      <c r="B18" s="16" t="s">
        <v>45</v>
      </c>
      <c r="C18" s="12" t="s">
        <v>46</v>
      </c>
      <c r="D18" s="13" t="s">
        <v>16</v>
      </c>
      <c r="E18" s="17">
        <v>33542</v>
      </c>
      <c r="F18" s="18">
        <v>33.58</v>
      </c>
      <c r="G18" s="19">
        <v>2.4E-2</v>
      </c>
      <c r="H18" s="20"/>
    </row>
    <row r="19" spans="1:8" ht="13.05" customHeight="1">
      <c r="A19" s="15" t="s">
        <v>47</v>
      </c>
      <c r="B19" s="16" t="s">
        <v>48</v>
      </c>
      <c r="C19" s="12" t="s">
        <v>49</v>
      </c>
      <c r="D19" s="13" t="s">
        <v>16</v>
      </c>
      <c r="E19" s="17">
        <v>5584</v>
      </c>
      <c r="F19" s="18">
        <v>31.22</v>
      </c>
      <c r="G19" s="19">
        <v>2.23E-2</v>
      </c>
      <c r="H19" s="20"/>
    </row>
    <row r="20" spans="1:8" ht="13.05" customHeight="1">
      <c r="A20" s="4"/>
      <c r="B20" s="21" t="s">
        <v>50</v>
      </c>
      <c r="C20" s="22"/>
      <c r="D20" s="21"/>
      <c r="E20" s="21"/>
      <c r="F20" s="23">
        <v>1400.21</v>
      </c>
      <c r="G20" s="24">
        <v>1.0021</v>
      </c>
      <c r="H20" s="25"/>
    </row>
    <row r="21" spans="1:8" ht="13.05" customHeight="1">
      <c r="A21" s="4"/>
      <c r="B21" s="11" t="s">
        <v>51</v>
      </c>
      <c r="C21" s="26"/>
      <c r="D21" s="27"/>
      <c r="E21" s="27"/>
      <c r="F21" s="28" t="s">
        <v>52</v>
      </c>
      <c r="G21" s="28" t="s">
        <v>52</v>
      </c>
      <c r="H21" s="25" t="s">
        <v>52</v>
      </c>
    </row>
    <row r="22" spans="1:8" ht="13.05" customHeight="1">
      <c r="A22" s="4"/>
      <c r="B22" s="21" t="s">
        <v>50</v>
      </c>
      <c r="C22" s="26"/>
      <c r="D22" s="27"/>
      <c r="E22" s="27"/>
      <c r="F22" s="28" t="s">
        <v>52</v>
      </c>
      <c r="G22" s="28" t="s">
        <v>52</v>
      </c>
      <c r="H22" s="25" t="s">
        <v>52</v>
      </c>
    </row>
    <row r="23" spans="1:8" ht="13.05" customHeight="1">
      <c r="A23" s="4"/>
      <c r="B23" s="21" t="s">
        <v>53</v>
      </c>
      <c r="C23" s="26"/>
      <c r="D23" s="27"/>
      <c r="E23" s="29"/>
      <c r="F23" s="30">
        <v>1400.21</v>
      </c>
      <c r="G23" s="31">
        <v>1.0021</v>
      </c>
      <c r="H23" s="32"/>
    </row>
    <row r="24" spans="1:8" ht="13.05" customHeight="1">
      <c r="A24" s="4"/>
      <c r="B24" s="11" t="s">
        <v>54</v>
      </c>
      <c r="C24" s="12"/>
      <c r="D24" s="13"/>
      <c r="E24" s="13"/>
      <c r="F24" s="13"/>
      <c r="G24" s="13"/>
      <c r="H24" s="14"/>
    </row>
    <row r="25" spans="1:8" ht="13.05" customHeight="1">
      <c r="A25" s="4"/>
      <c r="B25" s="33" t="s">
        <v>55</v>
      </c>
      <c r="C25" s="12"/>
      <c r="D25" s="13"/>
      <c r="E25" s="13"/>
      <c r="F25" s="13"/>
      <c r="G25" s="13"/>
      <c r="H25" s="14"/>
    </row>
    <row r="26" spans="1:8" ht="13.05" customHeight="1">
      <c r="A26" s="15" t="s">
        <v>56</v>
      </c>
      <c r="B26" s="16" t="s">
        <v>57</v>
      </c>
      <c r="C26" s="12"/>
      <c r="D26" s="13"/>
      <c r="E26" s="34"/>
      <c r="F26" s="18">
        <v>5.94</v>
      </c>
      <c r="G26" s="19">
        <v>4.3E-3</v>
      </c>
      <c r="H26" s="20">
        <v>6.2893285546058331E-2</v>
      </c>
    </row>
    <row r="27" spans="1:8" ht="13.05" customHeight="1">
      <c r="A27" s="4"/>
      <c r="B27" s="21" t="s">
        <v>53</v>
      </c>
      <c r="C27" s="26"/>
      <c r="D27" s="27"/>
      <c r="E27" s="29"/>
      <c r="F27" s="30">
        <v>5.94</v>
      </c>
      <c r="G27" s="31">
        <v>4.3E-3</v>
      </c>
      <c r="H27" s="32"/>
    </row>
    <row r="28" spans="1:8" ht="13.05" customHeight="1">
      <c r="A28" s="4"/>
      <c r="B28" s="33" t="s">
        <v>58</v>
      </c>
      <c r="C28" s="35"/>
      <c r="D28" s="36"/>
      <c r="E28" s="36"/>
      <c r="F28" s="36"/>
      <c r="G28" s="36"/>
      <c r="H28" s="37"/>
    </row>
    <row r="29" spans="1:8" ht="13.05" customHeight="1">
      <c r="A29" s="4"/>
      <c r="B29" s="27" t="s">
        <v>59</v>
      </c>
      <c r="C29" s="26"/>
      <c r="D29" s="27"/>
      <c r="E29" s="27"/>
      <c r="F29" s="23">
        <v>0.06</v>
      </c>
      <c r="G29" s="38" t="s">
        <v>60</v>
      </c>
      <c r="H29" s="37"/>
    </row>
    <row r="30" spans="1:8" ht="13.05" customHeight="1">
      <c r="A30" s="4"/>
      <c r="B30" s="21" t="s">
        <v>50</v>
      </c>
      <c r="C30" s="22"/>
      <c r="D30" s="21"/>
      <c r="E30" s="21"/>
      <c r="F30" s="23">
        <v>0.06</v>
      </c>
      <c r="G30" s="38" t="s">
        <v>60</v>
      </c>
      <c r="H30" s="37"/>
    </row>
    <row r="31" spans="1:8" ht="13.05" customHeight="1">
      <c r="A31" s="4"/>
      <c r="B31" s="21" t="s">
        <v>61</v>
      </c>
      <c r="C31" s="26"/>
      <c r="D31" s="27"/>
      <c r="E31" s="27"/>
      <c r="F31" s="23">
        <v>-9.27</v>
      </c>
      <c r="G31" s="39">
        <v>-6.4000000000000003E-3</v>
      </c>
      <c r="H31" s="37"/>
    </row>
    <row r="32" spans="1:8" ht="13.05" customHeight="1" thickBot="1">
      <c r="A32" s="4"/>
      <c r="B32" s="40" t="s">
        <v>62</v>
      </c>
      <c r="C32" s="41"/>
      <c r="D32" s="42"/>
      <c r="E32" s="42"/>
      <c r="F32" s="43">
        <v>1396.9360631152001</v>
      </c>
      <c r="G32" s="44">
        <v>1</v>
      </c>
      <c r="H32" s="45"/>
    </row>
    <row r="33" spans="1:8" ht="13.05" customHeight="1">
      <c r="A33" s="4"/>
      <c r="B33" s="46"/>
      <c r="C33" s="4"/>
      <c r="D33" s="4"/>
      <c r="E33" s="4"/>
      <c r="F33" s="4"/>
      <c r="G33" s="4"/>
      <c r="H33" s="4"/>
    </row>
    <row r="34" spans="1:8" ht="13.05" customHeight="1">
      <c r="A34" s="4"/>
      <c r="B34" s="46" t="s">
        <v>63</v>
      </c>
      <c r="C34" s="4"/>
      <c r="D34" s="4"/>
      <c r="E34" s="4"/>
      <c r="F34" s="4"/>
      <c r="G34" s="4"/>
      <c r="H34" s="4"/>
    </row>
    <row r="36" spans="1:8">
      <c r="B36" s="47" t="s">
        <v>64</v>
      </c>
      <c r="C36" s="4"/>
    </row>
    <row r="37" spans="1:8">
      <c r="B37" s="48" t="s">
        <v>65</v>
      </c>
      <c r="C37" s="48" t="s">
        <v>9</v>
      </c>
    </row>
    <row r="38" spans="1:8">
      <c r="B38" s="49" t="str">
        <f>+B8</f>
        <v>HDFC Bank Limited</v>
      </c>
      <c r="C38" s="50">
        <f>+G8</f>
        <v>0.28170000000000001</v>
      </c>
    </row>
    <row r="39" spans="1:8">
      <c r="B39" s="49" t="str">
        <f t="shared" ref="B39:B44" si="0">+B9</f>
        <v>ICICI Bank Limited</v>
      </c>
      <c r="C39" s="50">
        <f t="shared" ref="C39:C44" si="1">+G9</f>
        <v>0.25040000000000001</v>
      </c>
    </row>
    <row r="40" spans="1:8">
      <c r="B40" s="49" t="str">
        <f t="shared" si="0"/>
        <v>Kotak Mahindra Bank Limited</v>
      </c>
      <c r="C40" s="50">
        <f t="shared" si="1"/>
        <v>8.8200000000000001E-2</v>
      </c>
    </row>
    <row r="41" spans="1:8">
      <c r="B41" s="49" t="str">
        <f t="shared" si="0"/>
        <v>Axis Bank Limited</v>
      </c>
      <c r="C41" s="50">
        <f t="shared" si="1"/>
        <v>8.5599999999999996E-2</v>
      </c>
    </row>
    <row r="42" spans="1:8">
      <c r="B42" s="49" t="str">
        <f t="shared" si="0"/>
        <v>State Bank of India</v>
      </c>
      <c r="C42" s="50">
        <f t="shared" si="1"/>
        <v>8.4699999999999998E-2</v>
      </c>
    </row>
    <row r="43" spans="1:8">
      <c r="B43" s="49" t="str">
        <f t="shared" si="0"/>
        <v>IndusInd Bank Limited</v>
      </c>
      <c r="C43" s="50">
        <f t="shared" si="1"/>
        <v>4.5199999999999997E-2</v>
      </c>
    </row>
    <row r="44" spans="1:8">
      <c r="B44" s="49" t="str">
        <f t="shared" si="0"/>
        <v>The Federal Bank Limited</v>
      </c>
      <c r="C44" s="50">
        <f t="shared" si="1"/>
        <v>3.49E-2</v>
      </c>
    </row>
    <row r="46" spans="1:8">
      <c r="B46" s="47" t="s">
        <v>66</v>
      </c>
    </row>
    <row r="47" spans="1:8">
      <c r="B47" s="48" t="s">
        <v>67</v>
      </c>
      <c r="C47" s="48" t="s">
        <v>9</v>
      </c>
    </row>
    <row r="48" spans="1:8">
      <c r="B48" s="49" t="s">
        <v>68</v>
      </c>
      <c r="C48" s="50">
        <v>0.28170000000000001</v>
      </c>
    </row>
    <row r="49" spans="2:6">
      <c r="B49" s="49" t="s">
        <v>69</v>
      </c>
      <c r="C49" s="50">
        <v>0.25040000000000001</v>
      </c>
    </row>
    <row r="50" spans="2:6">
      <c r="B50" s="49" t="s">
        <v>70</v>
      </c>
      <c r="C50" s="50">
        <v>8.8200000000000001E-2</v>
      </c>
    </row>
    <row r="51" spans="2:6">
      <c r="B51" s="49" t="s">
        <v>71</v>
      </c>
      <c r="C51" s="50">
        <v>8.5599999999999996E-2</v>
      </c>
    </row>
    <row r="52" spans="2:6">
      <c r="B52" s="49" t="s">
        <v>27</v>
      </c>
      <c r="C52" s="50">
        <v>8.4699999999999998E-2</v>
      </c>
    </row>
    <row r="53" spans="2:6">
      <c r="B53" s="49" t="s">
        <v>72</v>
      </c>
      <c r="C53" s="50">
        <v>4.5199999999999997E-2</v>
      </c>
    </row>
    <row r="54" spans="2:6">
      <c r="B54" s="49" t="s">
        <v>73</v>
      </c>
      <c r="C54" s="50">
        <v>3.49E-2</v>
      </c>
    </row>
    <row r="56" spans="2:6">
      <c r="B56" s="47" t="s">
        <v>74</v>
      </c>
    </row>
    <row r="57" spans="2:6">
      <c r="B57" s="48" t="s">
        <v>75</v>
      </c>
      <c r="C57" s="48" t="s">
        <v>9</v>
      </c>
    </row>
    <row r="58" spans="2:6">
      <c r="B58" s="49" t="s">
        <v>76</v>
      </c>
      <c r="C58" s="50">
        <v>1.0021000000000002</v>
      </c>
    </row>
    <row r="59" spans="2:6">
      <c r="B59" s="49" t="s">
        <v>77</v>
      </c>
      <c r="C59" s="50">
        <v>4.3E-3</v>
      </c>
    </row>
    <row r="60" spans="2:6">
      <c r="F60" s="51" t="s">
        <v>78</v>
      </c>
    </row>
    <row r="61" spans="2:6">
      <c r="B61" s="51" t="s">
        <v>79</v>
      </c>
      <c r="F61" s="51" t="s">
        <v>80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2025-01-08T09:22:55Z</dcterms:created>
  <dcterms:modified xsi:type="dcterms:W3CDTF">2025-01-08T09:22:57Z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2025-01-08T09:22:56Z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8207830e-10f3-4e5b-9b04-be724d0657e6</vt:lpwstr>
  </property>
  <property fmtid="{D5CDD505-2E9C-101B-9397-08002B2CF9AE}" pid="8" name="MSIP_Label_1b7f8449-e5d3-4eba-8da7-ffd6ca5bf3e9_ContentBits">
    <vt:lpwstr>0</vt:lpwstr>
  </property>
</Properties>
</file>