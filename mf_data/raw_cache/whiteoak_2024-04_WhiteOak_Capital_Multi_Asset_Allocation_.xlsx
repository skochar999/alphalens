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25" documentId="8_{E1E5E923-E86E-4D5D-88AA-46C68FAD82D9}" xr6:coauthVersionLast="47" xr6:coauthVersionMax="47" xr10:uidLastSave="{B2967E2C-0E55-4A16-A8F3-32E72545A4D3}"/>
  <bookViews>
    <workbookView xWindow="-120" yWindow="-120" windowWidth="20730" windowHeight="11160" xr2:uid="{F17C3435-5C85-4AA0-AC58-4A4EA0AACF4F}"/>
  </bookViews>
  <sheets>
    <sheet name="WOMAF" sheetId="1" r:id="rId1"/>
  </sheets>
  <definedNames>
    <definedName name="_xlnm._FilterDatabase" localSheetId="0" hidden="1">WOMAF!$A$161:$I$172</definedName>
    <definedName name="JR_PAGE_ANCHOR_0_1">#REF!</definedName>
    <definedName name="JR_PAGE_ANCHOR_0_15">#REF!</definedName>
    <definedName name="JR_PAGE_ANCHOR_0_7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" i="1" l="1"/>
  <c r="H106" i="1"/>
  <c r="G106" i="1"/>
  <c r="H98" i="1"/>
  <c r="H107" i="1" s="1"/>
  <c r="G98" i="1"/>
  <c r="G107" i="1" s="1"/>
  <c r="G101" i="1" l="1"/>
  <c r="H101" i="1"/>
</calcChain>
</file>

<file path=xl/sharedStrings.xml><?xml version="1.0" encoding="utf-8"?>
<sst xmlns="http://schemas.openxmlformats.org/spreadsheetml/2006/main" count="557" uniqueCount="434">
  <si>
    <t>WhiteOak Capital Multi Asset Allocation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</si>
  <si>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</si>
  <si>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</si>
  <si>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</si>
  <si>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</si>
  <si>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</si>
  <si>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</si>
  <si>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</si>
  <si>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</si>
  <si>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</si>
  <si>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</si>
  <si>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</si>
  <si>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</si>
  <si>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</si>
  <si>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</si>
  <si>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</si>
  <si>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</si>
  <si>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</si>
  <si>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</si>
  <si>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</si>
  <si>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</si>
  <si>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</si>
  <si>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</si>
  <si>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</si>
  <si>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</si>
  <si>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</si>
  <si>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</si>
  <si>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</si>
  <si>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</si>
  <si>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</si>
  <si>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</si>
  <si>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</si>
  <si>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</si>
  <si>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</si>
  <si>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</si>
  <si>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</si>
  <si>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</si>
  <si>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</si>
  <si>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</si>
  <si>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</si>
  <si>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</si>
  <si>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</si>
  <si>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</si>
  <si>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</si>
  <si>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</si>
  <si>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</si>
  <si>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</si>
  <si>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</si>
  <si>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</si>
  <si>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</si>
  <si>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</si>
  <si>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</si>
  <si>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</si>
  <si>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</si>
  <si>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ASEA02</t>
  </si>
  <si>
    <t>ABB India Limited</t>
  </si>
  <si>
    <t>INE117A01022</t>
  </si>
  <si>
    <t>Electrical Equipment</t>
  </si>
  <si>
    <t>MAUD01</t>
  </si>
  <si>
    <t>Maruti Suzuki India Limited</t>
  </si>
  <si>
    <t>INE585B01010</t>
  </si>
  <si>
    <t>Automobiles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</si>
  <si>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</si>
  <si>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</si>
  <si>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</si>
  <si>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</si>
  <si>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</si>
  <si>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</si>
  <si>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</si>
  <si>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</si>
  <si>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</si>
  <si>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</si>
  <si>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</si>
  <si>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</si>
  <si>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</si>
  <si>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</si>
  <si>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</si>
  <si>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</si>
  <si>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</si>
  <si>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</si>
  <si>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</si>
  <si>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LAKM02</t>
  </si>
  <si>
    <t>Trent Limited</t>
  </si>
  <si>
    <t>INE849A01020</t>
  </si>
  <si>
    <t>MAHI02</t>
  </si>
  <si>
    <t>Mahindra &amp; Mahindra Limited</t>
  </si>
  <si>
    <t>INE101A01026</t>
  </si>
  <si>
    <t>CHOL02</t>
  </si>
  <si>
    <t>Cholamandalam Investment and Finance Company Ltd</t>
  </si>
  <si>
    <t>INE121A01024</t>
  </si>
  <si>
    <t>RELC01</t>
  </si>
  <si>
    <t>REC Limited</t>
  </si>
  <si>
    <t>INE020B01018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</si>
  <si>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</si>
  <si>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</si>
  <si>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</si>
  <si>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</si>
  <si>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</si>
  <si>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</si>
  <si>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</si>
  <si>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</si>
  <si>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</si>
  <si>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</si>
  <si>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</si>
  <si>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CIPL03</t>
  </si>
  <si>
    <t>Cipla Limited</t>
  </si>
  <si>
    <t>INE059A01026</t>
  </si>
  <si>
    <t>Pharmaceuticals &amp; Biotechnology</t>
  </si>
  <si>
    <t>INFS02</t>
  </si>
  <si>
    <t>Infosys Limited</t>
  </si>
  <si>
    <t>INE009A01021</t>
  </si>
  <si>
    <t>TISC03</t>
  </si>
  <si>
    <t>Tata Steel Limited</t>
  </si>
  <si>
    <t>INE081A01020</t>
  </si>
  <si>
    <t>Ferrous Metals</t>
  </si>
  <si>
    <t>VNBL02</t>
  </si>
  <si>
    <t>Varun Beverages Limited</t>
  </si>
  <si>
    <t>INE200M01021</t>
  </si>
  <si>
    <t>Beverages</t>
  </si>
  <si>
    <t>BTVL02</t>
  </si>
  <si>
    <t>Bharti Airtel Limited</t>
  </si>
  <si>
    <t>INE397D01024</t>
  </si>
  <si>
    <t>Telecom - Services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</si>
  <si>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</si>
  <si>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</si>
  <si>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</si>
  <si>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</si>
  <si>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</si>
  <si>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</si>
  <si>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NITL01</t>
  </si>
  <si>
    <t>Coforge Limited</t>
  </si>
  <si>
    <t>INE591G01017</t>
  </si>
  <si>
    <t>SPIL03</t>
  </si>
  <si>
    <t>Sun Pharmaceutical Industries Limited</t>
  </si>
  <si>
    <t>INE044A01036</t>
  </si>
  <si>
    <t>MKIP01</t>
  </si>
  <si>
    <t>Mankind Pharma Limited</t>
  </si>
  <si>
    <t>INE634S01028</t>
  </si>
  <si>
    <t>ICBR01</t>
  </si>
  <si>
    <t>ICICI Securities Limited</t>
  </si>
  <si>
    <t>INE763G01038</t>
  </si>
  <si>
    <t>Capital Markets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</si>
  <si>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</si>
  <si>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</si>
  <si>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</si>
  <si>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</si>
  <si>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</si>
  <si>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</si>
  <si>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SHTR01</t>
  </si>
  <si>
    <t>Shriram Finance Limited</t>
  </si>
  <si>
    <t>INE721A01013</t>
  </si>
  <si>
    <t>HDLI01</t>
  </si>
  <si>
    <t>HDFC Life Insurance Company Limited</t>
  </si>
  <si>
    <t>INE795G01014</t>
  </si>
  <si>
    <t>Insurance</t>
  </si>
  <si>
    <t>MEAH02</t>
  </si>
  <si>
    <t>Medi Assist Healthcare Services Limited</t>
  </si>
  <si>
    <t>INE456Z01021</t>
  </si>
  <si>
    <t>CMSI01</t>
  </si>
  <si>
    <t>CMS Info System Limited</t>
  </si>
  <si>
    <t>INE925R01014</t>
  </si>
  <si>
    <t>Commercial Services &amp; Supplies</t>
  </si>
  <si>
    <t>BHAR02</t>
  </si>
  <si>
    <t>Bharat Bijlee Limited</t>
  </si>
  <si>
    <t>INE464A01028</t>
  </si>
  <si>
    <t>IDAL01</t>
  </si>
  <si>
    <t>Intellect Design Arena Limited</t>
  </si>
  <si>
    <t>INE306R01017</t>
  </si>
  <si>
    <t>MAXI02</t>
  </si>
  <si>
    <t>Max Financial Services Limited</t>
  </si>
  <si>
    <t>INE180A01020</t>
  </si>
  <si>
    <t>UTIB02</t>
  </si>
  <si>
    <t>Axis Bank Limited</t>
  </si>
  <si>
    <t>INE238A01034</t>
  </si>
  <si>
    <t>IEIN01</t>
  </si>
  <si>
    <t>Info Edge (India) Limited</t>
  </si>
  <si>
    <t>INE663F01024</t>
  </si>
  <si>
    <t>IFEL01</t>
  </si>
  <si>
    <t>Oracle Financial Services Software Limited</t>
  </si>
  <si>
    <t>INE881D01027</t>
  </si>
  <si>
    <t>NTPC01</t>
  </si>
  <si>
    <t>NTPC Limited</t>
  </si>
  <si>
    <t>INE733E01010</t>
  </si>
  <si>
    <t>Power</t>
  </si>
  <si>
    <t>IPLI01</t>
  </si>
  <si>
    <t>ICICI Prudential Life Insurance Company Limited</t>
  </si>
  <si>
    <t>INE726G01019</t>
  </si>
  <si>
    <t>RASH01</t>
  </si>
  <si>
    <t>Rashi Peripherals Limited</t>
  </si>
  <si>
    <t>INE0J1F01024</t>
  </si>
  <si>
    <t>IT - Hardware</t>
  </si>
  <si>
    <t>SODL01</t>
  </si>
  <si>
    <t>Sobha Limited</t>
  </si>
  <si>
    <t>INE671H01015</t>
  </si>
  <si>
    <t>Realty</t>
  </si>
  <si>
    <t>NELA01</t>
  </si>
  <si>
    <t>Neuland Laboratories Limited</t>
  </si>
  <si>
    <t>INE794A01010</t>
  </si>
  <si>
    <t>NSEL01</t>
  </si>
  <si>
    <t>Nucleus Software Exports Limited</t>
  </si>
  <si>
    <t>INE096B01018</t>
  </si>
  <si>
    <t>ONWT01</t>
  </si>
  <si>
    <t>Onward Technologies Limited</t>
  </si>
  <si>
    <t>INE229A01017</t>
  </si>
  <si>
    <t>IT - Services</t>
  </si>
  <si>
    <t>NSTL01</t>
  </si>
  <si>
    <t>Newgen Software Technologies Limited</t>
  </si>
  <si>
    <t>INE619B01017</t>
  </si>
  <si>
    <t>JYLL02</t>
  </si>
  <si>
    <t>Jyothy Labs Limited</t>
  </si>
  <si>
    <t>INE668F01031</t>
  </si>
  <si>
    <t>Household Products</t>
  </si>
  <si>
    <t>HINI02</t>
  </si>
  <si>
    <t>Hindalco Industries Limited</t>
  </si>
  <si>
    <t>INE038A01020</t>
  </si>
  <si>
    <t>Non - Ferrous Metals</t>
  </si>
  <si>
    <t>KSPL01</t>
  </si>
  <si>
    <t>KSB Limited</t>
  </si>
  <si>
    <t>INE999A01015</t>
  </si>
  <si>
    <t>Industrial Products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</si>
  <si>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</si>
  <si>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</si>
  <si>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</si>
  <si>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</si>
  <si>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</si>
  <si>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</si>
  <si>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</si>
  <si>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Healthcare Services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</si>
  <si>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</si>
  <si>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</si>
  <si>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</si>
  <si>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</si>
  <si>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</si>
  <si>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</si>
  <si>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AJPH03</t>
  </si>
  <si>
    <t>Ajanta Pharma Limited</t>
  </si>
  <si>
    <t>INE031B01049</t>
  </si>
  <si>
    <t>ARVF01</t>
  </si>
  <si>
    <t>Arvind Fashions Limited</t>
  </si>
  <si>
    <t>INE955V01021</t>
  </si>
  <si>
    <t>PHMI02</t>
  </si>
  <si>
    <t>The Phoenix Mills Limited</t>
  </si>
  <si>
    <t>INE211B01039</t>
  </si>
  <si>
    <t>RACM01</t>
  </si>
  <si>
    <t>Rainbow Childrens Medicare Limited</t>
  </si>
  <si>
    <t>INE961O01016</t>
  </si>
  <si>
    <t>SOSO03</t>
  </si>
  <si>
    <t>Sonata Software Limited</t>
  </si>
  <si>
    <t>INE269A01021</t>
  </si>
  <si>
    <t>INCA01</t>
  </si>
  <si>
    <t>Innova Captab Limited</t>
  </si>
  <si>
    <t>INE0DUT01020</t>
  </si>
  <si>
    <t>BOOT01</t>
  </si>
  <si>
    <t>Abbott India Limited</t>
  </si>
  <si>
    <t>INE358A01014</t>
  </si>
  <si>
    <t>JKBL02</t>
  </si>
  <si>
    <t>The Jammu &amp; Kashmir Bank Limited</t>
  </si>
  <si>
    <t>INE168A01041</t>
  </si>
  <si>
    <t>AIEL02</t>
  </si>
  <si>
    <t>AIA Engineering Limited</t>
  </si>
  <si>
    <t>INE212H01026</t>
  </si>
  <si>
    <t>ELMA01</t>
  </si>
  <si>
    <t>Electronics Mart India Limited</t>
  </si>
  <si>
    <t>INE02YR01019</t>
  </si>
  <si>
    <t>CSFL01</t>
  </si>
  <si>
    <t>Capital Small Finance Bank Limited</t>
  </si>
  <si>
    <t>INE646H01017</t>
  </si>
  <si>
    <t>VESU01</t>
  </si>
  <si>
    <t>Vesuvius India Limited</t>
  </si>
  <si>
    <t>INE386A01015</t>
  </si>
  <si>
    <t>VIDI01</t>
  </si>
  <si>
    <t>Vijaya Diagnostic Centre Limited</t>
  </si>
  <si>
    <t>INE043W01024</t>
  </si>
  <si>
    <t>ASTP04</t>
  </si>
  <si>
    <t>Astral Limited</t>
  </si>
  <si>
    <t>INE006I01046</t>
  </si>
  <si>
    <t>KKCL01</t>
  </si>
  <si>
    <t>Kewal Kiran Clothing Limited</t>
  </si>
  <si>
    <t>INE401H01017</t>
  </si>
  <si>
    <t>Textiles &amp; Apparels</t>
  </si>
  <si>
    <t>MUFL01</t>
  </si>
  <si>
    <t>Muthoot Finance Limited</t>
  </si>
  <si>
    <t>INE414G01012</t>
  </si>
  <si>
    <t>IIFM02</t>
  </si>
  <si>
    <t>360 One WAM Limited</t>
  </si>
  <si>
    <t>INE466L01038</t>
  </si>
  <si>
    <t>SBCL01</t>
  </si>
  <si>
    <t>SHIVALIK BIMETAL CONTROLS LIMITED</t>
  </si>
  <si>
    <t>INE386D01027</t>
  </si>
  <si>
    <t>EIML02</t>
  </si>
  <si>
    <t>Eicher Motors Limited</t>
  </si>
  <si>
    <t>INE066A01021</t>
  </si>
  <si>
    <t>GHPL01</t>
  </si>
  <si>
    <t>Global Health Limited</t>
  </si>
  <si>
    <t>INE474Q01031</t>
  </si>
  <si>
    <t>JBCH03</t>
  </si>
  <si>
    <t>JB Chemicals &amp; Pharmaceuticals Limited</t>
  </si>
  <si>
    <t>INE572A01036</t>
  </si>
  <si>
    <t>IMIN01</t>
  </si>
  <si>
    <t>Indiamart Intermesh Limited</t>
  </si>
  <si>
    <t>INE933S01016</t>
  </si>
  <si>
    <t>PSYL02</t>
  </si>
  <si>
    <t>Persistent Systems Limited</t>
  </si>
  <si>
    <t>INE262H01021</t>
  </si>
  <si>
    <t>FSBF02</t>
  </si>
  <si>
    <t>Five Star Business Finance Limited</t>
  </si>
  <si>
    <t>INE128S01021</t>
  </si>
  <si>
    <t>RCMS01</t>
  </si>
  <si>
    <t>Radiant Cash Management Services Limited</t>
  </si>
  <si>
    <t>INE855R01021</t>
  </si>
  <si>
    <t>GRIN02</t>
  </si>
  <si>
    <t>Grindwell Norton Limited</t>
  </si>
  <si>
    <t>INE536A01023</t>
  </si>
  <si>
    <t>APSU01</t>
  </si>
  <si>
    <t>Apeejay Surrendra Park Hotels Limited</t>
  </si>
  <si>
    <t>INE988S01028</t>
  </si>
  <si>
    <t>Leisure Services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</si>
  <si>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</si>
  <si>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</si>
  <si>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</si>
  <si>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</si>
  <si>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</si>
  <si>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</si>
  <si>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</si>
  <si>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</si>
  <si>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</si>
  <si>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</si>
  <si>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</si>
  <si>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</si>
  <si>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</si>
  <si>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</si>
  <si>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</si>
  <si>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</si>
  <si>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</si>
  <si>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</si>
  <si>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</si>
  <si>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</si>
  <si>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</si>
  <si>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</si>
  <si>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</si>
  <si>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</si>
  <si>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</si>
  <si>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</si>
  <si>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</si>
  <si>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</si>
  <si>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</si>
  <si>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</si>
  <si>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</si>
  <si>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</si>
  <si>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</si>
  <si>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</si>
  <si>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</si>
  <si>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RECL387</t>
  </si>
  <si>
    <t xml:space="preserve">6.88% REC Limited (20/03/2025) </t>
  </si>
  <si>
    <t>INE020B08CK8</t>
  </si>
  <si>
    <t>CRISIL AAA</t>
  </si>
  <si>
    <t>SIDB519</t>
  </si>
  <si>
    <t xml:space="preserve">7.44% Small Industries Dev Bank of India (04/09/2026) </t>
  </si>
  <si>
    <t>INE556F08KI9</t>
  </si>
  <si>
    <t>TPOW112</t>
  </si>
  <si>
    <t xml:space="preserve">7.99% Tata Power Company Limited (15/11/2024) </t>
  </si>
  <si>
    <t>INE245A08133</t>
  </si>
  <si>
    <t>CARE AA</t>
  </si>
  <si>
    <t>NBAR677</t>
  </si>
  <si>
    <t>7.4% National Bank For Agriculture and Rural Development (30/01/2026) **</t>
  </si>
  <si>
    <t>INE261F08DO9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</si>
  <si>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</si>
  <si>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</si>
  <si>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</si>
  <si>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</si>
  <si>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</si>
  <si>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</si>
  <si>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</si>
  <si>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(b) Privately placed / Unlisted</t>
  </si>
  <si>
    <t>Money Market Instruments</t>
  </si>
  <si>
    <t>Certificate of Deposit</t>
  </si>
  <si>
    <t>UTIB1311</t>
  </si>
  <si>
    <t>Axis Bank Limited (25/06/2024) ** #</t>
  </si>
  <si>
    <t>INE238AD6728</t>
  </si>
  <si>
    <t>CRISIL A1+</t>
  </si>
  <si>
    <t>Commercial Paper</t>
  </si>
  <si>
    <t>EXIM762</t>
  </si>
  <si>
    <t>Export Import Bank of India (16/05/2024) **</t>
  </si>
  <si>
    <t>INE514E14RJ2</t>
  </si>
  <si>
    <t>Treasury Bill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</si>
  <si>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</si>
  <si>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</si>
  <si>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</si>
  <si>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</si>
  <si>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</si>
  <si>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</si>
  <si>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Others</t>
  </si>
  <si>
    <t>Exchange Traded Funds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</si>
  <si>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</si>
  <si>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</si>
  <si>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</si>
  <si>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</si>
  <si>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</si>
  <si>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</si>
  <si>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151737</t>
  </si>
  <si>
    <t>DSP Gold ETF</t>
  </si>
  <si>
    <t>INF740KA1SW3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</si>
  <si>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</si>
  <si>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</si>
  <si>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</si>
  <si>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</si>
  <si>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</si>
  <si>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</si>
  <si>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</si>
  <si>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</si>
  <si>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</si>
  <si>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</si>
  <si>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</si>
  <si>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</si>
  <si>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</si>
  <si>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</si>
  <si>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</si>
  <si>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</si>
  <si>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</si>
  <si>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</si>
  <si>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HDFC Bank </t>
  </si>
  <si>
    <t xml:space="preserve">Kotak Mahindra Bank </t>
  </si>
  <si>
    <t xml:space="preserve">Bajaj Finance </t>
  </si>
  <si>
    <t>Long</t>
  </si>
  <si>
    <t xml:space="preserve">Nifty 50 </t>
  </si>
  <si>
    <t>Index</t>
  </si>
  <si>
    <t xml:space="preserve">Oil &amp; Natural Gas </t>
  </si>
  <si>
    <t xml:space="preserve">Hindustan Unilever </t>
  </si>
  <si>
    <t xml:space="preserve">Persistent Systems </t>
  </si>
  <si>
    <t xml:space="preserve">Tata Consultancy </t>
  </si>
  <si>
    <t xml:space="preserve">Muthoot Finance </t>
  </si>
  <si>
    <t xml:space="preserve">Axis Bank </t>
  </si>
  <si>
    <t>**  Thinly Traded / Non Traded Security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</si>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</sst>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4" fillId="0" borderId="4" xfId="2" applyFont="1" applyBorder="1" applyAlignment="1">
      <alignment horizontal="left" vertical="top" wrapText="1"/>
    </xf>
    <xf numFmtId="164" fontId="3" fillId="0" borderId="0" xfId="2" applyNumberFormat="1" applyFont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0" fontId="3" fillId="0" borderId="5" xfId="2" applyFont="1" applyBorder="1" applyAlignment="1">
      <alignment horizontal="righ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4" fontId="3" fillId="0" borderId="12" xfId="2" applyNumberFormat="1" applyFont="1" applyBorder="1" applyAlignment="1">
      <alignment horizontal="right" vertical="top" wrapText="1"/>
    </xf>
    <xf numFmtId="165" fontId="3" fillId="0" borderId="11" xfId="2" applyNumberFormat="1" applyFont="1" applyBorder="1" applyAlignment="1">
      <alignment horizontal="right" vertical="top" wrapText="1"/>
    </xf>
    <xf numFmtId="0" fontId="3" fillId="0" borderId="10" xfId="2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3" applyFont="1" applyAlignment="1">
      <alignment horizontal="left" vertical="top"/>
    </xf>
    <xf numFmtId="4" fontId="0" fillId="0" borderId="0" xfId="0" applyNumberForma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</cellXfs>
  <cellStyles count="4">
    <cellStyle name="Normal" xfId="0" builtinId="0"/>
    <cellStyle name="Normal 2" xfId="3" xr:uid="{9848760E-4E3B-4E8C-8E78-2E083D8A06E2}"/>
    <cellStyle name="Normal 4" xfId="1" xr:uid="{A5FB8471-DBC3-4D03-B392-C6FF32F4AE8D}"/>
    <cellStyle name="Normal 5" xfId="2" xr:uid="{C43D2B4D-75C6-44BA-9280-97D9274D2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22</xdr:col>
      <xdr:colOff>238125</xdr:colOff>
      <xdr:row>18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69AEC-13AC-4EF7-8CC6-AA1DD70F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"/>
          <a:ext cx="75533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36A3-7777-42FE-BA26-31D36E9B9C76}">
  <sheetPr>
    <outlinePr summaryBelow="0"/>
  </sheetPr>
  <dimension ref="A1:K175"/>
  <sheetViews>
    <sheetView tabSelected="1" zoomScaleNormal="10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36.7109375" customWidth="1"/>
    <col min="4" max="4" width="16.5703125" customWidth="1"/>
    <col min="5" max="5" width="20" customWidth="1"/>
    <col min="6" max="6" width="13" customWidth="1"/>
    <col min="7" max="7" width="21" customWidth="1"/>
    <col min="8" max="8" width="13.5703125" customWidth="1"/>
    <col min="9" max="9" width="9.28515625" customWidth="1"/>
    <col min="257" max="257" width="3.42578125" customWidth="1"/>
    <col min="258" max="258" width="16.5703125" customWidth="1"/>
    <col min="259" max="259" width="36.7109375" customWidth="1"/>
    <col min="260" max="260" width="16.5703125" customWidth="1"/>
    <col min="261" max="261" width="20" customWidth="1"/>
    <col min="262" max="262" width="13" customWidth="1"/>
    <col min="263" max="263" width="21" customWidth="1"/>
    <col min="264" max="264" width="13.5703125" customWidth="1"/>
    <col min="265" max="265" width="16.5703125" customWidth="1"/>
    <col min="513" max="513" width="3.42578125" customWidth="1"/>
    <col min="514" max="514" width="16.5703125" customWidth="1"/>
    <col min="515" max="515" width="36.7109375" customWidth="1"/>
    <col min="516" max="516" width="16.5703125" customWidth="1"/>
    <col min="517" max="517" width="20" customWidth="1"/>
    <col min="518" max="518" width="13" customWidth="1"/>
    <col min="519" max="519" width="21" customWidth="1"/>
    <col min="520" max="520" width="13.5703125" customWidth="1"/>
    <col min="521" max="521" width="16.5703125" customWidth="1"/>
    <col min="769" max="769" width="3.42578125" customWidth="1"/>
    <col min="770" max="770" width="16.5703125" customWidth="1"/>
    <col min="771" max="771" width="36.7109375" customWidth="1"/>
    <col min="772" max="772" width="16.5703125" customWidth="1"/>
    <col min="773" max="773" width="20" customWidth="1"/>
    <col min="774" max="774" width="13" customWidth="1"/>
    <col min="775" max="775" width="21" customWidth="1"/>
    <col min="776" max="776" width="13.5703125" customWidth="1"/>
    <col min="777" max="777" width="16.5703125" customWidth="1"/>
    <col min="1025" max="1025" width="3.42578125" customWidth="1"/>
    <col min="1026" max="1026" width="16.5703125" customWidth="1"/>
    <col min="1027" max="1027" width="36.7109375" customWidth="1"/>
    <col min="1028" max="1028" width="16.5703125" customWidth="1"/>
    <col min="1029" max="1029" width="20" customWidth="1"/>
    <col min="1030" max="1030" width="13" customWidth="1"/>
    <col min="1031" max="1031" width="21" customWidth="1"/>
    <col min="1032" max="1032" width="13.5703125" customWidth="1"/>
    <col min="1033" max="1033" width="16.5703125" customWidth="1"/>
    <col min="1281" max="1281" width="3.42578125" customWidth="1"/>
    <col min="1282" max="1282" width="16.5703125" customWidth="1"/>
    <col min="1283" max="1283" width="36.7109375" customWidth="1"/>
    <col min="1284" max="1284" width="16.5703125" customWidth="1"/>
    <col min="1285" max="1285" width="20" customWidth="1"/>
    <col min="1286" max="1286" width="13" customWidth="1"/>
    <col min="1287" max="1287" width="21" customWidth="1"/>
    <col min="1288" max="1288" width="13.5703125" customWidth="1"/>
    <col min="1289" max="1289" width="16.5703125" customWidth="1"/>
    <col min="1537" max="1537" width="3.42578125" customWidth="1"/>
    <col min="1538" max="1538" width="16.5703125" customWidth="1"/>
    <col min="1539" max="1539" width="36.7109375" customWidth="1"/>
    <col min="1540" max="1540" width="16.5703125" customWidth="1"/>
    <col min="1541" max="1541" width="20" customWidth="1"/>
    <col min="1542" max="1542" width="13" customWidth="1"/>
    <col min="1543" max="1543" width="21" customWidth="1"/>
    <col min="1544" max="1544" width="13.5703125" customWidth="1"/>
    <col min="1545" max="1545" width="16.5703125" customWidth="1"/>
    <col min="1793" max="1793" width="3.42578125" customWidth="1"/>
    <col min="1794" max="1794" width="16.5703125" customWidth="1"/>
    <col min="1795" max="1795" width="36.7109375" customWidth="1"/>
    <col min="1796" max="1796" width="16.5703125" customWidth="1"/>
    <col min="1797" max="1797" width="20" customWidth="1"/>
    <col min="1798" max="1798" width="13" customWidth="1"/>
    <col min="1799" max="1799" width="21" customWidth="1"/>
    <col min="1800" max="1800" width="13.5703125" customWidth="1"/>
    <col min="1801" max="1801" width="16.5703125" customWidth="1"/>
    <col min="2049" max="2049" width="3.42578125" customWidth="1"/>
    <col min="2050" max="2050" width="16.5703125" customWidth="1"/>
    <col min="2051" max="2051" width="36.7109375" customWidth="1"/>
    <col min="2052" max="2052" width="16.5703125" customWidth="1"/>
    <col min="2053" max="2053" width="20" customWidth="1"/>
    <col min="2054" max="2054" width="13" customWidth="1"/>
    <col min="2055" max="2055" width="21" customWidth="1"/>
    <col min="2056" max="2056" width="13.5703125" customWidth="1"/>
    <col min="2057" max="2057" width="16.5703125" customWidth="1"/>
    <col min="2305" max="2305" width="3.42578125" customWidth="1"/>
    <col min="2306" max="2306" width="16.5703125" customWidth="1"/>
    <col min="2307" max="2307" width="36.7109375" customWidth="1"/>
    <col min="2308" max="2308" width="16.5703125" customWidth="1"/>
    <col min="2309" max="2309" width="20" customWidth="1"/>
    <col min="2310" max="2310" width="13" customWidth="1"/>
    <col min="2311" max="2311" width="21" customWidth="1"/>
    <col min="2312" max="2312" width="13.5703125" customWidth="1"/>
    <col min="2313" max="2313" width="16.5703125" customWidth="1"/>
    <col min="2561" max="2561" width="3.42578125" customWidth="1"/>
    <col min="2562" max="2562" width="16.5703125" customWidth="1"/>
    <col min="2563" max="2563" width="36.7109375" customWidth="1"/>
    <col min="2564" max="2564" width="16.5703125" customWidth="1"/>
    <col min="2565" max="2565" width="20" customWidth="1"/>
    <col min="2566" max="2566" width="13" customWidth="1"/>
    <col min="2567" max="2567" width="21" customWidth="1"/>
    <col min="2568" max="2568" width="13.5703125" customWidth="1"/>
    <col min="2569" max="2569" width="16.5703125" customWidth="1"/>
    <col min="2817" max="2817" width="3.42578125" customWidth="1"/>
    <col min="2818" max="2818" width="16.5703125" customWidth="1"/>
    <col min="2819" max="2819" width="36.7109375" customWidth="1"/>
    <col min="2820" max="2820" width="16.5703125" customWidth="1"/>
    <col min="2821" max="2821" width="20" customWidth="1"/>
    <col min="2822" max="2822" width="13" customWidth="1"/>
    <col min="2823" max="2823" width="21" customWidth="1"/>
    <col min="2824" max="2824" width="13.5703125" customWidth="1"/>
    <col min="2825" max="2825" width="16.5703125" customWidth="1"/>
    <col min="3073" max="3073" width="3.42578125" customWidth="1"/>
    <col min="3074" max="3074" width="16.5703125" customWidth="1"/>
    <col min="3075" max="3075" width="36.7109375" customWidth="1"/>
    <col min="3076" max="3076" width="16.5703125" customWidth="1"/>
    <col min="3077" max="3077" width="20" customWidth="1"/>
    <col min="3078" max="3078" width="13" customWidth="1"/>
    <col min="3079" max="3079" width="21" customWidth="1"/>
    <col min="3080" max="3080" width="13.5703125" customWidth="1"/>
    <col min="3081" max="3081" width="16.5703125" customWidth="1"/>
    <col min="3329" max="3329" width="3.42578125" customWidth="1"/>
    <col min="3330" max="3330" width="16.5703125" customWidth="1"/>
    <col min="3331" max="3331" width="36.7109375" customWidth="1"/>
    <col min="3332" max="3332" width="16.5703125" customWidth="1"/>
    <col min="3333" max="3333" width="20" customWidth="1"/>
    <col min="3334" max="3334" width="13" customWidth="1"/>
    <col min="3335" max="3335" width="21" customWidth="1"/>
    <col min="3336" max="3336" width="13.5703125" customWidth="1"/>
    <col min="3337" max="3337" width="16.5703125" customWidth="1"/>
    <col min="3585" max="3585" width="3.42578125" customWidth="1"/>
    <col min="3586" max="3586" width="16.5703125" customWidth="1"/>
    <col min="3587" max="3587" width="36.7109375" customWidth="1"/>
    <col min="3588" max="3588" width="16.5703125" customWidth="1"/>
    <col min="3589" max="3589" width="20" customWidth="1"/>
    <col min="3590" max="3590" width="13" customWidth="1"/>
    <col min="3591" max="3591" width="21" customWidth="1"/>
    <col min="3592" max="3592" width="13.5703125" customWidth="1"/>
    <col min="3593" max="3593" width="16.5703125" customWidth="1"/>
    <col min="3841" max="3841" width="3.42578125" customWidth="1"/>
    <col min="3842" max="3842" width="16.5703125" customWidth="1"/>
    <col min="3843" max="3843" width="36.7109375" customWidth="1"/>
    <col min="3844" max="3844" width="16.5703125" customWidth="1"/>
    <col min="3845" max="3845" width="20" customWidth="1"/>
    <col min="3846" max="3846" width="13" customWidth="1"/>
    <col min="3847" max="3847" width="21" customWidth="1"/>
    <col min="3848" max="3848" width="13.5703125" customWidth="1"/>
    <col min="3849" max="3849" width="16.5703125" customWidth="1"/>
    <col min="4097" max="4097" width="3.42578125" customWidth="1"/>
    <col min="4098" max="4098" width="16.5703125" customWidth="1"/>
    <col min="4099" max="4099" width="36.7109375" customWidth="1"/>
    <col min="4100" max="4100" width="16.5703125" customWidth="1"/>
    <col min="4101" max="4101" width="20" customWidth="1"/>
    <col min="4102" max="4102" width="13" customWidth="1"/>
    <col min="4103" max="4103" width="21" customWidth="1"/>
    <col min="4104" max="4104" width="13.5703125" customWidth="1"/>
    <col min="4105" max="4105" width="16.5703125" customWidth="1"/>
    <col min="4353" max="4353" width="3.42578125" customWidth="1"/>
    <col min="4354" max="4354" width="16.5703125" customWidth="1"/>
    <col min="4355" max="4355" width="36.7109375" customWidth="1"/>
    <col min="4356" max="4356" width="16.5703125" customWidth="1"/>
    <col min="4357" max="4357" width="20" customWidth="1"/>
    <col min="4358" max="4358" width="13" customWidth="1"/>
    <col min="4359" max="4359" width="21" customWidth="1"/>
    <col min="4360" max="4360" width="13.5703125" customWidth="1"/>
    <col min="4361" max="4361" width="16.5703125" customWidth="1"/>
    <col min="4609" max="4609" width="3.42578125" customWidth="1"/>
    <col min="4610" max="4610" width="16.5703125" customWidth="1"/>
    <col min="4611" max="4611" width="36.7109375" customWidth="1"/>
    <col min="4612" max="4612" width="16.5703125" customWidth="1"/>
    <col min="4613" max="4613" width="20" customWidth="1"/>
    <col min="4614" max="4614" width="13" customWidth="1"/>
    <col min="4615" max="4615" width="21" customWidth="1"/>
    <col min="4616" max="4616" width="13.5703125" customWidth="1"/>
    <col min="4617" max="4617" width="16.5703125" customWidth="1"/>
    <col min="4865" max="4865" width="3.42578125" customWidth="1"/>
    <col min="4866" max="4866" width="16.5703125" customWidth="1"/>
    <col min="4867" max="4867" width="36.7109375" customWidth="1"/>
    <col min="4868" max="4868" width="16.5703125" customWidth="1"/>
    <col min="4869" max="4869" width="20" customWidth="1"/>
    <col min="4870" max="4870" width="13" customWidth="1"/>
    <col min="4871" max="4871" width="21" customWidth="1"/>
    <col min="4872" max="4872" width="13.5703125" customWidth="1"/>
    <col min="4873" max="4873" width="16.5703125" customWidth="1"/>
    <col min="5121" max="5121" width="3.42578125" customWidth="1"/>
    <col min="5122" max="5122" width="16.5703125" customWidth="1"/>
    <col min="5123" max="5123" width="36.7109375" customWidth="1"/>
    <col min="5124" max="5124" width="16.5703125" customWidth="1"/>
    <col min="5125" max="5125" width="20" customWidth="1"/>
    <col min="5126" max="5126" width="13" customWidth="1"/>
    <col min="5127" max="5127" width="21" customWidth="1"/>
    <col min="5128" max="5128" width="13.5703125" customWidth="1"/>
    <col min="5129" max="5129" width="16.5703125" customWidth="1"/>
    <col min="5377" max="5377" width="3.42578125" customWidth="1"/>
    <col min="5378" max="5378" width="16.5703125" customWidth="1"/>
    <col min="5379" max="5379" width="36.7109375" customWidth="1"/>
    <col min="5380" max="5380" width="16.5703125" customWidth="1"/>
    <col min="5381" max="5381" width="20" customWidth="1"/>
    <col min="5382" max="5382" width="13" customWidth="1"/>
    <col min="5383" max="5383" width="21" customWidth="1"/>
    <col min="5384" max="5384" width="13.5703125" customWidth="1"/>
    <col min="5385" max="5385" width="16.5703125" customWidth="1"/>
    <col min="5633" max="5633" width="3.42578125" customWidth="1"/>
    <col min="5634" max="5634" width="16.5703125" customWidth="1"/>
    <col min="5635" max="5635" width="36.7109375" customWidth="1"/>
    <col min="5636" max="5636" width="16.5703125" customWidth="1"/>
    <col min="5637" max="5637" width="20" customWidth="1"/>
    <col min="5638" max="5638" width="13" customWidth="1"/>
    <col min="5639" max="5639" width="21" customWidth="1"/>
    <col min="5640" max="5640" width="13.5703125" customWidth="1"/>
    <col min="5641" max="5641" width="16.5703125" customWidth="1"/>
    <col min="5889" max="5889" width="3.42578125" customWidth="1"/>
    <col min="5890" max="5890" width="16.5703125" customWidth="1"/>
    <col min="5891" max="5891" width="36.7109375" customWidth="1"/>
    <col min="5892" max="5892" width="16.5703125" customWidth="1"/>
    <col min="5893" max="5893" width="20" customWidth="1"/>
    <col min="5894" max="5894" width="13" customWidth="1"/>
    <col min="5895" max="5895" width="21" customWidth="1"/>
    <col min="5896" max="5896" width="13.5703125" customWidth="1"/>
    <col min="5897" max="5897" width="16.5703125" customWidth="1"/>
    <col min="6145" max="6145" width="3.42578125" customWidth="1"/>
    <col min="6146" max="6146" width="16.5703125" customWidth="1"/>
    <col min="6147" max="6147" width="36.7109375" customWidth="1"/>
    <col min="6148" max="6148" width="16.5703125" customWidth="1"/>
    <col min="6149" max="6149" width="20" customWidth="1"/>
    <col min="6150" max="6150" width="13" customWidth="1"/>
    <col min="6151" max="6151" width="21" customWidth="1"/>
    <col min="6152" max="6152" width="13.5703125" customWidth="1"/>
    <col min="6153" max="6153" width="16.5703125" customWidth="1"/>
    <col min="6401" max="6401" width="3.42578125" customWidth="1"/>
    <col min="6402" max="6402" width="16.5703125" customWidth="1"/>
    <col min="6403" max="6403" width="36.7109375" customWidth="1"/>
    <col min="6404" max="6404" width="16.5703125" customWidth="1"/>
    <col min="6405" max="6405" width="20" customWidth="1"/>
    <col min="6406" max="6406" width="13" customWidth="1"/>
    <col min="6407" max="6407" width="21" customWidth="1"/>
    <col min="6408" max="6408" width="13.5703125" customWidth="1"/>
    <col min="6409" max="6409" width="16.5703125" customWidth="1"/>
    <col min="6657" max="6657" width="3.42578125" customWidth="1"/>
    <col min="6658" max="6658" width="16.5703125" customWidth="1"/>
    <col min="6659" max="6659" width="36.7109375" customWidth="1"/>
    <col min="6660" max="6660" width="16.5703125" customWidth="1"/>
    <col min="6661" max="6661" width="20" customWidth="1"/>
    <col min="6662" max="6662" width="13" customWidth="1"/>
    <col min="6663" max="6663" width="21" customWidth="1"/>
    <col min="6664" max="6664" width="13.5703125" customWidth="1"/>
    <col min="6665" max="6665" width="16.5703125" customWidth="1"/>
    <col min="6913" max="6913" width="3.42578125" customWidth="1"/>
    <col min="6914" max="6914" width="16.5703125" customWidth="1"/>
    <col min="6915" max="6915" width="36.7109375" customWidth="1"/>
    <col min="6916" max="6916" width="16.5703125" customWidth="1"/>
    <col min="6917" max="6917" width="20" customWidth="1"/>
    <col min="6918" max="6918" width="13" customWidth="1"/>
    <col min="6919" max="6919" width="21" customWidth="1"/>
    <col min="6920" max="6920" width="13.5703125" customWidth="1"/>
    <col min="6921" max="6921" width="16.5703125" customWidth="1"/>
    <col min="7169" max="7169" width="3.42578125" customWidth="1"/>
    <col min="7170" max="7170" width="16.5703125" customWidth="1"/>
    <col min="7171" max="7171" width="36.7109375" customWidth="1"/>
    <col min="7172" max="7172" width="16.5703125" customWidth="1"/>
    <col min="7173" max="7173" width="20" customWidth="1"/>
    <col min="7174" max="7174" width="13" customWidth="1"/>
    <col min="7175" max="7175" width="21" customWidth="1"/>
    <col min="7176" max="7176" width="13.5703125" customWidth="1"/>
    <col min="7177" max="7177" width="16.5703125" customWidth="1"/>
    <col min="7425" max="7425" width="3.42578125" customWidth="1"/>
    <col min="7426" max="7426" width="16.5703125" customWidth="1"/>
    <col min="7427" max="7427" width="36.7109375" customWidth="1"/>
    <col min="7428" max="7428" width="16.5703125" customWidth="1"/>
    <col min="7429" max="7429" width="20" customWidth="1"/>
    <col min="7430" max="7430" width="13" customWidth="1"/>
    <col min="7431" max="7431" width="21" customWidth="1"/>
    <col min="7432" max="7432" width="13.5703125" customWidth="1"/>
    <col min="7433" max="7433" width="16.5703125" customWidth="1"/>
    <col min="7681" max="7681" width="3.42578125" customWidth="1"/>
    <col min="7682" max="7682" width="16.5703125" customWidth="1"/>
    <col min="7683" max="7683" width="36.7109375" customWidth="1"/>
    <col min="7684" max="7684" width="16.5703125" customWidth="1"/>
    <col min="7685" max="7685" width="20" customWidth="1"/>
    <col min="7686" max="7686" width="13" customWidth="1"/>
    <col min="7687" max="7687" width="21" customWidth="1"/>
    <col min="7688" max="7688" width="13.5703125" customWidth="1"/>
    <col min="7689" max="7689" width="16.5703125" customWidth="1"/>
    <col min="7937" max="7937" width="3.42578125" customWidth="1"/>
    <col min="7938" max="7938" width="16.5703125" customWidth="1"/>
    <col min="7939" max="7939" width="36.7109375" customWidth="1"/>
    <col min="7940" max="7940" width="16.5703125" customWidth="1"/>
    <col min="7941" max="7941" width="20" customWidth="1"/>
    <col min="7942" max="7942" width="13" customWidth="1"/>
    <col min="7943" max="7943" width="21" customWidth="1"/>
    <col min="7944" max="7944" width="13.5703125" customWidth="1"/>
    <col min="7945" max="7945" width="16.5703125" customWidth="1"/>
    <col min="8193" max="8193" width="3.42578125" customWidth="1"/>
    <col min="8194" max="8194" width="16.5703125" customWidth="1"/>
    <col min="8195" max="8195" width="36.7109375" customWidth="1"/>
    <col min="8196" max="8196" width="16.5703125" customWidth="1"/>
    <col min="8197" max="8197" width="20" customWidth="1"/>
    <col min="8198" max="8198" width="13" customWidth="1"/>
    <col min="8199" max="8199" width="21" customWidth="1"/>
    <col min="8200" max="8200" width="13.5703125" customWidth="1"/>
    <col min="8201" max="8201" width="16.5703125" customWidth="1"/>
    <col min="8449" max="8449" width="3.42578125" customWidth="1"/>
    <col min="8450" max="8450" width="16.5703125" customWidth="1"/>
    <col min="8451" max="8451" width="36.7109375" customWidth="1"/>
    <col min="8452" max="8452" width="16.5703125" customWidth="1"/>
    <col min="8453" max="8453" width="20" customWidth="1"/>
    <col min="8454" max="8454" width="13" customWidth="1"/>
    <col min="8455" max="8455" width="21" customWidth="1"/>
    <col min="8456" max="8456" width="13.5703125" customWidth="1"/>
    <col min="8457" max="8457" width="16.5703125" customWidth="1"/>
    <col min="8705" max="8705" width="3.42578125" customWidth="1"/>
    <col min="8706" max="8706" width="16.5703125" customWidth="1"/>
    <col min="8707" max="8707" width="36.7109375" customWidth="1"/>
    <col min="8708" max="8708" width="16.5703125" customWidth="1"/>
    <col min="8709" max="8709" width="20" customWidth="1"/>
    <col min="8710" max="8710" width="13" customWidth="1"/>
    <col min="8711" max="8711" width="21" customWidth="1"/>
    <col min="8712" max="8712" width="13.5703125" customWidth="1"/>
    <col min="8713" max="8713" width="16.5703125" customWidth="1"/>
    <col min="8961" max="8961" width="3.42578125" customWidth="1"/>
    <col min="8962" max="8962" width="16.5703125" customWidth="1"/>
    <col min="8963" max="8963" width="36.7109375" customWidth="1"/>
    <col min="8964" max="8964" width="16.5703125" customWidth="1"/>
    <col min="8965" max="8965" width="20" customWidth="1"/>
    <col min="8966" max="8966" width="13" customWidth="1"/>
    <col min="8967" max="8967" width="21" customWidth="1"/>
    <col min="8968" max="8968" width="13.5703125" customWidth="1"/>
    <col min="8969" max="8969" width="16.5703125" customWidth="1"/>
    <col min="9217" max="9217" width="3.42578125" customWidth="1"/>
    <col min="9218" max="9218" width="16.5703125" customWidth="1"/>
    <col min="9219" max="9219" width="36.7109375" customWidth="1"/>
    <col min="9220" max="9220" width="16.5703125" customWidth="1"/>
    <col min="9221" max="9221" width="20" customWidth="1"/>
    <col min="9222" max="9222" width="13" customWidth="1"/>
    <col min="9223" max="9223" width="21" customWidth="1"/>
    <col min="9224" max="9224" width="13.5703125" customWidth="1"/>
    <col min="9225" max="9225" width="16.5703125" customWidth="1"/>
    <col min="9473" max="9473" width="3.42578125" customWidth="1"/>
    <col min="9474" max="9474" width="16.5703125" customWidth="1"/>
    <col min="9475" max="9475" width="36.7109375" customWidth="1"/>
    <col min="9476" max="9476" width="16.5703125" customWidth="1"/>
    <col min="9477" max="9477" width="20" customWidth="1"/>
    <col min="9478" max="9478" width="13" customWidth="1"/>
    <col min="9479" max="9479" width="21" customWidth="1"/>
    <col min="9480" max="9480" width="13.5703125" customWidth="1"/>
    <col min="9481" max="9481" width="16.5703125" customWidth="1"/>
    <col min="9729" max="9729" width="3.42578125" customWidth="1"/>
    <col min="9730" max="9730" width="16.5703125" customWidth="1"/>
    <col min="9731" max="9731" width="36.7109375" customWidth="1"/>
    <col min="9732" max="9732" width="16.5703125" customWidth="1"/>
    <col min="9733" max="9733" width="20" customWidth="1"/>
    <col min="9734" max="9734" width="13" customWidth="1"/>
    <col min="9735" max="9735" width="21" customWidth="1"/>
    <col min="9736" max="9736" width="13.5703125" customWidth="1"/>
    <col min="9737" max="9737" width="16.5703125" customWidth="1"/>
    <col min="9985" max="9985" width="3.42578125" customWidth="1"/>
    <col min="9986" max="9986" width="16.5703125" customWidth="1"/>
    <col min="9987" max="9987" width="36.7109375" customWidth="1"/>
    <col min="9988" max="9988" width="16.5703125" customWidth="1"/>
    <col min="9989" max="9989" width="20" customWidth="1"/>
    <col min="9990" max="9990" width="13" customWidth="1"/>
    <col min="9991" max="9991" width="21" customWidth="1"/>
    <col min="9992" max="9992" width="13.5703125" customWidth="1"/>
    <col min="9993" max="9993" width="16.5703125" customWidth="1"/>
    <col min="10241" max="10241" width="3.42578125" customWidth="1"/>
    <col min="10242" max="10242" width="16.5703125" customWidth="1"/>
    <col min="10243" max="10243" width="36.7109375" customWidth="1"/>
    <col min="10244" max="10244" width="16.5703125" customWidth="1"/>
    <col min="10245" max="10245" width="20" customWidth="1"/>
    <col min="10246" max="10246" width="13" customWidth="1"/>
    <col min="10247" max="10247" width="21" customWidth="1"/>
    <col min="10248" max="10248" width="13.5703125" customWidth="1"/>
    <col min="10249" max="10249" width="16.5703125" customWidth="1"/>
    <col min="10497" max="10497" width="3.42578125" customWidth="1"/>
    <col min="10498" max="10498" width="16.5703125" customWidth="1"/>
    <col min="10499" max="10499" width="36.7109375" customWidth="1"/>
    <col min="10500" max="10500" width="16.5703125" customWidth="1"/>
    <col min="10501" max="10501" width="20" customWidth="1"/>
    <col min="10502" max="10502" width="13" customWidth="1"/>
    <col min="10503" max="10503" width="21" customWidth="1"/>
    <col min="10504" max="10504" width="13.5703125" customWidth="1"/>
    <col min="10505" max="10505" width="16.5703125" customWidth="1"/>
    <col min="10753" max="10753" width="3.42578125" customWidth="1"/>
    <col min="10754" max="10754" width="16.5703125" customWidth="1"/>
    <col min="10755" max="10755" width="36.7109375" customWidth="1"/>
    <col min="10756" max="10756" width="16.5703125" customWidth="1"/>
    <col min="10757" max="10757" width="20" customWidth="1"/>
    <col min="10758" max="10758" width="13" customWidth="1"/>
    <col min="10759" max="10759" width="21" customWidth="1"/>
    <col min="10760" max="10760" width="13.5703125" customWidth="1"/>
    <col min="10761" max="10761" width="16.5703125" customWidth="1"/>
    <col min="11009" max="11009" width="3.42578125" customWidth="1"/>
    <col min="11010" max="11010" width="16.5703125" customWidth="1"/>
    <col min="11011" max="11011" width="36.7109375" customWidth="1"/>
    <col min="11012" max="11012" width="16.5703125" customWidth="1"/>
    <col min="11013" max="11013" width="20" customWidth="1"/>
    <col min="11014" max="11014" width="13" customWidth="1"/>
    <col min="11015" max="11015" width="21" customWidth="1"/>
    <col min="11016" max="11016" width="13.5703125" customWidth="1"/>
    <col min="11017" max="11017" width="16.5703125" customWidth="1"/>
    <col min="11265" max="11265" width="3.42578125" customWidth="1"/>
    <col min="11266" max="11266" width="16.5703125" customWidth="1"/>
    <col min="11267" max="11267" width="36.7109375" customWidth="1"/>
    <col min="11268" max="11268" width="16.5703125" customWidth="1"/>
    <col min="11269" max="11269" width="20" customWidth="1"/>
    <col min="11270" max="11270" width="13" customWidth="1"/>
    <col min="11271" max="11271" width="21" customWidth="1"/>
    <col min="11272" max="11272" width="13.5703125" customWidth="1"/>
    <col min="11273" max="11273" width="16.5703125" customWidth="1"/>
    <col min="11521" max="11521" width="3.42578125" customWidth="1"/>
    <col min="11522" max="11522" width="16.5703125" customWidth="1"/>
    <col min="11523" max="11523" width="36.7109375" customWidth="1"/>
    <col min="11524" max="11524" width="16.5703125" customWidth="1"/>
    <col min="11525" max="11525" width="20" customWidth="1"/>
    <col min="11526" max="11526" width="13" customWidth="1"/>
    <col min="11527" max="11527" width="21" customWidth="1"/>
    <col min="11528" max="11528" width="13.5703125" customWidth="1"/>
    <col min="11529" max="11529" width="16.5703125" customWidth="1"/>
    <col min="11777" max="11777" width="3.42578125" customWidth="1"/>
    <col min="11778" max="11778" width="16.5703125" customWidth="1"/>
    <col min="11779" max="11779" width="36.7109375" customWidth="1"/>
    <col min="11780" max="11780" width="16.5703125" customWidth="1"/>
    <col min="11781" max="11781" width="20" customWidth="1"/>
    <col min="11782" max="11782" width="13" customWidth="1"/>
    <col min="11783" max="11783" width="21" customWidth="1"/>
    <col min="11784" max="11784" width="13.5703125" customWidth="1"/>
    <col min="11785" max="11785" width="16.5703125" customWidth="1"/>
    <col min="12033" max="12033" width="3.42578125" customWidth="1"/>
    <col min="12034" max="12034" width="16.5703125" customWidth="1"/>
    <col min="12035" max="12035" width="36.7109375" customWidth="1"/>
    <col min="12036" max="12036" width="16.5703125" customWidth="1"/>
    <col min="12037" max="12037" width="20" customWidth="1"/>
    <col min="12038" max="12038" width="13" customWidth="1"/>
    <col min="12039" max="12039" width="21" customWidth="1"/>
    <col min="12040" max="12040" width="13.5703125" customWidth="1"/>
    <col min="12041" max="12041" width="16.5703125" customWidth="1"/>
    <col min="12289" max="12289" width="3.42578125" customWidth="1"/>
    <col min="12290" max="12290" width="16.5703125" customWidth="1"/>
    <col min="12291" max="12291" width="36.7109375" customWidth="1"/>
    <col min="12292" max="12292" width="16.5703125" customWidth="1"/>
    <col min="12293" max="12293" width="20" customWidth="1"/>
    <col min="12294" max="12294" width="13" customWidth="1"/>
    <col min="12295" max="12295" width="21" customWidth="1"/>
    <col min="12296" max="12296" width="13.5703125" customWidth="1"/>
    <col min="12297" max="12297" width="16.5703125" customWidth="1"/>
    <col min="12545" max="12545" width="3.42578125" customWidth="1"/>
    <col min="12546" max="12546" width="16.5703125" customWidth="1"/>
    <col min="12547" max="12547" width="36.7109375" customWidth="1"/>
    <col min="12548" max="12548" width="16.5703125" customWidth="1"/>
    <col min="12549" max="12549" width="20" customWidth="1"/>
    <col min="12550" max="12550" width="13" customWidth="1"/>
    <col min="12551" max="12551" width="21" customWidth="1"/>
    <col min="12552" max="12552" width="13.5703125" customWidth="1"/>
    <col min="12553" max="12553" width="16.5703125" customWidth="1"/>
    <col min="12801" max="12801" width="3.42578125" customWidth="1"/>
    <col min="12802" max="12802" width="16.5703125" customWidth="1"/>
    <col min="12803" max="12803" width="36.7109375" customWidth="1"/>
    <col min="12804" max="12804" width="16.5703125" customWidth="1"/>
    <col min="12805" max="12805" width="20" customWidth="1"/>
    <col min="12806" max="12806" width="13" customWidth="1"/>
    <col min="12807" max="12807" width="21" customWidth="1"/>
    <col min="12808" max="12808" width="13.5703125" customWidth="1"/>
    <col min="12809" max="12809" width="16.5703125" customWidth="1"/>
    <col min="13057" max="13057" width="3.42578125" customWidth="1"/>
    <col min="13058" max="13058" width="16.5703125" customWidth="1"/>
    <col min="13059" max="13059" width="36.7109375" customWidth="1"/>
    <col min="13060" max="13060" width="16.5703125" customWidth="1"/>
    <col min="13061" max="13061" width="20" customWidth="1"/>
    <col min="13062" max="13062" width="13" customWidth="1"/>
    <col min="13063" max="13063" width="21" customWidth="1"/>
    <col min="13064" max="13064" width="13.5703125" customWidth="1"/>
    <col min="13065" max="13065" width="16.5703125" customWidth="1"/>
    <col min="13313" max="13313" width="3.42578125" customWidth="1"/>
    <col min="13314" max="13314" width="16.5703125" customWidth="1"/>
    <col min="13315" max="13315" width="36.7109375" customWidth="1"/>
    <col min="13316" max="13316" width="16.5703125" customWidth="1"/>
    <col min="13317" max="13317" width="20" customWidth="1"/>
    <col min="13318" max="13318" width="13" customWidth="1"/>
    <col min="13319" max="13319" width="21" customWidth="1"/>
    <col min="13320" max="13320" width="13.5703125" customWidth="1"/>
    <col min="13321" max="13321" width="16.5703125" customWidth="1"/>
    <col min="13569" max="13569" width="3.42578125" customWidth="1"/>
    <col min="13570" max="13570" width="16.5703125" customWidth="1"/>
    <col min="13571" max="13571" width="36.7109375" customWidth="1"/>
    <col min="13572" max="13572" width="16.5703125" customWidth="1"/>
    <col min="13573" max="13573" width="20" customWidth="1"/>
    <col min="13574" max="13574" width="13" customWidth="1"/>
    <col min="13575" max="13575" width="21" customWidth="1"/>
    <col min="13576" max="13576" width="13.5703125" customWidth="1"/>
    <col min="13577" max="13577" width="16.5703125" customWidth="1"/>
    <col min="13825" max="13825" width="3.42578125" customWidth="1"/>
    <col min="13826" max="13826" width="16.5703125" customWidth="1"/>
    <col min="13827" max="13827" width="36.7109375" customWidth="1"/>
    <col min="13828" max="13828" width="16.5703125" customWidth="1"/>
    <col min="13829" max="13829" width="20" customWidth="1"/>
    <col min="13830" max="13830" width="13" customWidth="1"/>
    <col min="13831" max="13831" width="21" customWidth="1"/>
    <col min="13832" max="13832" width="13.5703125" customWidth="1"/>
    <col min="13833" max="13833" width="16.5703125" customWidth="1"/>
    <col min="14081" max="14081" width="3.42578125" customWidth="1"/>
    <col min="14082" max="14082" width="16.5703125" customWidth="1"/>
    <col min="14083" max="14083" width="36.7109375" customWidth="1"/>
    <col min="14084" max="14084" width="16.5703125" customWidth="1"/>
    <col min="14085" max="14085" width="20" customWidth="1"/>
    <col min="14086" max="14086" width="13" customWidth="1"/>
    <col min="14087" max="14087" width="21" customWidth="1"/>
    <col min="14088" max="14088" width="13.5703125" customWidth="1"/>
    <col min="14089" max="14089" width="16.5703125" customWidth="1"/>
    <col min="14337" max="14337" width="3.42578125" customWidth="1"/>
    <col min="14338" max="14338" width="16.5703125" customWidth="1"/>
    <col min="14339" max="14339" width="36.7109375" customWidth="1"/>
    <col min="14340" max="14340" width="16.5703125" customWidth="1"/>
    <col min="14341" max="14341" width="20" customWidth="1"/>
    <col min="14342" max="14342" width="13" customWidth="1"/>
    <col min="14343" max="14343" width="21" customWidth="1"/>
    <col min="14344" max="14344" width="13.5703125" customWidth="1"/>
    <col min="14345" max="14345" width="16.5703125" customWidth="1"/>
    <col min="14593" max="14593" width="3.42578125" customWidth="1"/>
    <col min="14594" max="14594" width="16.5703125" customWidth="1"/>
    <col min="14595" max="14595" width="36.7109375" customWidth="1"/>
    <col min="14596" max="14596" width="16.5703125" customWidth="1"/>
    <col min="14597" max="14597" width="20" customWidth="1"/>
    <col min="14598" max="14598" width="13" customWidth="1"/>
    <col min="14599" max="14599" width="21" customWidth="1"/>
    <col min="14600" max="14600" width="13.5703125" customWidth="1"/>
    <col min="14601" max="14601" width="16.5703125" customWidth="1"/>
    <col min="14849" max="14849" width="3.42578125" customWidth="1"/>
    <col min="14850" max="14850" width="16.5703125" customWidth="1"/>
    <col min="14851" max="14851" width="36.7109375" customWidth="1"/>
    <col min="14852" max="14852" width="16.5703125" customWidth="1"/>
    <col min="14853" max="14853" width="20" customWidth="1"/>
    <col min="14854" max="14854" width="13" customWidth="1"/>
    <col min="14855" max="14855" width="21" customWidth="1"/>
    <col min="14856" max="14856" width="13.5703125" customWidth="1"/>
    <col min="14857" max="14857" width="16.5703125" customWidth="1"/>
    <col min="15105" max="15105" width="3.42578125" customWidth="1"/>
    <col min="15106" max="15106" width="16.5703125" customWidth="1"/>
    <col min="15107" max="15107" width="36.7109375" customWidth="1"/>
    <col min="15108" max="15108" width="16.5703125" customWidth="1"/>
    <col min="15109" max="15109" width="20" customWidth="1"/>
    <col min="15110" max="15110" width="13" customWidth="1"/>
    <col min="15111" max="15111" width="21" customWidth="1"/>
    <col min="15112" max="15112" width="13.5703125" customWidth="1"/>
    <col min="15113" max="15113" width="16.5703125" customWidth="1"/>
    <col min="15361" max="15361" width="3.42578125" customWidth="1"/>
    <col min="15362" max="15362" width="16.5703125" customWidth="1"/>
    <col min="15363" max="15363" width="36.7109375" customWidth="1"/>
    <col min="15364" max="15364" width="16.5703125" customWidth="1"/>
    <col min="15365" max="15365" width="20" customWidth="1"/>
    <col min="15366" max="15366" width="13" customWidth="1"/>
    <col min="15367" max="15367" width="21" customWidth="1"/>
    <col min="15368" max="15368" width="13.5703125" customWidth="1"/>
    <col min="15369" max="15369" width="16.5703125" customWidth="1"/>
    <col min="15617" max="15617" width="3.42578125" customWidth="1"/>
    <col min="15618" max="15618" width="16.5703125" customWidth="1"/>
    <col min="15619" max="15619" width="36.7109375" customWidth="1"/>
    <col min="15620" max="15620" width="16.5703125" customWidth="1"/>
    <col min="15621" max="15621" width="20" customWidth="1"/>
    <col min="15622" max="15622" width="13" customWidth="1"/>
    <col min="15623" max="15623" width="21" customWidth="1"/>
    <col min="15624" max="15624" width="13.5703125" customWidth="1"/>
    <col min="15625" max="15625" width="16.5703125" customWidth="1"/>
    <col min="15873" max="15873" width="3.42578125" customWidth="1"/>
    <col min="15874" max="15874" width="16.5703125" customWidth="1"/>
    <col min="15875" max="15875" width="36.7109375" customWidth="1"/>
    <col min="15876" max="15876" width="16.5703125" customWidth="1"/>
    <col min="15877" max="15877" width="20" customWidth="1"/>
    <col min="15878" max="15878" width="13" customWidth="1"/>
    <col min="15879" max="15879" width="21" customWidth="1"/>
    <col min="15880" max="15880" width="13.5703125" customWidth="1"/>
    <col min="15881" max="15881" width="16.5703125" customWidth="1"/>
    <col min="16129" max="16129" width="3.42578125" customWidth="1"/>
    <col min="16130" max="16130" width="16.5703125" customWidth="1"/>
    <col min="16131" max="16131" width="36.7109375" customWidth="1"/>
    <col min="16132" max="16132" width="16.5703125" customWidth="1"/>
    <col min="16133" max="16133" width="20" customWidth="1"/>
    <col min="16134" max="16134" width="13" customWidth="1"/>
    <col min="16135" max="16135" width="21" customWidth="1"/>
    <col min="16136" max="16136" width="13.5703125" customWidth="1"/>
    <col min="16137" max="16137" width="16.5703125" customWidth="1"/>
  </cols>
  <sheetData>
    <row r="1" spans="1:9" ht="15.95" customHeight="1">
      <c r="A1" s="1"/>
      <c r="B1" s="44" t="s">
        <v>0</v>
      </c>
      <c r="C1" s="44"/>
      <c r="D1" s="1"/>
      <c r="E1" s="1"/>
      <c r="F1" s="1"/>
      <c r="G1" s="1"/>
      <c r="H1" s="1"/>
      <c r="I1" s="1"/>
    </row>
    <row r="2" spans="1:9" ht="12.95" customHeight="1">
      <c r="A2" s="1"/>
      <c r="B2" s="45"/>
      <c r="C2" s="45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46" t="s">
        <v>2</v>
      </c>
      <c r="C3" s="46"/>
      <c r="D3" s="1"/>
      <c r="E3" s="1"/>
      <c r="F3" s="1"/>
      <c r="G3" s="1"/>
      <c r="H3" s="1"/>
      <c r="I3" s="1"/>
    </row>
    <row r="4" spans="1:9" ht="27.95" customHeight="1">
      <c r="A4" s="1"/>
      <c r="B4" s="47" t="s">
        <v>3</v>
      </c>
      <c r="C4" s="4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48" t="s">
        <v>10</v>
      </c>
      <c r="C5" s="48"/>
      <c r="D5" s="5"/>
      <c r="E5" s="5"/>
      <c r="F5" s="5"/>
      <c r="G5" s="5"/>
      <c r="H5" s="5"/>
      <c r="I5" s="6"/>
    </row>
    <row r="6" spans="1:9" ht="12.95" customHeight="1">
      <c r="A6" s="1"/>
      <c r="B6" s="48" t="s">
        <v>11</v>
      </c>
      <c r="C6" s="48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49" t="s">
        <v>13</v>
      </c>
      <c r="C7" s="49"/>
      <c r="D7" s="5" t="s">
        <v>14</v>
      </c>
      <c r="E7" s="5" t="s">
        <v>15</v>
      </c>
      <c r="F7" s="8">
        <v>51291</v>
      </c>
      <c r="G7" s="9">
        <v>1524.21</v>
      </c>
      <c r="H7" s="10">
        <v>3.8699999999999998E-2</v>
      </c>
      <c r="I7" s="11"/>
    </row>
    <row r="8" spans="1:9" ht="12.95" customHeight="1">
      <c r="A8" s="7" t="s">
        <v>16</v>
      </c>
      <c r="B8" s="49" t="s">
        <v>17</v>
      </c>
      <c r="C8" s="49"/>
      <c r="D8" s="5" t="s">
        <v>18</v>
      </c>
      <c r="E8" s="5" t="s">
        <v>19</v>
      </c>
      <c r="F8" s="8">
        <v>80682</v>
      </c>
      <c r="G8" s="9">
        <v>1168.19</v>
      </c>
      <c r="H8" s="10">
        <v>2.9700000000000001E-2</v>
      </c>
      <c r="I8" s="11"/>
    </row>
    <row r="9" spans="1:9" ht="12.95" customHeight="1">
      <c r="A9" s="7" t="s">
        <v>20</v>
      </c>
      <c r="B9" s="49" t="s">
        <v>21</v>
      </c>
      <c r="C9" s="49"/>
      <c r="D9" s="5" t="s">
        <v>22</v>
      </c>
      <c r="E9" s="5" t="s">
        <v>19</v>
      </c>
      <c r="F9" s="8">
        <v>92518</v>
      </c>
      <c r="G9" s="9">
        <v>1011.5</v>
      </c>
      <c r="H9" s="10">
        <v>2.5700000000000001E-2</v>
      </c>
      <c r="I9" s="11"/>
    </row>
    <row r="10" spans="1:9" ht="12.95" customHeight="1">
      <c r="A10" s="7" t="s">
        <v>23</v>
      </c>
      <c r="B10" s="49" t="s">
        <v>24</v>
      </c>
      <c r="C10" s="49"/>
      <c r="D10" s="5" t="s">
        <v>25</v>
      </c>
      <c r="E10" s="5" t="s">
        <v>19</v>
      </c>
      <c r="F10" s="8">
        <v>43486</v>
      </c>
      <c r="G10" s="9">
        <v>776.44</v>
      </c>
      <c r="H10" s="10">
        <v>1.9699999999999999E-2</v>
      </c>
      <c r="I10" s="11"/>
    </row>
    <row r="11" spans="1:9" ht="12.95" customHeight="1">
      <c r="A11" s="7" t="s">
        <v>26</v>
      </c>
      <c r="B11" s="49" t="s">
        <v>27</v>
      </c>
      <c r="C11" s="49"/>
      <c r="D11" s="5" t="s">
        <v>28</v>
      </c>
      <c r="E11" s="5" t="s">
        <v>29</v>
      </c>
      <c r="F11" s="8">
        <v>8305</v>
      </c>
      <c r="G11" s="9">
        <v>601.72</v>
      </c>
      <c r="H11" s="10">
        <v>1.5299999999999999E-2</v>
      </c>
      <c r="I11" s="11"/>
    </row>
    <row r="12" spans="1:9" ht="12.95" customHeight="1">
      <c r="A12" s="7" t="s">
        <v>30</v>
      </c>
      <c r="B12" s="49" t="s">
        <v>31</v>
      </c>
      <c r="C12" s="49"/>
      <c r="D12" s="5" t="s">
        <v>32</v>
      </c>
      <c r="E12" s="5" t="s">
        <v>33</v>
      </c>
      <c r="F12" s="8">
        <v>15596</v>
      </c>
      <c r="G12" s="9">
        <v>408.98</v>
      </c>
      <c r="H12" s="10">
        <v>1.04E-2</v>
      </c>
      <c r="I12" s="11"/>
    </row>
    <row r="13" spans="1:9" ht="12.95" customHeight="1">
      <c r="A13" s="7" t="s">
        <v>34</v>
      </c>
      <c r="B13" s="49" t="s">
        <v>35</v>
      </c>
      <c r="C13" s="49"/>
      <c r="D13" s="5" t="s">
        <v>36</v>
      </c>
      <c r="E13" s="5" t="s">
        <v>37</v>
      </c>
      <c r="F13" s="8">
        <v>136908</v>
      </c>
      <c r="G13" s="9">
        <v>366.98</v>
      </c>
      <c r="H13" s="10">
        <v>9.2999999999999992E-3</v>
      </c>
      <c r="I13" s="11"/>
    </row>
    <row r="14" spans="1:9" ht="12.95" customHeight="1">
      <c r="A14" s="7" t="s">
        <v>38</v>
      </c>
      <c r="B14" s="49" t="s">
        <v>39</v>
      </c>
      <c r="C14" s="49"/>
      <c r="D14" s="5" t="s">
        <v>40</v>
      </c>
      <c r="E14" s="5" t="s">
        <v>41</v>
      </c>
      <c r="F14" s="8">
        <v>8665</v>
      </c>
      <c r="G14" s="9">
        <v>329.43</v>
      </c>
      <c r="H14" s="10">
        <v>8.3999999999999995E-3</v>
      </c>
      <c r="I14" s="11"/>
    </row>
    <row r="15" spans="1:9" ht="12.95" customHeight="1">
      <c r="A15" s="7" t="s">
        <v>42</v>
      </c>
      <c r="B15" s="49" t="s">
        <v>43</v>
      </c>
      <c r="C15" s="49"/>
      <c r="D15" s="5" t="s">
        <v>44</v>
      </c>
      <c r="E15" s="5" t="s">
        <v>45</v>
      </c>
      <c r="F15" s="8">
        <v>7984</v>
      </c>
      <c r="G15" s="9">
        <v>300.51</v>
      </c>
      <c r="H15" s="10">
        <v>7.6E-3</v>
      </c>
      <c r="I15" s="11"/>
    </row>
    <row r="16" spans="1:9" ht="12.95" customHeight="1">
      <c r="A16" s="7" t="s">
        <v>46</v>
      </c>
      <c r="B16" s="49" t="s">
        <v>47</v>
      </c>
      <c r="C16" s="49"/>
      <c r="D16" s="5" t="s">
        <v>48</v>
      </c>
      <c r="E16" s="5" t="s">
        <v>49</v>
      </c>
      <c r="F16" s="8">
        <v>7613</v>
      </c>
      <c r="G16" s="9">
        <v>295.10000000000002</v>
      </c>
      <c r="H16" s="10">
        <v>7.4999999999999997E-3</v>
      </c>
      <c r="I16" s="11"/>
    </row>
    <row r="17" spans="1:9" ht="12.95" customHeight="1">
      <c r="A17" s="7" t="s">
        <v>50</v>
      </c>
      <c r="B17" s="49" t="s">
        <v>51</v>
      </c>
      <c r="C17" s="49"/>
      <c r="D17" s="5" t="s">
        <v>52</v>
      </c>
      <c r="E17" s="5" t="s">
        <v>53</v>
      </c>
      <c r="F17" s="8">
        <v>134833</v>
      </c>
      <c r="G17" s="9">
        <v>245.53</v>
      </c>
      <c r="H17" s="10">
        <v>6.1999999999999998E-3</v>
      </c>
      <c r="I17" s="11"/>
    </row>
    <row r="18" spans="1:9" ht="12.95" customHeight="1">
      <c r="A18" s="7" t="s">
        <v>54</v>
      </c>
      <c r="B18" s="49" t="s">
        <v>55</v>
      </c>
      <c r="C18" s="49"/>
      <c r="D18" s="5" t="s">
        <v>56</v>
      </c>
      <c r="E18" s="5" t="s">
        <v>57</v>
      </c>
      <c r="F18" s="8">
        <v>3431</v>
      </c>
      <c r="G18" s="9">
        <v>218.24</v>
      </c>
      <c r="H18" s="10">
        <v>5.4999999999999997E-3</v>
      </c>
      <c r="I18" s="11"/>
    </row>
    <row r="19" spans="1:9" ht="12.95" customHeight="1">
      <c r="A19" s="7" t="s">
        <v>58</v>
      </c>
      <c r="B19" s="49" t="s">
        <v>59</v>
      </c>
      <c r="C19" s="49"/>
      <c r="D19" s="5" t="s">
        <v>60</v>
      </c>
      <c r="E19" s="5" t="s">
        <v>61</v>
      </c>
      <c r="F19" s="8">
        <v>1701</v>
      </c>
      <c r="G19" s="9">
        <v>214.33</v>
      </c>
      <c r="H19" s="10">
        <v>5.4000000000000003E-3</v>
      </c>
      <c r="I19" s="11"/>
    </row>
    <row r="20" spans="1:9" ht="12.95" customHeight="1">
      <c r="A20" s="7" t="s">
        <v>62</v>
      </c>
      <c r="B20" s="49" t="s">
        <v>63</v>
      </c>
      <c r="C20" s="49"/>
      <c r="D20" s="5" t="s">
        <v>64</v>
      </c>
      <c r="E20" s="5" t="s">
        <v>65</v>
      </c>
      <c r="F20" s="8">
        <v>104219</v>
      </c>
      <c r="G20" s="9">
        <v>210</v>
      </c>
      <c r="H20" s="10">
        <v>5.3E-3</v>
      </c>
      <c r="I20" s="11"/>
    </row>
    <row r="21" spans="1:9" ht="12.95" customHeight="1">
      <c r="A21" s="7" t="s">
        <v>66</v>
      </c>
      <c r="B21" s="49" t="s">
        <v>67</v>
      </c>
      <c r="C21" s="49"/>
      <c r="D21" s="5" t="s">
        <v>68</v>
      </c>
      <c r="E21" s="5" t="s">
        <v>57</v>
      </c>
      <c r="F21" s="8">
        <v>38737</v>
      </c>
      <c r="G21" s="9">
        <v>209.53</v>
      </c>
      <c r="H21" s="10">
        <v>5.3E-3</v>
      </c>
      <c r="I21" s="11"/>
    </row>
    <row r="22" spans="1:9" ht="12.95" customHeight="1">
      <c r="A22" s="7" t="s">
        <v>69</v>
      </c>
      <c r="B22" s="49" t="s">
        <v>70</v>
      </c>
      <c r="C22" s="49"/>
      <c r="D22" s="5" t="s">
        <v>71</v>
      </c>
      <c r="E22" s="5" t="s">
        <v>72</v>
      </c>
      <c r="F22" s="8">
        <v>16220</v>
      </c>
      <c r="G22" s="9">
        <v>203.04</v>
      </c>
      <c r="H22" s="10">
        <v>5.1999999999999998E-3</v>
      </c>
      <c r="I22" s="11"/>
    </row>
    <row r="23" spans="1:9" ht="12.95" customHeight="1">
      <c r="A23" s="7" t="s">
        <v>73</v>
      </c>
      <c r="B23" s="49" t="s">
        <v>74</v>
      </c>
      <c r="C23" s="49"/>
      <c r="D23" s="5" t="s">
        <v>75</v>
      </c>
      <c r="E23" s="5" t="s">
        <v>76</v>
      </c>
      <c r="F23" s="8">
        <v>31472</v>
      </c>
      <c r="G23" s="9">
        <v>192.72</v>
      </c>
      <c r="H23" s="10">
        <v>4.8999999999999998E-3</v>
      </c>
      <c r="I23" s="11"/>
    </row>
    <row r="24" spans="1:9" ht="12.95" customHeight="1">
      <c r="A24" s="7" t="s">
        <v>77</v>
      </c>
      <c r="B24" s="49" t="s">
        <v>78</v>
      </c>
      <c r="C24" s="49"/>
      <c r="D24" s="5" t="s">
        <v>79</v>
      </c>
      <c r="E24" s="5" t="s">
        <v>80</v>
      </c>
      <c r="F24" s="8">
        <v>8400</v>
      </c>
      <c r="G24" s="9">
        <v>190.21</v>
      </c>
      <c r="H24" s="10">
        <v>4.7999999999999996E-3</v>
      </c>
      <c r="I24" s="11"/>
    </row>
    <row r="25" spans="1:9" ht="12.95" customHeight="1">
      <c r="A25" s="7" t="s">
        <v>81</v>
      </c>
      <c r="B25" s="49" t="s">
        <v>82</v>
      </c>
      <c r="C25" s="49"/>
      <c r="D25" s="5" t="s">
        <v>83</v>
      </c>
      <c r="E25" s="5" t="s">
        <v>53</v>
      </c>
      <c r="F25" s="8">
        <v>4783</v>
      </c>
      <c r="G25" s="9">
        <v>188.83</v>
      </c>
      <c r="H25" s="10">
        <v>4.7999999999999996E-3</v>
      </c>
      <c r="I25" s="11"/>
    </row>
    <row r="26" spans="1:9" ht="12.95" customHeight="1">
      <c r="A26" s="7" t="s">
        <v>84</v>
      </c>
      <c r="B26" s="49" t="s">
        <v>85</v>
      </c>
      <c r="C26" s="49"/>
      <c r="D26" s="5" t="s">
        <v>86</v>
      </c>
      <c r="E26" s="5" t="s">
        <v>61</v>
      </c>
      <c r="F26" s="8">
        <v>9397</v>
      </c>
      <c r="G26" s="9">
        <v>180.55</v>
      </c>
      <c r="H26" s="10">
        <v>4.5999999999999999E-3</v>
      </c>
      <c r="I26" s="11"/>
    </row>
    <row r="27" spans="1:9" ht="12.95" customHeight="1">
      <c r="A27" s="7" t="s">
        <v>87</v>
      </c>
      <c r="B27" s="49" t="s">
        <v>88</v>
      </c>
      <c r="C27" s="49"/>
      <c r="D27" s="5" t="s">
        <v>89</v>
      </c>
      <c r="E27" s="5" t="s">
        <v>29</v>
      </c>
      <c r="F27" s="8">
        <v>14509</v>
      </c>
      <c r="G27" s="9">
        <v>167.81</v>
      </c>
      <c r="H27" s="10">
        <v>4.3E-3</v>
      </c>
      <c r="I27" s="11"/>
    </row>
    <row r="28" spans="1:9" ht="12.95" customHeight="1">
      <c r="A28" s="7" t="s">
        <v>90</v>
      </c>
      <c r="B28" s="49" t="s">
        <v>91</v>
      </c>
      <c r="C28" s="49"/>
      <c r="D28" s="5" t="s">
        <v>92</v>
      </c>
      <c r="E28" s="5" t="s">
        <v>29</v>
      </c>
      <c r="F28" s="8">
        <v>32769</v>
      </c>
      <c r="G28" s="9">
        <v>147.79</v>
      </c>
      <c r="H28" s="10">
        <v>3.8E-3</v>
      </c>
      <c r="I28" s="11"/>
    </row>
    <row r="29" spans="1:9" ht="12.95" customHeight="1">
      <c r="A29" s="7" t="s">
        <v>93</v>
      </c>
      <c r="B29" s="49" t="s">
        <v>94</v>
      </c>
      <c r="C29" s="49"/>
      <c r="D29" s="5" t="s">
        <v>95</v>
      </c>
      <c r="E29" s="5" t="s">
        <v>96</v>
      </c>
      <c r="F29" s="8">
        <v>4128</v>
      </c>
      <c r="G29" s="9">
        <v>146.49</v>
      </c>
      <c r="H29" s="10">
        <v>3.7000000000000002E-3</v>
      </c>
      <c r="I29" s="11"/>
    </row>
    <row r="30" spans="1:9" ht="12.95" customHeight="1">
      <c r="A30" s="7" t="s">
        <v>97</v>
      </c>
      <c r="B30" s="49" t="s">
        <v>98</v>
      </c>
      <c r="C30" s="49"/>
      <c r="D30" s="5" t="s">
        <v>99</v>
      </c>
      <c r="E30" s="5" t="s">
        <v>19</v>
      </c>
      <c r="F30" s="8">
        <v>19458</v>
      </c>
      <c r="G30" s="9">
        <v>146.38999999999999</v>
      </c>
      <c r="H30" s="10">
        <v>3.7000000000000002E-3</v>
      </c>
      <c r="I30" s="11"/>
    </row>
    <row r="31" spans="1:9" ht="12.95" customHeight="1">
      <c r="A31" s="7" t="s">
        <v>100</v>
      </c>
      <c r="B31" s="49" t="s">
        <v>101</v>
      </c>
      <c r="C31" s="49"/>
      <c r="D31" s="5" t="s">
        <v>102</v>
      </c>
      <c r="E31" s="5" t="s">
        <v>103</v>
      </c>
      <c r="F31" s="8">
        <v>4741</v>
      </c>
      <c r="G31" s="9">
        <v>142.93</v>
      </c>
      <c r="H31" s="10">
        <v>3.5999999999999999E-3</v>
      </c>
      <c r="I31" s="11"/>
    </row>
    <row r="32" spans="1:9" ht="12.95" customHeight="1">
      <c r="A32" s="7" t="s">
        <v>104</v>
      </c>
      <c r="B32" s="49" t="s">
        <v>105</v>
      </c>
      <c r="C32" s="49"/>
      <c r="D32" s="5" t="s">
        <v>106</v>
      </c>
      <c r="E32" s="5" t="s">
        <v>107</v>
      </c>
      <c r="F32" s="8">
        <v>9420</v>
      </c>
      <c r="G32" s="9">
        <v>141.01</v>
      </c>
      <c r="H32" s="10">
        <v>3.5999999999999999E-3</v>
      </c>
      <c r="I32" s="11"/>
    </row>
    <row r="33" spans="1:9" ht="12.95" customHeight="1">
      <c r="A33" s="7" t="s">
        <v>108</v>
      </c>
      <c r="B33" s="49" t="s">
        <v>109</v>
      </c>
      <c r="C33" s="49"/>
      <c r="D33" s="5" t="s">
        <v>110</v>
      </c>
      <c r="E33" s="5" t="s">
        <v>49</v>
      </c>
      <c r="F33" s="8">
        <v>9157</v>
      </c>
      <c r="G33" s="9">
        <v>137.18</v>
      </c>
      <c r="H33" s="10">
        <v>3.5000000000000001E-3</v>
      </c>
      <c r="I33" s="11"/>
    </row>
    <row r="34" spans="1:9" ht="12.95" customHeight="1">
      <c r="A34" s="7" t="s">
        <v>111</v>
      </c>
      <c r="B34" s="49" t="s">
        <v>112</v>
      </c>
      <c r="C34" s="49"/>
      <c r="D34" s="5" t="s">
        <v>113</v>
      </c>
      <c r="E34" s="5" t="s">
        <v>114</v>
      </c>
      <c r="F34" s="8">
        <v>87039</v>
      </c>
      <c r="G34" s="9">
        <v>135.65</v>
      </c>
      <c r="H34" s="10">
        <v>3.3999999999999998E-3</v>
      </c>
      <c r="I34" s="11"/>
    </row>
    <row r="35" spans="1:9" ht="12.95" customHeight="1">
      <c r="A35" s="7" t="s">
        <v>115</v>
      </c>
      <c r="B35" s="49" t="s">
        <v>116</v>
      </c>
      <c r="C35" s="49"/>
      <c r="D35" s="5" t="s">
        <v>117</v>
      </c>
      <c r="E35" s="5" t="s">
        <v>118</v>
      </c>
      <c r="F35" s="8">
        <v>9598</v>
      </c>
      <c r="G35" s="9">
        <v>134.24</v>
      </c>
      <c r="H35" s="10">
        <v>3.3999999999999998E-3</v>
      </c>
      <c r="I35" s="11"/>
    </row>
    <row r="36" spans="1:9" ht="12.95" customHeight="1">
      <c r="A36" s="7" t="s">
        <v>119</v>
      </c>
      <c r="B36" s="49" t="s">
        <v>120</v>
      </c>
      <c r="C36" s="49"/>
      <c r="D36" s="5" t="s">
        <v>121</v>
      </c>
      <c r="E36" s="5" t="s">
        <v>122</v>
      </c>
      <c r="F36" s="8">
        <v>10717</v>
      </c>
      <c r="G36" s="9">
        <v>131.66999999999999</v>
      </c>
      <c r="H36" s="10">
        <v>3.3E-3</v>
      </c>
      <c r="I36" s="11"/>
    </row>
    <row r="37" spans="1:9" ht="12.95" customHeight="1">
      <c r="A37" s="7" t="s">
        <v>123</v>
      </c>
      <c r="B37" s="49" t="s">
        <v>124</v>
      </c>
      <c r="C37" s="49"/>
      <c r="D37" s="5" t="s">
        <v>125</v>
      </c>
      <c r="E37" s="5" t="s">
        <v>107</v>
      </c>
      <c r="F37" s="8">
        <v>4703</v>
      </c>
      <c r="G37" s="9">
        <v>122.31</v>
      </c>
      <c r="H37" s="10">
        <v>3.0999999999999999E-3</v>
      </c>
      <c r="I37" s="11"/>
    </row>
    <row r="38" spans="1:9" ht="12.95" customHeight="1">
      <c r="A38" s="7" t="s">
        <v>126</v>
      </c>
      <c r="B38" s="49" t="s">
        <v>127</v>
      </c>
      <c r="C38" s="49"/>
      <c r="D38" s="5" t="s">
        <v>128</v>
      </c>
      <c r="E38" s="5" t="s">
        <v>29</v>
      </c>
      <c r="F38" s="8">
        <v>31251</v>
      </c>
      <c r="G38" s="9">
        <v>121.96</v>
      </c>
      <c r="H38" s="10">
        <v>3.0999999999999999E-3</v>
      </c>
      <c r="I38" s="11"/>
    </row>
    <row r="39" spans="1:9" ht="12.95" customHeight="1">
      <c r="A39" s="7" t="s">
        <v>129</v>
      </c>
      <c r="B39" s="49" t="s">
        <v>130</v>
      </c>
      <c r="C39" s="49"/>
      <c r="D39" s="5" t="s">
        <v>131</v>
      </c>
      <c r="E39" s="5" t="s">
        <v>49</v>
      </c>
      <c r="F39" s="8">
        <v>2216</v>
      </c>
      <c r="G39" s="9">
        <v>121.93</v>
      </c>
      <c r="H39" s="10">
        <v>3.0999999999999999E-3</v>
      </c>
      <c r="I39" s="11"/>
    </row>
    <row r="40" spans="1:9" ht="12.95" customHeight="1">
      <c r="A40" s="7" t="s">
        <v>132</v>
      </c>
      <c r="B40" s="49" t="s">
        <v>133</v>
      </c>
      <c r="C40" s="49"/>
      <c r="D40" s="5" t="s">
        <v>134</v>
      </c>
      <c r="E40" s="5" t="s">
        <v>107</v>
      </c>
      <c r="F40" s="8">
        <v>6654</v>
      </c>
      <c r="G40" s="9">
        <v>107.83</v>
      </c>
      <c r="H40" s="10">
        <v>2.7000000000000001E-3</v>
      </c>
      <c r="I40" s="11"/>
    </row>
    <row r="41" spans="1:9" ht="12.95" customHeight="1">
      <c r="A41" s="7" t="s">
        <v>135</v>
      </c>
      <c r="B41" s="49" t="s">
        <v>136</v>
      </c>
      <c r="C41" s="49"/>
      <c r="D41" s="5" t="s">
        <v>137</v>
      </c>
      <c r="E41" s="5" t="s">
        <v>107</v>
      </c>
      <c r="F41" s="8">
        <v>4629</v>
      </c>
      <c r="G41" s="9">
        <v>106.5</v>
      </c>
      <c r="H41" s="10">
        <v>2.7000000000000001E-3</v>
      </c>
      <c r="I41" s="11"/>
    </row>
    <row r="42" spans="1:9" ht="12.95" customHeight="1">
      <c r="A42" s="7" t="s">
        <v>138</v>
      </c>
      <c r="B42" s="49" t="s">
        <v>139</v>
      </c>
      <c r="C42" s="49"/>
      <c r="D42" s="5" t="s">
        <v>140</v>
      </c>
      <c r="E42" s="5" t="s">
        <v>141</v>
      </c>
      <c r="F42" s="8">
        <v>14377</v>
      </c>
      <c r="G42" s="9">
        <v>104.61</v>
      </c>
      <c r="H42" s="10">
        <v>2.7000000000000001E-3</v>
      </c>
      <c r="I42" s="11"/>
    </row>
    <row r="43" spans="1:9" ht="12.95" customHeight="1">
      <c r="A43" s="7" t="s">
        <v>142</v>
      </c>
      <c r="B43" s="49" t="s">
        <v>143</v>
      </c>
      <c r="C43" s="49"/>
      <c r="D43" s="5" t="s">
        <v>144</v>
      </c>
      <c r="E43" s="5" t="s">
        <v>29</v>
      </c>
      <c r="F43" s="8">
        <v>6310</v>
      </c>
      <c r="G43" s="9">
        <v>103.73</v>
      </c>
      <c r="H43" s="10">
        <v>2.5999999999999999E-3</v>
      </c>
      <c r="I43" s="11"/>
    </row>
    <row r="44" spans="1:9" ht="12.95" customHeight="1">
      <c r="A44" s="7" t="s">
        <v>145</v>
      </c>
      <c r="B44" s="49" t="s">
        <v>146</v>
      </c>
      <c r="C44" s="49"/>
      <c r="D44" s="5" t="s">
        <v>147</v>
      </c>
      <c r="E44" s="5" t="s">
        <v>141</v>
      </c>
      <c r="F44" s="8">
        <v>3480</v>
      </c>
      <c r="G44" s="9">
        <v>101.46</v>
      </c>
      <c r="H44" s="10">
        <v>2.5999999999999999E-3</v>
      </c>
      <c r="I44" s="11"/>
    </row>
    <row r="45" spans="1:9" ht="12.95" customHeight="1">
      <c r="A45" s="7" t="s">
        <v>148</v>
      </c>
      <c r="B45" s="49" t="s">
        <v>149</v>
      </c>
      <c r="C45" s="49"/>
      <c r="D45" s="5" t="s">
        <v>150</v>
      </c>
      <c r="E45" s="5" t="s">
        <v>29</v>
      </c>
      <c r="F45" s="8">
        <v>3634</v>
      </c>
      <c r="G45" s="9">
        <v>85.76</v>
      </c>
      <c r="H45" s="10">
        <v>2.2000000000000001E-3</v>
      </c>
      <c r="I45" s="11"/>
    </row>
    <row r="46" spans="1:9" ht="12.95" customHeight="1">
      <c r="A46" s="7" t="s">
        <v>151</v>
      </c>
      <c r="B46" s="49" t="s">
        <v>152</v>
      </c>
      <c r="C46" s="49"/>
      <c r="D46" s="5" t="s">
        <v>153</v>
      </c>
      <c r="E46" s="5" t="s">
        <v>154</v>
      </c>
      <c r="F46" s="8">
        <v>12951</v>
      </c>
      <c r="G46" s="9">
        <v>82.03</v>
      </c>
      <c r="H46" s="10">
        <v>2.0999999999999999E-3</v>
      </c>
      <c r="I46" s="11"/>
    </row>
    <row r="47" spans="1:9" ht="12.95" customHeight="1">
      <c r="A47" s="7" t="s">
        <v>155</v>
      </c>
      <c r="B47" s="49" t="s">
        <v>156</v>
      </c>
      <c r="C47" s="49"/>
      <c r="D47" s="5" t="s">
        <v>157</v>
      </c>
      <c r="E47" s="5" t="s">
        <v>154</v>
      </c>
      <c r="F47" s="8">
        <v>15155</v>
      </c>
      <c r="G47" s="9">
        <v>76.63</v>
      </c>
      <c r="H47" s="10">
        <v>1.9E-3</v>
      </c>
      <c r="I47" s="11"/>
    </row>
    <row r="48" spans="1:9" ht="12.95" customHeight="1">
      <c r="A48" s="7" t="s">
        <v>158</v>
      </c>
      <c r="B48" s="49" t="s">
        <v>159</v>
      </c>
      <c r="C48" s="49"/>
      <c r="D48" s="5" t="s">
        <v>160</v>
      </c>
      <c r="E48" s="5" t="s">
        <v>161</v>
      </c>
      <c r="F48" s="8">
        <v>19576</v>
      </c>
      <c r="G48" s="9">
        <v>76.47</v>
      </c>
      <c r="H48" s="10">
        <v>1.9E-3</v>
      </c>
      <c r="I48" s="11"/>
    </row>
    <row r="49" spans="1:9" ht="12.95" customHeight="1">
      <c r="A49" s="7" t="s">
        <v>162</v>
      </c>
      <c r="B49" s="49" t="s">
        <v>163</v>
      </c>
      <c r="C49" s="49"/>
      <c r="D49" s="5" t="s">
        <v>164</v>
      </c>
      <c r="E49" s="5" t="s">
        <v>57</v>
      </c>
      <c r="F49" s="8">
        <v>1183</v>
      </c>
      <c r="G49" s="9">
        <v>75.900000000000006</v>
      </c>
      <c r="H49" s="10">
        <v>1.9E-3</v>
      </c>
      <c r="I49" s="11"/>
    </row>
    <row r="50" spans="1:9" ht="12.95" customHeight="1">
      <c r="A50" s="7" t="s">
        <v>165</v>
      </c>
      <c r="B50" s="49" t="s">
        <v>166</v>
      </c>
      <c r="C50" s="49"/>
      <c r="D50" s="5" t="s">
        <v>167</v>
      </c>
      <c r="E50" s="5" t="s">
        <v>49</v>
      </c>
      <c r="F50" s="8">
        <v>6767</v>
      </c>
      <c r="G50" s="9">
        <v>74.22</v>
      </c>
      <c r="H50" s="10">
        <v>1.9E-3</v>
      </c>
      <c r="I50" s="11"/>
    </row>
    <row r="51" spans="1:9" ht="12.95" customHeight="1">
      <c r="A51" s="7" t="s">
        <v>168</v>
      </c>
      <c r="B51" s="49" t="s">
        <v>169</v>
      </c>
      <c r="C51" s="49"/>
      <c r="D51" s="5" t="s">
        <v>170</v>
      </c>
      <c r="E51" s="5" t="s">
        <v>154</v>
      </c>
      <c r="F51" s="8">
        <v>7182</v>
      </c>
      <c r="G51" s="9">
        <v>71.98</v>
      </c>
      <c r="H51" s="10">
        <v>1.8E-3</v>
      </c>
      <c r="I51" s="11"/>
    </row>
    <row r="52" spans="1:9" ht="12.95" customHeight="1">
      <c r="A52" s="7" t="s">
        <v>171</v>
      </c>
      <c r="B52" s="49" t="s">
        <v>172</v>
      </c>
      <c r="C52" s="49"/>
      <c r="D52" s="5" t="s">
        <v>173</v>
      </c>
      <c r="E52" s="5" t="s">
        <v>19</v>
      </c>
      <c r="F52" s="8">
        <v>6483</v>
      </c>
      <c r="G52" s="9">
        <v>67.89</v>
      </c>
      <c r="H52" s="10">
        <v>1.6999999999999999E-3</v>
      </c>
      <c r="I52" s="11"/>
    </row>
    <row r="53" spans="1:9" ht="12.95" customHeight="1">
      <c r="A53" s="7" t="s">
        <v>174</v>
      </c>
      <c r="B53" s="49" t="s">
        <v>175</v>
      </c>
      <c r="C53" s="49"/>
      <c r="D53" s="5" t="s">
        <v>176</v>
      </c>
      <c r="E53" s="5" t="s">
        <v>53</v>
      </c>
      <c r="F53" s="8">
        <v>1199</v>
      </c>
      <c r="G53" s="9">
        <v>67.05</v>
      </c>
      <c r="H53" s="10">
        <v>1.6999999999999999E-3</v>
      </c>
      <c r="I53" s="11"/>
    </row>
    <row r="54" spans="1:9" ht="12.95" customHeight="1">
      <c r="A54" s="7" t="s">
        <v>177</v>
      </c>
      <c r="B54" s="49" t="s">
        <v>178</v>
      </c>
      <c r="C54" s="49"/>
      <c r="D54" s="5" t="s">
        <v>179</v>
      </c>
      <c r="E54" s="5" t="s">
        <v>49</v>
      </c>
      <c r="F54" s="8">
        <v>754</v>
      </c>
      <c r="G54" s="9">
        <v>66.16</v>
      </c>
      <c r="H54" s="10">
        <v>1.6999999999999999E-3</v>
      </c>
      <c r="I54" s="11"/>
    </row>
    <row r="55" spans="1:9" ht="12.95" customHeight="1">
      <c r="A55" s="7" t="s">
        <v>180</v>
      </c>
      <c r="B55" s="49" t="s">
        <v>181</v>
      </c>
      <c r="C55" s="49"/>
      <c r="D55" s="5" t="s">
        <v>182</v>
      </c>
      <c r="E55" s="5" t="s">
        <v>183</v>
      </c>
      <c r="F55" s="8">
        <v>19401</v>
      </c>
      <c r="G55" s="9">
        <v>65.150000000000006</v>
      </c>
      <c r="H55" s="10">
        <v>1.6999999999999999E-3</v>
      </c>
      <c r="I55" s="11"/>
    </row>
    <row r="56" spans="1:9" ht="12.95" customHeight="1">
      <c r="A56" s="7" t="s">
        <v>184</v>
      </c>
      <c r="B56" s="49" t="s">
        <v>185</v>
      </c>
      <c r="C56" s="49"/>
      <c r="D56" s="5" t="s">
        <v>186</v>
      </c>
      <c r="E56" s="5" t="s">
        <v>154</v>
      </c>
      <c r="F56" s="8">
        <v>10694</v>
      </c>
      <c r="G56" s="9">
        <v>65.09</v>
      </c>
      <c r="H56" s="10">
        <v>1.6999999999999999E-3</v>
      </c>
      <c r="I56" s="11"/>
    </row>
    <row r="57" spans="1:9" ht="12.95" customHeight="1">
      <c r="A57" s="7" t="s">
        <v>187</v>
      </c>
      <c r="B57" s="49" t="s">
        <v>188</v>
      </c>
      <c r="C57" s="49"/>
      <c r="D57" s="5" t="s">
        <v>189</v>
      </c>
      <c r="E57" s="5" t="s">
        <v>190</v>
      </c>
      <c r="F57" s="8">
        <v>19440</v>
      </c>
      <c r="G57" s="9">
        <v>60.8</v>
      </c>
      <c r="H57" s="10">
        <v>1.5E-3</v>
      </c>
      <c r="I57" s="11"/>
    </row>
    <row r="58" spans="1:9" ht="12.95" customHeight="1">
      <c r="A58" s="7" t="s">
        <v>191</v>
      </c>
      <c r="B58" s="49" t="s">
        <v>192</v>
      </c>
      <c r="C58" s="49"/>
      <c r="D58" s="5" t="s">
        <v>193</v>
      </c>
      <c r="E58" s="5" t="s">
        <v>194</v>
      </c>
      <c r="F58" s="8">
        <v>4168</v>
      </c>
      <c r="G58" s="9">
        <v>60.38</v>
      </c>
      <c r="H58" s="10">
        <v>1.5E-3</v>
      </c>
      <c r="I58" s="11"/>
    </row>
    <row r="59" spans="1:9" ht="12.95" customHeight="1">
      <c r="A59" s="7" t="s">
        <v>195</v>
      </c>
      <c r="B59" s="49" t="s">
        <v>196</v>
      </c>
      <c r="C59" s="49"/>
      <c r="D59" s="5" t="s">
        <v>197</v>
      </c>
      <c r="E59" s="5" t="s">
        <v>107</v>
      </c>
      <c r="F59" s="8">
        <v>943</v>
      </c>
      <c r="G59" s="9">
        <v>59.62</v>
      </c>
      <c r="H59" s="10">
        <v>1.5E-3</v>
      </c>
      <c r="I59" s="11"/>
    </row>
    <row r="60" spans="1:9" ht="12.95" customHeight="1">
      <c r="A60" s="7" t="s">
        <v>198</v>
      </c>
      <c r="B60" s="49" t="s">
        <v>199</v>
      </c>
      <c r="C60" s="49"/>
      <c r="D60" s="5" t="s">
        <v>200</v>
      </c>
      <c r="E60" s="5" t="s">
        <v>49</v>
      </c>
      <c r="F60" s="8">
        <v>4988</v>
      </c>
      <c r="G60" s="9">
        <v>59.1</v>
      </c>
      <c r="H60" s="10">
        <v>1.5E-3</v>
      </c>
      <c r="I60" s="11"/>
    </row>
    <row r="61" spans="1:9" ht="12.95" customHeight="1">
      <c r="A61" s="7" t="s">
        <v>201</v>
      </c>
      <c r="B61" s="49" t="s">
        <v>202</v>
      </c>
      <c r="C61" s="49"/>
      <c r="D61" s="5" t="s">
        <v>203</v>
      </c>
      <c r="E61" s="5" t="s">
        <v>204</v>
      </c>
      <c r="F61" s="8">
        <v>13220</v>
      </c>
      <c r="G61" s="9">
        <v>58.52</v>
      </c>
      <c r="H61" s="10">
        <v>1.5E-3</v>
      </c>
      <c r="I61" s="11"/>
    </row>
    <row r="62" spans="1:9" ht="12.95" customHeight="1">
      <c r="A62" s="7" t="s">
        <v>205</v>
      </c>
      <c r="B62" s="49" t="s">
        <v>206</v>
      </c>
      <c r="C62" s="49"/>
      <c r="D62" s="5" t="s">
        <v>207</v>
      </c>
      <c r="E62" s="5" t="s">
        <v>49</v>
      </c>
      <c r="F62" s="8">
        <v>7155</v>
      </c>
      <c r="G62" s="9">
        <v>56.9</v>
      </c>
      <c r="H62" s="10">
        <v>1.4E-3</v>
      </c>
      <c r="I62" s="11"/>
    </row>
    <row r="63" spans="1:9" ht="12.95" customHeight="1">
      <c r="A63" s="7" t="s">
        <v>208</v>
      </c>
      <c r="B63" s="49" t="s">
        <v>209</v>
      </c>
      <c r="C63" s="49"/>
      <c r="D63" s="5" t="s">
        <v>210</v>
      </c>
      <c r="E63" s="5" t="s">
        <v>211</v>
      </c>
      <c r="F63" s="8">
        <v>12752</v>
      </c>
      <c r="G63" s="9">
        <v>56.1</v>
      </c>
      <c r="H63" s="10">
        <v>1.4E-3</v>
      </c>
      <c r="I63" s="11"/>
    </row>
    <row r="64" spans="1:9" ht="12.95" customHeight="1">
      <c r="A64" s="7" t="s">
        <v>212</v>
      </c>
      <c r="B64" s="49" t="s">
        <v>213</v>
      </c>
      <c r="C64" s="49"/>
      <c r="D64" s="5" t="s">
        <v>214</v>
      </c>
      <c r="E64" s="5" t="s">
        <v>215</v>
      </c>
      <c r="F64" s="8">
        <v>9739</v>
      </c>
      <c r="G64" s="9">
        <v>54.56</v>
      </c>
      <c r="H64" s="10">
        <v>1.4E-3</v>
      </c>
      <c r="I64" s="11"/>
    </row>
    <row r="65" spans="1:9" ht="12.95" customHeight="1">
      <c r="A65" s="7" t="s">
        <v>216</v>
      </c>
      <c r="B65" s="49" t="s">
        <v>217</v>
      </c>
      <c r="C65" s="49"/>
      <c r="D65" s="5" t="s">
        <v>218</v>
      </c>
      <c r="E65" s="5" t="s">
        <v>219</v>
      </c>
      <c r="F65" s="8">
        <v>1276</v>
      </c>
      <c r="G65" s="9">
        <v>49.2</v>
      </c>
      <c r="H65" s="10">
        <v>1.2999999999999999E-3</v>
      </c>
      <c r="I65" s="11"/>
    </row>
    <row r="66" spans="1:9" ht="12.95" customHeight="1">
      <c r="A66" s="7" t="s">
        <v>220</v>
      </c>
      <c r="B66" s="49" t="s">
        <v>221</v>
      </c>
      <c r="C66" s="49"/>
      <c r="D66" s="5" t="s">
        <v>222</v>
      </c>
      <c r="E66" s="5" t="s">
        <v>223</v>
      </c>
      <c r="F66" s="8">
        <v>3033</v>
      </c>
      <c r="G66" s="9">
        <v>48.2</v>
      </c>
      <c r="H66" s="10">
        <v>1.1999999999999999E-3</v>
      </c>
      <c r="I66" s="11"/>
    </row>
    <row r="67" spans="1:9" ht="12.95" customHeight="1">
      <c r="A67" s="7" t="s">
        <v>224</v>
      </c>
      <c r="B67" s="49" t="s">
        <v>225</v>
      </c>
      <c r="C67" s="49"/>
      <c r="D67" s="5" t="s">
        <v>226</v>
      </c>
      <c r="E67" s="5" t="s">
        <v>227</v>
      </c>
      <c r="F67" s="8">
        <v>2223</v>
      </c>
      <c r="G67" s="9">
        <v>45.78</v>
      </c>
      <c r="H67" s="10">
        <v>1.1999999999999999E-3</v>
      </c>
      <c r="I67" s="11"/>
    </row>
    <row r="68" spans="1:9" ht="12.95" customHeight="1">
      <c r="A68" s="7" t="s">
        <v>228</v>
      </c>
      <c r="B68" s="49" t="s">
        <v>229</v>
      </c>
      <c r="C68" s="49"/>
      <c r="D68" s="5" t="s">
        <v>230</v>
      </c>
      <c r="E68" s="5" t="s">
        <v>15</v>
      </c>
      <c r="F68" s="8">
        <v>9604</v>
      </c>
      <c r="G68" s="9">
        <v>45.68</v>
      </c>
      <c r="H68" s="10">
        <v>1.1999999999999999E-3</v>
      </c>
      <c r="I68" s="11"/>
    </row>
    <row r="69" spans="1:9" ht="12.95" customHeight="1">
      <c r="A69" s="7" t="s">
        <v>231</v>
      </c>
      <c r="B69" s="49" t="s">
        <v>232</v>
      </c>
      <c r="C69" s="49"/>
      <c r="D69" s="5" t="s">
        <v>233</v>
      </c>
      <c r="E69" s="5" t="s">
        <v>41</v>
      </c>
      <c r="F69" s="8">
        <v>2572</v>
      </c>
      <c r="G69" s="9">
        <v>44.39</v>
      </c>
      <c r="H69" s="10">
        <v>1.1000000000000001E-3</v>
      </c>
      <c r="I69" s="11"/>
    </row>
    <row r="70" spans="1:9" ht="12.95" customHeight="1">
      <c r="A70" s="7" t="s">
        <v>234</v>
      </c>
      <c r="B70" s="49" t="s">
        <v>235</v>
      </c>
      <c r="C70" s="49"/>
      <c r="D70" s="5" t="s">
        <v>236</v>
      </c>
      <c r="E70" s="5" t="s">
        <v>107</v>
      </c>
      <c r="F70" s="8">
        <v>1987</v>
      </c>
      <c r="G70" s="9">
        <v>44.33</v>
      </c>
      <c r="H70" s="10">
        <v>1.1000000000000001E-3</v>
      </c>
      <c r="I70" s="11"/>
    </row>
    <row r="71" spans="1:9" ht="12.95" customHeight="1">
      <c r="A71" s="7" t="s">
        <v>237</v>
      </c>
      <c r="B71" s="49" t="s">
        <v>238</v>
      </c>
      <c r="C71" s="49"/>
      <c r="D71" s="5" t="s">
        <v>239</v>
      </c>
      <c r="E71" s="5" t="s">
        <v>53</v>
      </c>
      <c r="F71" s="8">
        <v>9244</v>
      </c>
      <c r="G71" s="9">
        <v>41.89</v>
      </c>
      <c r="H71" s="10">
        <v>1.1000000000000001E-3</v>
      </c>
      <c r="I71" s="11"/>
    </row>
    <row r="72" spans="1:9" ht="12.95" customHeight="1">
      <c r="A72" s="7" t="s">
        <v>240</v>
      </c>
      <c r="B72" s="49" t="s">
        <v>241</v>
      </c>
      <c r="C72" s="49"/>
      <c r="D72" s="5" t="s">
        <v>242</v>
      </c>
      <c r="E72" s="5" t="s">
        <v>194</v>
      </c>
      <c r="F72" s="8">
        <v>1492</v>
      </c>
      <c r="G72" s="9">
        <v>41.52</v>
      </c>
      <c r="H72" s="10">
        <v>1.1000000000000001E-3</v>
      </c>
      <c r="I72" s="11"/>
    </row>
    <row r="73" spans="1:9" ht="12.95" customHeight="1">
      <c r="A73" s="7" t="s">
        <v>243</v>
      </c>
      <c r="B73" s="49" t="s">
        <v>244</v>
      </c>
      <c r="C73" s="49"/>
      <c r="D73" s="5" t="s">
        <v>245</v>
      </c>
      <c r="E73" s="5" t="s">
        <v>227</v>
      </c>
      <c r="F73" s="8">
        <v>3139</v>
      </c>
      <c r="G73" s="9">
        <v>40.729999999999997</v>
      </c>
      <c r="H73" s="10">
        <v>1E-3</v>
      </c>
      <c r="I73" s="11"/>
    </row>
    <row r="74" spans="1:9" ht="12.95" customHeight="1">
      <c r="A74" s="7" t="s">
        <v>246</v>
      </c>
      <c r="B74" s="49" t="s">
        <v>247</v>
      </c>
      <c r="C74" s="49"/>
      <c r="D74" s="5" t="s">
        <v>248</v>
      </c>
      <c r="E74" s="5" t="s">
        <v>49</v>
      </c>
      <c r="F74" s="8">
        <v>5618</v>
      </c>
      <c r="G74" s="9">
        <v>40.58</v>
      </c>
      <c r="H74" s="10">
        <v>1E-3</v>
      </c>
      <c r="I74" s="11"/>
    </row>
    <row r="75" spans="1:9" ht="12.95" customHeight="1">
      <c r="A75" s="7" t="s">
        <v>249</v>
      </c>
      <c r="B75" s="49" t="s">
        <v>250</v>
      </c>
      <c r="C75" s="49"/>
      <c r="D75" s="5" t="s">
        <v>251</v>
      </c>
      <c r="E75" s="5" t="s">
        <v>107</v>
      </c>
      <c r="F75" s="8">
        <v>8878</v>
      </c>
      <c r="G75" s="9">
        <v>39.909999999999997</v>
      </c>
      <c r="H75" s="10">
        <v>1E-3</v>
      </c>
      <c r="I75" s="11"/>
    </row>
    <row r="76" spans="1:9" ht="12.95" customHeight="1">
      <c r="A76" s="7" t="s">
        <v>252</v>
      </c>
      <c r="B76" s="49" t="s">
        <v>253</v>
      </c>
      <c r="C76" s="49"/>
      <c r="D76" s="5" t="s">
        <v>254</v>
      </c>
      <c r="E76" s="5" t="s">
        <v>107</v>
      </c>
      <c r="F76" s="8">
        <v>146</v>
      </c>
      <c r="G76" s="9">
        <v>39.6</v>
      </c>
      <c r="H76" s="10">
        <v>1E-3</v>
      </c>
      <c r="I76" s="11"/>
    </row>
    <row r="77" spans="1:9" ht="12.95" customHeight="1">
      <c r="A77" s="7" t="s">
        <v>255</v>
      </c>
      <c r="B77" s="49" t="s">
        <v>256</v>
      </c>
      <c r="C77" s="49"/>
      <c r="D77" s="5" t="s">
        <v>257</v>
      </c>
      <c r="E77" s="5" t="s">
        <v>19</v>
      </c>
      <c r="F77" s="8">
        <v>29370</v>
      </c>
      <c r="G77" s="9">
        <v>39.409999999999997</v>
      </c>
      <c r="H77" s="10">
        <v>1E-3</v>
      </c>
      <c r="I77" s="11"/>
    </row>
    <row r="78" spans="1:9" ht="12.95" customHeight="1">
      <c r="A78" s="7" t="s">
        <v>258</v>
      </c>
      <c r="B78" s="49" t="s">
        <v>259</v>
      </c>
      <c r="C78" s="49"/>
      <c r="D78" s="5" t="s">
        <v>260</v>
      </c>
      <c r="E78" s="5" t="s">
        <v>219</v>
      </c>
      <c r="F78" s="8">
        <v>972</v>
      </c>
      <c r="G78" s="9">
        <v>38.06</v>
      </c>
      <c r="H78" s="10">
        <v>1E-3</v>
      </c>
      <c r="I78" s="11"/>
    </row>
    <row r="79" spans="1:9" ht="12.95" customHeight="1">
      <c r="A79" s="7" t="s">
        <v>261</v>
      </c>
      <c r="B79" s="49" t="s">
        <v>262</v>
      </c>
      <c r="C79" s="49"/>
      <c r="D79" s="5" t="s">
        <v>263</v>
      </c>
      <c r="E79" s="5" t="s">
        <v>53</v>
      </c>
      <c r="F79" s="8">
        <v>19809</v>
      </c>
      <c r="G79" s="9">
        <v>37.94</v>
      </c>
      <c r="H79" s="10">
        <v>1E-3</v>
      </c>
      <c r="I79" s="11"/>
    </row>
    <row r="80" spans="1:9" ht="12.95" customHeight="1">
      <c r="A80" s="7" t="s">
        <v>264</v>
      </c>
      <c r="B80" s="49" t="s">
        <v>265</v>
      </c>
      <c r="C80" s="49"/>
      <c r="D80" s="5" t="s">
        <v>266</v>
      </c>
      <c r="E80" s="5" t="s">
        <v>19</v>
      </c>
      <c r="F80" s="8">
        <v>10619</v>
      </c>
      <c r="G80" s="9">
        <v>37.04</v>
      </c>
      <c r="H80" s="10">
        <v>8.9999999999999998E-4</v>
      </c>
      <c r="I80" s="11"/>
    </row>
    <row r="81" spans="1:9" ht="12.95" customHeight="1">
      <c r="A81" s="7" t="s">
        <v>267</v>
      </c>
      <c r="B81" s="49" t="s">
        <v>268</v>
      </c>
      <c r="C81" s="49"/>
      <c r="D81" s="5" t="s">
        <v>269</v>
      </c>
      <c r="E81" s="5" t="s">
        <v>219</v>
      </c>
      <c r="F81" s="8">
        <v>1112</v>
      </c>
      <c r="G81" s="9">
        <v>36.880000000000003</v>
      </c>
      <c r="H81" s="10">
        <v>8.9999999999999998E-4</v>
      </c>
      <c r="I81" s="11"/>
    </row>
    <row r="82" spans="1:9" ht="12.95" customHeight="1">
      <c r="A82" s="7" t="s">
        <v>270</v>
      </c>
      <c r="B82" s="49" t="s">
        <v>271</v>
      </c>
      <c r="C82" s="49"/>
      <c r="D82" s="5" t="s">
        <v>272</v>
      </c>
      <c r="E82" s="5" t="s">
        <v>227</v>
      </c>
      <c r="F82" s="8">
        <v>5528</v>
      </c>
      <c r="G82" s="9">
        <v>35.19</v>
      </c>
      <c r="H82" s="10">
        <v>8.9999999999999998E-4</v>
      </c>
      <c r="I82" s="11"/>
    </row>
    <row r="83" spans="1:9" ht="12.95" customHeight="1">
      <c r="A83" s="7" t="s">
        <v>273</v>
      </c>
      <c r="B83" s="49" t="s">
        <v>274</v>
      </c>
      <c r="C83" s="49"/>
      <c r="D83" s="5" t="s">
        <v>275</v>
      </c>
      <c r="E83" s="5" t="s">
        <v>219</v>
      </c>
      <c r="F83" s="8">
        <v>1744</v>
      </c>
      <c r="G83" s="9">
        <v>34.729999999999997</v>
      </c>
      <c r="H83" s="10">
        <v>8.9999999999999998E-4</v>
      </c>
      <c r="I83" s="11"/>
    </row>
    <row r="84" spans="1:9" ht="12.95" customHeight="1">
      <c r="A84" s="7" t="s">
        <v>276</v>
      </c>
      <c r="B84" s="49" t="s">
        <v>277</v>
      </c>
      <c r="C84" s="49"/>
      <c r="D84" s="5" t="s">
        <v>278</v>
      </c>
      <c r="E84" s="5" t="s">
        <v>279</v>
      </c>
      <c r="F84" s="8">
        <v>5026</v>
      </c>
      <c r="G84" s="9">
        <v>33.61</v>
      </c>
      <c r="H84" s="10">
        <v>8.9999999999999998E-4</v>
      </c>
      <c r="I84" s="11"/>
    </row>
    <row r="85" spans="1:9" ht="12.95" customHeight="1">
      <c r="A85" s="7" t="s">
        <v>280</v>
      </c>
      <c r="B85" s="49" t="s">
        <v>281</v>
      </c>
      <c r="C85" s="49"/>
      <c r="D85" s="5" t="s">
        <v>282</v>
      </c>
      <c r="E85" s="5" t="s">
        <v>29</v>
      </c>
      <c r="F85" s="8">
        <v>2198</v>
      </c>
      <c r="G85" s="9">
        <v>32.54</v>
      </c>
      <c r="H85" s="10">
        <v>8.0000000000000004E-4</v>
      </c>
      <c r="I85" s="11"/>
    </row>
    <row r="86" spans="1:9" ht="12.95" customHeight="1">
      <c r="A86" s="7" t="s">
        <v>283</v>
      </c>
      <c r="B86" s="49" t="s">
        <v>284</v>
      </c>
      <c r="C86" s="49"/>
      <c r="D86" s="5" t="s">
        <v>285</v>
      </c>
      <c r="E86" s="5" t="s">
        <v>141</v>
      </c>
      <c r="F86" s="8">
        <v>4029</v>
      </c>
      <c r="G86" s="9">
        <v>27.22</v>
      </c>
      <c r="H86" s="10">
        <v>6.9999999999999999E-4</v>
      </c>
      <c r="I86" s="11"/>
    </row>
    <row r="87" spans="1:9" ht="12.95" customHeight="1">
      <c r="A87" s="7" t="s">
        <v>286</v>
      </c>
      <c r="B87" s="49" t="s">
        <v>287</v>
      </c>
      <c r="C87" s="49"/>
      <c r="D87" s="5" t="s">
        <v>288</v>
      </c>
      <c r="E87" s="5" t="s">
        <v>219</v>
      </c>
      <c r="F87" s="8">
        <v>5055</v>
      </c>
      <c r="G87" s="9">
        <v>26.25</v>
      </c>
      <c r="H87" s="10">
        <v>6.9999999999999999E-4</v>
      </c>
      <c r="I87" s="11"/>
    </row>
    <row r="88" spans="1:9" ht="12.95" customHeight="1">
      <c r="A88" s="7" t="s">
        <v>289</v>
      </c>
      <c r="B88" s="49" t="s">
        <v>290</v>
      </c>
      <c r="C88" s="49"/>
      <c r="D88" s="5" t="s">
        <v>291</v>
      </c>
      <c r="E88" s="5" t="s">
        <v>61</v>
      </c>
      <c r="F88" s="8">
        <v>618</v>
      </c>
      <c r="G88" s="9">
        <v>24.84</v>
      </c>
      <c r="H88" s="10">
        <v>5.9999999999999995E-4</v>
      </c>
      <c r="I88" s="11"/>
    </row>
    <row r="89" spans="1:9" ht="12.95" customHeight="1">
      <c r="A89" s="7" t="s">
        <v>292</v>
      </c>
      <c r="B89" s="49" t="s">
        <v>293</v>
      </c>
      <c r="C89" s="49"/>
      <c r="D89" s="5" t="s">
        <v>294</v>
      </c>
      <c r="E89" s="5" t="s">
        <v>227</v>
      </c>
      <c r="F89" s="8">
        <v>1787</v>
      </c>
      <c r="G89" s="9">
        <v>23.61</v>
      </c>
      <c r="H89" s="10">
        <v>5.9999999999999995E-4</v>
      </c>
      <c r="I89" s="11"/>
    </row>
    <row r="90" spans="1:9" ht="12.95" customHeight="1">
      <c r="A90" s="7" t="s">
        <v>295</v>
      </c>
      <c r="B90" s="49" t="s">
        <v>296</v>
      </c>
      <c r="C90" s="49"/>
      <c r="D90" s="5" t="s">
        <v>297</v>
      </c>
      <c r="E90" s="5" t="s">
        <v>107</v>
      </c>
      <c r="F90" s="8">
        <v>1421</v>
      </c>
      <c r="G90" s="9">
        <v>23.45</v>
      </c>
      <c r="H90" s="10">
        <v>5.9999999999999995E-4</v>
      </c>
      <c r="I90" s="11"/>
    </row>
    <row r="91" spans="1:9" ht="12.95" customHeight="1">
      <c r="A91" s="7" t="s">
        <v>298</v>
      </c>
      <c r="B91" s="49" t="s">
        <v>299</v>
      </c>
      <c r="C91" s="49"/>
      <c r="D91" s="5" t="s">
        <v>300</v>
      </c>
      <c r="E91" s="5" t="s">
        <v>53</v>
      </c>
      <c r="F91" s="8">
        <v>826</v>
      </c>
      <c r="G91" s="9">
        <v>21.85</v>
      </c>
      <c r="H91" s="10">
        <v>5.9999999999999995E-4</v>
      </c>
      <c r="I91" s="11"/>
    </row>
    <row r="92" spans="1:9" ht="12.95" customHeight="1">
      <c r="A92" s="7" t="s">
        <v>301</v>
      </c>
      <c r="B92" s="49" t="s">
        <v>302</v>
      </c>
      <c r="C92" s="49"/>
      <c r="D92" s="5" t="s">
        <v>303</v>
      </c>
      <c r="E92" s="5" t="s">
        <v>49</v>
      </c>
      <c r="F92" s="8">
        <v>534</v>
      </c>
      <c r="G92" s="9">
        <v>21.28</v>
      </c>
      <c r="H92" s="10">
        <v>5.0000000000000001E-4</v>
      </c>
      <c r="I92" s="11"/>
    </row>
    <row r="93" spans="1:9" ht="12.95" customHeight="1">
      <c r="A93" s="7" t="s">
        <v>304</v>
      </c>
      <c r="B93" s="49" t="s">
        <v>305</v>
      </c>
      <c r="C93" s="49"/>
      <c r="D93" s="5" t="s">
        <v>306</v>
      </c>
      <c r="E93" s="5" t="s">
        <v>29</v>
      </c>
      <c r="F93" s="8">
        <v>2857</v>
      </c>
      <c r="G93" s="9">
        <v>20.55</v>
      </c>
      <c r="H93" s="10">
        <v>5.0000000000000001E-4</v>
      </c>
      <c r="I93" s="11"/>
    </row>
    <row r="94" spans="1:9" ht="12.95" customHeight="1">
      <c r="A94" s="7" t="s">
        <v>307</v>
      </c>
      <c r="B94" s="49" t="s">
        <v>308</v>
      </c>
      <c r="C94" s="49"/>
      <c r="D94" s="5" t="s">
        <v>309</v>
      </c>
      <c r="E94" s="5" t="s">
        <v>161</v>
      </c>
      <c r="F94" s="8">
        <v>26488</v>
      </c>
      <c r="G94" s="9">
        <v>20.170000000000002</v>
      </c>
      <c r="H94" s="10">
        <v>5.0000000000000001E-4</v>
      </c>
      <c r="I94" s="11"/>
    </row>
    <row r="95" spans="1:9" ht="12.95" customHeight="1">
      <c r="A95" s="7" t="s">
        <v>310</v>
      </c>
      <c r="B95" s="49" t="s">
        <v>311</v>
      </c>
      <c r="C95" s="49"/>
      <c r="D95" s="5" t="s">
        <v>312</v>
      </c>
      <c r="E95" s="5" t="s">
        <v>219</v>
      </c>
      <c r="F95" s="8">
        <v>992</v>
      </c>
      <c r="G95" s="9">
        <v>18.86</v>
      </c>
      <c r="H95" s="10">
        <v>5.0000000000000001E-4</v>
      </c>
      <c r="I95" s="11"/>
    </row>
    <row r="96" spans="1:9" ht="12.95" customHeight="1">
      <c r="A96" s="7" t="s">
        <v>313</v>
      </c>
      <c r="B96" s="49" t="s">
        <v>314</v>
      </c>
      <c r="C96" s="49"/>
      <c r="D96" s="5" t="s">
        <v>315</v>
      </c>
      <c r="E96" s="5" t="s">
        <v>316</v>
      </c>
      <c r="F96" s="8">
        <v>9456</v>
      </c>
      <c r="G96" s="9">
        <v>17.989999999999998</v>
      </c>
      <c r="H96" s="10">
        <v>5.0000000000000001E-4</v>
      </c>
      <c r="I96" s="11"/>
    </row>
    <row r="97" spans="1:9" ht="12.95" customHeight="1">
      <c r="A97" s="7" t="s">
        <v>317</v>
      </c>
      <c r="B97" s="49" t="s">
        <v>318</v>
      </c>
      <c r="C97" s="49"/>
      <c r="D97" s="5" t="s">
        <v>319</v>
      </c>
      <c r="E97" s="5" t="s">
        <v>183</v>
      </c>
      <c r="F97" s="8">
        <v>1118</v>
      </c>
      <c r="G97" s="9">
        <v>3.1</v>
      </c>
      <c r="H97" s="10">
        <v>1E-4</v>
      </c>
      <c r="I97" s="11"/>
    </row>
    <row r="98" spans="1:9" ht="12.95" customHeight="1">
      <c r="A98" s="1"/>
      <c r="B98" s="48" t="s">
        <v>320</v>
      </c>
      <c r="C98" s="48"/>
      <c r="D98" s="5"/>
      <c r="E98" s="5"/>
      <c r="F98" s="5"/>
      <c r="G98" s="12">
        <f>+SUM(G7:G97)</f>
        <v>13594.219999999998</v>
      </c>
      <c r="H98" s="13">
        <f>+SUM(H7:H97)</f>
        <v>0.3450999999999998</v>
      </c>
      <c r="I98" s="14"/>
    </row>
    <row r="99" spans="1:9" ht="12.95" customHeight="1">
      <c r="A99" s="1"/>
      <c r="B99" s="50" t="s">
        <v>321</v>
      </c>
      <c r="C99" s="50"/>
      <c r="D99" s="15"/>
      <c r="E99" s="15"/>
      <c r="F99" s="15"/>
      <c r="G99" s="14" t="s">
        <v>322</v>
      </c>
      <c r="H99" s="14" t="s">
        <v>322</v>
      </c>
      <c r="I99" s="14"/>
    </row>
    <row r="100" spans="1:9" ht="12.95" customHeight="1">
      <c r="A100" s="1"/>
      <c r="B100" s="50" t="s">
        <v>320</v>
      </c>
      <c r="C100" s="50"/>
      <c r="D100" s="15"/>
      <c r="E100" s="15"/>
      <c r="F100" s="15"/>
      <c r="G100" s="14" t="s">
        <v>322</v>
      </c>
      <c r="H100" s="14" t="s">
        <v>322</v>
      </c>
      <c r="I100" s="14"/>
    </row>
    <row r="101" spans="1:9" ht="12.95" customHeight="1">
      <c r="A101" s="1"/>
      <c r="B101" s="50" t="s">
        <v>323</v>
      </c>
      <c r="C101" s="50"/>
      <c r="D101" s="16"/>
      <c r="E101" s="15"/>
      <c r="F101" s="16"/>
      <c r="G101" s="12">
        <f>+G98</f>
        <v>13594.219999999998</v>
      </c>
      <c r="H101" s="13">
        <f>+H98</f>
        <v>0.3450999999999998</v>
      </c>
      <c r="I101" s="14"/>
    </row>
    <row r="102" spans="1:9" ht="12.95" customHeight="1">
      <c r="A102" s="1"/>
      <c r="B102" s="51" t="s">
        <v>324</v>
      </c>
      <c r="C102" s="51"/>
      <c r="D102" s="5"/>
      <c r="E102" s="5"/>
      <c r="F102" s="5"/>
      <c r="G102" s="17"/>
      <c r="H102" s="18"/>
      <c r="I102" s="19"/>
    </row>
    <row r="103" spans="1:9" ht="12.95" customHeight="1">
      <c r="A103" s="7" t="s">
        <v>325</v>
      </c>
      <c r="B103" s="49" t="s">
        <v>326</v>
      </c>
      <c r="C103" s="49"/>
      <c r="D103" s="5" t="s">
        <v>327</v>
      </c>
      <c r="E103" s="5" t="s">
        <v>194</v>
      </c>
      <c r="F103" s="8">
        <v>271962</v>
      </c>
      <c r="G103" s="9">
        <v>347.38</v>
      </c>
      <c r="H103" s="10">
        <v>8.8000000000000005E-3</v>
      </c>
      <c r="I103" s="11"/>
    </row>
    <row r="104" spans="1:9" ht="12.95" customHeight="1">
      <c r="A104" s="7" t="s">
        <v>328</v>
      </c>
      <c r="B104" s="49" t="s">
        <v>329</v>
      </c>
      <c r="C104" s="49"/>
      <c r="D104" s="5" t="s">
        <v>330</v>
      </c>
      <c r="E104" s="5" t="s">
        <v>194</v>
      </c>
      <c r="F104" s="8">
        <v>162060</v>
      </c>
      <c r="G104" s="9">
        <v>412.77</v>
      </c>
      <c r="H104" s="10">
        <v>1.0500000000000001E-2</v>
      </c>
      <c r="I104" s="11"/>
    </row>
    <row r="105" spans="1:9" ht="12.95" customHeight="1">
      <c r="A105" s="7" t="s">
        <v>331</v>
      </c>
      <c r="B105" s="49" t="s">
        <v>332</v>
      </c>
      <c r="C105" s="49"/>
      <c r="D105" s="5" t="s">
        <v>333</v>
      </c>
      <c r="E105" s="5" t="s">
        <v>194</v>
      </c>
      <c r="F105" s="8">
        <v>8374</v>
      </c>
      <c r="G105" s="9">
        <v>30.95</v>
      </c>
      <c r="H105" s="10">
        <v>8.0000000000000004E-4</v>
      </c>
      <c r="I105" s="11"/>
    </row>
    <row r="106" spans="1:9" ht="12.95" customHeight="1">
      <c r="A106" s="20"/>
      <c r="B106" s="52" t="s">
        <v>320</v>
      </c>
      <c r="C106" s="52"/>
      <c r="D106" s="21"/>
      <c r="E106" s="21"/>
      <c r="F106" s="21"/>
      <c r="G106" s="22">
        <f>+G103+G104+G105</f>
        <v>791.1</v>
      </c>
      <c r="H106" s="23">
        <f>+H103+H104+H105</f>
        <v>2.01E-2</v>
      </c>
      <c r="I106" s="24"/>
    </row>
    <row r="107" spans="1:9" ht="12.95" customHeight="1">
      <c r="A107" s="20"/>
      <c r="B107" s="53" t="s">
        <v>323</v>
      </c>
      <c r="C107" s="53"/>
      <c r="D107" s="25"/>
      <c r="E107" s="26"/>
      <c r="F107" s="26"/>
      <c r="G107" s="27">
        <f>+G98+G106</f>
        <v>14385.319999999998</v>
      </c>
      <c r="H107" s="28">
        <f>+H98+H106</f>
        <v>0.3651999999999998</v>
      </c>
      <c r="I107" s="29"/>
    </row>
    <row r="108" spans="1:9" ht="12.95" customHeight="1">
      <c r="A108" s="1"/>
      <c r="B108" s="48" t="s">
        <v>334</v>
      </c>
      <c r="C108" s="48"/>
      <c r="D108" s="5"/>
      <c r="E108" s="5"/>
      <c r="F108" s="5"/>
      <c r="G108" s="5"/>
      <c r="H108" s="5"/>
      <c r="I108" s="6"/>
    </row>
    <row r="109" spans="1:9" ht="12.95" customHeight="1">
      <c r="A109" s="1"/>
      <c r="B109" s="48" t="s">
        <v>11</v>
      </c>
      <c r="C109" s="48"/>
      <c r="D109" s="5"/>
      <c r="E109" s="5"/>
      <c r="F109" s="5"/>
      <c r="G109" s="1"/>
      <c r="H109" s="6"/>
      <c r="I109" s="6"/>
    </row>
    <row r="110" spans="1:9" ht="12.95" customHeight="1">
      <c r="A110" s="7" t="s">
        <v>335</v>
      </c>
      <c r="B110" s="49" t="s">
        <v>336</v>
      </c>
      <c r="C110" s="49"/>
      <c r="D110" s="5" t="s">
        <v>337</v>
      </c>
      <c r="E110" s="5" t="s">
        <v>338</v>
      </c>
      <c r="F110" s="8">
        <v>4832</v>
      </c>
      <c r="G110" s="9">
        <v>1935.8</v>
      </c>
      <c r="H110" s="10">
        <v>4.9200000000000001E-2</v>
      </c>
      <c r="I110" s="11"/>
    </row>
    <row r="111" spans="1:9" ht="12.95" customHeight="1">
      <c r="A111" s="1"/>
      <c r="B111" s="48" t="s">
        <v>320</v>
      </c>
      <c r="C111" s="48"/>
      <c r="D111" s="5"/>
      <c r="E111" s="5"/>
      <c r="F111" s="5"/>
      <c r="G111" s="12">
        <v>1935.8</v>
      </c>
      <c r="H111" s="13">
        <v>4.9200000000000001E-2</v>
      </c>
      <c r="I111" s="14"/>
    </row>
    <row r="112" spans="1:9" ht="12.95" customHeight="1">
      <c r="A112" s="1"/>
      <c r="B112" s="50" t="s">
        <v>321</v>
      </c>
      <c r="C112" s="50"/>
      <c r="D112" s="15"/>
      <c r="E112" s="15"/>
      <c r="F112" s="15"/>
      <c r="G112" s="14" t="s">
        <v>322</v>
      </c>
      <c r="H112" s="14" t="s">
        <v>322</v>
      </c>
      <c r="I112" s="14"/>
    </row>
    <row r="113" spans="1:9" ht="12.95" customHeight="1">
      <c r="A113" s="1"/>
      <c r="B113" s="50" t="s">
        <v>320</v>
      </c>
      <c r="C113" s="50"/>
      <c r="D113" s="15"/>
      <c r="E113" s="15"/>
      <c r="F113" s="15"/>
      <c r="G113" s="14" t="s">
        <v>322</v>
      </c>
      <c r="H113" s="14" t="s">
        <v>322</v>
      </c>
      <c r="I113" s="14"/>
    </row>
    <row r="114" spans="1:9" ht="12.95" customHeight="1">
      <c r="A114" s="1"/>
      <c r="B114" s="50" t="s">
        <v>323</v>
      </c>
      <c r="C114" s="50"/>
      <c r="D114" s="16"/>
      <c r="E114" s="15"/>
      <c r="F114" s="16"/>
      <c r="G114" s="12">
        <v>1935.8</v>
      </c>
      <c r="H114" s="13">
        <v>4.9200000000000001E-2</v>
      </c>
      <c r="I114" s="14"/>
    </row>
    <row r="115" spans="1:9" ht="12.95" customHeight="1">
      <c r="A115" s="1"/>
      <c r="B115" s="48" t="s">
        <v>339</v>
      </c>
      <c r="C115" s="48"/>
      <c r="D115" s="5"/>
      <c r="E115" s="5"/>
      <c r="F115" s="5"/>
      <c r="G115" s="5"/>
      <c r="H115" s="5"/>
      <c r="I115" s="6"/>
    </row>
    <row r="116" spans="1:9" ht="12.95" customHeight="1">
      <c r="A116" s="1"/>
      <c r="B116" s="48" t="s">
        <v>340</v>
      </c>
      <c r="C116" s="48"/>
      <c r="D116" s="5"/>
      <c r="E116" s="5"/>
      <c r="F116" s="5"/>
      <c r="G116" s="1"/>
      <c r="H116" s="6"/>
      <c r="I116" s="6"/>
    </row>
    <row r="117" spans="1:9" ht="12.95" customHeight="1">
      <c r="A117" s="7" t="s">
        <v>341</v>
      </c>
      <c r="B117" s="49" t="s">
        <v>342</v>
      </c>
      <c r="C117" s="49"/>
      <c r="D117" s="5" t="s">
        <v>343</v>
      </c>
      <c r="E117" s="5" t="s">
        <v>344</v>
      </c>
      <c r="F117" s="8">
        <v>3175000</v>
      </c>
      <c r="G117" s="9">
        <v>3202.12</v>
      </c>
      <c r="H117" s="10">
        <v>8.14E-2</v>
      </c>
      <c r="I117" s="30">
        <v>7.1763999999999994E-2</v>
      </c>
    </row>
    <row r="118" spans="1:9" ht="12.95" customHeight="1">
      <c r="A118" s="7" t="s">
        <v>345</v>
      </c>
      <c r="B118" s="49" t="s">
        <v>346</v>
      </c>
      <c r="C118" s="49"/>
      <c r="D118" s="5" t="s">
        <v>347</v>
      </c>
      <c r="E118" s="5" t="s">
        <v>344</v>
      </c>
      <c r="F118" s="8">
        <v>1925000</v>
      </c>
      <c r="G118" s="9">
        <v>1939.61</v>
      </c>
      <c r="H118" s="10">
        <v>4.9299999999999997E-2</v>
      </c>
      <c r="I118" s="30">
        <v>7.2149000000000005E-2</v>
      </c>
    </row>
    <row r="119" spans="1:9" ht="12.95" customHeight="1">
      <c r="A119" s="7" t="s">
        <v>348</v>
      </c>
      <c r="B119" s="49" t="s">
        <v>349</v>
      </c>
      <c r="C119" s="49"/>
      <c r="D119" s="5" t="s">
        <v>350</v>
      </c>
      <c r="E119" s="5" t="s">
        <v>351</v>
      </c>
      <c r="F119" s="8">
        <v>110</v>
      </c>
      <c r="G119" s="9">
        <v>1076.5</v>
      </c>
      <c r="H119" s="10">
        <v>2.7400000000000001E-2</v>
      </c>
      <c r="I119" s="30">
        <v>8.4750000000000006E-2</v>
      </c>
    </row>
    <row r="120" spans="1:9" ht="12.95" customHeight="1">
      <c r="A120" s="7" t="s">
        <v>352</v>
      </c>
      <c r="B120" s="49" t="s">
        <v>353</v>
      </c>
      <c r="C120" s="49"/>
      <c r="D120" s="5" t="s">
        <v>354</v>
      </c>
      <c r="E120" s="5" t="s">
        <v>355</v>
      </c>
      <c r="F120" s="8">
        <v>70</v>
      </c>
      <c r="G120" s="9">
        <v>694.45</v>
      </c>
      <c r="H120" s="10">
        <v>1.77E-2</v>
      </c>
      <c r="I120" s="30">
        <v>7.7549000000000007E-2</v>
      </c>
    </row>
    <row r="121" spans="1:9" ht="12.95" customHeight="1">
      <c r="A121" s="7" t="s">
        <v>356</v>
      </c>
      <c r="B121" s="49" t="s">
        <v>357</v>
      </c>
      <c r="C121" s="49"/>
      <c r="D121" s="5" t="s">
        <v>358</v>
      </c>
      <c r="E121" s="5" t="s">
        <v>355</v>
      </c>
      <c r="F121" s="8">
        <v>600</v>
      </c>
      <c r="G121" s="9">
        <v>596.13</v>
      </c>
      <c r="H121" s="10">
        <v>1.52E-2</v>
      </c>
      <c r="I121" s="30">
        <v>7.7100000000000002E-2</v>
      </c>
    </row>
    <row r="122" spans="1:9" ht="12.95" customHeight="1">
      <c r="A122" s="7" t="s">
        <v>359</v>
      </c>
      <c r="B122" s="49" t="s">
        <v>360</v>
      </c>
      <c r="C122" s="49"/>
      <c r="D122" s="5" t="s">
        <v>361</v>
      </c>
      <c r="E122" s="5" t="s">
        <v>362</v>
      </c>
      <c r="F122" s="8">
        <v>55</v>
      </c>
      <c r="G122" s="9">
        <v>548.6</v>
      </c>
      <c r="H122" s="10">
        <v>1.3899999999999999E-2</v>
      </c>
      <c r="I122" s="30">
        <v>8.1737000000000004E-2</v>
      </c>
    </row>
    <row r="123" spans="1:9" ht="12.95" customHeight="1">
      <c r="A123" s="7" t="s">
        <v>363</v>
      </c>
      <c r="B123" s="49" t="s">
        <v>364</v>
      </c>
      <c r="C123" s="49"/>
      <c r="D123" s="5" t="s">
        <v>365</v>
      </c>
      <c r="E123" s="5" t="s">
        <v>355</v>
      </c>
      <c r="F123" s="8">
        <v>50</v>
      </c>
      <c r="G123" s="9">
        <v>496.92</v>
      </c>
      <c r="H123" s="10">
        <v>1.26E-2</v>
      </c>
      <c r="I123" s="30">
        <v>7.7499999999999999E-2</v>
      </c>
    </row>
    <row r="124" spans="1:9" ht="12.95" customHeight="1">
      <c r="A124" s="7" t="s">
        <v>366</v>
      </c>
      <c r="B124" s="49" t="s">
        <v>367</v>
      </c>
      <c r="C124" s="49"/>
      <c r="D124" s="5" t="s">
        <v>368</v>
      </c>
      <c r="E124" s="5" t="s">
        <v>369</v>
      </c>
      <c r="F124" s="8">
        <v>50</v>
      </c>
      <c r="G124" s="9">
        <v>492.63</v>
      </c>
      <c r="H124" s="10">
        <v>1.2500000000000001E-2</v>
      </c>
      <c r="I124" s="30">
        <v>8.1799999999999998E-2</v>
      </c>
    </row>
    <row r="125" spans="1:9" ht="12.95" customHeight="1">
      <c r="A125" s="7" t="s">
        <v>370</v>
      </c>
      <c r="B125" s="49" t="s">
        <v>371</v>
      </c>
      <c r="C125" s="49"/>
      <c r="D125" s="5" t="s">
        <v>372</v>
      </c>
      <c r="E125" s="5" t="s">
        <v>351</v>
      </c>
      <c r="F125" s="8">
        <v>30</v>
      </c>
      <c r="G125" s="9">
        <v>298.69</v>
      </c>
      <c r="H125" s="10">
        <v>7.6E-3</v>
      </c>
      <c r="I125" s="30">
        <v>8.3225999999999994E-2</v>
      </c>
    </row>
    <row r="126" spans="1:9" ht="12.95" customHeight="1">
      <c r="A126" s="1"/>
      <c r="B126" s="48" t="s">
        <v>320</v>
      </c>
      <c r="C126" s="48"/>
      <c r="D126" s="5"/>
      <c r="E126" s="5"/>
      <c r="F126" s="5"/>
      <c r="G126" s="12">
        <v>9345.65</v>
      </c>
      <c r="H126" s="13">
        <v>0.23760000000000001</v>
      </c>
      <c r="I126" s="14"/>
    </row>
    <row r="127" spans="1:9" ht="12.95" customHeight="1">
      <c r="A127" s="1"/>
      <c r="B127" s="50" t="s">
        <v>373</v>
      </c>
      <c r="C127" s="50"/>
      <c r="D127" s="15"/>
      <c r="E127" s="15"/>
      <c r="F127" s="15"/>
      <c r="G127" s="14" t="s">
        <v>322</v>
      </c>
      <c r="H127" s="14" t="s">
        <v>322</v>
      </c>
      <c r="I127" s="14"/>
    </row>
    <row r="128" spans="1:9" ht="12.95" customHeight="1">
      <c r="A128" s="1"/>
      <c r="B128" s="50" t="s">
        <v>320</v>
      </c>
      <c r="C128" s="50"/>
      <c r="D128" s="15"/>
      <c r="E128" s="15"/>
      <c r="F128" s="15"/>
      <c r="G128" s="14" t="s">
        <v>322</v>
      </c>
      <c r="H128" s="14" t="s">
        <v>322</v>
      </c>
      <c r="I128" s="14"/>
    </row>
    <row r="129" spans="1:9" ht="12.95" customHeight="1">
      <c r="A129" s="1"/>
      <c r="B129" s="50" t="s">
        <v>323</v>
      </c>
      <c r="C129" s="50"/>
      <c r="D129" s="16"/>
      <c r="E129" s="15"/>
      <c r="F129" s="16"/>
      <c r="G129" s="12">
        <v>9345.65</v>
      </c>
      <c r="H129" s="13">
        <v>0.23760000000000001</v>
      </c>
      <c r="I129" s="14"/>
    </row>
    <row r="130" spans="1:9" ht="12.95" customHeight="1">
      <c r="A130" s="1"/>
      <c r="B130" s="48" t="s">
        <v>374</v>
      </c>
      <c r="C130" s="48"/>
      <c r="D130" s="5"/>
      <c r="E130" s="5"/>
      <c r="F130" s="5"/>
      <c r="G130" s="5"/>
      <c r="H130" s="5"/>
      <c r="I130" s="6"/>
    </row>
    <row r="131" spans="1:9" ht="12.95" customHeight="1">
      <c r="A131" s="1"/>
      <c r="B131" s="48" t="s">
        <v>375</v>
      </c>
      <c r="C131" s="48"/>
      <c r="D131" s="5"/>
      <c r="E131" s="5"/>
      <c r="F131" s="5"/>
      <c r="G131" s="1"/>
      <c r="H131" s="6"/>
      <c r="I131" s="6"/>
    </row>
    <row r="132" spans="1:9" ht="12.95" customHeight="1">
      <c r="A132" s="7" t="s">
        <v>376</v>
      </c>
      <c r="B132" s="49" t="s">
        <v>377</v>
      </c>
      <c r="C132" s="49"/>
      <c r="D132" s="5" t="s">
        <v>378</v>
      </c>
      <c r="E132" s="5" t="s">
        <v>379</v>
      </c>
      <c r="F132" s="8">
        <v>440</v>
      </c>
      <c r="G132" s="9">
        <v>2161.9899999999998</v>
      </c>
      <c r="H132" s="10">
        <v>5.5E-2</v>
      </c>
      <c r="I132" s="30">
        <v>7.5499499999999997E-2</v>
      </c>
    </row>
    <row r="133" spans="1:9" ht="12.95" customHeight="1">
      <c r="A133" s="1"/>
      <c r="B133" s="48" t="s">
        <v>320</v>
      </c>
      <c r="C133" s="48"/>
      <c r="D133" s="5"/>
      <c r="E133" s="5"/>
      <c r="F133" s="5"/>
      <c r="G133" s="12">
        <v>2161.9899999999998</v>
      </c>
      <c r="H133" s="13">
        <v>5.5E-2</v>
      </c>
      <c r="I133" s="14"/>
    </row>
    <row r="134" spans="1:9" ht="12.95" customHeight="1">
      <c r="A134" s="1"/>
      <c r="B134" s="48" t="s">
        <v>380</v>
      </c>
      <c r="C134" s="48"/>
      <c r="D134" s="5"/>
      <c r="E134" s="5"/>
      <c r="F134" s="5"/>
      <c r="G134" s="1"/>
      <c r="H134" s="6"/>
      <c r="I134" s="6"/>
    </row>
    <row r="135" spans="1:9" ht="12.95" customHeight="1">
      <c r="A135" s="7" t="s">
        <v>381</v>
      </c>
      <c r="B135" s="49" t="s">
        <v>382</v>
      </c>
      <c r="C135" s="49"/>
      <c r="D135" s="5" t="s">
        <v>383</v>
      </c>
      <c r="E135" s="5" t="s">
        <v>379</v>
      </c>
      <c r="F135" s="8">
        <v>180</v>
      </c>
      <c r="G135" s="9">
        <v>891.81</v>
      </c>
      <c r="H135" s="10">
        <v>2.2700000000000001E-2</v>
      </c>
      <c r="I135" s="30">
        <v>7.4499999999999997E-2</v>
      </c>
    </row>
    <row r="136" spans="1:9" ht="12.95" customHeight="1">
      <c r="A136" s="1"/>
      <c r="B136" s="48" t="s">
        <v>320</v>
      </c>
      <c r="C136" s="48"/>
      <c r="D136" s="5"/>
      <c r="E136" s="5"/>
      <c r="F136" s="5"/>
      <c r="G136" s="12">
        <v>891.81</v>
      </c>
      <c r="H136" s="13">
        <v>2.2700000000000001E-2</v>
      </c>
      <c r="I136" s="14"/>
    </row>
    <row r="137" spans="1:9" ht="12.95" customHeight="1">
      <c r="A137" s="1"/>
      <c r="B137" s="48" t="s">
        <v>384</v>
      </c>
      <c r="C137" s="48"/>
      <c r="D137" s="5"/>
      <c r="E137" s="5"/>
      <c r="F137" s="5"/>
      <c r="G137" s="1"/>
      <c r="H137" s="6"/>
      <c r="I137" s="6"/>
    </row>
    <row r="138" spans="1:9" ht="12.95" customHeight="1">
      <c r="A138" s="7" t="s">
        <v>385</v>
      </c>
      <c r="B138" s="49" t="s">
        <v>386</v>
      </c>
      <c r="C138" s="49"/>
      <c r="D138" s="5" t="s">
        <v>387</v>
      </c>
      <c r="E138" s="5" t="s">
        <v>344</v>
      </c>
      <c r="F138" s="8">
        <v>100000</v>
      </c>
      <c r="G138" s="9">
        <v>99.95</v>
      </c>
      <c r="H138" s="10">
        <v>2.5000000000000001E-3</v>
      </c>
      <c r="I138" s="30">
        <v>6.6500000000000004E-2</v>
      </c>
    </row>
    <row r="139" spans="1:9" ht="12.95" customHeight="1">
      <c r="A139" s="7" t="s">
        <v>388</v>
      </c>
      <c r="B139" s="49" t="s">
        <v>389</v>
      </c>
      <c r="C139" s="49"/>
      <c r="D139" s="5" t="s">
        <v>390</v>
      </c>
      <c r="E139" s="5" t="s">
        <v>344</v>
      </c>
      <c r="F139" s="8">
        <v>20000</v>
      </c>
      <c r="G139" s="9">
        <v>19.809999999999999</v>
      </c>
      <c r="H139" s="10">
        <v>5.0000000000000001E-4</v>
      </c>
      <c r="I139" s="30">
        <v>6.7250000000000004E-2</v>
      </c>
    </row>
    <row r="140" spans="1:9" ht="12.95" customHeight="1">
      <c r="A140" s="1"/>
      <c r="B140" s="48" t="s">
        <v>320</v>
      </c>
      <c r="C140" s="48"/>
      <c r="D140" s="5"/>
      <c r="E140" s="5"/>
      <c r="F140" s="5"/>
      <c r="G140" s="12">
        <v>119.76</v>
      </c>
      <c r="H140" s="13">
        <v>3.0000000000000001E-3</v>
      </c>
      <c r="I140" s="14"/>
    </row>
    <row r="141" spans="1:9" ht="12.95" customHeight="1">
      <c r="A141" s="1"/>
      <c r="B141" s="50" t="s">
        <v>323</v>
      </c>
      <c r="C141" s="50"/>
      <c r="D141" s="16"/>
      <c r="E141" s="15"/>
      <c r="F141" s="16"/>
      <c r="G141" s="12">
        <v>3173.56</v>
      </c>
      <c r="H141" s="13">
        <v>8.0699999999999994E-2</v>
      </c>
      <c r="I141" s="14"/>
    </row>
    <row r="142" spans="1:9" ht="12.95" customHeight="1">
      <c r="A142" s="1"/>
      <c r="B142" s="48" t="s">
        <v>391</v>
      </c>
      <c r="C142" s="48"/>
      <c r="D142" s="5"/>
      <c r="E142" s="5"/>
      <c r="F142" s="5"/>
      <c r="G142" s="5"/>
      <c r="H142" s="5"/>
      <c r="I142" s="6"/>
    </row>
    <row r="143" spans="1:9" ht="12.95" customHeight="1">
      <c r="A143" s="1"/>
      <c r="B143" s="48" t="s">
        <v>392</v>
      </c>
      <c r="C143" s="48"/>
      <c r="D143" s="5"/>
      <c r="E143" s="5"/>
      <c r="F143" s="5"/>
      <c r="G143" s="1"/>
      <c r="H143" s="6"/>
      <c r="I143" s="6"/>
    </row>
    <row r="144" spans="1:9" ht="12.95" customHeight="1">
      <c r="A144" s="7" t="s">
        <v>393</v>
      </c>
      <c r="B144" s="49" t="s">
        <v>394</v>
      </c>
      <c r="C144" s="49"/>
      <c r="D144" s="5" t="s">
        <v>395</v>
      </c>
      <c r="E144" s="5"/>
      <c r="F144" s="8">
        <v>5815211</v>
      </c>
      <c r="G144" s="9">
        <v>3396.66</v>
      </c>
      <c r="H144" s="10">
        <v>8.6300000000000002E-2</v>
      </c>
      <c r="I144" s="30"/>
    </row>
    <row r="145" spans="1:11" ht="12.95" customHeight="1">
      <c r="A145" s="7" t="s">
        <v>396</v>
      </c>
      <c r="B145" s="49" t="s">
        <v>397</v>
      </c>
      <c r="C145" s="49"/>
      <c r="D145" s="5" t="s">
        <v>398</v>
      </c>
      <c r="E145" s="5"/>
      <c r="F145" s="8">
        <v>5036978</v>
      </c>
      <c r="G145" s="9">
        <v>2937.06</v>
      </c>
      <c r="H145" s="10">
        <v>7.4700000000000003E-2</v>
      </c>
      <c r="I145" s="30"/>
    </row>
    <row r="146" spans="1:11" ht="12.95" customHeight="1">
      <c r="A146" s="7" t="s">
        <v>399</v>
      </c>
      <c r="B146" s="49" t="s">
        <v>400</v>
      </c>
      <c r="C146" s="49"/>
      <c r="D146" s="5" t="s">
        <v>401</v>
      </c>
      <c r="E146" s="5"/>
      <c r="F146" s="8">
        <v>2304448</v>
      </c>
      <c r="G146" s="9">
        <v>1530.84</v>
      </c>
      <c r="H146" s="10">
        <v>3.8899999999999997E-2</v>
      </c>
      <c r="I146" s="30"/>
    </row>
    <row r="147" spans="1:11" ht="12.95" customHeight="1">
      <c r="A147" s="7" t="s">
        <v>402</v>
      </c>
      <c r="B147" s="49" t="s">
        <v>403</v>
      </c>
      <c r="C147" s="49"/>
      <c r="D147" s="5" t="s">
        <v>404</v>
      </c>
      <c r="E147" s="5"/>
      <c r="F147" s="8">
        <v>275994</v>
      </c>
      <c r="G147" s="9">
        <v>412.28</v>
      </c>
      <c r="H147" s="10">
        <v>1.0500000000000001E-2</v>
      </c>
      <c r="I147" s="30"/>
    </row>
    <row r="148" spans="1:11" ht="12.95" customHeight="1">
      <c r="A148" s="7" t="s">
        <v>405</v>
      </c>
      <c r="B148" s="49" t="s">
        <v>406</v>
      </c>
      <c r="C148" s="49"/>
      <c r="D148" s="5" t="s">
        <v>407</v>
      </c>
      <c r="E148" s="5"/>
      <c r="F148" s="8">
        <v>526958</v>
      </c>
      <c r="G148" s="9">
        <v>211.89</v>
      </c>
      <c r="H148" s="10">
        <v>5.4000000000000003E-3</v>
      </c>
      <c r="I148" s="30"/>
    </row>
    <row r="149" spans="1:11" ht="12.95" customHeight="1">
      <c r="A149" s="1"/>
      <c r="B149" s="48" t="s">
        <v>320</v>
      </c>
      <c r="C149" s="48"/>
      <c r="D149" s="5"/>
      <c r="E149" s="5"/>
      <c r="F149" s="5"/>
      <c r="G149" s="12">
        <f>SUM(G144:G148)</f>
        <v>8488.73</v>
      </c>
      <c r="H149" s="13">
        <v>0.21579999999999999</v>
      </c>
      <c r="I149" s="14"/>
    </row>
    <row r="150" spans="1:11" ht="12.95" customHeight="1">
      <c r="A150" s="1"/>
      <c r="B150" s="50" t="s">
        <v>323</v>
      </c>
      <c r="C150" s="50"/>
      <c r="D150" s="16"/>
      <c r="E150" s="15"/>
      <c r="F150" s="16"/>
      <c r="G150" s="12">
        <v>8488.73</v>
      </c>
      <c r="H150" s="13">
        <v>0.21579999999999999</v>
      </c>
      <c r="I150" s="14"/>
    </row>
    <row r="151" spans="1:11" ht="12.95" customHeight="1">
      <c r="A151" s="1"/>
      <c r="B151" s="48" t="s">
        <v>408</v>
      </c>
      <c r="C151" s="48"/>
      <c r="D151" s="5"/>
      <c r="E151" s="5"/>
      <c r="F151" s="5"/>
      <c r="G151" s="5"/>
      <c r="H151" s="5"/>
      <c r="I151" s="6"/>
    </row>
    <row r="152" spans="1:11" ht="12.95" customHeight="1">
      <c r="A152" s="7" t="s">
        <v>409</v>
      </c>
      <c r="B152" s="49" t="s">
        <v>410</v>
      </c>
      <c r="C152" s="49"/>
      <c r="D152" s="5"/>
      <c r="E152" s="5"/>
      <c r="F152" s="8"/>
      <c r="G152" s="9">
        <v>1722.18</v>
      </c>
      <c r="H152" s="10">
        <v>4.3799999999999999E-2</v>
      </c>
      <c r="I152" s="30">
        <v>6.9181383818898212E-2</v>
      </c>
    </row>
    <row r="153" spans="1:11" ht="12.95" customHeight="1">
      <c r="A153" s="1"/>
      <c r="B153" s="48" t="s">
        <v>320</v>
      </c>
      <c r="C153" s="48"/>
      <c r="D153" s="5"/>
      <c r="E153" s="5"/>
      <c r="F153" s="5"/>
      <c r="G153" s="12">
        <v>1722.18</v>
      </c>
      <c r="H153" s="13">
        <v>4.3799999999999999E-2</v>
      </c>
      <c r="I153" s="14"/>
    </row>
    <row r="154" spans="1:11" ht="12.95" customHeight="1">
      <c r="A154" s="1"/>
      <c r="B154" s="50" t="s">
        <v>373</v>
      </c>
      <c r="C154" s="50"/>
      <c r="D154" s="15"/>
      <c r="E154" s="15"/>
      <c r="F154" s="15"/>
      <c r="G154" s="14" t="s">
        <v>322</v>
      </c>
      <c r="H154" s="14" t="s">
        <v>322</v>
      </c>
      <c r="I154" s="14"/>
    </row>
    <row r="155" spans="1:11" ht="12.95" customHeight="1">
      <c r="A155" s="1"/>
      <c r="B155" s="50" t="s">
        <v>320</v>
      </c>
      <c r="C155" s="50"/>
      <c r="D155" s="15"/>
      <c r="E155" s="15"/>
      <c r="F155" s="15"/>
      <c r="G155" s="14" t="s">
        <v>322</v>
      </c>
      <c r="H155" s="14" t="s">
        <v>322</v>
      </c>
      <c r="I155" s="14"/>
    </row>
    <row r="156" spans="1:11" ht="12.95" customHeight="1">
      <c r="A156" s="1"/>
      <c r="B156" s="50" t="s">
        <v>323</v>
      </c>
      <c r="C156" s="50"/>
      <c r="D156" s="16"/>
      <c r="E156" s="15"/>
      <c r="F156" s="16"/>
      <c r="G156" s="12">
        <v>1722.18</v>
      </c>
      <c r="H156" s="13">
        <v>4.3799999999999999E-2</v>
      </c>
      <c r="I156" s="14"/>
    </row>
    <row r="157" spans="1:11" ht="12.95" customHeight="1">
      <c r="A157" s="1"/>
      <c r="B157" s="50" t="s">
        <v>411</v>
      </c>
      <c r="C157" s="50"/>
      <c r="D157" s="5"/>
      <c r="E157" s="15"/>
      <c r="F157" s="5"/>
      <c r="G157" s="31">
        <v>289.77</v>
      </c>
      <c r="H157" s="13">
        <v>7.7000000000000002E-3</v>
      </c>
      <c r="I157" s="14"/>
      <c r="K157" s="43"/>
    </row>
    <row r="158" spans="1:11" ht="12.95" customHeight="1" thickBot="1">
      <c r="A158" s="1"/>
      <c r="B158" s="54" t="s">
        <v>412</v>
      </c>
      <c r="C158" s="54"/>
      <c r="D158" s="32"/>
      <c r="E158" s="32"/>
      <c r="F158" s="32"/>
      <c r="G158" s="33">
        <v>39341.01</v>
      </c>
      <c r="H158" s="34">
        <v>1</v>
      </c>
      <c r="I158" s="35"/>
      <c r="K158" s="43"/>
    </row>
    <row r="159" spans="1:11" ht="12.95" customHeight="1">
      <c r="A159" s="1"/>
      <c r="B159" s="55"/>
      <c r="C159" s="55"/>
      <c r="D159" s="1"/>
      <c r="E159" s="1"/>
      <c r="F159" s="1"/>
      <c r="G159" s="1"/>
      <c r="H159" s="1"/>
      <c r="I159" s="1"/>
    </row>
    <row r="160" spans="1:11" ht="12.95" customHeight="1">
      <c r="A160" s="1"/>
      <c r="B160" s="36" t="s">
        <v>413</v>
      </c>
      <c r="C160" s="1"/>
      <c r="D160" s="1"/>
      <c r="E160" s="1"/>
      <c r="F160" s="1"/>
      <c r="G160" s="1"/>
      <c r="H160" s="1"/>
      <c r="I160" s="1"/>
    </row>
    <row r="161" spans="1:9" ht="39.950000000000003" customHeight="1">
      <c r="A161" s="1"/>
      <c r="B161" s="56" t="s">
        <v>414</v>
      </c>
      <c r="C161" s="56"/>
      <c r="D161" s="37" t="s">
        <v>3</v>
      </c>
      <c r="E161" s="37" t="s">
        <v>5</v>
      </c>
      <c r="F161" s="37" t="s">
        <v>415</v>
      </c>
      <c r="G161" s="37" t="s">
        <v>416</v>
      </c>
      <c r="H161" s="37" t="s">
        <v>417</v>
      </c>
      <c r="I161" s="1"/>
    </row>
    <row r="162" spans="1:9" ht="12.95" customHeight="1">
      <c r="A162" s="1"/>
      <c r="B162" s="57" t="s">
        <v>418</v>
      </c>
      <c r="C162" s="57"/>
      <c r="D162" s="15" t="s">
        <v>419</v>
      </c>
      <c r="E162" s="15" t="s">
        <v>15</v>
      </c>
      <c r="F162" s="38">
        <v>38500</v>
      </c>
      <c r="G162" s="39">
        <v>-1151.6312499999999</v>
      </c>
      <c r="H162" s="40">
        <v>-2.93E-2</v>
      </c>
      <c r="I162" s="1"/>
    </row>
    <row r="163" spans="1:9" ht="12.95" customHeight="1">
      <c r="A163" s="1"/>
      <c r="B163" s="57" t="s">
        <v>418</v>
      </c>
      <c r="C163" s="57"/>
      <c r="D163" s="15" t="s">
        <v>420</v>
      </c>
      <c r="E163" s="15" t="s">
        <v>19</v>
      </c>
      <c r="F163" s="38">
        <v>39050</v>
      </c>
      <c r="G163" s="39">
        <v>-570.55954999999994</v>
      </c>
      <c r="H163" s="40">
        <v>-1.4500000000000001E-2</v>
      </c>
      <c r="I163" s="1"/>
    </row>
    <row r="164" spans="1:9" ht="12.95" customHeight="1">
      <c r="A164" s="1"/>
      <c r="B164" s="57" t="s">
        <v>418</v>
      </c>
      <c r="C164" s="57"/>
      <c r="D164" s="15" t="s">
        <v>421</v>
      </c>
      <c r="E164" s="15" t="s">
        <v>19</v>
      </c>
      <c r="F164" s="38">
        <v>29600</v>
      </c>
      <c r="G164" s="39">
        <v>-532.85919999999999</v>
      </c>
      <c r="H164" s="40">
        <v>-1.35E-2</v>
      </c>
      <c r="I164" s="1"/>
    </row>
    <row r="165" spans="1:9" ht="12.95" customHeight="1">
      <c r="A165" s="1"/>
      <c r="B165" s="57" t="s">
        <v>418</v>
      </c>
      <c r="C165" s="57"/>
      <c r="D165" s="15" t="s">
        <v>422</v>
      </c>
      <c r="E165" s="15" t="s">
        <v>29</v>
      </c>
      <c r="F165" s="38">
        <v>6125</v>
      </c>
      <c r="G165" s="39">
        <v>-445.89693749999998</v>
      </c>
      <c r="H165" s="40">
        <v>-1.1299999999999999E-2</v>
      </c>
      <c r="I165" s="1"/>
    </row>
    <row r="166" spans="1:9" ht="12.95" customHeight="1">
      <c r="A166" s="1"/>
      <c r="B166" s="57" t="s">
        <v>423</v>
      </c>
      <c r="C166" s="57"/>
      <c r="D166" s="15" t="s">
        <v>424</v>
      </c>
      <c r="E166" s="15" t="s">
        <v>425</v>
      </c>
      <c r="F166" s="38">
        <v>1450</v>
      </c>
      <c r="G166" s="39">
        <v>326.07889999999998</v>
      </c>
      <c r="H166" s="40">
        <v>8.3000000000000001E-3</v>
      </c>
      <c r="I166" s="1"/>
    </row>
    <row r="167" spans="1:9" ht="12.95" customHeight="1">
      <c r="A167" s="1"/>
      <c r="B167" s="57" t="s">
        <v>418</v>
      </c>
      <c r="C167" s="57"/>
      <c r="D167" s="15" t="s">
        <v>426</v>
      </c>
      <c r="E167" s="15" t="s">
        <v>37</v>
      </c>
      <c r="F167" s="38">
        <v>115500</v>
      </c>
      <c r="G167" s="39">
        <v>-311.67675000000003</v>
      </c>
      <c r="H167" s="40">
        <v>-7.9000000000000008E-3</v>
      </c>
      <c r="I167" s="1"/>
    </row>
    <row r="168" spans="1:9" ht="12.95" customHeight="1">
      <c r="A168" s="1"/>
      <c r="B168" s="57" t="s">
        <v>418</v>
      </c>
      <c r="C168" s="57"/>
      <c r="D168" s="15" t="s">
        <v>427</v>
      </c>
      <c r="E168" s="15" t="s">
        <v>80</v>
      </c>
      <c r="F168" s="38">
        <v>8400</v>
      </c>
      <c r="G168" s="39">
        <v>-191.73840000000001</v>
      </c>
      <c r="H168" s="40">
        <v>-4.8999999999999998E-3</v>
      </c>
      <c r="I168" s="1"/>
    </row>
    <row r="169" spans="1:9" ht="12.95" customHeight="1">
      <c r="A169" s="1"/>
      <c r="B169" s="57" t="s">
        <v>423</v>
      </c>
      <c r="C169" s="57"/>
      <c r="D169" s="15" t="s">
        <v>428</v>
      </c>
      <c r="E169" s="15" t="s">
        <v>49</v>
      </c>
      <c r="F169" s="38">
        <v>2800</v>
      </c>
      <c r="G169" s="39">
        <v>112.5908</v>
      </c>
      <c r="H169" s="40">
        <v>2.8999999999999998E-3</v>
      </c>
      <c r="I169" s="1"/>
    </row>
    <row r="170" spans="1:9" ht="12.95" customHeight="1">
      <c r="A170" s="1"/>
      <c r="B170" s="57" t="s">
        <v>418</v>
      </c>
      <c r="C170" s="57"/>
      <c r="D170" s="15" t="s">
        <v>429</v>
      </c>
      <c r="E170" s="15" t="s">
        <v>49</v>
      </c>
      <c r="F170" s="38">
        <v>1400</v>
      </c>
      <c r="G170" s="39">
        <v>-54.702199999999998</v>
      </c>
      <c r="H170" s="40">
        <v>-1.4E-3</v>
      </c>
      <c r="I170" s="1"/>
    </row>
    <row r="171" spans="1:9" ht="12.95" customHeight="1">
      <c r="A171" s="1"/>
      <c r="B171" s="57" t="s">
        <v>423</v>
      </c>
      <c r="C171" s="57"/>
      <c r="D171" s="15" t="s">
        <v>430</v>
      </c>
      <c r="E171" s="15" t="s">
        <v>29</v>
      </c>
      <c r="F171" s="38">
        <v>2200</v>
      </c>
      <c r="G171" s="39">
        <v>32.168399999999998</v>
      </c>
      <c r="H171" s="40">
        <v>8.0000000000000004E-4</v>
      </c>
      <c r="I171" s="1"/>
    </row>
    <row r="172" spans="1:9" ht="12.95" customHeight="1">
      <c r="A172" s="1"/>
      <c r="B172" s="57" t="s">
        <v>418</v>
      </c>
      <c r="C172" s="57"/>
      <c r="D172" s="15" t="s">
        <v>431</v>
      </c>
      <c r="E172" s="15" t="s">
        <v>19</v>
      </c>
      <c r="F172" s="38">
        <v>1250</v>
      </c>
      <c r="G172" s="39">
        <v>-13.181875</v>
      </c>
      <c r="H172" s="40">
        <v>-2.9999999999999997E-4</v>
      </c>
      <c r="I172" s="1"/>
    </row>
    <row r="174" spans="1:9">
      <c r="B174" s="41" t="s">
        <v>432</v>
      </c>
    </row>
    <row r="175" spans="1:9">
      <c r="B175" s="42" t="s">
        <v>433</v>
      </c>
    </row>
  </sheetData>
  <mergeCells count="171">
    <mergeCell ref="B170:C170"/>
    <mergeCell ref="B171:C171"/>
    <mergeCell ref="B172:C172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1:C161"/>
    <mergeCell ref="B162:C162"/>
    <mergeCell ref="B163:C163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4388A-5526-4C5A-8FF8-09597A885DB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60F6C8FC-0A8A-4E93-A098-6E3516565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2B8F22-8A78-4842-BB63-3D33411B57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2024-04-08T06:23:43Z</dcterms:created>
  <dcterms:modified xsi:type="dcterms:W3CDTF">2024-04-08T13:16:59Z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