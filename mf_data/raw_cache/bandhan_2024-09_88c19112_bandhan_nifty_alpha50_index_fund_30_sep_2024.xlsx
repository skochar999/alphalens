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11B6EC7C-34D4-41EB-8502-749DD060040B}" xr6:coauthVersionLast="47" xr6:coauthVersionMax="47" xr10:uidLastSave="{00000000-0000-0000-0000-000000000000}"/>
  <bookViews>
    <workbookView xWindow="-108" yWindow="-108" windowWidth="41496" windowHeight="16896" xr2:uid="{3FA71D93-A1F3-4CA9-BD92-6BED4EDE5675}"/>
  </bookViews>
  <sheets>
    <sheet name="IDF295" sheetId="1" r:id="rId1"/>
  </sheets>
  <definedNames>
    <definedName name="JR_PAGE_ANCHOR_0_55">'IDF295'!$A$2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" i="1" l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</calcChain>
</file>

<file path=xl/sharedStrings.xml><?xml version="1.0" encoding="utf-8"?>
<sst xmlns="http://schemas.openxmlformats.org/spreadsheetml/2006/main" count="279" uniqueCount="240">
  <si>
    <t>IDF295</t>
  </si>
  <si>
    <t>INDEX</t>
  </si>
  <si>
    <t>Portfolio Statement as on September 30, 2024</t>
  </si>
  <si>
    <t>Bandhan Nifty Alpha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</si>
  <si>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</si>
  <si>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</si>
  <si>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</si>
  <si>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</si>
  <si>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</si>
  <si>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</si>
  <si>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</si>
  <si>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</si>
  <si>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</si>
  <si>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RVNL01</t>
  </si>
  <si>
    <t>Rail Vikas Nigam Limited</t>
  </si>
  <si>
    <t>INE415G01027</t>
  </si>
  <si>
    <t>Construction</t>
  </si>
  <si>
    <t>LAKM02</t>
  </si>
  <si>
    <t>Trent Limited</t>
  </si>
  <si>
    <t>INE849A01020</t>
  </si>
  <si>
    <t>Retailing</t>
  </si>
  <si>
    <t>BSEL02</t>
  </si>
  <si>
    <t>BSE Limited</t>
  </si>
  <si>
    <t>INE118H01025</t>
  </si>
  <si>
    <t>Capital Markets</t>
  </si>
  <si>
    <t>OIIL01</t>
  </si>
  <si>
    <t>Oil India Limited</t>
  </si>
  <si>
    <t>INE274J01014</t>
  </si>
  <si>
    <t>Oil</t>
  </si>
  <si>
    <t>COCH02</t>
  </si>
  <si>
    <t>Cochin Shipyard Limited</t>
  </si>
  <si>
    <t>INE704P01025</t>
  </si>
  <si>
    <t>Industrial Manufacturing</t>
  </si>
  <si>
    <t>NBCC03</t>
  </si>
  <si>
    <t>NBCC (India) Limited</t>
  </si>
  <si>
    <t>INE095N01031</t>
  </si>
  <si>
    <t>INOW01</t>
  </si>
  <si>
    <t>Inox Wind Limited</t>
  </si>
  <si>
    <t>INE066P01011</t>
  </si>
  <si>
    <t>Electrical Equipment</t>
  </si>
  <si>
    <t>SUZE02</t>
  </si>
  <si>
    <t>Suzlon Energy Limited</t>
  </si>
  <si>
    <t>INE040H01021</t>
  </si>
  <si>
    <t>HURD01</t>
  </si>
  <si>
    <t>Housing &amp; Urban Development Corporation Limited</t>
  </si>
  <si>
    <t>INE031A01017</t>
  </si>
  <si>
    <t>Finance</t>
  </si>
  <si>
    <t>IRLY01</t>
  </si>
  <si>
    <t>Indian Railway Finance Corporation Limited</t>
  </si>
  <si>
    <t>INE053F01010</t>
  </si>
  <si>
    <t>MCEX01</t>
  </si>
  <si>
    <t>Multi Commodity Exchange of India Limited</t>
  </si>
  <si>
    <t>INE745G01035</t>
  </si>
  <si>
    <t>IFEL01</t>
  </si>
  <si>
    <t>Oracle Financial Services Software Limited</t>
  </si>
  <si>
    <t>INE881D01027</t>
  </si>
  <si>
    <t>IT - Software</t>
  </si>
  <si>
    <t>TOPL01</t>
  </si>
  <si>
    <t>Torrent Power Limited</t>
  </si>
  <si>
    <t>INE813H01021</t>
  </si>
  <si>
    <t>Power</t>
  </si>
  <si>
    <t>PREP01</t>
  </si>
  <si>
    <t>Prestige Estates Projects Limited</t>
  </si>
  <si>
    <t>INE811K01011</t>
  </si>
  <si>
    <t>Realty</t>
  </si>
  <si>
    <t>KALJ01</t>
  </si>
  <si>
    <t>Kalyan Jewellers India Limited</t>
  </si>
  <si>
    <t>INE303R01014</t>
  </si>
  <si>
    <t>Consumer Durables</t>
  </si>
  <si>
    <t>BALN01</t>
  </si>
  <si>
    <t>Bajaj Auto Limited</t>
  </si>
  <si>
    <t>INE917I01010</t>
  </si>
  <si>
    <t>Automobiles</t>
  </si>
  <si>
    <t>ZMPL01</t>
  </si>
  <si>
    <t>Zomato Limited</t>
  </si>
  <si>
    <t>INE758T01015</t>
  </si>
  <si>
    <t>ABBP01</t>
  </si>
  <si>
    <t>Hitachi Energy India Limited</t>
  </si>
  <si>
    <t>INE07Y701011</t>
  </si>
  <si>
    <t>DIXO02</t>
  </si>
  <si>
    <t>Dixon Technologies (India) Limited</t>
  </si>
  <si>
    <t>INE935N01020</t>
  </si>
  <si>
    <t>CDSL01</t>
  </si>
  <si>
    <t>Central Depository Services (India) Limited</t>
  </si>
  <si>
    <t>INE736A01011</t>
  </si>
  <si>
    <t>LUPL02</t>
  </si>
  <si>
    <t>Lupin Limited</t>
  </si>
  <si>
    <t>INE326A01037</t>
  </si>
  <si>
    <t>Pharmaceuticals &amp; Biotechnology</t>
  </si>
  <si>
    <t>ESMC02</t>
  </si>
  <si>
    <t>PB Fintech Limited</t>
  </si>
  <si>
    <t>INE417T01026</t>
  </si>
  <si>
    <t>Financial Technology (Fintech)</t>
  </si>
  <si>
    <t>GLPH03</t>
  </si>
  <si>
    <t>Glenmark Pharmaceuticals Limited</t>
  </si>
  <si>
    <t>INE935A01035</t>
  </si>
  <si>
    <t>BHDY02</t>
  </si>
  <si>
    <t>Bharat Dynamics Limited</t>
  </si>
  <si>
    <t>INE171Z01026</t>
  </si>
  <si>
    <t>Aerospace &amp; Defense</t>
  </si>
  <si>
    <t>PHMI02</t>
  </si>
  <si>
    <t>The Phoenix Mills Limited</t>
  </si>
  <si>
    <t>INE211B01039</t>
  </si>
  <si>
    <t>BINL01</t>
  </si>
  <si>
    <t>Indus Towers Limited</t>
  </si>
  <si>
    <t>INE121J01017</t>
  </si>
  <si>
    <t>Telecom - Services</t>
  </si>
  <si>
    <t>JSTA02</t>
  </si>
  <si>
    <t>Jindal Stainless Limited</t>
  </si>
  <si>
    <t>INE220G01021</t>
  </si>
  <si>
    <t>Ferrous Metals</t>
  </si>
  <si>
    <t>SOEL02</t>
  </si>
  <si>
    <t>Solar Industries India Limited</t>
  </si>
  <si>
    <t>INE343H01029</t>
  </si>
  <si>
    <t>Chemicals &amp; Petrochemicals</t>
  </si>
  <si>
    <t>CENT02</t>
  </si>
  <si>
    <t>Century Textiles &amp; Industries Limited</t>
  </si>
  <si>
    <t>INE055A01016</t>
  </si>
  <si>
    <t>Paper, Forest &amp; Jute Products</t>
  </si>
  <si>
    <t>COLG02</t>
  </si>
  <si>
    <t>Colgate Palmolive (India) Limited</t>
  </si>
  <si>
    <t>INE259A01022</t>
  </si>
  <si>
    <t>Personal Products</t>
  </si>
  <si>
    <t>SAEL02</t>
  </si>
  <si>
    <t>TVS Motor Company Limited</t>
  </si>
  <si>
    <t>INE494B01023</t>
  </si>
  <si>
    <t>HALT02</t>
  </si>
  <si>
    <t>Hindustan Aeronautics Limited</t>
  </si>
  <si>
    <t>INE066F01020</t>
  </si>
  <si>
    <t>KCUL02</t>
  </si>
  <si>
    <t>Cummins India Limited</t>
  </si>
  <si>
    <t>INE298A01020</t>
  </si>
  <si>
    <t>Industrial Products</t>
  </si>
  <si>
    <t>HPEC01</t>
  </si>
  <si>
    <t>Hindustan Petroleum Corporation Limited</t>
  </si>
  <si>
    <t>INE094A01015</t>
  </si>
  <si>
    <t>Petroleum Products</t>
  </si>
  <si>
    <t>AMRA03</t>
  </si>
  <si>
    <t>Amara Raja Energy &amp; Mobility Ltd</t>
  </si>
  <si>
    <t>INE885A01032</t>
  </si>
  <si>
    <t>Auto Components</t>
  </si>
  <si>
    <t>AUPH03</t>
  </si>
  <si>
    <t>Aurobindo Pharma Limited</t>
  </si>
  <si>
    <t>INE406A01037</t>
  </si>
  <si>
    <t>CHEL02</t>
  </si>
  <si>
    <t>Zydus Lifesciences Limited</t>
  </si>
  <si>
    <t>INE010B01027</t>
  </si>
  <si>
    <t>PFCL01</t>
  </si>
  <si>
    <t>Power Finance Corporation Limited</t>
  </si>
  <si>
    <t>INE134E01011</t>
  </si>
  <si>
    <t>RELC01</t>
  </si>
  <si>
    <t>REC Limited</t>
  </si>
  <si>
    <t>INE020B01018</t>
  </si>
  <si>
    <t>BHAH02</t>
  </si>
  <si>
    <t>Bharat Heavy Electricals Limited</t>
  </si>
  <si>
    <t>INE257A01026</t>
  </si>
  <si>
    <t>GAPA02</t>
  </si>
  <si>
    <t>Apar Industries Limited</t>
  </si>
  <si>
    <t>INE372A01015</t>
  </si>
  <si>
    <t>BHEL02</t>
  </si>
  <si>
    <t>Bharat Electronics Limited</t>
  </si>
  <si>
    <t>INE263A01024</t>
  </si>
  <si>
    <t>KEII02</t>
  </si>
  <si>
    <t>KEI Industries Limited</t>
  </si>
  <si>
    <t>INE878B01027</t>
  </si>
  <si>
    <t>VNBL03</t>
  </si>
  <si>
    <t>Varun Beverages Limited</t>
  </si>
  <si>
    <t>INE200M01039</t>
  </si>
  <si>
    <t>Beverages</t>
  </si>
  <si>
    <t>SJVN01</t>
  </si>
  <si>
    <t>SJVN Limited</t>
  </si>
  <si>
    <t>INE002L01015</t>
  </si>
  <si>
    <t>ASEA02</t>
  </si>
  <si>
    <t>ABB India Limited</t>
  </si>
  <si>
    <t>INE117A01022</t>
  </si>
  <si>
    <t>NHPC01</t>
  </si>
  <si>
    <t>NHPC Limited</t>
  </si>
  <si>
    <t>INE848E01016</t>
  </si>
  <si>
    <t>MACR01</t>
  </si>
  <si>
    <t>Macrotech Developers Limited</t>
  </si>
  <si>
    <t>INE670K01029</t>
  </si>
  <si>
    <t>ADAP01</t>
  </si>
  <si>
    <t>Adani Power Limited</t>
  </si>
  <si>
    <t>INE814H01011</t>
  </si>
  <si>
    <t>HICO02</t>
  </si>
  <si>
    <t>Hindustan Copper Limited</t>
  </si>
  <si>
    <t>INE531E01026</t>
  </si>
  <si>
    <t>Non - Ferrous Metals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</si>
  <si>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</si>
  <si>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</si>
  <si>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</si>
  <si>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</si>
  <si>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</si>
  <si>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</si>
  <si>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</si>
  <si>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</si>
  <si>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</si>
  <si>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</si>
  <si>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Net Current Assets</t>
  </si>
  <si>
    <t>GRAND TOTAL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</si>
  <si>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</si>
  <si>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</si>
  <si>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</si>
  <si>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</si>
  <si>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</si>
  <si>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</si>
  <si>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</si>
  <si>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IDF295-AG</t>
  </si>
  <si>
    <t>Growth</t>
  </si>
  <si>
    <t>IDF295-AD</t>
  </si>
  <si>
    <t>IDCW #</t>
  </si>
  <si>
    <t>Direct Plan</t>
  </si>
  <si>
    <t>IDF295-ZG</t>
  </si>
  <si>
    <t>IDF295-ZD</t>
  </si>
  <si>
    <t># Income Distribution cum capital withdrawal option</t>
  </si>
  <si>
    <t>(4) No Dividend declared during the period ended September 30, 2024.</t>
  </si>
  <si>
    <t>(5) Total outstanding exposure in derivative instruments as on September 30, 2024 is Rs. Nil.</t>
  </si>
  <si>
    <t>(6) Total Market value of investments in foreign securities/ADRs/GDRs as at September 30, 2024 is Rs. Nil.</t>
  </si>
  <si>
    <t>(7) During the period, the portfolio turnover ratio - For Equity Securities is 0.97 times and aggregate for all asset category is 0.97 times.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</si>
  <si>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</si>
  <si>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</si>
  <si>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Name and exposure to top 7 issuers and stocks</t>
  </si>
  <si>
    <t>Name of the Issuer / Stock</t>
  </si>
  <si>
    <t>Name and exposure to top 7 groups</t>
  </si>
  <si>
    <t>Name of the Group</t>
  </si>
  <si>
    <t>Government of India</t>
  </si>
  <si>
    <t>Clearing Corporation of India Ltd</t>
  </si>
  <si>
    <t>Rail Vikas Nigam Group</t>
  </si>
  <si>
    <t>Tata Group</t>
  </si>
  <si>
    <t>BSE Group</t>
  </si>
  <si>
    <t>Cochin Shipyard Group</t>
  </si>
  <si>
    <t>NBCC (India) Group</t>
  </si>
  <si>
    <t>Name and exposure to top 4 Sectors</t>
  </si>
  <si>
    <t>Name of the Sector</t>
  </si>
  <si>
    <t>Capital Goods</t>
  </si>
  <si>
    <t>Financial Services</t>
  </si>
  <si>
    <t>Healthcare</t>
  </si>
  <si>
    <t>BENCHMARK NAME - NIFTY ALPHA 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</si>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</sst>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166" fontId="12" fillId="0" borderId="21" xfId="1" applyNumberFormat="1" applyFont="1" applyBorder="1"/>
    <xf numFmtId="166" fontId="12" fillId="0" borderId="22" xfId="1" applyNumberFormat="1" applyFont="1" applyBorder="1"/>
    <xf numFmtId="0" fontId="13" fillId="0" borderId="23" xfId="1" applyFont="1" applyBorder="1"/>
    <xf numFmtId="0" fontId="11" fillId="0" borderId="0" xfId="1" applyFont="1"/>
    <xf numFmtId="166" fontId="11" fillId="0" borderId="24" xfId="1" applyNumberFormat="1" applyFont="1" applyBorder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1" applyNumberFormat="1" applyFont="1" applyBorder="1"/>
    <xf numFmtId="0" fontId="14" fillId="0" borderId="20" xfId="1" applyFont="1" applyBorder="1"/>
    <xf numFmtId="0" fontId="14" fillId="0" borderId="21" xfId="1" applyFont="1" applyBorder="1"/>
    <xf numFmtId="167" fontId="15" fillId="0" borderId="21" xfId="1" applyNumberFormat="1" applyFont="1" applyBorder="1"/>
    <xf numFmtId="10" fontId="15" fillId="0" borderId="22" xfId="1" applyNumberFormat="1" applyFont="1" applyBorder="1"/>
    <xf numFmtId="0" fontId="14" fillId="0" borderId="25" xfId="1" applyFont="1" applyBorder="1"/>
    <xf numFmtId="15" fontId="14" fillId="0" borderId="26" xfId="1" applyNumberFormat="1" applyFont="1" applyBorder="1"/>
    <xf numFmtId="167" fontId="11" fillId="0" borderId="27" xfId="1" applyNumberFormat="1" applyFont="1" applyBorder="1"/>
    <xf numFmtId="168" fontId="11" fillId="0" borderId="21" xfId="1" applyNumberFormat="1" applyFont="1" applyBorder="1"/>
    <xf numFmtId="168" fontId="11" fillId="0" borderId="21" xfId="1" applyNumberFormat="1" applyFont="1" applyBorder="1" applyAlignment="1">
      <alignment horizontal="right"/>
    </xf>
    <xf numFmtId="0" fontId="1" fillId="0" borderId="21" xfId="1" applyBorder="1"/>
    <xf numFmtId="0" fontId="11" fillId="0" borderId="23" xfId="1" applyFont="1" applyBorder="1"/>
    <xf numFmtId="168" fontId="11" fillId="0" borderId="0" xfId="2" applyNumberFormat="1" applyFont="1"/>
    <xf numFmtId="0" fontId="1" fillId="0" borderId="0" xfId="1"/>
    <xf numFmtId="166" fontId="12" fillId="0" borderId="24" xfId="1" applyNumberFormat="1" applyFont="1" applyBorder="1"/>
    <xf numFmtId="168" fontId="11" fillId="0" borderId="0" xfId="3" applyNumberFormat="1" applyFont="1"/>
    <xf numFmtId="0" fontId="14" fillId="0" borderId="23" xfId="1" applyFont="1" applyBorder="1"/>
    <xf numFmtId="168" fontId="11" fillId="0" borderId="0" xfId="1" applyNumberFormat="1" applyFont="1" applyAlignment="1">
      <alignment horizontal="right"/>
    </xf>
    <xf numFmtId="168" fontId="11" fillId="0" borderId="26" xfId="1" applyNumberFormat="1" applyFont="1" applyBorder="1"/>
    <xf numFmtId="169" fontId="12" fillId="0" borderId="26" xfId="1" applyNumberFormat="1" applyFont="1" applyBorder="1"/>
    <xf numFmtId="166" fontId="12" fillId="0" borderId="27" xfId="1" applyNumberFormat="1" applyFont="1" applyBorder="1"/>
    <xf numFmtId="168" fontId="11" fillId="0" borderId="0" xfId="4" applyNumberFormat="1" applyFont="1" applyFill="1" applyBorder="1" applyAlignment="1"/>
    <xf numFmtId="168" fontId="11" fillId="0" borderId="0" xfId="1" applyNumberFormat="1" applyFont="1"/>
    <xf numFmtId="167" fontId="11" fillId="0" borderId="0" xfId="4" applyNumberFormat="1" applyFont="1" applyFill="1" applyBorder="1" applyAlignment="1"/>
    <xf numFmtId="0" fontId="11" fillId="0" borderId="24" xfId="1" applyFont="1" applyBorder="1"/>
    <xf numFmtId="170" fontId="16" fillId="0" borderId="0" xfId="1" applyNumberFormat="1" applyFont="1"/>
    <xf numFmtId="0" fontId="11" fillId="0" borderId="23" xfId="2" applyFont="1" applyBorder="1"/>
    <xf numFmtId="0" fontId="17" fillId="0" borderId="0" xfId="1" applyFont="1"/>
    <xf numFmtId="168" fontId="17" fillId="0" borderId="0" xfId="1" applyNumberFormat="1" applyFont="1"/>
    <xf numFmtId="0" fontId="16" fillId="0" borderId="24" xfId="1" applyFont="1" applyBorder="1"/>
    <xf numFmtId="0" fontId="18" fillId="0" borderId="0" xfId="0" applyFont="1" applyAlignment="1">
      <alignment horizontal="left" vertical="top" wrapText="1"/>
    </xf>
    <xf numFmtId="0" fontId="2" fillId="0" borderId="28" xfId="0" applyFont="1" applyBorder="1"/>
    <xf numFmtId="0" fontId="0" fillId="0" borderId="28" xfId="0" applyBorder="1"/>
    <xf numFmtId="165" fontId="0" fillId="0" borderId="28" xfId="0" applyNumberFormat="1" applyBorder="1"/>
    <xf numFmtId="0" fontId="2" fillId="0" borderId="0" xfId="0" applyFont="1"/>
  </cellXfs>
  <cellStyles count="5">
    <cellStyle name="Comma 5" xfId="4" xr:uid="{71651D2D-829F-4D09-B711-C3FEF8CA36E3}"/>
    <cellStyle name="Normal" xfId="0" builtinId="0"/>
    <cellStyle name="Normal 3 2 2" xfId="2" xr:uid="{433F8C7A-5A57-401B-A01F-2EA967BB7E08}"/>
    <cellStyle name="Normal 3 2 3" xfId="3" xr:uid="{156A3D9B-1695-4C13-B9E0-AE09FBF39722}"/>
    <cellStyle name="Normal 7" xfId="1" xr:uid="{C9DB2D1B-C80C-4700-9B17-611EC5FE9A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182879</xdr:rowOff>
    </xdr:from>
    <xdr:to>
      <xdr:col>1</xdr:col>
      <xdr:colOff>2857500</xdr:colOff>
      <xdr:row>134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10C21-DA79-4F0C-897E-7B82A75052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13131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123</xdr:row>
      <xdr:rowOff>182879</xdr:rowOff>
    </xdr:from>
    <xdr:to>
      <xdr:col>7</xdr:col>
      <xdr:colOff>571500</xdr:colOff>
      <xdr:row>134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0A26E0-A8A2-4205-A2C6-C3A6743793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213131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836C-D51C-45D2-AF1D-5C9A97B9ABE0}">
  <sheetPr codeName="Sheet55">
    <outlinePr summaryBelow="0"/>
  </sheetPr>
  <dimension ref="A1:H123"/>
  <sheetViews>
    <sheetView tabSelected="1" topLeftCell="A122" workbookViewId="0">
      <selection activeCell="C163" sqref="C163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201559</v>
      </c>
      <c r="F8" s="18">
        <v>1071.19</v>
      </c>
      <c r="G8" s="19">
        <v>3.9600000000000003E-2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12788</v>
      </c>
      <c r="F9" s="18">
        <v>968.65</v>
      </c>
      <c r="G9" s="19">
        <v>3.5799999999999998E-2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25072</v>
      </c>
      <c r="F10" s="18">
        <v>923.82</v>
      </c>
      <c r="G10" s="19">
        <v>3.4200000000000001E-2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147940</v>
      </c>
      <c r="F11" s="18">
        <v>859.01</v>
      </c>
      <c r="G11" s="19">
        <v>3.1800000000000002E-2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48511</v>
      </c>
      <c r="F12" s="18">
        <v>844.26</v>
      </c>
      <c r="G12" s="19">
        <v>3.1199999999999999E-2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16</v>
      </c>
      <c r="E13" s="17">
        <v>463051</v>
      </c>
      <c r="F13" s="18">
        <v>830.25</v>
      </c>
      <c r="G13" s="19">
        <v>3.0700000000000002E-2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348815</v>
      </c>
      <c r="F14" s="18">
        <v>828.37</v>
      </c>
      <c r="G14" s="19">
        <v>3.0599999999999999E-2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39</v>
      </c>
      <c r="E15" s="17">
        <v>1006414</v>
      </c>
      <c r="F15" s="18">
        <v>805.63</v>
      </c>
      <c r="G15" s="19">
        <v>2.98E-2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318334</v>
      </c>
      <c r="F16" s="18">
        <v>769.73</v>
      </c>
      <c r="G16" s="19">
        <v>2.8500000000000001E-2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46</v>
      </c>
      <c r="E17" s="17">
        <v>480581</v>
      </c>
      <c r="F17" s="18">
        <v>762.78</v>
      </c>
      <c r="G17" s="19">
        <v>2.8199999999999999E-2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24</v>
      </c>
      <c r="E18" s="17">
        <v>12250</v>
      </c>
      <c r="F18" s="18">
        <v>693.39</v>
      </c>
      <c r="G18" s="19">
        <v>2.5700000000000001E-2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5985</v>
      </c>
      <c r="F19" s="18">
        <v>685.8</v>
      </c>
      <c r="G19" s="19">
        <v>2.5399999999999999E-2</v>
      </c>
      <c r="H19" s="20"/>
    </row>
    <row r="20" spans="1:8" ht="13.05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36436</v>
      </c>
      <c r="F20" s="18">
        <v>684.27</v>
      </c>
      <c r="G20" s="19">
        <v>2.53E-2</v>
      </c>
      <c r="H20" s="20"/>
    </row>
    <row r="21" spans="1:8" ht="13.05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35819</v>
      </c>
      <c r="F21" s="18">
        <v>660.95</v>
      </c>
      <c r="G21" s="19">
        <v>2.4500000000000001E-2</v>
      </c>
      <c r="H21" s="20"/>
    </row>
    <row r="22" spans="1:8" ht="13.05" customHeight="1">
      <c r="A22" s="15" t="s">
        <v>65</v>
      </c>
      <c r="B22" s="16" t="s">
        <v>66</v>
      </c>
      <c r="C22" s="12" t="s">
        <v>67</v>
      </c>
      <c r="D22" s="13" t="s">
        <v>68</v>
      </c>
      <c r="E22" s="17">
        <v>89739</v>
      </c>
      <c r="F22" s="18">
        <v>655.32000000000005</v>
      </c>
      <c r="G22" s="19">
        <v>2.4199999999999999E-2</v>
      </c>
      <c r="H22" s="20"/>
    </row>
    <row r="23" spans="1:8" ht="13.05" customHeight="1">
      <c r="A23" s="15" t="s">
        <v>69</v>
      </c>
      <c r="B23" s="16" t="s">
        <v>70</v>
      </c>
      <c r="C23" s="12" t="s">
        <v>71</v>
      </c>
      <c r="D23" s="13" t="s">
        <v>72</v>
      </c>
      <c r="E23" s="17">
        <v>5294</v>
      </c>
      <c r="F23" s="18">
        <v>653.59</v>
      </c>
      <c r="G23" s="19">
        <v>2.4199999999999999E-2</v>
      </c>
      <c r="H23" s="20"/>
    </row>
    <row r="24" spans="1:8" ht="13.05" customHeight="1">
      <c r="A24" s="15" t="s">
        <v>73</v>
      </c>
      <c r="B24" s="16" t="s">
        <v>74</v>
      </c>
      <c r="C24" s="12" t="s">
        <v>75</v>
      </c>
      <c r="D24" s="13" t="s">
        <v>20</v>
      </c>
      <c r="E24" s="17">
        <v>238448</v>
      </c>
      <c r="F24" s="18">
        <v>651.67999999999995</v>
      </c>
      <c r="G24" s="19">
        <v>2.41E-2</v>
      </c>
      <c r="H24" s="20"/>
    </row>
    <row r="25" spans="1:8" ht="13.05" customHeight="1">
      <c r="A25" s="15" t="s">
        <v>76</v>
      </c>
      <c r="B25" s="16" t="s">
        <v>77</v>
      </c>
      <c r="C25" s="12" t="s">
        <v>78</v>
      </c>
      <c r="D25" s="13" t="s">
        <v>39</v>
      </c>
      <c r="E25" s="17">
        <v>4111</v>
      </c>
      <c r="F25" s="18">
        <v>597.96</v>
      </c>
      <c r="G25" s="19">
        <v>2.2100000000000002E-2</v>
      </c>
      <c r="H25" s="20"/>
    </row>
    <row r="26" spans="1:8" ht="13.05" customHeight="1">
      <c r="A26" s="15" t="s">
        <v>79</v>
      </c>
      <c r="B26" s="16" t="s">
        <v>80</v>
      </c>
      <c r="C26" s="12" t="s">
        <v>81</v>
      </c>
      <c r="D26" s="13" t="s">
        <v>68</v>
      </c>
      <c r="E26" s="17">
        <v>4246</v>
      </c>
      <c r="F26" s="18">
        <v>586.07000000000005</v>
      </c>
      <c r="G26" s="19">
        <v>2.1700000000000001E-2</v>
      </c>
      <c r="H26" s="20"/>
    </row>
    <row r="27" spans="1:8" ht="13.05" customHeight="1">
      <c r="A27" s="15" t="s">
        <v>82</v>
      </c>
      <c r="B27" s="16" t="s">
        <v>83</v>
      </c>
      <c r="C27" s="12" t="s">
        <v>84</v>
      </c>
      <c r="D27" s="13" t="s">
        <v>24</v>
      </c>
      <c r="E27" s="17">
        <v>40320</v>
      </c>
      <c r="F27" s="18">
        <v>579.44000000000005</v>
      </c>
      <c r="G27" s="19">
        <v>2.1399999999999999E-2</v>
      </c>
      <c r="H27" s="20"/>
    </row>
    <row r="28" spans="1:8" ht="13.05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24673</v>
      </c>
      <c r="F28" s="18">
        <v>540.61</v>
      </c>
      <c r="G28" s="19">
        <v>0.02</v>
      </c>
      <c r="H28" s="20"/>
    </row>
    <row r="29" spans="1:8" ht="13.05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32863</v>
      </c>
      <c r="F29" s="18">
        <v>532.36</v>
      </c>
      <c r="G29" s="19">
        <v>1.9699999999999999E-2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88</v>
      </c>
      <c r="E30" s="17">
        <v>31473</v>
      </c>
      <c r="F30" s="18">
        <v>526.70000000000005</v>
      </c>
      <c r="G30" s="19">
        <v>1.95E-2</v>
      </c>
      <c r="H30" s="20"/>
    </row>
    <row r="31" spans="1:8" ht="13.05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45192</v>
      </c>
      <c r="F31" s="18">
        <v>524.23</v>
      </c>
      <c r="G31" s="19">
        <v>1.9400000000000001E-2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64</v>
      </c>
      <c r="E32" s="17">
        <v>28022</v>
      </c>
      <c r="F32" s="18">
        <v>517.19000000000005</v>
      </c>
      <c r="G32" s="19">
        <v>1.9099999999999999E-2</v>
      </c>
      <c r="H32" s="20"/>
    </row>
    <row r="33" spans="1:8" ht="13.05" customHeight="1">
      <c r="A33" s="15" t="s">
        <v>103</v>
      </c>
      <c r="B33" s="16" t="s">
        <v>104</v>
      </c>
      <c r="C33" s="12" t="s">
        <v>105</v>
      </c>
      <c r="D33" s="13" t="s">
        <v>106</v>
      </c>
      <c r="E33" s="17">
        <v>131552</v>
      </c>
      <c r="F33" s="18">
        <v>516.41</v>
      </c>
      <c r="G33" s="19">
        <v>1.9099999999999999E-2</v>
      </c>
      <c r="H33" s="20"/>
    </row>
    <row r="34" spans="1:8" ht="13.05" customHeight="1">
      <c r="A34" s="15" t="s">
        <v>107</v>
      </c>
      <c r="B34" s="16" t="s">
        <v>108</v>
      </c>
      <c r="C34" s="12" t="s">
        <v>109</v>
      </c>
      <c r="D34" s="13" t="s">
        <v>110</v>
      </c>
      <c r="E34" s="17">
        <v>65262</v>
      </c>
      <c r="F34" s="18">
        <v>515.9</v>
      </c>
      <c r="G34" s="19">
        <v>1.9099999999999999E-2</v>
      </c>
      <c r="H34" s="20"/>
    </row>
    <row r="35" spans="1:8" ht="13.05" customHeight="1">
      <c r="A35" s="15" t="s">
        <v>111</v>
      </c>
      <c r="B35" s="16" t="s">
        <v>112</v>
      </c>
      <c r="C35" s="12" t="s">
        <v>113</v>
      </c>
      <c r="D35" s="13" t="s">
        <v>114</v>
      </c>
      <c r="E35" s="17">
        <v>4337</v>
      </c>
      <c r="F35" s="18">
        <v>500.05</v>
      </c>
      <c r="G35" s="19">
        <v>1.8499999999999999E-2</v>
      </c>
      <c r="H35" s="20"/>
    </row>
    <row r="36" spans="1:8" ht="13.05" customHeight="1">
      <c r="A36" s="15" t="s">
        <v>115</v>
      </c>
      <c r="B36" s="16" t="s">
        <v>116</v>
      </c>
      <c r="C36" s="12" t="s">
        <v>117</v>
      </c>
      <c r="D36" s="13" t="s">
        <v>118</v>
      </c>
      <c r="E36" s="17">
        <v>17204</v>
      </c>
      <c r="F36" s="18">
        <v>490.32</v>
      </c>
      <c r="G36" s="19">
        <v>1.8100000000000002E-2</v>
      </c>
      <c r="H36" s="20"/>
    </row>
    <row r="37" spans="1:8" ht="13.05" customHeight="1">
      <c r="A37" s="15" t="s">
        <v>119</v>
      </c>
      <c r="B37" s="16" t="s">
        <v>120</v>
      </c>
      <c r="C37" s="12" t="s">
        <v>121</v>
      </c>
      <c r="D37" s="13" t="s">
        <v>122</v>
      </c>
      <c r="E37" s="17">
        <v>12408</v>
      </c>
      <c r="F37" s="18">
        <v>472.06</v>
      </c>
      <c r="G37" s="19">
        <v>1.7500000000000002E-2</v>
      </c>
      <c r="H37" s="20"/>
    </row>
    <row r="38" spans="1:8" ht="13.05" customHeight="1">
      <c r="A38" s="15" t="s">
        <v>123</v>
      </c>
      <c r="B38" s="16" t="s">
        <v>124</v>
      </c>
      <c r="C38" s="12" t="s">
        <v>125</v>
      </c>
      <c r="D38" s="13" t="s">
        <v>72</v>
      </c>
      <c r="E38" s="17">
        <v>15665</v>
      </c>
      <c r="F38" s="18">
        <v>444.86</v>
      </c>
      <c r="G38" s="19">
        <v>1.6500000000000001E-2</v>
      </c>
      <c r="H38" s="20"/>
    </row>
    <row r="39" spans="1:8" ht="13.05" customHeight="1">
      <c r="A39" s="15" t="s">
        <v>126</v>
      </c>
      <c r="B39" s="16" t="s">
        <v>127</v>
      </c>
      <c r="C39" s="12" t="s">
        <v>128</v>
      </c>
      <c r="D39" s="13" t="s">
        <v>99</v>
      </c>
      <c r="E39" s="17">
        <v>10009</v>
      </c>
      <c r="F39" s="18">
        <v>442.46</v>
      </c>
      <c r="G39" s="19">
        <v>1.6400000000000001E-2</v>
      </c>
      <c r="H39" s="20"/>
    </row>
    <row r="40" spans="1:8" ht="13.05" customHeight="1">
      <c r="A40" s="15" t="s">
        <v>129</v>
      </c>
      <c r="B40" s="16" t="s">
        <v>130</v>
      </c>
      <c r="C40" s="12" t="s">
        <v>131</v>
      </c>
      <c r="D40" s="13" t="s">
        <v>132</v>
      </c>
      <c r="E40" s="17">
        <v>11458</v>
      </c>
      <c r="F40" s="18">
        <v>436.1</v>
      </c>
      <c r="G40" s="19">
        <v>1.61E-2</v>
      </c>
      <c r="H40" s="20"/>
    </row>
    <row r="41" spans="1:8" ht="13.05" customHeight="1">
      <c r="A41" s="15" t="s">
        <v>133</v>
      </c>
      <c r="B41" s="16" t="s">
        <v>134</v>
      </c>
      <c r="C41" s="12" t="s">
        <v>135</v>
      </c>
      <c r="D41" s="13" t="s">
        <v>136</v>
      </c>
      <c r="E41" s="17">
        <v>98319</v>
      </c>
      <c r="F41" s="18">
        <v>433.14</v>
      </c>
      <c r="G41" s="19">
        <v>1.6E-2</v>
      </c>
      <c r="H41" s="20"/>
    </row>
    <row r="42" spans="1:8" ht="13.05" customHeight="1">
      <c r="A42" s="15" t="s">
        <v>137</v>
      </c>
      <c r="B42" s="16" t="s">
        <v>138</v>
      </c>
      <c r="C42" s="12" t="s">
        <v>139</v>
      </c>
      <c r="D42" s="13" t="s">
        <v>140</v>
      </c>
      <c r="E42" s="17">
        <v>30083</v>
      </c>
      <c r="F42" s="18">
        <v>428.97</v>
      </c>
      <c r="G42" s="19">
        <v>1.5900000000000001E-2</v>
      </c>
      <c r="H42" s="20"/>
    </row>
    <row r="43" spans="1:8" ht="13.05" customHeight="1">
      <c r="A43" s="15" t="s">
        <v>141</v>
      </c>
      <c r="B43" s="16" t="s">
        <v>142</v>
      </c>
      <c r="C43" s="12" t="s">
        <v>143</v>
      </c>
      <c r="D43" s="13" t="s">
        <v>88</v>
      </c>
      <c r="E43" s="17">
        <v>28073</v>
      </c>
      <c r="F43" s="18">
        <v>410.06</v>
      </c>
      <c r="G43" s="19">
        <v>1.52E-2</v>
      </c>
      <c r="H43" s="20"/>
    </row>
    <row r="44" spans="1:8" ht="13.05" customHeight="1">
      <c r="A44" s="15" t="s">
        <v>144</v>
      </c>
      <c r="B44" s="16" t="s">
        <v>145</v>
      </c>
      <c r="C44" s="12" t="s">
        <v>146</v>
      </c>
      <c r="D44" s="13" t="s">
        <v>88</v>
      </c>
      <c r="E44" s="17">
        <v>35322</v>
      </c>
      <c r="F44" s="18">
        <v>377.43</v>
      </c>
      <c r="G44" s="19">
        <v>1.4E-2</v>
      </c>
      <c r="H44" s="20"/>
    </row>
    <row r="45" spans="1:8" ht="13.05" customHeight="1">
      <c r="A45" s="15" t="s">
        <v>147</v>
      </c>
      <c r="B45" s="16" t="s">
        <v>148</v>
      </c>
      <c r="C45" s="12" t="s">
        <v>149</v>
      </c>
      <c r="D45" s="13" t="s">
        <v>46</v>
      </c>
      <c r="E45" s="17">
        <v>76965</v>
      </c>
      <c r="F45" s="18">
        <v>375.63</v>
      </c>
      <c r="G45" s="19">
        <v>1.3899999999999999E-2</v>
      </c>
      <c r="H45" s="20"/>
    </row>
    <row r="46" spans="1:8" ht="13.05" customHeight="1">
      <c r="A46" s="15" t="s">
        <v>150</v>
      </c>
      <c r="B46" s="16" t="s">
        <v>151</v>
      </c>
      <c r="C46" s="12" t="s">
        <v>152</v>
      </c>
      <c r="D46" s="13" t="s">
        <v>46</v>
      </c>
      <c r="E46" s="17">
        <v>65307</v>
      </c>
      <c r="F46" s="18">
        <v>362.13</v>
      </c>
      <c r="G46" s="19">
        <v>1.34E-2</v>
      </c>
      <c r="H46" s="20"/>
    </row>
    <row r="47" spans="1:8" ht="13.05" customHeight="1">
      <c r="A47" s="15" t="s">
        <v>153</v>
      </c>
      <c r="B47" s="16" t="s">
        <v>154</v>
      </c>
      <c r="C47" s="12" t="s">
        <v>155</v>
      </c>
      <c r="D47" s="13" t="s">
        <v>39</v>
      </c>
      <c r="E47" s="17">
        <v>128000</v>
      </c>
      <c r="F47" s="18">
        <v>358.02</v>
      </c>
      <c r="G47" s="19">
        <v>1.32E-2</v>
      </c>
      <c r="H47" s="20"/>
    </row>
    <row r="48" spans="1:8" ht="13.05" customHeight="1">
      <c r="A48" s="15" t="s">
        <v>156</v>
      </c>
      <c r="B48" s="16" t="s">
        <v>157</v>
      </c>
      <c r="C48" s="12" t="s">
        <v>158</v>
      </c>
      <c r="D48" s="13" t="s">
        <v>39</v>
      </c>
      <c r="E48" s="17">
        <v>3573</v>
      </c>
      <c r="F48" s="18">
        <v>340.46</v>
      </c>
      <c r="G48" s="19">
        <v>1.26E-2</v>
      </c>
      <c r="H48" s="20"/>
    </row>
    <row r="49" spans="1:8" ht="13.05" customHeight="1">
      <c r="A49" s="15" t="s">
        <v>159</v>
      </c>
      <c r="B49" s="16" t="s">
        <v>160</v>
      </c>
      <c r="C49" s="12" t="s">
        <v>161</v>
      </c>
      <c r="D49" s="13" t="s">
        <v>99</v>
      </c>
      <c r="E49" s="17">
        <v>115975</v>
      </c>
      <c r="F49" s="18">
        <v>330.64</v>
      </c>
      <c r="G49" s="19">
        <v>1.2200000000000001E-2</v>
      </c>
      <c r="H49" s="20"/>
    </row>
    <row r="50" spans="1:8" ht="13.05" customHeight="1">
      <c r="A50" s="15" t="s">
        <v>162</v>
      </c>
      <c r="B50" s="16" t="s">
        <v>163</v>
      </c>
      <c r="C50" s="12" t="s">
        <v>164</v>
      </c>
      <c r="D50" s="13" t="s">
        <v>132</v>
      </c>
      <c r="E50" s="17">
        <v>6746</v>
      </c>
      <c r="F50" s="18">
        <v>289.89999999999998</v>
      </c>
      <c r="G50" s="19">
        <v>1.0699999999999999E-2</v>
      </c>
      <c r="H50" s="20"/>
    </row>
    <row r="51" spans="1:8" ht="13.05" customHeight="1">
      <c r="A51" s="15" t="s">
        <v>165</v>
      </c>
      <c r="B51" s="16" t="s">
        <v>166</v>
      </c>
      <c r="C51" s="12" t="s">
        <v>167</v>
      </c>
      <c r="D51" s="13" t="s">
        <v>168</v>
      </c>
      <c r="E51" s="17">
        <v>46419</v>
      </c>
      <c r="F51" s="18">
        <v>281.44</v>
      </c>
      <c r="G51" s="19">
        <v>1.04E-2</v>
      </c>
      <c r="H51" s="20"/>
    </row>
    <row r="52" spans="1:8" ht="13.05" customHeight="1">
      <c r="A52" s="15" t="s">
        <v>169</v>
      </c>
      <c r="B52" s="16" t="s">
        <v>170</v>
      </c>
      <c r="C52" s="12" t="s">
        <v>171</v>
      </c>
      <c r="D52" s="13" t="s">
        <v>60</v>
      </c>
      <c r="E52" s="17">
        <v>200823</v>
      </c>
      <c r="F52" s="18">
        <v>266.11</v>
      </c>
      <c r="G52" s="19">
        <v>9.7999999999999997E-3</v>
      </c>
      <c r="H52" s="20"/>
    </row>
    <row r="53" spans="1:8" ht="13.05" customHeight="1">
      <c r="A53" s="15" t="s">
        <v>172</v>
      </c>
      <c r="B53" s="16" t="s">
        <v>173</v>
      </c>
      <c r="C53" s="12" t="s">
        <v>174</v>
      </c>
      <c r="D53" s="13" t="s">
        <v>39</v>
      </c>
      <c r="E53" s="17">
        <v>3079</v>
      </c>
      <c r="F53" s="18">
        <v>248.01</v>
      </c>
      <c r="G53" s="19">
        <v>9.1999999999999998E-3</v>
      </c>
      <c r="H53" s="20"/>
    </row>
    <row r="54" spans="1:8" ht="13.05" customHeight="1">
      <c r="A54" s="15" t="s">
        <v>175</v>
      </c>
      <c r="B54" s="16" t="s">
        <v>176</v>
      </c>
      <c r="C54" s="12" t="s">
        <v>177</v>
      </c>
      <c r="D54" s="13" t="s">
        <v>60</v>
      </c>
      <c r="E54" s="17">
        <v>233819</v>
      </c>
      <c r="F54" s="18">
        <v>222.01</v>
      </c>
      <c r="G54" s="19">
        <v>8.2000000000000007E-3</v>
      </c>
      <c r="H54" s="20"/>
    </row>
    <row r="55" spans="1:8" ht="13.05" customHeight="1">
      <c r="A55" s="15" t="s">
        <v>178</v>
      </c>
      <c r="B55" s="16" t="s">
        <v>179</v>
      </c>
      <c r="C55" s="12" t="s">
        <v>180</v>
      </c>
      <c r="D55" s="13" t="s">
        <v>64</v>
      </c>
      <c r="E55" s="17">
        <v>17398</v>
      </c>
      <c r="F55" s="18">
        <v>214.76</v>
      </c>
      <c r="G55" s="19">
        <v>7.9000000000000008E-3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60</v>
      </c>
      <c r="E56" s="17">
        <v>30559</v>
      </c>
      <c r="F56" s="18">
        <v>200.51</v>
      </c>
      <c r="G56" s="19">
        <v>7.4000000000000003E-3</v>
      </c>
      <c r="H56" s="20"/>
    </row>
    <row r="57" spans="1:8" ht="13.05" customHeight="1">
      <c r="A57" s="15" t="s">
        <v>184</v>
      </c>
      <c r="B57" s="16" t="s">
        <v>185</v>
      </c>
      <c r="C57" s="12" t="s">
        <v>186</v>
      </c>
      <c r="D57" s="13" t="s">
        <v>187</v>
      </c>
      <c r="E57" s="17">
        <v>54312</v>
      </c>
      <c r="F57" s="18">
        <v>186.78</v>
      </c>
      <c r="G57" s="19">
        <v>6.8999999999999999E-3</v>
      </c>
      <c r="H57" s="20"/>
    </row>
    <row r="58" spans="1:8" ht="13.05" customHeight="1">
      <c r="A58" s="4"/>
      <c r="B58" s="21" t="s">
        <v>188</v>
      </c>
      <c r="C58" s="22"/>
      <c r="D58" s="21"/>
      <c r="E58" s="21"/>
      <c r="F58" s="23">
        <v>26897.41</v>
      </c>
      <c r="G58" s="24">
        <v>0.99490000000000001</v>
      </c>
      <c r="H58" s="25"/>
    </row>
    <row r="59" spans="1:8" ht="13.05" customHeight="1">
      <c r="A59" s="4"/>
      <c r="B59" s="11" t="s">
        <v>189</v>
      </c>
      <c r="C59" s="26"/>
      <c r="D59" s="27"/>
      <c r="E59" s="27"/>
      <c r="F59" s="28" t="s">
        <v>190</v>
      </c>
      <c r="G59" s="28" t="s">
        <v>190</v>
      </c>
      <c r="H59" s="25" t="s">
        <v>190</v>
      </c>
    </row>
    <row r="60" spans="1:8" ht="13.05" customHeight="1">
      <c r="A60" s="4"/>
      <c r="B60" s="21" t="s">
        <v>188</v>
      </c>
      <c r="C60" s="26"/>
      <c r="D60" s="27"/>
      <c r="E60" s="27"/>
      <c r="F60" s="28" t="s">
        <v>190</v>
      </c>
      <c r="G60" s="28" t="s">
        <v>190</v>
      </c>
      <c r="H60" s="25" t="s">
        <v>190</v>
      </c>
    </row>
    <row r="61" spans="1:8" ht="13.05" customHeight="1">
      <c r="A61" s="4"/>
      <c r="B61" s="21" t="s">
        <v>191</v>
      </c>
      <c r="C61" s="26"/>
      <c r="D61" s="27"/>
      <c r="E61" s="29"/>
      <c r="F61" s="30">
        <v>26897.41</v>
      </c>
      <c r="G61" s="31">
        <v>0.99490000000000001</v>
      </c>
      <c r="H61" s="32"/>
    </row>
    <row r="62" spans="1:8" ht="13.05" customHeight="1">
      <c r="A62" s="4"/>
      <c r="B62" s="11" t="s">
        <v>192</v>
      </c>
      <c r="C62" s="12"/>
      <c r="D62" s="13"/>
      <c r="E62" s="13"/>
      <c r="F62" s="13"/>
      <c r="G62" s="13"/>
      <c r="H62" s="14"/>
    </row>
    <row r="63" spans="1:8" ht="13.05" customHeight="1">
      <c r="A63" s="4"/>
      <c r="B63" s="33" t="s">
        <v>193</v>
      </c>
      <c r="C63" s="12"/>
      <c r="D63" s="13"/>
      <c r="E63" s="13"/>
      <c r="F63" s="13"/>
      <c r="G63" s="13"/>
      <c r="H63" s="14"/>
    </row>
    <row r="64" spans="1:8" ht="13.05" customHeight="1">
      <c r="A64" s="15" t="s">
        <v>194</v>
      </c>
      <c r="B64" s="16" t="s">
        <v>195</v>
      </c>
      <c r="C64" s="12"/>
      <c r="D64" s="13"/>
      <c r="E64" s="34"/>
      <c r="F64" s="18">
        <v>1749.91</v>
      </c>
      <c r="G64" s="19">
        <v>6.4699999999999994E-2</v>
      </c>
      <c r="H64" s="20">
        <v>6.6321695350980411E-2</v>
      </c>
    </row>
    <row r="65" spans="1:8" ht="13.05" customHeight="1">
      <c r="A65" s="4"/>
      <c r="B65" s="21" t="s">
        <v>191</v>
      </c>
      <c r="C65" s="26"/>
      <c r="D65" s="27"/>
      <c r="E65" s="29"/>
      <c r="F65" s="30">
        <v>1749.91</v>
      </c>
      <c r="G65" s="31">
        <v>6.4699999999999994E-2</v>
      </c>
      <c r="H65" s="32"/>
    </row>
    <row r="66" spans="1:8" ht="13.05" customHeight="1">
      <c r="A66" s="4"/>
      <c r="B66" s="33" t="s">
        <v>196</v>
      </c>
      <c r="C66" s="35"/>
      <c r="D66" s="36"/>
      <c r="E66" s="36"/>
      <c r="F66" s="36"/>
      <c r="G66" s="36"/>
      <c r="H66" s="37"/>
    </row>
    <row r="67" spans="1:8" ht="13.05" customHeight="1">
      <c r="A67" s="4"/>
      <c r="B67" s="27" t="s">
        <v>197</v>
      </c>
      <c r="C67" s="26"/>
      <c r="D67" s="27"/>
      <c r="E67" s="27"/>
      <c r="F67" s="23">
        <v>9.35</v>
      </c>
      <c r="G67" s="24">
        <v>2.9999999999999997E-4</v>
      </c>
      <c r="H67" s="37"/>
    </row>
    <row r="68" spans="1:8" ht="13.05" customHeight="1">
      <c r="A68" s="4"/>
      <c r="B68" s="21" t="s">
        <v>188</v>
      </c>
      <c r="C68" s="22"/>
      <c r="D68" s="21"/>
      <c r="E68" s="21"/>
      <c r="F68" s="23">
        <v>9.35</v>
      </c>
      <c r="G68" s="24">
        <v>2.9999999999999997E-4</v>
      </c>
      <c r="H68" s="37"/>
    </row>
    <row r="69" spans="1:8" ht="13.05" customHeight="1">
      <c r="A69" s="4"/>
      <c r="B69" s="21" t="s">
        <v>198</v>
      </c>
      <c r="C69" s="26"/>
      <c r="D69" s="27"/>
      <c r="E69" s="27"/>
      <c r="F69" s="23">
        <v>-1628.77</v>
      </c>
      <c r="G69" s="38">
        <v>-5.9900000000000002E-2</v>
      </c>
      <c r="H69" s="37"/>
    </row>
    <row r="70" spans="1:8" ht="13.05" customHeight="1" thickBot="1">
      <c r="A70" s="4"/>
      <c r="B70" s="39" t="s">
        <v>199</v>
      </c>
      <c r="C70" s="40"/>
      <c r="D70" s="41"/>
      <c r="E70" s="41"/>
      <c r="F70" s="42">
        <v>27027.904829854488</v>
      </c>
      <c r="G70" s="43">
        <v>1</v>
      </c>
      <c r="H70" s="44"/>
    </row>
    <row r="71" spans="1:8" ht="13.05" customHeight="1">
      <c r="A71" s="4"/>
      <c r="B71" s="45"/>
      <c r="C71" s="4"/>
      <c r="D71" s="4"/>
      <c r="E71" s="4"/>
      <c r="F71" s="4"/>
      <c r="G71" s="4"/>
      <c r="H71" s="4"/>
    </row>
    <row r="72" spans="1:8" ht="13.05" customHeight="1" thickBot="1">
      <c r="A72" s="4"/>
      <c r="B72" s="45"/>
      <c r="C72" s="4"/>
      <c r="D72" s="4"/>
      <c r="E72" s="4"/>
      <c r="F72" s="4"/>
      <c r="G72" s="4"/>
      <c r="H72" s="4"/>
    </row>
    <row r="73" spans="1:8">
      <c r="A73" s="1"/>
      <c r="B73" s="46" t="s">
        <v>200</v>
      </c>
      <c r="C73" s="47"/>
      <c r="D73" s="47"/>
      <c r="E73" s="48"/>
      <c r="F73" s="49"/>
    </row>
    <row r="74" spans="1:8">
      <c r="A74" s="1"/>
      <c r="B74" s="50" t="s">
        <v>201</v>
      </c>
      <c r="C74" s="51"/>
      <c r="D74" s="51"/>
      <c r="E74" s="51"/>
      <c r="F74" s="52"/>
    </row>
    <row r="75" spans="1:8">
      <c r="A75" s="1"/>
      <c r="B75" s="53" t="s">
        <v>202</v>
      </c>
      <c r="C75" s="51"/>
      <c r="D75" s="51"/>
      <c r="E75" s="54"/>
      <c r="F75" s="52"/>
    </row>
    <row r="76" spans="1:8" ht="15" thickBot="1">
      <c r="A76" s="1"/>
      <c r="B76" s="55" t="s">
        <v>203</v>
      </c>
      <c r="C76" s="56"/>
      <c r="D76" s="56"/>
      <c r="E76" s="56"/>
      <c r="F76" s="57"/>
    </row>
    <row r="77" spans="1:8">
      <c r="A77" s="1"/>
      <c r="B77" s="58" t="s">
        <v>204</v>
      </c>
      <c r="C77" s="59" t="s">
        <v>205</v>
      </c>
      <c r="D77" s="59"/>
      <c r="E77" s="60"/>
      <c r="F77" s="61"/>
    </row>
    <row r="78" spans="1:8" ht="15" thickBot="1">
      <c r="A78" s="1"/>
      <c r="B78" s="62"/>
      <c r="C78" s="63">
        <v>45565</v>
      </c>
      <c r="D78" s="63">
        <v>45382</v>
      </c>
      <c r="E78" s="63"/>
      <c r="F78" s="64"/>
    </row>
    <row r="79" spans="1:8">
      <c r="A79" s="1"/>
      <c r="B79" s="58" t="s">
        <v>206</v>
      </c>
      <c r="C79" s="65"/>
      <c r="D79" s="66"/>
      <c r="E79" s="67"/>
      <c r="F79" s="49"/>
    </row>
    <row r="80" spans="1:8">
      <c r="A80" s="1" t="s">
        <v>207</v>
      </c>
      <c r="B80" s="68" t="s">
        <v>208</v>
      </c>
      <c r="C80" s="69">
        <v>15.926299999999999</v>
      </c>
      <c r="D80" s="69">
        <v>12.6167</v>
      </c>
      <c r="E80" s="70"/>
      <c r="F80" s="71"/>
    </row>
    <row r="81" spans="1:6">
      <c r="A81" s="1" t="s">
        <v>209</v>
      </c>
      <c r="B81" s="68" t="s">
        <v>210</v>
      </c>
      <c r="C81" s="69">
        <v>15.9262</v>
      </c>
      <c r="D81" s="69">
        <v>12.6168</v>
      </c>
      <c r="E81" s="70"/>
      <c r="F81" s="71"/>
    </row>
    <row r="82" spans="1:6">
      <c r="A82" s="1"/>
      <c r="B82" s="68"/>
      <c r="C82" s="72"/>
      <c r="D82" s="72"/>
      <c r="E82" s="70"/>
      <c r="F82" s="71"/>
    </row>
    <row r="83" spans="1:6">
      <c r="A83" s="1"/>
      <c r="B83" s="73" t="s">
        <v>211</v>
      </c>
      <c r="C83" s="72"/>
      <c r="D83" s="72"/>
      <c r="E83" s="70"/>
      <c r="F83" s="71"/>
    </row>
    <row r="84" spans="1:6">
      <c r="A84" s="1" t="s">
        <v>212</v>
      </c>
      <c r="B84" s="68" t="s">
        <v>208</v>
      </c>
      <c r="C84" s="69">
        <v>16.0228</v>
      </c>
      <c r="D84" s="69">
        <v>12.6503</v>
      </c>
      <c r="E84" s="70"/>
      <c r="F84" s="71"/>
    </row>
    <row r="85" spans="1:6">
      <c r="A85" s="1" t="s">
        <v>213</v>
      </c>
      <c r="B85" s="68" t="s">
        <v>210</v>
      </c>
      <c r="C85" s="69">
        <v>16.019200000000001</v>
      </c>
      <c r="D85" s="69">
        <v>12.649100000000001</v>
      </c>
      <c r="E85" s="70"/>
      <c r="F85" s="71"/>
    </row>
    <row r="86" spans="1:6">
      <c r="A86" s="1"/>
      <c r="B86" s="68" t="s">
        <v>214</v>
      </c>
      <c r="C86" s="69"/>
      <c r="D86" s="74"/>
      <c r="E86" s="70"/>
      <c r="F86" s="71"/>
    </row>
    <row r="87" spans="1:6" ht="15" thickBot="1">
      <c r="A87" s="1"/>
      <c r="B87" s="55"/>
      <c r="C87" s="75"/>
      <c r="D87" s="75"/>
      <c r="E87" s="76"/>
      <c r="F87" s="77"/>
    </row>
    <row r="88" spans="1:6">
      <c r="A88" s="1"/>
      <c r="B88" s="68" t="s">
        <v>215</v>
      </c>
      <c r="C88" s="78"/>
      <c r="D88" s="79"/>
      <c r="E88" s="80"/>
      <c r="F88" s="81"/>
    </row>
    <row r="89" spans="1:6">
      <c r="A89" s="1"/>
      <c r="B89" s="68" t="s">
        <v>216</v>
      </c>
      <c r="C89" s="51"/>
      <c r="D89" s="79"/>
      <c r="E89" s="54"/>
      <c r="F89" s="71"/>
    </row>
    <row r="90" spans="1:6">
      <c r="A90" s="1"/>
      <c r="B90" s="68" t="s">
        <v>217</v>
      </c>
      <c r="C90" s="51"/>
      <c r="D90" s="82"/>
      <c r="E90" s="54"/>
      <c r="F90" s="71"/>
    </row>
    <row r="91" spans="1:6">
      <c r="A91" s="1"/>
      <c r="B91" s="83" t="s">
        <v>218</v>
      </c>
      <c r="C91" s="84"/>
      <c r="D91" s="85"/>
      <c r="E91" s="84"/>
      <c r="F91" s="86"/>
    </row>
    <row r="92" spans="1:6">
      <c r="A92" s="1"/>
      <c r="B92" s="68" t="s">
        <v>219</v>
      </c>
      <c r="C92" s="51"/>
      <c r="D92" s="51"/>
      <c r="E92" s="51"/>
      <c r="F92" s="52"/>
    </row>
    <row r="93" spans="1:6">
      <c r="A93" s="1"/>
      <c r="B93" s="68" t="s">
        <v>220</v>
      </c>
      <c r="C93" s="51"/>
      <c r="D93" s="51"/>
      <c r="E93" s="51"/>
      <c r="F93" s="52"/>
    </row>
    <row r="94" spans="1:6" ht="15" thickBot="1">
      <c r="A94" s="1"/>
      <c r="B94" s="55"/>
      <c r="C94" s="56"/>
      <c r="D94" s="56"/>
      <c r="E94" s="56"/>
      <c r="F94" s="57"/>
    </row>
    <row r="96" spans="1:6">
      <c r="B96" s="87" t="s">
        <v>221</v>
      </c>
      <c r="C96" s="4"/>
    </row>
    <row r="97" spans="2:3">
      <c r="B97" s="88" t="s">
        <v>222</v>
      </c>
      <c r="C97" s="88" t="s">
        <v>9</v>
      </c>
    </row>
    <row r="98" spans="2:3">
      <c r="B98" s="89" t="str">
        <f>+B8</f>
        <v>Rail Vikas Nigam Limited</v>
      </c>
      <c r="C98" s="90">
        <f>+G8</f>
        <v>3.9600000000000003E-2</v>
      </c>
    </row>
    <row r="99" spans="2:3">
      <c r="B99" s="89" t="str">
        <f t="shared" ref="B99:B104" si="0">+B9</f>
        <v>Trent Limited</v>
      </c>
      <c r="C99" s="90">
        <f t="shared" ref="C99:C104" si="1">+G9</f>
        <v>3.5799999999999998E-2</v>
      </c>
    </row>
    <row r="100" spans="2:3">
      <c r="B100" s="89" t="str">
        <f t="shared" si="0"/>
        <v>BSE Limited</v>
      </c>
      <c r="C100" s="90">
        <f t="shared" si="1"/>
        <v>3.4200000000000001E-2</v>
      </c>
    </row>
    <row r="101" spans="2:3">
      <c r="B101" s="89" t="str">
        <f t="shared" si="0"/>
        <v>Oil India Limited</v>
      </c>
      <c r="C101" s="90">
        <f t="shared" si="1"/>
        <v>3.1800000000000002E-2</v>
      </c>
    </row>
    <row r="102" spans="2:3">
      <c r="B102" s="89" t="str">
        <f t="shared" si="0"/>
        <v>Cochin Shipyard Limited</v>
      </c>
      <c r="C102" s="90">
        <f t="shared" si="1"/>
        <v>3.1199999999999999E-2</v>
      </c>
    </row>
    <row r="103" spans="2:3">
      <c r="B103" s="89" t="str">
        <f t="shared" si="0"/>
        <v>NBCC (India) Limited</v>
      </c>
      <c r="C103" s="90">
        <f t="shared" si="1"/>
        <v>3.0700000000000002E-2</v>
      </c>
    </row>
    <row r="104" spans="2:3">
      <c r="B104" s="89" t="str">
        <f t="shared" si="0"/>
        <v>Inox Wind Limited</v>
      </c>
      <c r="C104" s="90">
        <f t="shared" si="1"/>
        <v>3.0599999999999999E-2</v>
      </c>
    </row>
    <row r="106" spans="2:3">
      <c r="B106" s="87" t="s">
        <v>223</v>
      </c>
    </row>
    <row r="107" spans="2:3">
      <c r="B107" s="88" t="s">
        <v>224</v>
      </c>
      <c r="C107" s="88" t="s">
        <v>9</v>
      </c>
    </row>
    <row r="108" spans="2:3">
      <c r="B108" s="89" t="s">
        <v>225</v>
      </c>
      <c r="C108" s="90">
        <v>0.15329999999999999</v>
      </c>
    </row>
    <row r="109" spans="2:3">
      <c r="B109" s="89" t="s">
        <v>226</v>
      </c>
      <c r="C109" s="90">
        <v>6.4699999999999994E-2</v>
      </c>
    </row>
    <row r="110" spans="2:3">
      <c r="B110" s="89" t="s">
        <v>227</v>
      </c>
      <c r="C110" s="90">
        <v>3.9600000000000003E-2</v>
      </c>
    </row>
    <row r="111" spans="2:3">
      <c r="B111" s="89" t="s">
        <v>228</v>
      </c>
      <c r="C111" s="90">
        <v>3.5799999999999998E-2</v>
      </c>
    </row>
    <row r="112" spans="2:3">
      <c r="B112" s="89" t="s">
        <v>229</v>
      </c>
      <c r="C112" s="90">
        <v>3.4200000000000001E-2</v>
      </c>
    </row>
    <row r="113" spans="2:6">
      <c r="B113" s="89" t="s">
        <v>230</v>
      </c>
      <c r="C113" s="90">
        <v>3.1199999999999999E-2</v>
      </c>
    </row>
    <row r="114" spans="2:6">
      <c r="B114" s="89" t="s">
        <v>231</v>
      </c>
      <c r="C114" s="90">
        <v>3.0700000000000002E-2</v>
      </c>
    </row>
    <row r="116" spans="2:6">
      <c r="B116" s="87" t="s">
        <v>232</v>
      </c>
    </row>
    <row r="117" spans="2:6">
      <c r="B117" s="88" t="s">
        <v>233</v>
      </c>
      <c r="C117" s="88" t="s">
        <v>9</v>
      </c>
    </row>
    <row r="118" spans="2:6">
      <c r="B118" s="89" t="s">
        <v>234</v>
      </c>
      <c r="C118" s="90">
        <v>0.22349999999999998</v>
      </c>
    </row>
    <row r="119" spans="2:6">
      <c r="B119" s="89" t="s">
        <v>235</v>
      </c>
      <c r="C119" s="90">
        <v>0.185</v>
      </c>
    </row>
    <row r="120" spans="2:6">
      <c r="B120" s="89" t="s">
        <v>16</v>
      </c>
      <c r="C120" s="90">
        <v>7.0300000000000001E-2</v>
      </c>
    </row>
    <row r="121" spans="2:6">
      <c r="B121" s="89" t="s">
        <v>236</v>
      </c>
      <c r="C121" s="90">
        <v>6.8699999999999997E-2</v>
      </c>
    </row>
    <row r="122" spans="2:6">
      <c r="F122" s="91" t="s">
        <v>237</v>
      </c>
    </row>
    <row r="123" spans="2:6">
      <c r="B123" s="91" t="s">
        <v>238</v>
      </c>
      <c r="F123" s="91" t="s">
        <v>239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IDF295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2024-10-09T13:11:58Z</dcterms:created>
  <dcterms:modified xsi:type="dcterms:W3CDTF">2024-10-09T13:12:00Z</dcterms:modified>
</cp:coreProperties>
</file>