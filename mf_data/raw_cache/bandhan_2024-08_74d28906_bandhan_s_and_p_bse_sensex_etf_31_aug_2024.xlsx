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11816D89-9406-4430-90F4-DB1179674196}" xr6:coauthVersionLast="47" xr6:coauthVersionMax="47" xr10:uidLastSave="{00000000-0000-0000-0000-000000000000}"/>
  <bookViews>
    <workbookView xWindow="-108" yWindow="-108" windowWidth="23256" windowHeight="12576" xr2:uid="{2BC0E3EB-ABD1-4E4A-8CD9-EFDAA312D0F4}"/>
  </bookViews>
  <sheets>
    <sheet name="IDF229" sheetId="1" r:id="rId1"/>
  </sheets>
  <definedNames>
    <definedName name="JR_PAGE_ANCHOR_0_14">'IDF229'!$A$2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</calcChain>
</file>

<file path=xl/sharedStrings.xml><?xml version="1.0" encoding="utf-8"?>
<sst xmlns="http://schemas.openxmlformats.org/spreadsheetml/2006/main" count="171" uniqueCount="146">
  <si>
    <t>IDF229</t>
  </si>
  <si>
    <t>INDEX</t>
  </si>
  <si>
    <t>Portfolio Statement as on August 31,2024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</si>
  <si>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</si>
  <si>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</si>
  <si>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</si>
  <si>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</si>
  <si>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</si>
  <si>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</si>
  <si>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</si>
  <si>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</si>
  <si>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</si>
  <si>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</si>
  <si>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</si>
  <si>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</si>
  <si>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</si>
  <si>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</si>
  <si>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</si>
  <si>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</si>
  <si>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</si>
  <si>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</si>
  <si>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</si>
  <si>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</si>
  <si>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</si>
  <si>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</si>
  <si>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</si>
  <si>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</si>
  <si>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</si>
  <si>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</si>
  <si>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</si>
  <si>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</si>
  <si>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</si>
  <si>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</si>
  <si>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</si>
  <si>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</si>
  <si>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</si>
  <si>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</si>
  <si>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</si>
  <si>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</si>
  <si>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</si>
  <si>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</si>
  <si>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</si>
  <si>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</si>
  <si>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</si>
  <si>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</si>
  <si>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</si>
  <si>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</si>
  <si>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</si>
  <si>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</si>
  <si>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</si>
  <si>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</si>
  <si>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</si>
  <si>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</si>
  <si>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</si>
  <si>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</si>
  <si>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</si>
  <si>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</si>
  <si>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</si>
  <si>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</si>
  <si>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TELC03</t>
  </si>
  <si>
    <t>Tata Motors Limited</t>
  </si>
  <si>
    <t>INE155A01022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</si>
  <si>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</si>
  <si>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</si>
  <si>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</si>
  <si>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</si>
  <si>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</si>
  <si>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</si>
  <si>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</si>
  <si>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</si>
  <si>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</si>
  <si>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</si>
  <si>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</si>
  <si>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</si>
  <si>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</si>
  <si>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</si>
  <si>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</si>
  <si>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</si>
  <si>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</si>
  <si>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</si>
  <si>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</si>
  <si>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</si>
  <si>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</si>
  <si>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</si>
  <si>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</si>
  <si>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</si>
  <si>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</si>
  <si>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</si>
  <si>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</si>
  <si>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</si>
  <si>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</si>
  <si>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</si>
  <si>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</si>
  <si>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</si>
  <si>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</si>
  <si>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</si>
  <si>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</si>
  <si>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</si>
  <si>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MUND02</t>
  </si>
  <si>
    <t>Adani Ports and Special Economic Zone Limited</t>
  </si>
  <si>
    <t>INE742F01042</t>
  </si>
  <si>
    <t>Transport Infrastructure</t>
  </si>
  <si>
    <t>TEMA02</t>
  </si>
  <si>
    <t>Tech Mahindra Limited</t>
  </si>
  <si>
    <t>INE669C01036</t>
  </si>
  <si>
    <t>IIBL01</t>
  </si>
  <si>
    <t>IndusInd Bank Limited</t>
  </si>
  <si>
    <t>INE095A01012</t>
  </si>
  <si>
    <t>NEST02</t>
  </si>
  <si>
    <t>Nestle India Limited</t>
  </si>
  <si>
    <t>INE239A01024</t>
  </si>
  <si>
    <t>Food Products</t>
  </si>
  <si>
    <t>JVSL04</t>
  </si>
  <si>
    <t>JSW Steel Limited</t>
  </si>
  <si>
    <t>INE019A01038</t>
  </si>
  <si>
    <t>BFSL02</t>
  </si>
  <si>
    <t>Bajaj Finserv Limited</t>
  </si>
  <si>
    <t>INE918I01026</t>
  </si>
  <si>
    <t>Subtotal</t>
  </si>
  <si>
    <t>(b) UNLISTED</t>
  </si>
  <si>
    <t>NIL</t>
  </si>
  <si>
    <t>Total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</si>
  <si>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</si>
  <si>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</si>
  <si>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</si>
  <si>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</si>
  <si>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</si>
  <si>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</si>
  <si>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</si>
  <si>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</si>
  <si>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</si>
  <si>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Mukesh Ambani Group</t>
  </si>
  <si>
    <t>Tata Group</t>
  </si>
  <si>
    <t>ICICI Group</t>
  </si>
  <si>
    <t>Infosys Group</t>
  </si>
  <si>
    <t>ITC Group</t>
  </si>
  <si>
    <t>L &amp; T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</si>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</sst>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78</xdr:row>
      <xdr:rowOff>60960</xdr:rowOff>
    </xdr:from>
    <xdr:to>
      <xdr:col>1</xdr:col>
      <xdr:colOff>2849880</xdr:colOff>
      <xdr:row>88</xdr:row>
      <xdr:rowOff>167640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BCD45AB-D400-4709-B16F-DD4EDE0CFB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502640"/>
          <a:ext cx="284988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78</xdr:row>
      <xdr:rowOff>60960</xdr:rowOff>
    </xdr:from>
    <xdr:to>
      <xdr:col>7</xdr:col>
      <xdr:colOff>548640</xdr:colOff>
      <xdr:row>88</xdr:row>
      <xdr:rowOff>167640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745F8967-F24C-481C-AFB2-2B92903FDC4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3502640"/>
          <a:ext cx="284226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C25B-9343-4A87-BFD7-4A49A13C7A8C}">
  <sheetPr codeName="Sheet14">
    <outlinePr summaryBelow="0"/>
  </sheetPr>
  <dimension ref="A1:H77"/>
  <sheetViews>
    <sheetView tabSelected="1" topLeftCell="A70" zoomScale="85" zoomScaleNormal="85" workbookViewId="0">
      <selection activeCell="B71" sqref="B71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987</v>
      </c>
      <c r="F8" s="18">
        <v>16.12</v>
      </c>
      <c r="G8" s="19">
        <v>0.12959999999999999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444</v>
      </c>
      <c r="F9" s="18">
        <v>13.41</v>
      </c>
      <c r="G9" s="19">
        <v>0.10780000000000001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922</v>
      </c>
      <c r="F10" s="18">
        <v>11.34</v>
      </c>
      <c r="G10" s="19">
        <v>9.1200000000000003E-2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474</v>
      </c>
      <c r="F11" s="18">
        <v>9.2100000000000009</v>
      </c>
      <c r="G11" s="19">
        <v>7.4099999999999999E-2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1212</v>
      </c>
      <c r="F12" s="18">
        <v>6.08</v>
      </c>
      <c r="G12" s="19">
        <v>4.8899999999999999E-2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27</v>
      </c>
      <c r="E13" s="17">
        <v>133</v>
      </c>
      <c r="F13" s="18">
        <v>6.05</v>
      </c>
      <c r="G13" s="19">
        <v>4.87E-2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153</v>
      </c>
      <c r="F14" s="18">
        <v>5.67</v>
      </c>
      <c r="G14" s="19">
        <v>4.5499999999999999E-2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350</v>
      </c>
      <c r="F15" s="18">
        <v>5.56</v>
      </c>
      <c r="G15" s="19">
        <v>4.4699999999999997E-2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369</v>
      </c>
      <c r="F16" s="18">
        <v>4.34</v>
      </c>
      <c r="G16" s="19">
        <v>3.49E-2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503</v>
      </c>
      <c r="F17" s="18">
        <v>4.0999999999999996</v>
      </c>
      <c r="G17" s="19">
        <v>3.3000000000000002E-2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193</v>
      </c>
      <c r="F18" s="18">
        <v>3.44</v>
      </c>
      <c r="G18" s="19">
        <v>2.76E-2</v>
      </c>
      <c r="H18" s="20"/>
    </row>
    <row r="19" spans="1:8" ht="13.05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116</v>
      </c>
      <c r="F19" s="18">
        <v>3.26</v>
      </c>
      <c r="G19" s="19">
        <v>2.6200000000000001E-2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117</v>
      </c>
      <c r="F20" s="18">
        <v>3.25</v>
      </c>
      <c r="G20" s="19">
        <v>2.6100000000000002E-2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55</v>
      </c>
      <c r="E21" s="17">
        <v>275</v>
      </c>
      <c r="F21" s="18">
        <v>3.05</v>
      </c>
      <c r="G21" s="19">
        <v>2.4500000000000001E-2</v>
      </c>
      <c r="H21" s="20"/>
    </row>
    <row r="22" spans="1:8" ht="13.05" customHeight="1">
      <c r="A22" s="15" t="s">
        <v>62</v>
      </c>
      <c r="B22" s="16" t="s">
        <v>63</v>
      </c>
      <c r="C22" s="12" t="s">
        <v>64</v>
      </c>
      <c r="D22" s="13" t="s">
        <v>65</v>
      </c>
      <c r="E22" s="17">
        <v>37</v>
      </c>
      <c r="F22" s="18">
        <v>2.67</v>
      </c>
      <c r="G22" s="19">
        <v>2.1399999999999999E-2</v>
      </c>
      <c r="H22" s="20"/>
    </row>
    <row r="23" spans="1:8" ht="13.05" customHeight="1">
      <c r="A23" s="15" t="s">
        <v>66</v>
      </c>
      <c r="B23" s="16" t="s">
        <v>67</v>
      </c>
      <c r="C23" s="12" t="s">
        <v>68</v>
      </c>
      <c r="D23" s="13" t="s">
        <v>69</v>
      </c>
      <c r="E23" s="17">
        <v>623</v>
      </c>
      <c r="F23" s="18">
        <v>2.59</v>
      </c>
      <c r="G23" s="19">
        <v>2.0899999999999998E-2</v>
      </c>
      <c r="H23" s="20"/>
    </row>
    <row r="24" spans="1:8" ht="13.05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142</v>
      </c>
      <c r="F24" s="18">
        <v>2.59</v>
      </c>
      <c r="G24" s="19">
        <v>2.0799999999999999E-2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27</v>
      </c>
      <c r="E25" s="17">
        <v>139</v>
      </c>
      <c r="F25" s="18">
        <v>2.44</v>
      </c>
      <c r="G25" s="19">
        <v>1.9599999999999999E-2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55</v>
      </c>
      <c r="E26" s="17">
        <v>17</v>
      </c>
      <c r="F26" s="18">
        <v>2.11</v>
      </c>
      <c r="G26" s="19">
        <v>1.7000000000000001E-2</v>
      </c>
      <c r="H26" s="20"/>
    </row>
    <row r="27" spans="1:8" ht="13.05" customHeight="1">
      <c r="A27" s="15" t="s">
        <v>80</v>
      </c>
      <c r="B27" s="16" t="s">
        <v>81</v>
      </c>
      <c r="C27" s="12" t="s">
        <v>82</v>
      </c>
      <c r="D27" s="13" t="s">
        <v>69</v>
      </c>
      <c r="E27" s="17">
        <v>598</v>
      </c>
      <c r="F27" s="18">
        <v>2.02</v>
      </c>
      <c r="G27" s="19">
        <v>1.6199999999999999E-2</v>
      </c>
      <c r="H27" s="20"/>
    </row>
    <row r="28" spans="1:8" ht="13.05" customHeight="1">
      <c r="A28" s="15" t="s">
        <v>83</v>
      </c>
      <c r="B28" s="16" t="s">
        <v>84</v>
      </c>
      <c r="C28" s="12" t="s">
        <v>85</v>
      </c>
      <c r="D28" s="13" t="s">
        <v>86</v>
      </c>
      <c r="E28" s="17">
        <v>55</v>
      </c>
      <c r="F28" s="18">
        <v>1.96</v>
      </c>
      <c r="G28" s="19">
        <v>1.5800000000000002E-2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86</v>
      </c>
      <c r="E29" s="17">
        <v>59</v>
      </c>
      <c r="F29" s="18">
        <v>1.84</v>
      </c>
      <c r="G29" s="19">
        <v>1.4800000000000001E-2</v>
      </c>
      <c r="H29" s="20"/>
    </row>
    <row r="30" spans="1:8" ht="13.05" customHeight="1">
      <c r="A30" s="15" t="s">
        <v>90</v>
      </c>
      <c r="B30" s="16" t="s">
        <v>91</v>
      </c>
      <c r="C30" s="12" t="s">
        <v>92</v>
      </c>
      <c r="D30" s="13" t="s">
        <v>93</v>
      </c>
      <c r="E30" s="17">
        <v>15</v>
      </c>
      <c r="F30" s="18">
        <v>1.7</v>
      </c>
      <c r="G30" s="19">
        <v>1.3599999999999999E-2</v>
      </c>
      <c r="H30" s="20"/>
    </row>
    <row r="31" spans="1:8" ht="13.05" customHeight="1">
      <c r="A31" s="15" t="s">
        <v>94</v>
      </c>
      <c r="B31" s="16" t="s">
        <v>95</v>
      </c>
      <c r="C31" s="12" t="s">
        <v>96</v>
      </c>
      <c r="D31" s="13" t="s">
        <v>97</v>
      </c>
      <c r="E31" s="17">
        <v>1081</v>
      </c>
      <c r="F31" s="18">
        <v>1.65</v>
      </c>
      <c r="G31" s="19">
        <v>1.3299999999999999E-2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96</v>
      </c>
      <c r="F32" s="18">
        <v>1.42</v>
      </c>
      <c r="G32" s="19">
        <v>1.14E-2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27</v>
      </c>
      <c r="E33" s="17">
        <v>83</v>
      </c>
      <c r="F33" s="18">
        <v>1.36</v>
      </c>
      <c r="G33" s="19">
        <v>1.09E-2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16</v>
      </c>
      <c r="E34" s="17">
        <v>87</v>
      </c>
      <c r="F34" s="18">
        <v>1.24</v>
      </c>
      <c r="G34" s="19">
        <v>0.01</v>
      </c>
      <c r="H34" s="20"/>
    </row>
    <row r="35" spans="1:8" ht="13.05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47</v>
      </c>
      <c r="F35" s="18">
        <v>1.18</v>
      </c>
      <c r="G35" s="19">
        <v>9.4999999999999998E-3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97</v>
      </c>
      <c r="E36" s="17">
        <v>125</v>
      </c>
      <c r="F36" s="18">
        <v>1.18</v>
      </c>
      <c r="G36" s="19">
        <v>9.4999999999999998E-3</v>
      </c>
      <c r="H36" s="20"/>
    </row>
    <row r="37" spans="1:8" ht="13.05" customHeight="1">
      <c r="A37" s="15" t="s">
        <v>115</v>
      </c>
      <c r="B37" s="16" t="s">
        <v>116</v>
      </c>
      <c r="C37" s="12" t="s">
        <v>117</v>
      </c>
      <c r="D37" s="13" t="s">
        <v>65</v>
      </c>
      <c r="E37" s="17">
        <v>63</v>
      </c>
      <c r="F37" s="18">
        <v>1.1200000000000001</v>
      </c>
      <c r="G37" s="19">
        <v>8.9999999999999993E-3</v>
      </c>
      <c r="H37" s="20"/>
    </row>
    <row r="38" spans="1:8" ht="13.05" customHeight="1">
      <c r="A38" s="4"/>
      <c r="B38" s="21" t="s">
        <v>118</v>
      </c>
      <c r="C38" s="22"/>
      <c r="D38" s="21"/>
      <c r="E38" s="21"/>
      <c r="F38" s="23">
        <v>123.95</v>
      </c>
      <c r="G38" s="24">
        <v>0.99650000000000005</v>
      </c>
      <c r="H38" s="25"/>
    </row>
    <row r="39" spans="1:8" ht="13.05" customHeight="1">
      <c r="A39" s="4"/>
      <c r="B39" s="11" t="s">
        <v>119</v>
      </c>
      <c r="C39" s="26"/>
      <c r="D39" s="27"/>
      <c r="E39" s="27"/>
      <c r="F39" s="28" t="s">
        <v>120</v>
      </c>
      <c r="G39" s="28" t="s">
        <v>120</v>
      </c>
      <c r="H39" s="25" t="s">
        <v>120</v>
      </c>
    </row>
    <row r="40" spans="1:8" ht="13.05" customHeight="1">
      <c r="A40" s="4"/>
      <c r="B40" s="21" t="s">
        <v>118</v>
      </c>
      <c r="C40" s="26"/>
      <c r="D40" s="27"/>
      <c r="E40" s="27"/>
      <c r="F40" s="28" t="s">
        <v>120</v>
      </c>
      <c r="G40" s="28" t="s">
        <v>120</v>
      </c>
      <c r="H40" s="25" t="s">
        <v>120</v>
      </c>
    </row>
    <row r="41" spans="1:8" ht="13.05" customHeight="1">
      <c r="A41" s="4"/>
      <c r="B41" s="21" t="s">
        <v>121</v>
      </c>
      <c r="C41" s="26"/>
      <c r="D41" s="27"/>
      <c r="E41" s="29"/>
      <c r="F41" s="30">
        <v>123.95</v>
      </c>
      <c r="G41" s="31">
        <v>0.99650000000000005</v>
      </c>
      <c r="H41" s="32"/>
    </row>
    <row r="42" spans="1:8" ht="13.05" customHeight="1">
      <c r="A42" s="4"/>
      <c r="B42" s="33" t="s">
        <v>122</v>
      </c>
      <c r="C42" s="34"/>
      <c r="D42" s="35"/>
      <c r="E42" s="35"/>
      <c r="F42" s="35"/>
      <c r="G42" s="35"/>
      <c r="H42" s="36"/>
    </row>
    <row r="43" spans="1:8" ht="13.05" customHeight="1">
      <c r="A43" s="4"/>
      <c r="B43" s="27" t="s">
        <v>123</v>
      </c>
      <c r="C43" s="26"/>
      <c r="D43" s="27"/>
      <c r="E43" s="27"/>
      <c r="F43" s="23">
        <v>0.04</v>
      </c>
      <c r="G43" s="24">
        <v>2.9999999999999997E-4</v>
      </c>
      <c r="H43" s="36"/>
    </row>
    <row r="44" spans="1:8" ht="13.05" customHeight="1">
      <c r="A44" s="4"/>
      <c r="B44" s="21" t="s">
        <v>118</v>
      </c>
      <c r="C44" s="22"/>
      <c r="D44" s="21"/>
      <c r="E44" s="21"/>
      <c r="F44" s="23">
        <v>0.04</v>
      </c>
      <c r="G44" s="24">
        <v>2.9999999999999997E-4</v>
      </c>
      <c r="H44" s="36"/>
    </row>
    <row r="45" spans="1:8" ht="13.05" customHeight="1">
      <c r="A45" s="4"/>
      <c r="B45" s="21" t="s">
        <v>124</v>
      </c>
      <c r="C45" s="26"/>
      <c r="D45" s="27"/>
      <c r="E45" s="27"/>
      <c r="F45" s="23">
        <v>0.4</v>
      </c>
      <c r="G45" s="37">
        <v>3.2000000000000002E-3</v>
      </c>
      <c r="H45" s="36"/>
    </row>
    <row r="46" spans="1:8" ht="13.05" customHeight="1" thickBot="1">
      <c r="A46" s="4"/>
      <c r="B46" s="38" t="s">
        <v>125</v>
      </c>
      <c r="C46" s="39"/>
      <c r="D46" s="40"/>
      <c r="E46" s="40"/>
      <c r="F46" s="41">
        <v>124.3911355333001</v>
      </c>
      <c r="G46" s="42">
        <v>1</v>
      </c>
      <c r="H46" s="43"/>
    </row>
    <row r="47" spans="1:8" ht="13.05" customHeight="1">
      <c r="A47" s="4"/>
      <c r="B47" s="44"/>
      <c r="C47" s="4"/>
      <c r="D47" s="4"/>
      <c r="E47" s="4"/>
      <c r="F47" s="4"/>
      <c r="G47" s="4"/>
      <c r="H47" s="4"/>
    </row>
    <row r="50" spans="2:3">
      <c r="B50" s="45" t="s">
        <v>126</v>
      </c>
      <c r="C50" s="4"/>
    </row>
    <row r="51" spans="2:3">
      <c r="B51" s="46" t="s">
        <v>127</v>
      </c>
      <c r="C51" s="46" t="s">
        <v>9</v>
      </c>
    </row>
    <row r="52" spans="2:3">
      <c r="B52" s="47" t="str">
        <f>+B8</f>
        <v>HDFC Bank Limited</v>
      </c>
      <c r="C52" s="48">
        <f>+G8</f>
        <v>0.12959999999999999</v>
      </c>
    </row>
    <row r="53" spans="2:3">
      <c r="B53" s="47" t="str">
        <f t="shared" ref="B53:B58" si="0">+B9</f>
        <v>Reliance Industries Limited</v>
      </c>
      <c r="C53" s="48">
        <f t="shared" ref="C53:C58" si="1">+G9</f>
        <v>0.10780000000000001</v>
      </c>
    </row>
    <row r="54" spans="2:3">
      <c r="B54" s="47" t="str">
        <f t="shared" si="0"/>
        <v>ICICI Bank Limited</v>
      </c>
      <c r="C54" s="48">
        <f t="shared" si="1"/>
        <v>9.1200000000000003E-2</v>
      </c>
    </row>
    <row r="55" spans="2:3">
      <c r="B55" s="47" t="str">
        <f t="shared" si="0"/>
        <v>Infosys Limited</v>
      </c>
      <c r="C55" s="48">
        <f t="shared" si="1"/>
        <v>7.4099999999999999E-2</v>
      </c>
    </row>
    <row r="56" spans="2:3">
      <c r="B56" s="47" t="str">
        <f t="shared" si="0"/>
        <v>ITC Limited</v>
      </c>
      <c r="C56" s="48">
        <f t="shared" si="1"/>
        <v>4.8899999999999999E-2</v>
      </c>
    </row>
    <row r="57" spans="2:3">
      <c r="B57" s="47" t="str">
        <f t="shared" si="0"/>
        <v>Tata Consultancy Services Limited</v>
      </c>
      <c r="C57" s="48">
        <f t="shared" si="1"/>
        <v>4.87E-2</v>
      </c>
    </row>
    <row r="58" spans="2:3">
      <c r="B58" s="47" t="str">
        <f t="shared" si="0"/>
        <v>Larsen &amp; Toubro Limited</v>
      </c>
      <c r="C58" s="48">
        <f t="shared" si="1"/>
        <v>4.5499999999999999E-2</v>
      </c>
    </row>
    <row r="60" spans="2:3">
      <c r="B60" s="45" t="s">
        <v>128</v>
      </c>
    </row>
    <row r="61" spans="2:3">
      <c r="B61" s="46" t="s">
        <v>129</v>
      </c>
      <c r="C61" s="46" t="s">
        <v>9</v>
      </c>
    </row>
    <row r="62" spans="2:3">
      <c r="B62" s="47" t="s">
        <v>130</v>
      </c>
      <c r="C62" s="48">
        <v>0.12959999999999999</v>
      </c>
    </row>
    <row r="63" spans="2:3">
      <c r="B63" s="47" t="s">
        <v>131</v>
      </c>
      <c r="C63" s="48">
        <v>0.10780000000000001</v>
      </c>
    </row>
    <row r="64" spans="2:3">
      <c r="B64" s="47" t="s">
        <v>132</v>
      </c>
      <c r="C64" s="48">
        <v>0.1023</v>
      </c>
    </row>
    <row r="65" spans="2:6">
      <c r="B65" s="47" t="s">
        <v>133</v>
      </c>
      <c r="C65" s="48">
        <v>9.1200000000000003E-2</v>
      </c>
    </row>
    <row r="66" spans="2:6">
      <c r="B66" s="47" t="s">
        <v>134</v>
      </c>
      <c r="C66" s="48">
        <v>7.4099999999999999E-2</v>
      </c>
    </row>
    <row r="67" spans="2:6">
      <c r="B67" s="47" t="s">
        <v>135</v>
      </c>
      <c r="C67" s="48">
        <v>4.8899999999999999E-2</v>
      </c>
    </row>
    <row r="68" spans="2:6">
      <c r="B68" s="47" t="s">
        <v>136</v>
      </c>
      <c r="C68" s="48">
        <v>4.5499999999999999E-2</v>
      </c>
    </row>
    <row r="70" spans="2:6">
      <c r="B70" s="45" t="s">
        <v>137</v>
      </c>
    </row>
    <row r="71" spans="2:6">
      <c r="B71" s="46" t="s">
        <v>138</v>
      </c>
      <c r="C71" s="46" t="s">
        <v>9</v>
      </c>
    </row>
    <row r="72" spans="2:6">
      <c r="B72" s="47" t="s">
        <v>139</v>
      </c>
      <c r="C72" s="48">
        <v>0.35669999999999996</v>
      </c>
    </row>
    <row r="73" spans="2:6">
      <c r="B73" s="47" t="s">
        <v>140</v>
      </c>
      <c r="C73" s="48">
        <v>0.15329999999999999</v>
      </c>
    </row>
    <row r="74" spans="2:6">
      <c r="B74" s="47" t="s">
        <v>141</v>
      </c>
      <c r="C74" s="48">
        <v>0.10780000000000001</v>
      </c>
    </row>
    <row r="75" spans="2:6">
      <c r="B75" s="47" t="s">
        <v>142</v>
      </c>
      <c r="C75" s="48">
        <v>8.4500000000000006E-2</v>
      </c>
    </row>
    <row r="76" spans="2:6">
      <c r="F76" s="49" t="s">
        <v>143</v>
      </c>
    </row>
    <row r="77" spans="2:6">
      <c r="B77" s="49" t="s">
        <v>144</v>
      </c>
      <c r="F77" s="49" t="s">
        <v>145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2024-09-07T15:36:11Z</dcterms:created>
  <dcterms:modified xsi:type="dcterms:W3CDTF">2024-09-07T15:36:16Z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2024-09-07T15:36:16Z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403f6fc1-94e2-4267-b496-e6ea89241883</vt:lpwstr>
  </property>
  <property fmtid="{D5CDD505-2E9C-101B-9397-08002B2CF9AE}" pid="8" name="MSIP_Label_1b7f8449-e5d3-4eba-8da7-ffd6ca5bf3e9_ContentBits">
    <vt:lpwstr>0</vt:lpwstr>
  </property>
</Properties>
</file>