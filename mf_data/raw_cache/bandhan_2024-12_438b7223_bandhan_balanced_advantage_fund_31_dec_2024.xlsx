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3A74E166-DA05-46AD-AD15-451D6CEA33D3}" xr6:coauthVersionLast="47" xr6:coauthVersionMax="47" xr10:uidLastSave="{00000000-0000-0000-0000-000000000000}"/>
  <bookViews>
    <workbookView xWindow="-108" yWindow="-108" windowWidth="41496" windowHeight="16896" xr2:uid="{01C0D925-8AA2-4C02-9DFA-4AA1DE2F3CC3}"/>
  </bookViews>
  <sheets>
    <sheet name="IDF223" sheetId="1" r:id="rId1"/>
  </sheets>
  <definedNames>
    <definedName name="JR_PAGE_ANCHOR_0_40">'IDF223'!$A$2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3" i="1" l="1"/>
  <c r="F93" i="1"/>
  <c r="G90" i="1"/>
  <c r="F90" i="1"/>
</calcChain>
</file>

<file path=xl/sharedStrings.xml><?xml version="1.0" encoding="utf-8"?>
<sst xmlns="http://schemas.openxmlformats.org/spreadsheetml/2006/main" count="520" uniqueCount="419">
  <si>
    <t>IDF223</t>
  </si>
  <si>
    <t>INDEX</t>
  </si>
  <si>
    <t>Portfolio Statement as on December 31,2024</t>
  </si>
  <si>
    <t>Bandhan Balanced Advantage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</si>
  <si>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</si>
  <si>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</si>
  <si>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</si>
  <si>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</si>
  <si>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</si>
  <si>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</si>
  <si>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</si>
  <si>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</si>
  <si>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</si>
  <si>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</si>
  <si>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</si>
  <si>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</si>
  <si>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</si>
  <si>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BAFL02</t>
  </si>
  <si>
    <t>Bajaj Finance Limited</t>
  </si>
  <si>
    <t>INE296A01024</t>
  </si>
  <si>
    <t>Finance</t>
  </si>
  <si>
    <t>SBAI02</t>
  </si>
  <si>
    <t>State Bank of India</t>
  </si>
  <si>
    <t>INE062A01020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</si>
  <si>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</si>
  <si>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</si>
  <si>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</si>
  <si>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</si>
  <si>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</si>
  <si>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</si>
  <si>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</si>
  <si>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</si>
  <si>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</si>
  <si>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</si>
  <si>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</si>
  <si>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</si>
  <si>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VNBL03</t>
  </si>
  <si>
    <t>Varun Beverages Limited</t>
  </si>
  <si>
    <t>INE200M01039</t>
  </si>
  <si>
    <t>Beverages</t>
  </si>
  <si>
    <t>TCSL01</t>
  </si>
  <si>
    <t>Tata Consultancy Services Limited</t>
  </si>
  <si>
    <t>INE467B01029</t>
  </si>
  <si>
    <t>CHOL02</t>
  </si>
  <si>
    <t>Cholamandalam Investment and Finance Company Ltd</t>
  </si>
  <si>
    <t>INE121A01024</t>
  </si>
  <si>
    <t>MAHI02</t>
  </si>
  <si>
    <t>Mahindra &amp; Mahindra Limited</t>
  </si>
  <si>
    <t>INE101A01026</t>
  </si>
  <si>
    <t>Automobiles</t>
  </si>
  <si>
    <t>ONCO02</t>
  </si>
  <si>
    <t>One 97 Communications Limited</t>
  </si>
  <si>
    <t>INE982J01020</t>
  </si>
  <si>
    <t>Financial Technology (Fintech)</t>
  </si>
  <si>
    <t>MCSP02</t>
  </si>
  <si>
    <t>United Spirits Limited</t>
  </si>
  <si>
    <t>INE854D01024</t>
  </si>
  <si>
    <t>TELC03</t>
  </si>
  <si>
    <t>Tata Motors Limited</t>
  </si>
  <si>
    <t>INE155A01022</t>
  </si>
  <si>
    <t>ZMPL01</t>
  </si>
  <si>
    <t>Zomato Limited</t>
  </si>
  <si>
    <t>INE758T01015</t>
  </si>
  <si>
    <t>Retailing</t>
  </si>
  <si>
    <t>IEIN01</t>
  </si>
  <si>
    <t>Info Edge (India) Limited</t>
  </si>
  <si>
    <t>INE663F01024</t>
  </si>
  <si>
    <t>HDFB03</t>
  </si>
  <si>
    <t>HDFC Bank Limited</t>
  </si>
  <si>
    <t>INE040A01034</t>
  </si>
  <si>
    <t>KOMA02</t>
  </si>
  <si>
    <t>Kotak Mahindra Bank Limited</t>
  </si>
  <si>
    <t>INE237A01028</t>
  </si>
  <si>
    <t>SECH03</t>
  </si>
  <si>
    <t>UPL Limited</t>
  </si>
  <si>
    <t>INE628A01036</t>
  </si>
  <si>
    <t>Fertilizers &amp; Agrochemicals</t>
  </si>
  <si>
    <t>LARS02</t>
  </si>
  <si>
    <t>Larsen &amp; Toubro Limited</t>
  </si>
  <si>
    <t>INE018A01030</t>
  </si>
  <si>
    <t>Construction</t>
  </si>
  <si>
    <t>ADHL01</t>
  </si>
  <si>
    <t>Aster DM Healthcare Limited</t>
  </si>
  <si>
    <t>INE914M01019</t>
  </si>
  <si>
    <t>Healthcare Services</t>
  </si>
  <si>
    <t>HDLI01</t>
  </si>
  <si>
    <t>HDFC Life Insurance Company Limited</t>
  </si>
  <si>
    <t>INE795G01014</t>
  </si>
  <si>
    <t>Insurance</t>
  </si>
  <si>
    <t>GCPL02</t>
  </si>
  <si>
    <t>Godrej Consumer Products Limited</t>
  </si>
  <si>
    <t>INE102D01028</t>
  </si>
  <si>
    <t>Personal Products</t>
  </si>
  <si>
    <t>SESA02</t>
  </si>
  <si>
    <t>Vedanta Limited</t>
  </si>
  <si>
    <t>INE205A01025</t>
  </si>
  <si>
    <t>Diversified Metals</t>
  </si>
  <si>
    <t>HLEL02</t>
  </si>
  <si>
    <t>Hindustan Unilever Limited</t>
  </si>
  <si>
    <t>INE030A01027</t>
  </si>
  <si>
    <t>Diversified FMCG</t>
  </si>
  <si>
    <t>LUPL02</t>
  </si>
  <si>
    <t>Lupin Limited</t>
  </si>
  <si>
    <t>INE326A01037</t>
  </si>
  <si>
    <t>Pharmaceuticals &amp; Biotechnology</t>
  </si>
  <si>
    <t>UTIB02</t>
  </si>
  <si>
    <t>Axis Bank Limited</t>
  </si>
  <si>
    <t>INE238A01034</t>
  </si>
  <si>
    <t>TEMA02</t>
  </si>
  <si>
    <t>Tech Mahindra Limited</t>
  </si>
  <si>
    <t>INE669C01036</t>
  </si>
  <si>
    <t>INAV01</t>
  </si>
  <si>
    <t>InterGlobe Aviation Limited</t>
  </si>
  <si>
    <t>INE646L01027</t>
  </si>
  <si>
    <t>Transport Services</t>
  </si>
  <si>
    <t>SIDS02</t>
  </si>
  <si>
    <t>ISGEC Heavy Engineering Limited</t>
  </si>
  <si>
    <t>INE858B01029</t>
  </si>
  <si>
    <t>GLPH03</t>
  </si>
  <si>
    <t>Glenmark Pharmaceuticals Limited</t>
  </si>
  <si>
    <t>INE935A01035</t>
  </si>
  <si>
    <t>ITCL02</t>
  </si>
  <si>
    <t>ITC Limited</t>
  </si>
  <si>
    <t>INE154A01025</t>
  </si>
  <si>
    <t>JVSL04</t>
  </si>
  <si>
    <t>JSW Steel Limited</t>
  </si>
  <si>
    <t>INE019A01038</t>
  </si>
  <si>
    <t>Ferrous Metals</t>
  </si>
  <si>
    <t>GRAN02</t>
  </si>
  <si>
    <t>Granules India Limited</t>
  </si>
  <si>
    <t>INE101D01020</t>
  </si>
  <si>
    <t>LAKM02</t>
  </si>
  <si>
    <t>Trent Limited</t>
  </si>
  <si>
    <t>INE849A01020</t>
  </si>
  <si>
    <t>BTVL03</t>
  </si>
  <si>
    <t>IN9397D01014</t>
  </si>
  <si>
    <t>RACM01</t>
  </si>
  <si>
    <t>Rainbow Childrens Medicare Limited</t>
  </si>
  <si>
    <t>INE961O01016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</si>
  <si>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</si>
  <si>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</si>
  <si>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</si>
  <si>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</si>
  <si>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</si>
  <si>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</si>
  <si>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</si>
  <si>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</si>
  <si>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TINV04</t>
  </si>
  <si>
    <t>Cholamandalam Financial Holdings Limited</t>
  </si>
  <si>
    <t>INE149A01033</t>
  </si>
  <si>
    <t>WOPA02</t>
  </si>
  <si>
    <t>Wockhardt Limited</t>
  </si>
  <si>
    <t>INE049B01025</t>
  </si>
  <si>
    <t>SPIL03</t>
  </si>
  <si>
    <t>Sun Pharmaceutical Industries Limited</t>
  </si>
  <si>
    <t>INE044A01036</t>
  </si>
  <si>
    <t>SODL01</t>
  </si>
  <si>
    <t>Sobha Limited</t>
  </si>
  <si>
    <t>INE671H01015</t>
  </si>
  <si>
    <t>Realty</t>
  </si>
  <si>
    <t>BHEL02</t>
  </si>
  <si>
    <t>Bharat Electronics Limited</t>
  </si>
  <si>
    <t>INE263A01024</t>
  </si>
  <si>
    <t>Aerospace &amp; Defense</t>
  </si>
  <si>
    <t>GUAM02</t>
  </si>
  <si>
    <t>Ambuja Cements Limited</t>
  </si>
  <si>
    <t>INE079A01024</t>
  </si>
  <si>
    <t>Cement &amp; Cement Products</t>
  </si>
  <si>
    <t>SGPL02</t>
  </si>
  <si>
    <t>SignatureGlobal (India) Limited</t>
  </si>
  <si>
    <t>INE903U01023</t>
  </si>
  <si>
    <t>ABBP01</t>
  </si>
  <si>
    <t>Hitachi Energy India Limited</t>
  </si>
  <si>
    <t>INE07Y701011</t>
  </si>
  <si>
    <t>Electrical Equipment</t>
  </si>
  <si>
    <t>RELC01</t>
  </si>
  <si>
    <t>REC Limited</t>
  </si>
  <si>
    <t>INE020B01018</t>
  </si>
  <si>
    <t>PRUD01</t>
  </si>
  <si>
    <t>Prudent Corporate Advisory Services Limited</t>
  </si>
  <si>
    <t>INE00F201020</t>
  </si>
  <si>
    <t>Capital Markets</t>
  </si>
  <si>
    <t>BALN01</t>
  </si>
  <si>
    <t>Bajaj Auto Limited</t>
  </si>
  <si>
    <t>INE917I01010</t>
  </si>
  <si>
    <t>MEDP01</t>
  </si>
  <si>
    <t>MedPlus Health Services Limited</t>
  </si>
  <si>
    <t>INE804L01022</t>
  </si>
  <si>
    <t>ZLSP01</t>
  </si>
  <si>
    <t>Zinka Logistics Solution Limited</t>
  </si>
  <si>
    <t>INE0UIZ01018</t>
  </si>
  <si>
    <t>SONB01</t>
  </si>
  <si>
    <t>Sona BLW Precision Forgings Limited</t>
  </si>
  <si>
    <t>INE073K01018</t>
  </si>
  <si>
    <t>Auto Components</t>
  </si>
  <si>
    <t>VEDF01</t>
  </si>
  <si>
    <t>Vedant Fashions Limited</t>
  </si>
  <si>
    <t>INE825V01034</t>
  </si>
  <si>
    <t>GAIL01</t>
  </si>
  <si>
    <t>GAIL (India) Limited</t>
  </si>
  <si>
    <t>INE129A01019</t>
  </si>
  <si>
    <t>Gas</t>
  </si>
  <si>
    <t>AUPH03</t>
  </si>
  <si>
    <t>Aurobindo Pharma Limited</t>
  </si>
  <si>
    <t>INE406A01037</t>
  </si>
  <si>
    <t>OMSP02</t>
  </si>
  <si>
    <t>One MobiKwik Systems Limited</t>
  </si>
  <si>
    <t>INE0HLU01028</t>
  </si>
  <si>
    <t>IIBL01</t>
  </si>
  <si>
    <t>IndusInd Bank Limited</t>
  </si>
  <si>
    <t>INE095A01012</t>
  </si>
  <si>
    <t>GAPA02</t>
  </si>
  <si>
    <t>Apar Industries Limited</t>
  </si>
  <si>
    <t>INE372A01015</t>
  </si>
  <si>
    <t>MAUD01</t>
  </si>
  <si>
    <t>Maruti Suzuki India Limited</t>
  </si>
  <si>
    <t>INE585B01010</t>
  </si>
  <si>
    <t>PRAJ02</t>
  </si>
  <si>
    <t>Praj Industries Limited</t>
  </si>
  <si>
    <t>INE074A01025</t>
  </si>
  <si>
    <t>Industrial Manufacturing</t>
  </si>
  <si>
    <t>DEVY01</t>
  </si>
  <si>
    <t>Devyani International Limited</t>
  </si>
  <si>
    <t>INE872J01023</t>
  </si>
  <si>
    <t>Leisure Services</t>
  </si>
  <si>
    <t>SKDL01</t>
  </si>
  <si>
    <t>Suraksha Diagnostic Limited</t>
  </si>
  <si>
    <t>INE877V01027</t>
  </si>
  <si>
    <t>ELMA01</t>
  </si>
  <si>
    <t>Electronics Mart India Limited</t>
  </si>
  <si>
    <t>INE02YR01019</t>
  </si>
  <si>
    <t>MIIL02</t>
  </si>
  <si>
    <t>UNO Minda Limited</t>
  </si>
  <si>
    <t>INE405E01023</t>
  </si>
  <si>
    <t>PIIN03</t>
  </si>
  <si>
    <t>PI Industries Limited</t>
  </si>
  <si>
    <t>INE603J01030</t>
  </si>
  <si>
    <t>BINL01</t>
  </si>
  <si>
    <t>Indus Towers Limited</t>
  </si>
  <si>
    <t>INE121J01017</t>
  </si>
  <si>
    <t>MOLI01</t>
  </si>
  <si>
    <t>MOIL Limited</t>
  </si>
  <si>
    <t>INE490G01020</t>
  </si>
  <si>
    <t>Minerals &amp; Mining</t>
  </si>
  <si>
    <t>BFLS01</t>
  </si>
  <si>
    <t>Mphasis Limited</t>
  </si>
  <si>
    <t>INE356A01018</t>
  </si>
  <si>
    <t>AGBL01</t>
  </si>
  <si>
    <t>Angel One Limited</t>
  </si>
  <si>
    <t>INE732I01013</t>
  </si>
  <si>
    <t>SYNI01</t>
  </si>
  <si>
    <t>Syngene International Limited</t>
  </si>
  <si>
    <t>INE398R01022</t>
  </si>
  <si>
    <t>SRFL01</t>
  </si>
  <si>
    <t>SRF Limited</t>
  </si>
  <si>
    <t>INE647A01010</t>
  </si>
  <si>
    <t>Chemicals &amp; Petrochemicals</t>
  </si>
  <si>
    <t>MOSU03</t>
  </si>
  <si>
    <t>Samvardhana Motherson International Limited</t>
  </si>
  <si>
    <t>INE775A01035</t>
  </si>
  <si>
    <t>BAAZ01</t>
  </si>
  <si>
    <t>Baazar Style Retail Ltd</t>
  </si>
  <si>
    <t>INE01FR01028</t>
  </si>
  <si>
    <t>ULCC01</t>
  </si>
  <si>
    <t>UltraTech Cement Limited</t>
  </si>
  <si>
    <t>INE481G01011</t>
  </si>
  <si>
    <t>DLFL01</t>
  </si>
  <si>
    <t>DLF Limited</t>
  </si>
  <si>
    <t>INE271C01023</t>
  </si>
  <si>
    <t>TLNR01</t>
  </si>
  <si>
    <t>Tilaknagar Industries Limited</t>
  </si>
  <si>
    <t>INE133E01013</t>
  </si>
  <si>
    <t>PCBL03</t>
  </si>
  <si>
    <t>PCBL Limited</t>
  </si>
  <si>
    <t>INE602A01031</t>
  </si>
  <si>
    <t>ACCL02</t>
  </si>
  <si>
    <t>ACC Limited</t>
  </si>
  <si>
    <t>INE012A01025</t>
  </si>
  <si>
    <t>CCOI02</t>
  </si>
  <si>
    <t>Container Corporation of India Limited</t>
  </si>
  <si>
    <t>INE111A01025</t>
  </si>
  <si>
    <t>ZEET02</t>
  </si>
  <si>
    <t>Zee Entertainment Enterprises Limited</t>
  </si>
  <si>
    <t>INE256A01028</t>
  </si>
  <si>
    <t>Entertainment</t>
  </si>
  <si>
    <t>ECOS01</t>
  </si>
  <si>
    <t>Ecos India Mobility And Hospitality Ltd</t>
  </si>
  <si>
    <t>INE06HJ01020</t>
  </si>
  <si>
    <t>DIVI02</t>
  </si>
  <si>
    <t>Divi's Laboratories Limited</t>
  </si>
  <si>
    <t>INE361B01024</t>
  </si>
  <si>
    <t>Subtotal</t>
  </si>
  <si>
    <t>(b) UNLISTED</t>
  </si>
  <si>
    <t>SODL02</t>
  </si>
  <si>
    <t>Sobha Limited *</t>
  </si>
  <si>
    <t>IN9671H01013</t>
  </si>
  <si>
    <t>Total</t>
  </si>
  <si>
    <t>Derivatives</t>
  </si>
  <si>
    <t>Index / Stock Futures</t>
  </si>
  <si>
    <t>DIVIJAN25</t>
  </si>
  <si>
    <t>Divi's Laboratories Limited January 2025 Future</t>
  </si>
  <si>
    <t xml:space="preserve"> </t>
  </si>
  <si>
    <t>ACCLJAN25</t>
  </si>
  <si>
    <t>ACC Limited January 2025 Future</t>
  </si>
  <si>
    <t>DLFLJAN25</t>
  </si>
  <si>
    <t>DLF Limited January 2025 Future</t>
  </si>
  <si>
    <t>ULCCJAN25</t>
  </si>
  <si>
    <t>UltraTech Cement Limited January 2025 Future</t>
  </si>
  <si>
    <t>SRFLJAN25</t>
  </si>
  <si>
    <t>SRF Limited January 2025 Future</t>
  </si>
  <si>
    <t>LUPLJAN25</t>
  </si>
  <si>
    <t>Lupin Limited January 2025 Future</t>
  </si>
  <si>
    <t>BFLSJAN25</t>
  </si>
  <si>
    <t>Mphasis Limited January 2025 Future</t>
  </si>
  <si>
    <t>BINLJAN25</t>
  </si>
  <si>
    <t>Indus Towers Limited January 2025 Future</t>
  </si>
  <si>
    <t>PIINJAN25</t>
  </si>
  <si>
    <t>PI Industries Limited January 2025 Future</t>
  </si>
  <si>
    <t>MAUDJAN25</t>
  </si>
  <si>
    <t>Maruti Suzuki India Limited January 2025 Future</t>
  </si>
  <si>
    <t>ITCLJAN25</t>
  </si>
  <si>
    <t>ITC Limited January 2025 Future</t>
  </si>
  <si>
    <t>TWATJAN25</t>
  </si>
  <si>
    <t>Titan Company Limited January 2025 Future</t>
  </si>
  <si>
    <t>JVSLJAN25</t>
  </si>
  <si>
    <t>JSW Steel Limited January 2025 Future</t>
  </si>
  <si>
    <t>RINDJAN25</t>
  </si>
  <si>
    <t>Reliance Industries Limited January 2025 Future</t>
  </si>
  <si>
    <t>HLELJAN25</t>
  </si>
  <si>
    <t>Hindustan Unilever Limited January 2025 Future</t>
  </si>
  <si>
    <t>GCPLJAN25</t>
  </si>
  <si>
    <t>Godrej Consumer Products Limited January 2025 Future</t>
  </si>
  <si>
    <t>HDLIJAN25</t>
  </si>
  <si>
    <t>HDFC Life Insurance Company Limited January 2025 Future</t>
  </si>
  <si>
    <t>TELCJAN25</t>
  </si>
  <si>
    <t>Tata Motors Limited January 2025 Future</t>
  </si>
  <si>
    <t>KMBKJAN25</t>
  </si>
  <si>
    <t>Kotak Mahindra Bank Limited January 2025 Future</t>
  </si>
  <si>
    <t>MCSPJAN25</t>
  </si>
  <si>
    <t>United Spirits Limited January 2025 Future</t>
  </si>
  <si>
    <t>TCSLJAN25</t>
  </si>
  <si>
    <t>Tata Consultancy Services Limited January 2025 Future</t>
  </si>
  <si>
    <t>MAHIJAN25</t>
  </si>
  <si>
    <t>Mahindra &amp; Mahindra Limited January 2025 Future</t>
  </si>
  <si>
    <t>BTVLJAN25</t>
  </si>
  <si>
    <t>Bharti Airtel Limited January 2025 Future</t>
  </si>
  <si>
    <t>SBAIJAN25</t>
  </si>
  <si>
    <t>State Bank of India January 2025 Future</t>
  </si>
  <si>
    <t>CHOLJAN25</t>
  </si>
  <si>
    <t>Cholamandalam Investment and Finance Company Ltd January 2025 Future</t>
  </si>
  <si>
    <t>BAFLJAN25</t>
  </si>
  <si>
    <t>Bajaj Finance Limited January 2025 Future</t>
  </si>
  <si>
    <t>INFSJAN25</t>
  </si>
  <si>
    <t>Infosys Limited January 2025 Future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</si>
  <si>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</si>
  <si>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</si>
  <si>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</si>
  <si>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</si>
  <si>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</si>
  <si>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</si>
  <si>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</si>
  <si>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GOI5228</t>
  </si>
  <si>
    <t>7.18% Government of India</t>
  </si>
  <si>
    <t>IN0020230085</t>
  </si>
  <si>
    <t>GOI5196</t>
  </si>
  <si>
    <t>IN0020230077</t>
  </si>
  <si>
    <t>GOI5713</t>
  </si>
  <si>
    <t>7.1% Government of India</t>
  </si>
  <si>
    <t>IN0020240019</t>
  </si>
  <si>
    <t>GOI3734</t>
  </si>
  <si>
    <t>6.54% Government of India</t>
  </si>
  <si>
    <t>IN0020210244</t>
  </si>
  <si>
    <t>Non Convertible Debentures</t>
  </si>
  <si>
    <t>MUFL429</t>
  </si>
  <si>
    <t>8.97% Muthoot Finance Limited **</t>
  </si>
  <si>
    <t>INE414G07JH5</t>
  </si>
  <si>
    <t>CRISIL AA+</t>
  </si>
  <si>
    <t>AFPL104</t>
  </si>
  <si>
    <t>10.9% AU Small Finance Bank Limited **</t>
  </si>
  <si>
    <t>INE949L08418</t>
  </si>
  <si>
    <t>CRISIL AA</t>
  </si>
  <si>
    <t>GOSL357</t>
  </si>
  <si>
    <t>8.4% Godrej Industries Limited **</t>
  </si>
  <si>
    <t>INE233A08113</t>
  </si>
  <si>
    <t>CENT244</t>
  </si>
  <si>
    <t>8.35% Aditya Birla Real Estate Limited **</t>
  </si>
  <si>
    <t>INE055A08052</t>
  </si>
  <si>
    <t>NTPC100</t>
  </si>
  <si>
    <t>8.49% NTPC Limited **</t>
  </si>
  <si>
    <t>INE733E07JP6</t>
  </si>
  <si>
    <t>CRISIL AAA</t>
  </si>
  <si>
    <t>$</t>
  </si>
  <si>
    <t>Zero Coupon Bonds</t>
  </si>
  <si>
    <t>SHEB160</t>
  </si>
  <si>
    <t>Tata Motors Finance Limited **</t>
  </si>
  <si>
    <t>INE601U08309</t>
  </si>
  <si>
    <t>(b) Privately placed / Unlisted</t>
  </si>
  <si>
    <t>NIL</t>
  </si>
  <si>
    <t>Money Market Instruments</t>
  </si>
  <si>
    <t>Certificate of Deposit</t>
  </si>
  <si>
    <t>CANB976</t>
  </si>
  <si>
    <t>Canara Bank **</t>
  </si>
  <si>
    <t>INE476A16YB0</t>
  </si>
  <si>
    <t>CRISIL A1+</t>
  </si>
  <si>
    <t>UTIB1320</t>
  </si>
  <si>
    <t>INE238AD6827</t>
  </si>
  <si>
    <t>TREPS / Reverse Repo Instrument</t>
  </si>
  <si>
    <t>TRP_010125</t>
  </si>
  <si>
    <t>Triparty Repo TRP_010125</t>
  </si>
  <si>
    <t>OTHERS</t>
  </si>
  <si>
    <t>Cash Margin - CCIL</t>
  </si>
  <si>
    <t>Net Current Assets</t>
  </si>
  <si>
    <t>GRAND TOTAL</t>
  </si>
  <si>
    <t>$  Less Than 0.01% of NAV</t>
  </si>
  <si>
    <t>* Sobha Limited Partly Paid have been suspended from trading on the exchange for the payment of 1st and Final call money.</t>
  </si>
  <si>
    <t>** Thinly Traded/Non Traded Securities/Illiquid Securities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</si>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</sst>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1</xdr:rowOff>
    </xdr:from>
    <xdr:to>
      <xdr:col>1</xdr:col>
      <xdr:colOff>2857500</xdr:colOff>
      <xdr:row>173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CE0CD1-150F-4892-86BA-85A23151C0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64261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163</xdr:row>
      <xdr:rowOff>1</xdr:rowOff>
    </xdr:from>
    <xdr:to>
      <xdr:col>7</xdr:col>
      <xdr:colOff>556260</xdr:colOff>
      <xdr:row>173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E0CB03-6F43-45C9-9A7E-628D196546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264261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C993F-DDBB-4836-BB4E-A968A7BD7515}">
  <sheetPr codeName="Sheet40">
    <outlinePr summaryBelow="0"/>
  </sheetPr>
  <dimension ref="A1:H162"/>
  <sheetViews>
    <sheetView tabSelected="1" topLeftCell="A118" zoomScaleNormal="100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674250</v>
      </c>
      <c r="F8" s="18">
        <v>12675.9</v>
      </c>
      <c r="G8" s="19">
        <v>5.5800000000000002E-2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152767</v>
      </c>
      <c r="F9" s="18">
        <v>10423.290000000001</v>
      </c>
      <c r="G9" s="19">
        <v>4.5900000000000003E-2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1133697</v>
      </c>
      <c r="F10" s="18">
        <v>9012.32</v>
      </c>
      <c r="G10" s="19">
        <v>3.9699999999999999E-2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24</v>
      </c>
      <c r="E11" s="17">
        <v>618028</v>
      </c>
      <c r="F11" s="18">
        <v>7920.96</v>
      </c>
      <c r="G11" s="19">
        <v>3.4799999999999998E-2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417991</v>
      </c>
      <c r="F12" s="18">
        <v>6636.65</v>
      </c>
      <c r="G12" s="19">
        <v>2.92E-2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545540</v>
      </c>
      <c r="F13" s="18">
        <v>6630.77</v>
      </c>
      <c r="G13" s="19">
        <v>2.92E-2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983848</v>
      </c>
      <c r="F14" s="18">
        <v>6281.87</v>
      </c>
      <c r="G14" s="19">
        <v>2.76E-2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16</v>
      </c>
      <c r="E15" s="17">
        <v>143018</v>
      </c>
      <c r="F15" s="18">
        <v>5856.3</v>
      </c>
      <c r="G15" s="19">
        <v>2.58E-2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20</v>
      </c>
      <c r="E16" s="17">
        <v>471250</v>
      </c>
      <c r="F16" s="18">
        <v>5588.79</v>
      </c>
      <c r="G16" s="19">
        <v>2.46E-2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175500</v>
      </c>
      <c r="F17" s="18">
        <v>5277.46</v>
      </c>
      <c r="G17" s="19">
        <v>2.3199999999999998E-2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379387</v>
      </c>
      <c r="F18" s="18">
        <v>3861.59</v>
      </c>
      <c r="G18" s="19">
        <v>1.7000000000000001E-2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39</v>
      </c>
      <c r="E19" s="17">
        <v>231000</v>
      </c>
      <c r="F19" s="18">
        <v>3754.79</v>
      </c>
      <c r="G19" s="19">
        <v>1.6500000000000001E-2</v>
      </c>
      <c r="H19" s="20"/>
    </row>
    <row r="20" spans="1:8" ht="13.05" customHeight="1">
      <c r="A20" s="15" t="s">
        <v>57</v>
      </c>
      <c r="B20" s="16" t="s">
        <v>58</v>
      </c>
      <c r="C20" s="12" t="s">
        <v>59</v>
      </c>
      <c r="D20" s="13" t="s">
        <v>49</v>
      </c>
      <c r="E20" s="17">
        <v>476632</v>
      </c>
      <c r="F20" s="18">
        <v>3527.79</v>
      </c>
      <c r="G20" s="19">
        <v>1.55E-2</v>
      </c>
      <c r="H20" s="20"/>
    </row>
    <row r="21" spans="1:8" ht="13.05" customHeight="1">
      <c r="A21" s="15" t="s">
        <v>60</v>
      </c>
      <c r="B21" s="16" t="s">
        <v>61</v>
      </c>
      <c r="C21" s="12" t="s">
        <v>62</v>
      </c>
      <c r="D21" s="13" t="s">
        <v>63</v>
      </c>
      <c r="E21" s="17">
        <v>1266947</v>
      </c>
      <c r="F21" s="18">
        <v>3522.75</v>
      </c>
      <c r="G21" s="19">
        <v>1.55E-2</v>
      </c>
      <c r="H21" s="20"/>
    </row>
    <row r="22" spans="1:8" ht="13.05" customHeight="1">
      <c r="A22" s="15" t="s">
        <v>64</v>
      </c>
      <c r="B22" s="16" t="s">
        <v>65</v>
      </c>
      <c r="C22" s="12" t="s">
        <v>66</v>
      </c>
      <c r="D22" s="13" t="s">
        <v>63</v>
      </c>
      <c r="E22" s="17">
        <v>38003</v>
      </c>
      <c r="F22" s="18">
        <v>3297.62</v>
      </c>
      <c r="G22" s="19">
        <v>1.4500000000000001E-2</v>
      </c>
      <c r="H22" s="20"/>
    </row>
    <row r="23" spans="1:8" ht="13.05" customHeight="1">
      <c r="A23" s="15" t="s">
        <v>67</v>
      </c>
      <c r="B23" s="16" t="s">
        <v>68</v>
      </c>
      <c r="C23" s="12" t="s">
        <v>69</v>
      </c>
      <c r="D23" s="13" t="s">
        <v>24</v>
      </c>
      <c r="E23" s="17">
        <v>180893</v>
      </c>
      <c r="F23" s="18">
        <v>3206.96</v>
      </c>
      <c r="G23" s="19">
        <v>1.41E-2</v>
      </c>
      <c r="H23" s="20"/>
    </row>
    <row r="24" spans="1:8" ht="13.05" customHeight="1">
      <c r="A24" s="15" t="s">
        <v>70</v>
      </c>
      <c r="B24" s="16" t="s">
        <v>71</v>
      </c>
      <c r="C24" s="12" t="s">
        <v>72</v>
      </c>
      <c r="D24" s="13" t="s">
        <v>24</v>
      </c>
      <c r="E24" s="17">
        <v>178000</v>
      </c>
      <c r="F24" s="18">
        <v>3179.17</v>
      </c>
      <c r="G24" s="19">
        <v>1.4E-2</v>
      </c>
      <c r="H24" s="20"/>
    </row>
    <row r="25" spans="1:8" ht="13.05" customHeight="1">
      <c r="A25" s="15" t="s">
        <v>73</v>
      </c>
      <c r="B25" s="16" t="s">
        <v>74</v>
      </c>
      <c r="C25" s="12" t="s">
        <v>75</v>
      </c>
      <c r="D25" s="13" t="s">
        <v>76</v>
      </c>
      <c r="E25" s="17">
        <v>616372</v>
      </c>
      <c r="F25" s="18">
        <v>3088.02</v>
      </c>
      <c r="G25" s="19">
        <v>1.3599999999999999E-2</v>
      </c>
      <c r="H25" s="20"/>
    </row>
    <row r="26" spans="1:8" ht="13.05" customHeight="1">
      <c r="A26" s="15" t="s">
        <v>77</v>
      </c>
      <c r="B26" s="16" t="s">
        <v>78</v>
      </c>
      <c r="C26" s="12" t="s">
        <v>79</v>
      </c>
      <c r="D26" s="13" t="s">
        <v>80</v>
      </c>
      <c r="E26" s="17">
        <v>80866</v>
      </c>
      <c r="F26" s="18">
        <v>2917.36</v>
      </c>
      <c r="G26" s="19">
        <v>1.2800000000000001E-2</v>
      </c>
      <c r="H26" s="20"/>
    </row>
    <row r="27" spans="1:8" ht="13.05" customHeight="1">
      <c r="A27" s="15" t="s">
        <v>81</v>
      </c>
      <c r="B27" s="16" t="s">
        <v>82</v>
      </c>
      <c r="C27" s="12" t="s">
        <v>83</v>
      </c>
      <c r="D27" s="13" t="s">
        <v>84</v>
      </c>
      <c r="E27" s="17">
        <v>555902</v>
      </c>
      <c r="F27" s="18">
        <v>2857.06</v>
      </c>
      <c r="G27" s="19">
        <v>1.26E-2</v>
      </c>
      <c r="H27" s="20"/>
    </row>
    <row r="28" spans="1:8" ht="13.05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448800</v>
      </c>
      <c r="F28" s="18">
        <v>2769.32</v>
      </c>
      <c r="G28" s="19">
        <v>1.2200000000000001E-2</v>
      </c>
      <c r="H28" s="20"/>
    </row>
    <row r="29" spans="1:8" ht="13.05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246000</v>
      </c>
      <c r="F29" s="18">
        <v>2661.84</v>
      </c>
      <c r="G29" s="19">
        <v>1.17E-2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583911</v>
      </c>
      <c r="F30" s="18">
        <v>2595.19</v>
      </c>
      <c r="G30" s="19">
        <v>1.14E-2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100</v>
      </c>
      <c r="E31" s="17">
        <v>109500</v>
      </c>
      <c r="F31" s="18">
        <v>2547.9</v>
      </c>
      <c r="G31" s="19">
        <v>1.12E-2</v>
      </c>
      <c r="H31" s="20"/>
    </row>
    <row r="32" spans="1:8" ht="13.05" customHeight="1">
      <c r="A32" s="15" t="s">
        <v>101</v>
      </c>
      <c r="B32" s="16" t="s">
        <v>102</v>
      </c>
      <c r="C32" s="12" t="s">
        <v>103</v>
      </c>
      <c r="D32" s="13" t="s">
        <v>104</v>
      </c>
      <c r="E32" s="17">
        <v>103425</v>
      </c>
      <c r="F32" s="18">
        <v>2436.38</v>
      </c>
      <c r="G32" s="19">
        <v>1.0699999999999999E-2</v>
      </c>
      <c r="H32" s="20"/>
    </row>
    <row r="33" spans="1:8" ht="13.05" customHeight="1">
      <c r="A33" s="15" t="s">
        <v>105</v>
      </c>
      <c r="B33" s="16" t="s">
        <v>106</v>
      </c>
      <c r="C33" s="12" t="s">
        <v>107</v>
      </c>
      <c r="D33" s="13" t="s">
        <v>24</v>
      </c>
      <c r="E33" s="17">
        <v>223500</v>
      </c>
      <c r="F33" s="18">
        <v>2379.6</v>
      </c>
      <c r="G33" s="19">
        <v>1.0500000000000001E-2</v>
      </c>
      <c r="H33" s="20"/>
    </row>
    <row r="34" spans="1:8" ht="13.05" customHeight="1">
      <c r="A34" s="15" t="s">
        <v>108</v>
      </c>
      <c r="B34" s="16" t="s">
        <v>109</v>
      </c>
      <c r="C34" s="12" t="s">
        <v>110</v>
      </c>
      <c r="D34" s="13" t="s">
        <v>16</v>
      </c>
      <c r="E34" s="17">
        <v>127131</v>
      </c>
      <c r="F34" s="18">
        <v>2169.11</v>
      </c>
      <c r="G34" s="19">
        <v>9.4999999999999998E-3</v>
      </c>
      <c r="H34" s="20"/>
    </row>
    <row r="35" spans="1:8" ht="13.05" customHeight="1">
      <c r="A35" s="15" t="s">
        <v>111</v>
      </c>
      <c r="B35" s="16" t="s">
        <v>112</v>
      </c>
      <c r="C35" s="12" t="s">
        <v>113</v>
      </c>
      <c r="D35" s="13" t="s">
        <v>114</v>
      </c>
      <c r="E35" s="17">
        <v>43937</v>
      </c>
      <c r="F35" s="18">
        <v>2001</v>
      </c>
      <c r="G35" s="19">
        <v>8.8000000000000005E-3</v>
      </c>
      <c r="H35" s="20"/>
    </row>
    <row r="36" spans="1:8" ht="13.05" customHeight="1">
      <c r="A36" s="15" t="s">
        <v>115</v>
      </c>
      <c r="B36" s="16" t="s">
        <v>116</v>
      </c>
      <c r="C36" s="12" t="s">
        <v>117</v>
      </c>
      <c r="D36" s="13" t="s">
        <v>80</v>
      </c>
      <c r="E36" s="17">
        <v>132446</v>
      </c>
      <c r="F36" s="18">
        <v>1910.6</v>
      </c>
      <c r="G36" s="19">
        <v>8.3999999999999995E-3</v>
      </c>
      <c r="H36" s="20"/>
    </row>
    <row r="37" spans="1:8" ht="13.05" customHeight="1">
      <c r="A37" s="15" t="s">
        <v>118</v>
      </c>
      <c r="B37" s="16" t="s">
        <v>119</v>
      </c>
      <c r="C37" s="12" t="s">
        <v>120</v>
      </c>
      <c r="D37" s="13" t="s">
        <v>104</v>
      </c>
      <c r="E37" s="17">
        <v>117777</v>
      </c>
      <c r="F37" s="18">
        <v>1895.15</v>
      </c>
      <c r="G37" s="19">
        <v>8.3000000000000001E-3</v>
      </c>
      <c r="H37" s="20"/>
    </row>
    <row r="38" spans="1:8" ht="13.05" customHeight="1">
      <c r="A38" s="15" t="s">
        <v>121</v>
      </c>
      <c r="B38" s="16" t="s">
        <v>122</v>
      </c>
      <c r="C38" s="12" t="s">
        <v>123</v>
      </c>
      <c r="D38" s="13" t="s">
        <v>100</v>
      </c>
      <c r="E38" s="17">
        <v>386276</v>
      </c>
      <c r="F38" s="18">
        <v>1868.22</v>
      </c>
      <c r="G38" s="19">
        <v>8.2000000000000007E-3</v>
      </c>
      <c r="H38" s="20"/>
    </row>
    <row r="39" spans="1:8" ht="13.05" customHeight="1">
      <c r="A39" s="15" t="s">
        <v>124</v>
      </c>
      <c r="B39" s="16" t="s">
        <v>125</v>
      </c>
      <c r="C39" s="12" t="s">
        <v>126</v>
      </c>
      <c r="D39" s="13" t="s">
        <v>127</v>
      </c>
      <c r="E39" s="17">
        <v>199800</v>
      </c>
      <c r="F39" s="18">
        <v>1801.2</v>
      </c>
      <c r="G39" s="19">
        <v>7.9000000000000008E-3</v>
      </c>
      <c r="H39" s="20"/>
    </row>
    <row r="40" spans="1:8" ht="13.05" customHeight="1">
      <c r="A40" s="15" t="s">
        <v>128</v>
      </c>
      <c r="B40" s="16" t="s">
        <v>129</v>
      </c>
      <c r="C40" s="12" t="s">
        <v>130</v>
      </c>
      <c r="D40" s="13" t="s">
        <v>104</v>
      </c>
      <c r="E40" s="17">
        <v>286963</v>
      </c>
      <c r="F40" s="18">
        <v>1699.68</v>
      </c>
      <c r="G40" s="19">
        <v>7.4999999999999997E-3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63</v>
      </c>
      <c r="E41" s="17">
        <v>23669</v>
      </c>
      <c r="F41" s="18">
        <v>1686.03</v>
      </c>
      <c r="G41" s="19">
        <v>7.4000000000000003E-3</v>
      </c>
      <c r="H41" s="20"/>
    </row>
    <row r="42" spans="1:8" ht="13.05" customHeight="1">
      <c r="A42" s="15" t="s">
        <v>134</v>
      </c>
      <c r="B42" s="16" t="s">
        <v>29</v>
      </c>
      <c r="C42" s="12" t="s">
        <v>135</v>
      </c>
      <c r="D42" s="13" t="s">
        <v>31</v>
      </c>
      <c r="E42" s="17">
        <v>136589</v>
      </c>
      <c r="F42" s="18">
        <v>1608.2</v>
      </c>
      <c r="G42" s="19">
        <v>7.1000000000000004E-3</v>
      </c>
      <c r="H42" s="20"/>
    </row>
    <row r="43" spans="1:8" ht="13.05" customHeight="1">
      <c r="A43" s="15" t="s">
        <v>136</v>
      </c>
      <c r="B43" s="16" t="s">
        <v>137</v>
      </c>
      <c r="C43" s="12" t="s">
        <v>138</v>
      </c>
      <c r="D43" s="13" t="s">
        <v>84</v>
      </c>
      <c r="E43" s="17">
        <v>101495</v>
      </c>
      <c r="F43" s="18">
        <v>1521.97</v>
      </c>
      <c r="G43" s="19">
        <v>6.7000000000000002E-3</v>
      </c>
      <c r="H43" s="20"/>
    </row>
    <row r="44" spans="1:8" ht="13.05" customHeight="1">
      <c r="A44" s="15" t="s">
        <v>139</v>
      </c>
      <c r="B44" s="16" t="s">
        <v>140</v>
      </c>
      <c r="C44" s="12" t="s">
        <v>141</v>
      </c>
      <c r="D44" s="13" t="s">
        <v>142</v>
      </c>
      <c r="E44" s="17">
        <v>451028</v>
      </c>
      <c r="F44" s="18">
        <v>1503.5</v>
      </c>
      <c r="G44" s="19">
        <v>6.6E-3</v>
      </c>
      <c r="H44" s="20"/>
    </row>
    <row r="45" spans="1:8" ht="13.05" customHeight="1">
      <c r="A45" s="15" t="s">
        <v>143</v>
      </c>
      <c r="B45" s="16" t="s">
        <v>144</v>
      </c>
      <c r="C45" s="12" t="s">
        <v>145</v>
      </c>
      <c r="D45" s="13" t="s">
        <v>146</v>
      </c>
      <c r="E45" s="17">
        <v>44625</v>
      </c>
      <c r="F45" s="18">
        <v>1451.72</v>
      </c>
      <c r="G45" s="19">
        <v>6.4000000000000003E-3</v>
      </c>
      <c r="H45" s="20"/>
    </row>
    <row r="46" spans="1:8" ht="13.05" customHeight="1">
      <c r="A46" s="15" t="s">
        <v>147</v>
      </c>
      <c r="B46" s="16" t="s">
        <v>148</v>
      </c>
      <c r="C46" s="12" t="s">
        <v>149</v>
      </c>
      <c r="D46" s="13" t="s">
        <v>20</v>
      </c>
      <c r="E46" s="17">
        <v>101350</v>
      </c>
      <c r="F46" s="18">
        <v>1417.73</v>
      </c>
      <c r="G46" s="19">
        <v>6.1999999999999998E-3</v>
      </c>
      <c r="H46" s="20"/>
    </row>
    <row r="47" spans="1:8" ht="13.05" customHeight="1">
      <c r="A47" s="15" t="s">
        <v>150</v>
      </c>
      <c r="B47" s="16" t="s">
        <v>151</v>
      </c>
      <c r="C47" s="12" t="s">
        <v>152</v>
      </c>
      <c r="D47" s="13" t="s">
        <v>104</v>
      </c>
      <c r="E47" s="17">
        <v>99547</v>
      </c>
      <c r="F47" s="18">
        <v>1410.43</v>
      </c>
      <c r="G47" s="19">
        <v>6.1999999999999998E-3</v>
      </c>
      <c r="H47" s="20"/>
    </row>
    <row r="48" spans="1:8" ht="13.05" customHeight="1">
      <c r="A48" s="15" t="s">
        <v>153</v>
      </c>
      <c r="B48" s="16" t="s">
        <v>154</v>
      </c>
      <c r="C48" s="12" t="s">
        <v>155</v>
      </c>
      <c r="D48" s="13" t="s">
        <v>104</v>
      </c>
      <c r="E48" s="17">
        <v>74142</v>
      </c>
      <c r="F48" s="18">
        <v>1398.58</v>
      </c>
      <c r="G48" s="19">
        <v>6.1999999999999998E-3</v>
      </c>
      <c r="H48" s="20"/>
    </row>
    <row r="49" spans="1:8" ht="13.05" customHeight="1">
      <c r="A49" s="15" t="s">
        <v>156</v>
      </c>
      <c r="B49" s="16" t="s">
        <v>157</v>
      </c>
      <c r="C49" s="12" t="s">
        <v>158</v>
      </c>
      <c r="D49" s="13" t="s">
        <v>159</v>
      </c>
      <c r="E49" s="17">
        <v>86906</v>
      </c>
      <c r="F49" s="18">
        <v>1370.25</v>
      </c>
      <c r="G49" s="19">
        <v>6.0000000000000001E-3</v>
      </c>
      <c r="H49" s="20"/>
    </row>
    <row r="50" spans="1:8" ht="13.05" customHeight="1">
      <c r="A50" s="15" t="s">
        <v>160</v>
      </c>
      <c r="B50" s="16" t="s">
        <v>161</v>
      </c>
      <c r="C50" s="12" t="s">
        <v>162</v>
      </c>
      <c r="D50" s="13" t="s">
        <v>163</v>
      </c>
      <c r="E50" s="17">
        <v>467132</v>
      </c>
      <c r="F50" s="18">
        <v>1369.4</v>
      </c>
      <c r="G50" s="19">
        <v>6.0000000000000001E-3</v>
      </c>
      <c r="H50" s="20"/>
    </row>
    <row r="51" spans="1:8" ht="13.05" customHeight="1">
      <c r="A51" s="15" t="s">
        <v>164</v>
      </c>
      <c r="B51" s="16" t="s">
        <v>165</v>
      </c>
      <c r="C51" s="12" t="s">
        <v>166</v>
      </c>
      <c r="D51" s="13" t="s">
        <v>167</v>
      </c>
      <c r="E51" s="17">
        <v>250000</v>
      </c>
      <c r="F51" s="18">
        <v>1339.5</v>
      </c>
      <c r="G51" s="19">
        <v>5.8999999999999999E-3</v>
      </c>
      <c r="H51" s="20"/>
    </row>
    <row r="52" spans="1:8" ht="13.05" customHeight="1">
      <c r="A52" s="15" t="s">
        <v>168</v>
      </c>
      <c r="B52" s="16" t="s">
        <v>169</v>
      </c>
      <c r="C52" s="12" t="s">
        <v>170</v>
      </c>
      <c r="D52" s="13" t="s">
        <v>159</v>
      </c>
      <c r="E52" s="17">
        <v>97539</v>
      </c>
      <c r="F52" s="18">
        <v>1331.16</v>
      </c>
      <c r="G52" s="19">
        <v>5.8999999999999999E-3</v>
      </c>
      <c r="H52" s="20"/>
    </row>
    <row r="53" spans="1:8" ht="13.05" customHeight="1">
      <c r="A53" s="15" t="s">
        <v>171</v>
      </c>
      <c r="B53" s="16" t="s">
        <v>172</v>
      </c>
      <c r="C53" s="12" t="s">
        <v>173</v>
      </c>
      <c r="D53" s="13" t="s">
        <v>174</v>
      </c>
      <c r="E53" s="17">
        <v>9065</v>
      </c>
      <c r="F53" s="18">
        <v>1306.47</v>
      </c>
      <c r="G53" s="19">
        <v>5.7000000000000002E-3</v>
      </c>
      <c r="H53" s="20"/>
    </row>
    <row r="54" spans="1:8" ht="13.05" customHeight="1">
      <c r="A54" s="15" t="s">
        <v>175</v>
      </c>
      <c r="B54" s="16" t="s">
        <v>176</v>
      </c>
      <c r="C54" s="12" t="s">
        <v>177</v>
      </c>
      <c r="D54" s="13" t="s">
        <v>20</v>
      </c>
      <c r="E54" s="17">
        <v>250000</v>
      </c>
      <c r="F54" s="18">
        <v>1251.75</v>
      </c>
      <c r="G54" s="19">
        <v>5.4999999999999997E-3</v>
      </c>
      <c r="H54" s="20"/>
    </row>
    <row r="55" spans="1:8" ht="13.05" customHeight="1">
      <c r="A55" s="15" t="s">
        <v>178</v>
      </c>
      <c r="B55" s="16" t="s">
        <v>179</v>
      </c>
      <c r="C55" s="12" t="s">
        <v>180</v>
      </c>
      <c r="D55" s="13" t="s">
        <v>181</v>
      </c>
      <c r="E55" s="17">
        <v>45411</v>
      </c>
      <c r="F55" s="18">
        <v>1241.1500000000001</v>
      </c>
      <c r="G55" s="19">
        <v>5.4999999999999997E-3</v>
      </c>
      <c r="H55" s="20"/>
    </row>
    <row r="56" spans="1:8" ht="13.05" customHeight="1">
      <c r="A56" s="15" t="s">
        <v>182</v>
      </c>
      <c r="B56" s="16" t="s">
        <v>183</v>
      </c>
      <c r="C56" s="12" t="s">
        <v>184</v>
      </c>
      <c r="D56" s="13" t="s">
        <v>49</v>
      </c>
      <c r="E56" s="17">
        <v>14057</v>
      </c>
      <c r="F56" s="18">
        <v>1236.82</v>
      </c>
      <c r="G56" s="19">
        <v>5.4000000000000003E-3</v>
      </c>
      <c r="H56" s="20"/>
    </row>
    <row r="57" spans="1:8" ht="13.05" customHeight="1">
      <c r="A57" s="15" t="s">
        <v>185</v>
      </c>
      <c r="B57" s="16" t="s">
        <v>186</v>
      </c>
      <c r="C57" s="12" t="s">
        <v>187</v>
      </c>
      <c r="D57" s="13" t="s">
        <v>63</v>
      </c>
      <c r="E57" s="17">
        <v>144871</v>
      </c>
      <c r="F57" s="18">
        <v>1203.6600000000001</v>
      </c>
      <c r="G57" s="19">
        <v>5.3E-3</v>
      </c>
      <c r="H57" s="20"/>
    </row>
    <row r="58" spans="1:8" ht="13.05" customHeight="1">
      <c r="A58" s="15" t="s">
        <v>188</v>
      </c>
      <c r="B58" s="16" t="s">
        <v>189</v>
      </c>
      <c r="C58" s="12" t="s">
        <v>190</v>
      </c>
      <c r="D58" s="13" t="s">
        <v>114</v>
      </c>
      <c r="E58" s="17">
        <v>248680</v>
      </c>
      <c r="F58" s="18">
        <v>1198.3900000000001</v>
      </c>
      <c r="G58" s="19">
        <v>5.3E-3</v>
      </c>
      <c r="H58" s="20"/>
    </row>
    <row r="59" spans="1:8" ht="13.05" customHeight="1">
      <c r="A59" s="15" t="s">
        <v>191</v>
      </c>
      <c r="B59" s="16" t="s">
        <v>192</v>
      </c>
      <c r="C59" s="12" t="s">
        <v>193</v>
      </c>
      <c r="D59" s="13" t="s">
        <v>194</v>
      </c>
      <c r="E59" s="17">
        <v>201256</v>
      </c>
      <c r="F59" s="18">
        <v>1197.07</v>
      </c>
      <c r="G59" s="19">
        <v>5.3E-3</v>
      </c>
      <c r="H59" s="20"/>
    </row>
    <row r="60" spans="1:8" ht="13.05" customHeight="1">
      <c r="A60" s="15" t="s">
        <v>195</v>
      </c>
      <c r="B60" s="16" t="s">
        <v>196</v>
      </c>
      <c r="C60" s="12" t="s">
        <v>197</v>
      </c>
      <c r="D60" s="13" t="s">
        <v>63</v>
      </c>
      <c r="E60" s="17">
        <v>89691</v>
      </c>
      <c r="F60" s="18">
        <v>1156.7</v>
      </c>
      <c r="G60" s="19">
        <v>5.1000000000000004E-3</v>
      </c>
      <c r="H60" s="20"/>
    </row>
    <row r="61" spans="1:8" ht="13.05" customHeight="1">
      <c r="A61" s="15" t="s">
        <v>198</v>
      </c>
      <c r="B61" s="16" t="s">
        <v>199</v>
      </c>
      <c r="C61" s="12" t="s">
        <v>200</v>
      </c>
      <c r="D61" s="13" t="s">
        <v>201</v>
      </c>
      <c r="E61" s="17">
        <v>600000</v>
      </c>
      <c r="F61" s="18">
        <v>1145.8800000000001</v>
      </c>
      <c r="G61" s="19">
        <v>5.0000000000000001E-3</v>
      </c>
      <c r="H61" s="20"/>
    </row>
    <row r="62" spans="1:8" ht="13.05" customHeight="1">
      <c r="A62" s="15" t="s">
        <v>202</v>
      </c>
      <c r="B62" s="16" t="s">
        <v>203</v>
      </c>
      <c r="C62" s="12" t="s">
        <v>204</v>
      </c>
      <c r="D62" s="13" t="s">
        <v>104</v>
      </c>
      <c r="E62" s="17">
        <v>80000</v>
      </c>
      <c r="F62" s="18">
        <v>1067.5999999999999</v>
      </c>
      <c r="G62" s="19">
        <v>4.7000000000000002E-3</v>
      </c>
      <c r="H62" s="20"/>
    </row>
    <row r="63" spans="1:8" ht="13.05" customHeight="1">
      <c r="A63" s="15" t="s">
        <v>205</v>
      </c>
      <c r="B63" s="16" t="s">
        <v>206</v>
      </c>
      <c r="C63" s="12" t="s">
        <v>207</v>
      </c>
      <c r="D63" s="13" t="s">
        <v>53</v>
      </c>
      <c r="E63" s="17">
        <v>179343</v>
      </c>
      <c r="F63" s="18">
        <v>1051.22</v>
      </c>
      <c r="G63" s="19">
        <v>4.5999999999999999E-3</v>
      </c>
      <c r="H63" s="20"/>
    </row>
    <row r="64" spans="1:8" ht="13.05" customHeight="1">
      <c r="A64" s="15" t="s">
        <v>208</v>
      </c>
      <c r="B64" s="16" t="s">
        <v>209</v>
      </c>
      <c r="C64" s="12" t="s">
        <v>210</v>
      </c>
      <c r="D64" s="13" t="s">
        <v>24</v>
      </c>
      <c r="E64" s="17">
        <v>108882</v>
      </c>
      <c r="F64" s="18">
        <v>1045.43</v>
      </c>
      <c r="G64" s="19">
        <v>4.5999999999999999E-3</v>
      </c>
      <c r="H64" s="20"/>
    </row>
    <row r="65" spans="1:8" ht="13.05" customHeight="1">
      <c r="A65" s="15" t="s">
        <v>211</v>
      </c>
      <c r="B65" s="16" t="s">
        <v>212</v>
      </c>
      <c r="C65" s="12" t="s">
        <v>213</v>
      </c>
      <c r="D65" s="13" t="s">
        <v>174</v>
      </c>
      <c r="E65" s="17">
        <v>10013</v>
      </c>
      <c r="F65" s="18">
        <v>1033.0999999999999</v>
      </c>
      <c r="G65" s="19">
        <v>4.4999999999999997E-3</v>
      </c>
      <c r="H65" s="20"/>
    </row>
    <row r="66" spans="1:8" ht="13.05" customHeight="1">
      <c r="A66" s="15" t="s">
        <v>214</v>
      </c>
      <c r="B66" s="16" t="s">
        <v>215</v>
      </c>
      <c r="C66" s="12" t="s">
        <v>216</v>
      </c>
      <c r="D66" s="13" t="s">
        <v>49</v>
      </c>
      <c r="E66" s="17">
        <v>9500</v>
      </c>
      <c r="F66" s="18">
        <v>1031.55</v>
      </c>
      <c r="G66" s="19">
        <v>4.4999999999999997E-3</v>
      </c>
      <c r="H66" s="20"/>
    </row>
    <row r="67" spans="1:8" ht="13.05" customHeight="1">
      <c r="A67" s="15" t="s">
        <v>217</v>
      </c>
      <c r="B67" s="16" t="s">
        <v>218</v>
      </c>
      <c r="C67" s="12" t="s">
        <v>219</v>
      </c>
      <c r="D67" s="13" t="s">
        <v>220</v>
      </c>
      <c r="E67" s="17">
        <v>119507</v>
      </c>
      <c r="F67" s="18">
        <v>981.33</v>
      </c>
      <c r="G67" s="19">
        <v>4.3E-3</v>
      </c>
      <c r="H67" s="20"/>
    </row>
    <row r="68" spans="1:8" ht="13.05" customHeight="1">
      <c r="A68" s="15" t="s">
        <v>221</v>
      </c>
      <c r="B68" s="16" t="s">
        <v>222</v>
      </c>
      <c r="C68" s="12" t="s">
        <v>223</v>
      </c>
      <c r="D68" s="13" t="s">
        <v>224</v>
      </c>
      <c r="E68" s="17">
        <v>515000</v>
      </c>
      <c r="F68" s="18">
        <v>939.62</v>
      </c>
      <c r="G68" s="19">
        <v>4.1000000000000003E-3</v>
      </c>
      <c r="H68" s="20"/>
    </row>
    <row r="69" spans="1:8" ht="13.05" customHeight="1">
      <c r="A69" s="15" t="s">
        <v>225</v>
      </c>
      <c r="B69" s="16" t="s">
        <v>226</v>
      </c>
      <c r="C69" s="12" t="s">
        <v>227</v>
      </c>
      <c r="D69" s="13" t="s">
        <v>84</v>
      </c>
      <c r="E69" s="17">
        <v>249424</v>
      </c>
      <c r="F69" s="18">
        <v>936.96</v>
      </c>
      <c r="G69" s="19">
        <v>4.1000000000000003E-3</v>
      </c>
      <c r="H69" s="20"/>
    </row>
    <row r="70" spans="1:8" ht="13.05" customHeight="1">
      <c r="A70" s="15" t="s">
        <v>228</v>
      </c>
      <c r="B70" s="16" t="s">
        <v>229</v>
      </c>
      <c r="C70" s="12" t="s">
        <v>230</v>
      </c>
      <c r="D70" s="13" t="s">
        <v>63</v>
      </c>
      <c r="E70" s="17">
        <v>555585</v>
      </c>
      <c r="F70" s="18">
        <v>913.05</v>
      </c>
      <c r="G70" s="19">
        <v>4.0000000000000001E-3</v>
      </c>
      <c r="H70" s="20"/>
    </row>
    <row r="71" spans="1:8" ht="13.05" customHeight="1">
      <c r="A71" s="15" t="s">
        <v>231</v>
      </c>
      <c r="B71" s="16" t="s">
        <v>232</v>
      </c>
      <c r="C71" s="12" t="s">
        <v>233</v>
      </c>
      <c r="D71" s="13" t="s">
        <v>194</v>
      </c>
      <c r="E71" s="17">
        <v>85768</v>
      </c>
      <c r="F71" s="18">
        <v>903.31</v>
      </c>
      <c r="G71" s="19">
        <v>4.0000000000000001E-3</v>
      </c>
      <c r="H71" s="20"/>
    </row>
    <row r="72" spans="1:8" ht="13.05" customHeight="1">
      <c r="A72" s="15" t="s">
        <v>234</v>
      </c>
      <c r="B72" s="16" t="s">
        <v>235</v>
      </c>
      <c r="C72" s="12" t="s">
        <v>236</v>
      </c>
      <c r="D72" s="13" t="s">
        <v>76</v>
      </c>
      <c r="E72" s="17">
        <v>24000</v>
      </c>
      <c r="F72" s="18">
        <v>884.56</v>
      </c>
      <c r="G72" s="19">
        <v>3.8999999999999998E-3</v>
      </c>
      <c r="H72" s="20"/>
    </row>
    <row r="73" spans="1:8" ht="13.05" customHeight="1">
      <c r="A73" s="15" t="s">
        <v>237</v>
      </c>
      <c r="B73" s="16" t="s">
        <v>238</v>
      </c>
      <c r="C73" s="12" t="s">
        <v>239</v>
      </c>
      <c r="D73" s="13" t="s">
        <v>31</v>
      </c>
      <c r="E73" s="17">
        <v>255000</v>
      </c>
      <c r="F73" s="18">
        <v>871.59</v>
      </c>
      <c r="G73" s="19">
        <v>3.8E-3</v>
      </c>
      <c r="H73" s="20"/>
    </row>
    <row r="74" spans="1:8" ht="13.05" customHeight="1">
      <c r="A74" s="15" t="s">
        <v>240</v>
      </c>
      <c r="B74" s="16" t="s">
        <v>241</v>
      </c>
      <c r="C74" s="12" t="s">
        <v>242</v>
      </c>
      <c r="D74" s="13" t="s">
        <v>243</v>
      </c>
      <c r="E74" s="17">
        <v>246432</v>
      </c>
      <c r="F74" s="18">
        <v>816.31</v>
      </c>
      <c r="G74" s="19">
        <v>3.5999999999999999E-3</v>
      </c>
      <c r="H74" s="20"/>
    </row>
    <row r="75" spans="1:8" ht="13.05" customHeight="1">
      <c r="A75" s="15" t="s">
        <v>244</v>
      </c>
      <c r="B75" s="16" t="s">
        <v>245</v>
      </c>
      <c r="C75" s="12" t="s">
        <v>246</v>
      </c>
      <c r="D75" s="13" t="s">
        <v>16</v>
      </c>
      <c r="E75" s="17">
        <v>27500</v>
      </c>
      <c r="F75" s="18">
        <v>782.98</v>
      </c>
      <c r="G75" s="19">
        <v>3.3999999999999998E-3</v>
      </c>
      <c r="H75" s="20"/>
    </row>
    <row r="76" spans="1:8" ht="13.05" customHeight="1">
      <c r="A76" s="15" t="s">
        <v>247</v>
      </c>
      <c r="B76" s="16" t="s">
        <v>248</v>
      </c>
      <c r="C76" s="12" t="s">
        <v>249</v>
      </c>
      <c r="D76" s="13" t="s">
        <v>181</v>
      </c>
      <c r="E76" s="17">
        <v>24894</v>
      </c>
      <c r="F76" s="18">
        <v>729.8</v>
      </c>
      <c r="G76" s="19">
        <v>3.2000000000000002E-3</v>
      </c>
      <c r="H76" s="20"/>
    </row>
    <row r="77" spans="1:8" ht="13.05" customHeight="1">
      <c r="A77" s="15" t="s">
        <v>250</v>
      </c>
      <c r="B77" s="16" t="s">
        <v>251</v>
      </c>
      <c r="C77" s="12" t="s">
        <v>252</v>
      </c>
      <c r="D77" s="13" t="s">
        <v>84</v>
      </c>
      <c r="E77" s="17">
        <v>75000</v>
      </c>
      <c r="F77" s="18">
        <v>643.84</v>
      </c>
      <c r="G77" s="19">
        <v>2.8E-3</v>
      </c>
      <c r="H77" s="20"/>
    </row>
    <row r="78" spans="1:8" ht="13.05" customHeight="1">
      <c r="A78" s="15" t="s">
        <v>253</v>
      </c>
      <c r="B78" s="16" t="s">
        <v>254</v>
      </c>
      <c r="C78" s="12" t="s">
        <v>255</v>
      </c>
      <c r="D78" s="13" t="s">
        <v>256</v>
      </c>
      <c r="E78" s="17">
        <v>27375</v>
      </c>
      <c r="F78" s="18">
        <v>612.64</v>
      </c>
      <c r="G78" s="19">
        <v>2.7000000000000001E-3</v>
      </c>
      <c r="H78" s="20"/>
    </row>
    <row r="79" spans="1:8" ht="13.05" customHeight="1">
      <c r="A79" s="15" t="s">
        <v>257</v>
      </c>
      <c r="B79" s="16" t="s">
        <v>258</v>
      </c>
      <c r="C79" s="12" t="s">
        <v>259</v>
      </c>
      <c r="D79" s="13" t="s">
        <v>194</v>
      </c>
      <c r="E79" s="17">
        <v>359259</v>
      </c>
      <c r="F79" s="18">
        <v>560.88</v>
      </c>
      <c r="G79" s="19">
        <v>2.5000000000000001E-3</v>
      </c>
      <c r="H79" s="20"/>
    </row>
    <row r="80" spans="1:8" ht="13.05" customHeight="1">
      <c r="A80" s="15" t="s">
        <v>260</v>
      </c>
      <c r="B80" s="16" t="s">
        <v>261</v>
      </c>
      <c r="C80" s="12" t="s">
        <v>262</v>
      </c>
      <c r="D80" s="13" t="s">
        <v>63</v>
      </c>
      <c r="E80" s="17">
        <v>179743</v>
      </c>
      <c r="F80" s="18">
        <v>556.48</v>
      </c>
      <c r="G80" s="19">
        <v>2.3999999999999998E-3</v>
      </c>
      <c r="H80" s="20"/>
    </row>
    <row r="81" spans="1:8" ht="13.05" customHeight="1">
      <c r="A81" s="15" t="s">
        <v>263</v>
      </c>
      <c r="B81" s="16" t="s">
        <v>264</v>
      </c>
      <c r="C81" s="12" t="s">
        <v>265</v>
      </c>
      <c r="D81" s="13" t="s">
        <v>167</v>
      </c>
      <c r="E81" s="17">
        <v>4400</v>
      </c>
      <c r="F81" s="18">
        <v>502.76</v>
      </c>
      <c r="G81" s="19">
        <v>2.2000000000000001E-3</v>
      </c>
      <c r="H81" s="20"/>
    </row>
    <row r="82" spans="1:8" ht="13.05" customHeight="1">
      <c r="A82" s="15" t="s">
        <v>266</v>
      </c>
      <c r="B82" s="16" t="s">
        <v>267</v>
      </c>
      <c r="C82" s="12" t="s">
        <v>268</v>
      </c>
      <c r="D82" s="13" t="s">
        <v>159</v>
      </c>
      <c r="E82" s="17">
        <v>57750</v>
      </c>
      <c r="F82" s="18">
        <v>476.38</v>
      </c>
      <c r="G82" s="19">
        <v>2.0999999999999999E-3</v>
      </c>
      <c r="H82" s="20"/>
    </row>
    <row r="83" spans="1:8" ht="13.05" customHeight="1">
      <c r="A83" s="15" t="s">
        <v>269</v>
      </c>
      <c r="B83" s="16" t="s">
        <v>270</v>
      </c>
      <c r="C83" s="12" t="s">
        <v>271</v>
      </c>
      <c r="D83" s="13" t="s">
        <v>39</v>
      </c>
      <c r="E83" s="17">
        <v>108766</v>
      </c>
      <c r="F83" s="18">
        <v>459.26</v>
      </c>
      <c r="G83" s="19">
        <v>2E-3</v>
      </c>
      <c r="H83" s="20"/>
    </row>
    <row r="84" spans="1:8" ht="13.05" customHeight="1">
      <c r="A84" s="15" t="s">
        <v>272</v>
      </c>
      <c r="B84" s="16" t="s">
        <v>273</v>
      </c>
      <c r="C84" s="12" t="s">
        <v>274</v>
      </c>
      <c r="D84" s="13" t="s">
        <v>256</v>
      </c>
      <c r="E84" s="17">
        <v>83183</v>
      </c>
      <c r="F84" s="18">
        <v>374.32</v>
      </c>
      <c r="G84" s="19">
        <v>1.6000000000000001E-3</v>
      </c>
      <c r="H84" s="20"/>
    </row>
    <row r="85" spans="1:8" ht="13.05" customHeight="1">
      <c r="A85" s="15" t="s">
        <v>275</v>
      </c>
      <c r="B85" s="16" t="s">
        <v>276</v>
      </c>
      <c r="C85" s="12" t="s">
        <v>277</v>
      </c>
      <c r="D85" s="13" t="s">
        <v>167</v>
      </c>
      <c r="E85" s="17">
        <v>18000</v>
      </c>
      <c r="F85" s="18">
        <v>369.45</v>
      </c>
      <c r="G85" s="19">
        <v>1.6000000000000001E-3</v>
      </c>
      <c r="H85" s="20"/>
    </row>
    <row r="86" spans="1:8" ht="13.05" customHeight="1">
      <c r="A86" s="15" t="s">
        <v>278</v>
      </c>
      <c r="B86" s="16" t="s">
        <v>279</v>
      </c>
      <c r="C86" s="12" t="s">
        <v>280</v>
      </c>
      <c r="D86" s="13" t="s">
        <v>114</v>
      </c>
      <c r="E86" s="17">
        <v>38791</v>
      </c>
      <c r="F86" s="18">
        <v>305.67</v>
      </c>
      <c r="G86" s="19">
        <v>1.2999999999999999E-3</v>
      </c>
      <c r="H86" s="20"/>
    </row>
    <row r="87" spans="1:8" ht="13.05" customHeight="1">
      <c r="A87" s="15" t="s">
        <v>281</v>
      </c>
      <c r="B87" s="16" t="s">
        <v>282</v>
      </c>
      <c r="C87" s="12" t="s">
        <v>283</v>
      </c>
      <c r="D87" s="13" t="s">
        <v>284</v>
      </c>
      <c r="E87" s="17">
        <v>194658</v>
      </c>
      <c r="F87" s="18">
        <v>236.1</v>
      </c>
      <c r="G87" s="19">
        <v>1E-3</v>
      </c>
      <c r="H87" s="20"/>
    </row>
    <row r="88" spans="1:8" ht="13.05" customHeight="1">
      <c r="A88" s="15" t="s">
        <v>285</v>
      </c>
      <c r="B88" s="16" t="s">
        <v>286</v>
      </c>
      <c r="C88" s="12" t="s">
        <v>287</v>
      </c>
      <c r="D88" s="13" t="s">
        <v>114</v>
      </c>
      <c r="E88" s="17">
        <v>50000</v>
      </c>
      <c r="F88" s="18">
        <v>140.19999999999999</v>
      </c>
      <c r="G88" s="19">
        <v>5.9999999999999995E-4</v>
      </c>
      <c r="H88" s="20"/>
    </row>
    <row r="89" spans="1:8" ht="13.05" customHeight="1">
      <c r="A89" s="15" t="s">
        <v>288</v>
      </c>
      <c r="B89" s="16" t="s">
        <v>289</v>
      </c>
      <c r="C89" s="12" t="s">
        <v>290</v>
      </c>
      <c r="D89" s="13" t="s">
        <v>104</v>
      </c>
      <c r="E89" s="17">
        <v>1525</v>
      </c>
      <c r="F89" s="18">
        <v>93.01</v>
      </c>
      <c r="G89" s="19">
        <v>4.0000000000000002E-4</v>
      </c>
      <c r="H89" s="20"/>
    </row>
    <row r="90" spans="1:8" ht="13.05" customHeight="1">
      <c r="A90" s="4"/>
      <c r="B90" s="21" t="s">
        <v>291</v>
      </c>
      <c r="C90" s="22"/>
      <c r="D90" s="21"/>
      <c r="E90" s="21"/>
      <c r="F90" s="23">
        <f>SUM(F8:F89)</f>
        <v>185918.37000000011</v>
      </c>
      <c r="G90" s="24">
        <f>SUM(G8:G89)</f>
        <v>0.81739999999999979</v>
      </c>
      <c r="H90" s="25"/>
    </row>
    <row r="91" spans="1:8" ht="13.05" customHeight="1">
      <c r="A91" s="4"/>
      <c r="B91" s="11" t="s">
        <v>292</v>
      </c>
      <c r="C91" s="26"/>
      <c r="D91" s="27"/>
      <c r="E91" s="27"/>
      <c r="F91" s="28"/>
      <c r="G91" s="28"/>
      <c r="H91" s="25"/>
    </row>
    <row r="92" spans="1:8" ht="13.05" customHeight="1">
      <c r="A92" s="15" t="s">
        <v>293</v>
      </c>
      <c r="B92" s="16" t="s">
        <v>294</v>
      </c>
      <c r="C92" s="12" t="s">
        <v>295</v>
      </c>
      <c r="D92" s="13" t="s">
        <v>159</v>
      </c>
      <c r="E92" s="17">
        <v>5516</v>
      </c>
      <c r="F92" s="18">
        <v>41.44</v>
      </c>
      <c r="G92" s="19">
        <v>2.0000000000000001E-4</v>
      </c>
      <c r="H92" s="20"/>
    </row>
    <row r="93" spans="1:8" ht="13.05" customHeight="1">
      <c r="A93" s="4"/>
      <c r="B93" s="21" t="s">
        <v>291</v>
      </c>
      <c r="C93" s="26"/>
      <c r="D93" s="27"/>
      <c r="E93" s="27"/>
      <c r="F93" s="23">
        <f>+F92</f>
        <v>41.44</v>
      </c>
      <c r="G93" s="24">
        <f>+G92</f>
        <v>2.0000000000000001E-4</v>
      </c>
      <c r="H93" s="25"/>
    </row>
    <row r="94" spans="1:8" ht="13.05" customHeight="1">
      <c r="A94" s="4"/>
      <c r="B94" s="21" t="s">
        <v>296</v>
      </c>
      <c r="C94" s="26"/>
      <c r="D94" s="27"/>
      <c r="E94" s="29"/>
      <c r="F94" s="30">
        <v>185959.81</v>
      </c>
      <c r="G94" s="31">
        <v>0.81759999999999999</v>
      </c>
      <c r="H94" s="32"/>
    </row>
    <row r="95" spans="1:8" ht="13.05" customHeight="1">
      <c r="A95" s="4"/>
      <c r="B95" s="11" t="s">
        <v>297</v>
      </c>
      <c r="C95" s="12"/>
      <c r="D95" s="13"/>
      <c r="E95" s="13"/>
      <c r="F95" s="13"/>
      <c r="G95" s="13"/>
      <c r="H95" s="14"/>
    </row>
    <row r="96" spans="1:8" ht="13.05" customHeight="1">
      <c r="A96" s="4"/>
      <c r="B96" s="11" t="s">
        <v>298</v>
      </c>
      <c r="C96" s="12"/>
      <c r="D96" s="13"/>
      <c r="E96" s="13"/>
      <c r="F96" s="13"/>
      <c r="G96" s="13"/>
      <c r="H96" s="14"/>
    </row>
    <row r="97" spans="1:8" ht="13.05" customHeight="1">
      <c r="A97" s="15" t="s">
        <v>299</v>
      </c>
      <c r="B97" s="16" t="s">
        <v>300</v>
      </c>
      <c r="C97" s="12"/>
      <c r="D97" s="13" t="s">
        <v>301</v>
      </c>
      <c r="E97" s="17">
        <v>-1400</v>
      </c>
      <c r="F97" s="18">
        <v>-85.97</v>
      </c>
      <c r="G97" s="19">
        <v>-4.0000000000000002E-4</v>
      </c>
      <c r="H97" s="20"/>
    </row>
    <row r="98" spans="1:8" ht="13.05" customHeight="1">
      <c r="A98" s="15" t="s">
        <v>302</v>
      </c>
      <c r="B98" s="16" t="s">
        <v>303</v>
      </c>
      <c r="C98" s="12"/>
      <c r="D98" s="13" t="s">
        <v>301</v>
      </c>
      <c r="E98" s="17">
        <v>-18000</v>
      </c>
      <c r="F98" s="18">
        <v>-372.19</v>
      </c>
      <c r="G98" s="19">
        <v>-1.6000000000000001E-3</v>
      </c>
      <c r="H98" s="20"/>
    </row>
    <row r="99" spans="1:8" ht="13.05" customHeight="1">
      <c r="A99" s="15" t="s">
        <v>304</v>
      </c>
      <c r="B99" s="16" t="s">
        <v>305</v>
      </c>
      <c r="C99" s="12"/>
      <c r="D99" s="13" t="s">
        <v>301</v>
      </c>
      <c r="E99" s="17">
        <v>-57750</v>
      </c>
      <c r="F99" s="18">
        <v>-479.84</v>
      </c>
      <c r="G99" s="19">
        <v>-2.0999999999999999E-3</v>
      </c>
      <c r="H99" s="20"/>
    </row>
    <row r="100" spans="1:8" ht="13.05" customHeight="1">
      <c r="A100" s="15" t="s">
        <v>306</v>
      </c>
      <c r="B100" s="16" t="s">
        <v>307</v>
      </c>
      <c r="C100" s="12"/>
      <c r="D100" s="13" t="s">
        <v>301</v>
      </c>
      <c r="E100" s="17">
        <v>-4400</v>
      </c>
      <c r="F100" s="18">
        <v>-504.87</v>
      </c>
      <c r="G100" s="19">
        <v>-2.2000000000000001E-3</v>
      </c>
      <c r="H100" s="20"/>
    </row>
    <row r="101" spans="1:8" ht="13.05" customHeight="1">
      <c r="A101" s="15" t="s">
        <v>308</v>
      </c>
      <c r="B101" s="16" t="s">
        <v>309</v>
      </c>
      <c r="C101" s="12"/>
      <c r="D101" s="13" t="s">
        <v>301</v>
      </c>
      <c r="E101" s="17">
        <v>-27375</v>
      </c>
      <c r="F101" s="18">
        <v>-615.54999999999995</v>
      </c>
      <c r="G101" s="19">
        <v>-2.7000000000000001E-3</v>
      </c>
      <c r="H101" s="20"/>
    </row>
    <row r="102" spans="1:8" ht="13.05" customHeight="1">
      <c r="A102" s="15" t="s">
        <v>310</v>
      </c>
      <c r="B102" s="16" t="s">
        <v>311</v>
      </c>
      <c r="C102" s="12"/>
      <c r="D102" s="13" t="s">
        <v>301</v>
      </c>
      <c r="E102" s="17">
        <v>-28900</v>
      </c>
      <c r="F102" s="18">
        <v>-684.9</v>
      </c>
      <c r="G102" s="19">
        <v>-3.0000000000000001E-3</v>
      </c>
      <c r="H102" s="20"/>
    </row>
    <row r="103" spans="1:8" ht="13.05" customHeight="1">
      <c r="A103" s="15" t="s">
        <v>312</v>
      </c>
      <c r="B103" s="16" t="s">
        <v>313</v>
      </c>
      <c r="C103" s="12"/>
      <c r="D103" s="13" t="s">
        <v>301</v>
      </c>
      <c r="E103" s="17">
        <v>-27500</v>
      </c>
      <c r="F103" s="18">
        <v>-787.6</v>
      </c>
      <c r="G103" s="19">
        <v>-3.5000000000000001E-3</v>
      </c>
      <c r="H103" s="20"/>
    </row>
    <row r="104" spans="1:8" ht="13.05" customHeight="1">
      <c r="A104" s="15" t="s">
        <v>314</v>
      </c>
      <c r="B104" s="16" t="s">
        <v>315</v>
      </c>
      <c r="C104" s="12"/>
      <c r="D104" s="13" t="s">
        <v>301</v>
      </c>
      <c r="E104" s="17">
        <v>-255000</v>
      </c>
      <c r="F104" s="18">
        <v>-875.42</v>
      </c>
      <c r="G104" s="19">
        <v>-3.8999999999999998E-3</v>
      </c>
      <c r="H104" s="20"/>
    </row>
    <row r="105" spans="1:8" ht="13.05" customHeight="1">
      <c r="A105" s="15" t="s">
        <v>316</v>
      </c>
      <c r="B105" s="16" t="s">
        <v>317</v>
      </c>
      <c r="C105" s="12"/>
      <c r="D105" s="13" t="s">
        <v>301</v>
      </c>
      <c r="E105" s="17">
        <v>-24000</v>
      </c>
      <c r="F105" s="18">
        <v>-891.11</v>
      </c>
      <c r="G105" s="19">
        <v>-3.8999999999999998E-3</v>
      </c>
      <c r="H105" s="20"/>
    </row>
    <row r="106" spans="1:8" ht="13.05" customHeight="1">
      <c r="A106" s="15" t="s">
        <v>318</v>
      </c>
      <c r="B106" s="16" t="s">
        <v>319</v>
      </c>
      <c r="C106" s="12"/>
      <c r="D106" s="13" t="s">
        <v>301</v>
      </c>
      <c r="E106" s="17">
        <v>-9500</v>
      </c>
      <c r="F106" s="18">
        <v>-1037.8</v>
      </c>
      <c r="G106" s="19">
        <v>-4.5999999999999999E-3</v>
      </c>
      <c r="H106" s="20"/>
    </row>
    <row r="107" spans="1:8" ht="13.05" customHeight="1">
      <c r="A107" s="15" t="s">
        <v>320</v>
      </c>
      <c r="B107" s="16" t="s">
        <v>321</v>
      </c>
      <c r="C107" s="12"/>
      <c r="D107" s="13" t="s">
        <v>301</v>
      </c>
      <c r="E107" s="17">
        <v>-249600</v>
      </c>
      <c r="F107" s="18">
        <v>-1207.81</v>
      </c>
      <c r="G107" s="19">
        <v>-5.3E-3</v>
      </c>
      <c r="H107" s="20"/>
    </row>
    <row r="108" spans="1:8" ht="13.05" customHeight="1">
      <c r="A108" s="15" t="s">
        <v>322</v>
      </c>
      <c r="B108" s="16" t="s">
        <v>323</v>
      </c>
      <c r="C108" s="12"/>
      <c r="D108" s="13" t="s">
        <v>301</v>
      </c>
      <c r="E108" s="17">
        <v>-44625</v>
      </c>
      <c r="F108" s="18">
        <v>-1462.67</v>
      </c>
      <c r="G108" s="19">
        <v>-6.4000000000000003E-3</v>
      </c>
      <c r="H108" s="20"/>
    </row>
    <row r="109" spans="1:8" ht="13.05" customHeight="1">
      <c r="A109" s="15" t="s">
        <v>324</v>
      </c>
      <c r="B109" s="16" t="s">
        <v>325</v>
      </c>
      <c r="C109" s="12"/>
      <c r="D109" s="13" t="s">
        <v>301</v>
      </c>
      <c r="E109" s="17">
        <v>-199800</v>
      </c>
      <c r="F109" s="18">
        <v>-1812.09</v>
      </c>
      <c r="G109" s="19">
        <v>-8.0000000000000002E-3</v>
      </c>
      <c r="H109" s="20"/>
    </row>
    <row r="110" spans="1:8" ht="13.05" customHeight="1">
      <c r="A110" s="15" t="s">
        <v>326</v>
      </c>
      <c r="B110" s="16" t="s">
        <v>327</v>
      </c>
      <c r="C110" s="12"/>
      <c r="D110" s="13" t="s">
        <v>301</v>
      </c>
      <c r="E110" s="17">
        <v>-179500</v>
      </c>
      <c r="F110" s="18">
        <v>-2196.4499999999998</v>
      </c>
      <c r="G110" s="19">
        <v>-9.7000000000000003E-3</v>
      </c>
      <c r="H110" s="20"/>
    </row>
    <row r="111" spans="1:8" ht="13.05" customHeight="1">
      <c r="A111" s="15" t="s">
        <v>328</v>
      </c>
      <c r="B111" s="16" t="s">
        <v>329</v>
      </c>
      <c r="C111" s="12"/>
      <c r="D111" s="13" t="s">
        <v>301</v>
      </c>
      <c r="E111" s="17">
        <v>-109500</v>
      </c>
      <c r="F111" s="18">
        <v>-2567.06</v>
      </c>
      <c r="G111" s="19">
        <v>-1.1299999999999999E-2</v>
      </c>
      <c r="H111" s="20"/>
    </row>
    <row r="112" spans="1:8" ht="13.05" customHeight="1">
      <c r="A112" s="15" t="s">
        <v>330</v>
      </c>
      <c r="B112" s="16" t="s">
        <v>331</v>
      </c>
      <c r="C112" s="12"/>
      <c r="D112" s="13" t="s">
        <v>301</v>
      </c>
      <c r="E112" s="17">
        <v>-246000</v>
      </c>
      <c r="F112" s="18">
        <v>-2681.4</v>
      </c>
      <c r="G112" s="19">
        <v>-1.18E-2</v>
      </c>
      <c r="H112" s="20"/>
    </row>
    <row r="113" spans="1:8" ht="13.05" customHeight="1">
      <c r="A113" s="15" t="s">
        <v>332</v>
      </c>
      <c r="B113" s="16" t="s">
        <v>333</v>
      </c>
      <c r="C113" s="12"/>
      <c r="D113" s="13" t="s">
        <v>301</v>
      </c>
      <c r="E113" s="17">
        <v>-448800</v>
      </c>
      <c r="F113" s="18">
        <v>-2786.82</v>
      </c>
      <c r="G113" s="19">
        <v>-1.23E-2</v>
      </c>
      <c r="H113" s="20"/>
    </row>
    <row r="114" spans="1:8" ht="13.05" customHeight="1">
      <c r="A114" s="15" t="s">
        <v>334</v>
      </c>
      <c r="B114" s="16" t="s">
        <v>335</v>
      </c>
      <c r="C114" s="12"/>
      <c r="D114" s="13" t="s">
        <v>301</v>
      </c>
      <c r="E114" s="17">
        <v>-379500</v>
      </c>
      <c r="F114" s="18">
        <v>-2830.5</v>
      </c>
      <c r="G114" s="19">
        <v>-1.2500000000000001E-2</v>
      </c>
      <c r="H114" s="20"/>
    </row>
    <row r="115" spans="1:8" ht="13.05" customHeight="1">
      <c r="A115" s="15" t="s">
        <v>336</v>
      </c>
      <c r="B115" s="16" t="s">
        <v>337</v>
      </c>
      <c r="C115" s="12"/>
      <c r="D115" s="13" t="s">
        <v>301</v>
      </c>
      <c r="E115" s="17">
        <v>-178000</v>
      </c>
      <c r="F115" s="18">
        <v>-3202.04</v>
      </c>
      <c r="G115" s="19">
        <v>-1.41E-2</v>
      </c>
      <c r="H115" s="20"/>
    </row>
    <row r="116" spans="1:8" ht="13.05" customHeight="1">
      <c r="A116" s="15" t="s">
        <v>338</v>
      </c>
      <c r="B116" s="16" t="s">
        <v>339</v>
      </c>
      <c r="C116" s="12"/>
      <c r="D116" s="13" t="s">
        <v>301</v>
      </c>
      <c r="E116" s="17">
        <v>-231000</v>
      </c>
      <c r="F116" s="18">
        <v>-3770.5</v>
      </c>
      <c r="G116" s="19">
        <v>-1.66E-2</v>
      </c>
      <c r="H116" s="20"/>
    </row>
    <row r="117" spans="1:8" ht="13.05" customHeight="1">
      <c r="A117" s="15" t="s">
        <v>340</v>
      </c>
      <c r="B117" s="16" t="s">
        <v>341</v>
      </c>
      <c r="C117" s="12"/>
      <c r="D117" s="13" t="s">
        <v>301</v>
      </c>
      <c r="E117" s="17">
        <v>-93625</v>
      </c>
      <c r="F117" s="18">
        <v>-3831.84</v>
      </c>
      <c r="G117" s="19">
        <v>-1.6899999999999998E-2</v>
      </c>
      <c r="H117" s="20"/>
    </row>
    <row r="118" spans="1:8" ht="13.05" customHeight="1">
      <c r="A118" s="15" t="s">
        <v>342</v>
      </c>
      <c r="B118" s="16" t="s">
        <v>343</v>
      </c>
      <c r="C118" s="12"/>
      <c r="D118" s="13" t="s">
        <v>301</v>
      </c>
      <c r="E118" s="17">
        <v>-143500</v>
      </c>
      <c r="F118" s="18">
        <v>-4349.13</v>
      </c>
      <c r="G118" s="19">
        <v>-1.9099999999999999E-2</v>
      </c>
      <c r="H118" s="20"/>
    </row>
    <row r="119" spans="1:8" ht="13.05" customHeight="1">
      <c r="A119" s="15" t="s">
        <v>344</v>
      </c>
      <c r="B119" s="16" t="s">
        <v>345</v>
      </c>
      <c r="C119" s="12"/>
      <c r="D119" s="13" t="s">
        <v>301</v>
      </c>
      <c r="E119" s="17">
        <v>-316350</v>
      </c>
      <c r="F119" s="18">
        <v>-5057.8</v>
      </c>
      <c r="G119" s="19">
        <v>-2.23E-2</v>
      </c>
      <c r="H119" s="20"/>
    </row>
    <row r="120" spans="1:8" ht="13.05" customHeight="1">
      <c r="A120" s="15" t="s">
        <v>346</v>
      </c>
      <c r="B120" s="16" t="s">
        <v>347</v>
      </c>
      <c r="C120" s="12"/>
      <c r="D120" s="13" t="s">
        <v>301</v>
      </c>
      <c r="E120" s="17">
        <v>-682500</v>
      </c>
      <c r="F120" s="18">
        <v>-5464.78</v>
      </c>
      <c r="G120" s="19">
        <v>-2.4E-2</v>
      </c>
      <c r="H120" s="20"/>
    </row>
    <row r="121" spans="1:8" ht="13.05" customHeight="1">
      <c r="A121" s="15" t="s">
        <v>348</v>
      </c>
      <c r="B121" s="16" t="s">
        <v>349</v>
      </c>
      <c r="C121" s="12"/>
      <c r="D121" s="13" t="s">
        <v>301</v>
      </c>
      <c r="E121" s="17">
        <v>-471250</v>
      </c>
      <c r="F121" s="18">
        <v>-5630.02</v>
      </c>
      <c r="G121" s="19">
        <v>-2.4799999999999999E-2</v>
      </c>
      <c r="H121" s="20"/>
    </row>
    <row r="122" spans="1:8" ht="13.05" customHeight="1">
      <c r="A122" s="15" t="s">
        <v>350</v>
      </c>
      <c r="B122" s="16" t="s">
        <v>351</v>
      </c>
      <c r="C122" s="12"/>
      <c r="D122" s="13" t="s">
        <v>301</v>
      </c>
      <c r="E122" s="17">
        <v>-116500</v>
      </c>
      <c r="F122" s="18">
        <v>-8008.15</v>
      </c>
      <c r="G122" s="19">
        <v>-3.5200000000000002E-2</v>
      </c>
      <c r="H122" s="20"/>
    </row>
    <row r="123" spans="1:8" ht="13.05" customHeight="1">
      <c r="A123" s="15" t="s">
        <v>352</v>
      </c>
      <c r="B123" s="16" t="s">
        <v>353</v>
      </c>
      <c r="C123" s="12"/>
      <c r="D123" s="13" t="s">
        <v>301</v>
      </c>
      <c r="E123" s="17">
        <v>-448400</v>
      </c>
      <c r="F123" s="18">
        <v>-8473.41</v>
      </c>
      <c r="G123" s="19">
        <v>-3.73E-2</v>
      </c>
      <c r="H123" s="20"/>
    </row>
    <row r="124" spans="1:8" ht="13.05" customHeight="1">
      <c r="A124" s="4"/>
      <c r="B124" s="21" t="s">
        <v>296</v>
      </c>
      <c r="C124" s="26"/>
      <c r="D124" s="27"/>
      <c r="E124" s="29"/>
      <c r="F124" s="30">
        <v>-71667.72</v>
      </c>
      <c r="G124" s="31">
        <v>-0.3155</v>
      </c>
      <c r="H124" s="32"/>
    </row>
    <row r="125" spans="1:8" ht="13.05" customHeight="1">
      <c r="A125" s="4"/>
      <c r="B125" s="11" t="s">
        <v>354</v>
      </c>
      <c r="C125" s="12"/>
      <c r="D125" s="13"/>
      <c r="E125" s="13"/>
      <c r="F125" s="13"/>
      <c r="G125" s="13"/>
      <c r="H125" s="14"/>
    </row>
    <row r="126" spans="1:8" ht="13.05" customHeight="1">
      <c r="A126" s="4"/>
      <c r="B126" s="11" t="s">
        <v>355</v>
      </c>
      <c r="C126" s="12"/>
      <c r="D126" s="13"/>
      <c r="E126" s="13"/>
      <c r="F126" s="13"/>
      <c r="G126" s="13"/>
      <c r="H126" s="14"/>
    </row>
    <row r="127" spans="1:8" ht="13.05" customHeight="1">
      <c r="A127" s="4"/>
      <c r="B127" s="11" t="s">
        <v>356</v>
      </c>
      <c r="C127" s="12"/>
      <c r="D127" s="13"/>
      <c r="E127" s="13"/>
      <c r="F127" s="13"/>
      <c r="G127" s="13"/>
      <c r="H127" s="14"/>
    </row>
    <row r="128" spans="1:8" ht="13.05" customHeight="1">
      <c r="A128" s="15" t="s">
        <v>357</v>
      </c>
      <c r="B128" s="16" t="s">
        <v>358</v>
      </c>
      <c r="C128" s="12" t="s">
        <v>359</v>
      </c>
      <c r="D128" s="13" t="s">
        <v>360</v>
      </c>
      <c r="E128" s="17">
        <v>10500000</v>
      </c>
      <c r="F128" s="18">
        <v>10864.8</v>
      </c>
      <c r="G128" s="19">
        <v>4.7800000000000002E-2</v>
      </c>
      <c r="H128" s="20">
        <v>7.1391999999999997E-2</v>
      </c>
    </row>
    <row r="129" spans="1:8" ht="13.05" customHeight="1">
      <c r="A129" s="15" t="s">
        <v>361</v>
      </c>
      <c r="B129" s="16" t="s">
        <v>362</v>
      </c>
      <c r="C129" s="12" t="s">
        <v>363</v>
      </c>
      <c r="D129" s="13" t="s">
        <v>360</v>
      </c>
      <c r="E129" s="17">
        <v>8800000</v>
      </c>
      <c r="F129" s="18">
        <v>9004.57</v>
      </c>
      <c r="G129" s="19">
        <v>3.9600000000000003E-2</v>
      </c>
      <c r="H129" s="20">
        <v>6.9333999999999993E-2</v>
      </c>
    </row>
    <row r="130" spans="1:8" ht="13.05" customHeight="1">
      <c r="A130" s="15" t="s">
        <v>364</v>
      </c>
      <c r="B130" s="16" t="s">
        <v>362</v>
      </c>
      <c r="C130" s="12" t="s">
        <v>365</v>
      </c>
      <c r="D130" s="13" t="s">
        <v>360</v>
      </c>
      <c r="E130" s="17">
        <v>3000000</v>
      </c>
      <c r="F130" s="18">
        <v>3073.8</v>
      </c>
      <c r="G130" s="19">
        <v>1.35E-2</v>
      </c>
      <c r="H130" s="20">
        <v>7.0019999999999999E-2</v>
      </c>
    </row>
    <row r="131" spans="1:8" ht="13.05" customHeight="1">
      <c r="A131" s="15" t="s">
        <v>366</v>
      </c>
      <c r="B131" s="16" t="s">
        <v>367</v>
      </c>
      <c r="C131" s="12" t="s">
        <v>368</v>
      </c>
      <c r="D131" s="13" t="s">
        <v>360</v>
      </c>
      <c r="E131" s="17">
        <v>2500000</v>
      </c>
      <c r="F131" s="18">
        <v>2552.17</v>
      </c>
      <c r="G131" s="19">
        <v>1.12E-2</v>
      </c>
      <c r="H131" s="20">
        <v>6.9060999999999997E-2</v>
      </c>
    </row>
    <row r="132" spans="1:8" ht="13.05" customHeight="1">
      <c r="A132" s="15" t="s">
        <v>369</v>
      </c>
      <c r="B132" s="16" t="s">
        <v>370</v>
      </c>
      <c r="C132" s="12" t="s">
        <v>371</v>
      </c>
      <c r="D132" s="13" t="s">
        <v>360</v>
      </c>
      <c r="E132" s="17">
        <v>500000</v>
      </c>
      <c r="F132" s="18">
        <v>492.68</v>
      </c>
      <c r="G132" s="19">
        <v>2.2000000000000001E-3</v>
      </c>
      <c r="H132" s="20">
        <v>6.919800000000001E-2</v>
      </c>
    </row>
    <row r="133" spans="1:8" ht="13.05" customHeight="1">
      <c r="A133" s="4"/>
      <c r="B133" s="11" t="s">
        <v>372</v>
      </c>
      <c r="C133" s="12"/>
      <c r="D133" s="13"/>
      <c r="E133" s="13"/>
      <c r="F133" s="13"/>
      <c r="G133" s="13"/>
      <c r="H133" s="14"/>
    </row>
    <row r="134" spans="1:8" ht="13.05" customHeight="1">
      <c r="A134" s="15" t="s">
        <v>373</v>
      </c>
      <c r="B134" s="16" t="s">
        <v>374</v>
      </c>
      <c r="C134" s="12" t="s">
        <v>375</v>
      </c>
      <c r="D134" s="13" t="s">
        <v>376</v>
      </c>
      <c r="E134" s="17">
        <v>1500000</v>
      </c>
      <c r="F134" s="18">
        <v>1512.76</v>
      </c>
      <c r="G134" s="19">
        <v>6.7000000000000002E-3</v>
      </c>
      <c r="H134" s="20">
        <v>8.5000000000000006E-2</v>
      </c>
    </row>
    <row r="135" spans="1:8" ht="13.05" customHeight="1">
      <c r="A135" s="15" t="s">
        <v>377</v>
      </c>
      <c r="B135" s="16" t="s">
        <v>378</v>
      </c>
      <c r="C135" s="12" t="s">
        <v>379</v>
      </c>
      <c r="D135" s="13" t="s">
        <v>380</v>
      </c>
      <c r="E135" s="17">
        <v>500000</v>
      </c>
      <c r="F135" s="18">
        <v>503.72</v>
      </c>
      <c r="G135" s="19">
        <v>2.2000000000000001E-3</v>
      </c>
      <c r="H135" s="20">
        <v>8.9249999999999996E-2</v>
      </c>
    </row>
    <row r="136" spans="1:8" ht="13.05" customHeight="1">
      <c r="A136" s="15" t="s">
        <v>381</v>
      </c>
      <c r="B136" s="16" t="s">
        <v>382</v>
      </c>
      <c r="C136" s="12" t="s">
        <v>383</v>
      </c>
      <c r="D136" s="13" t="s">
        <v>376</v>
      </c>
      <c r="E136" s="17">
        <v>500000</v>
      </c>
      <c r="F136" s="18">
        <v>502.71</v>
      </c>
      <c r="G136" s="19">
        <v>2.2000000000000001E-3</v>
      </c>
      <c r="H136" s="20">
        <v>8.1337000000000007E-2</v>
      </c>
    </row>
    <row r="137" spans="1:8" ht="13.05" customHeight="1">
      <c r="A137" s="15" t="s">
        <v>384</v>
      </c>
      <c r="B137" s="16" t="s">
        <v>385</v>
      </c>
      <c r="C137" s="12" t="s">
        <v>386</v>
      </c>
      <c r="D137" s="13" t="s">
        <v>380</v>
      </c>
      <c r="E137" s="17">
        <v>500000</v>
      </c>
      <c r="F137" s="18">
        <v>499.33</v>
      </c>
      <c r="G137" s="19">
        <v>2.2000000000000001E-3</v>
      </c>
      <c r="H137" s="20">
        <v>8.3755999999999997E-2</v>
      </c>
    </row>
    <row r="138" spans="1:8" ht="13.05" customHeight="1">
      <c r="A138" s="15" t="s">
        <v>387</v>
      </c>
      <c r="B138" s="16" t="s">
        <v>388</v>
      </c>
      <c r="C138" s="12" t="s">
        <v>389</v>
      </c>
      <c r="D138" s="13" t="s">
        <v>390</v>
      </c>
      <c r="E138" s="17">
        <v>200267</v>
      </c>
      <c r="F138" s="18">
        <v>10.029999999999999</v>
      </c>
      <c r="G138" s="33" t="s">
        <v>391</v>
      </c>
      <c r="H138" s="20">
        <v>7.2799000000000003E-2</v>
      </c>
    </row>
    <row r="139" spans="1:8" ht="13.05" customHeight="1">
      <c r="A139" s="4"/>
      <c r="B139" s="11" t="s">
        <v>392</v>
      </c>
      <c r="C139" s="12"/>
      <c r="D139" s="13"/>
      <c r="E139" s="13"/>
      <c r="F139" s="13"/>
      <c r="G139" s="13"/>
      <c r="H139" s="14"/>
    </row>
    <row r="140" spans="1:8" ht="13.05" customHeight="1">
      <c r="A140" s="15" t="s">
        <v>393</v>
      </c>
      <c r="B140" s="16" t="s">
        <v>394</v>
      </c>
      <c r="C140" s="12" t="s">
        <v>395</v>
      </c>
      <c r="D140" s="13" t="s">
        <v>376</v>
      </c>
      <c r="E140" s="17">
        <v>2500000</v>
      </c>
      <c r="F140" s="18">
        <v>3034.04</v>
      </c>
      <c r="G140" s="19">
        <v>1.3299999999999999E-2</v>
      </c>
      <c r="H140" s="20">
        <v>8.0948999999999993E-2</v>
      </c>
    </row>
    <row r="141" spans="1:8" ht="13.05" customHeight="1">
      <c r="A141" s="4"/>
      <c r="B141" s="21" t="s">
        <v>291</v>
      </c>
      <c r="C141" s="22"/>
      <c r="D141" s="21"/>
      <c r="E141" s="21"/>
      <c r="F141" s="23">
        <v>32050.61</v>
      </c>
      <c r="G141" s="24">
        <v>0.1409</v>
      </c>
      <c r="H141" s="25"/>
    </row>
    <row r="142" spans="1:8" ht="13.05" customHeight="1">
      <c r="A142" s="4"/>
      <c r="B142" s="11" t="s">
        <v>396</v>
      </c>
      <c r="C142" s="12"/>
      <c r="D142" s="27"/>
      <c r="E142" s="27"/>
      <c r="F142" s="28" t="s">
        <v>397</v>
      </c>
      <c r="G142" s="28" t="s">
        <v>397</v>
      </c>
      <c r="H142" s="25" t="s">
        <v>397</v>
      </c>
    </row>
    <row r="143" spans="1:8" ht="13.05" customHeight="1">
      <c r="A143" s="4"/>
      <c r="B143" s="22" t="s">
        <v>291</v>
      </c>
      <c r="C143" s="26"/>
      <c r="D143" s="27"/>
      <c r="E143" s="27"/>
      <c r="F143" s="28" t="s">
        <v>397</v>
      </c>
      <c r="G143" s="28" t="s">
        <v>397</v>
      </c>
      <c r="H143" s="25" t="s">
        <v>397</v>
      </c>
    </row>
    <row r="144" spans="1:8" ht="13.05" customHeight="1">
      <c r="A144" s="4"/>
      <c r="B144" s="21" t="s">
        <v>296</v>
      </c>
      <c r="C144" s="26"/>
      <c r="D144" s="27"/>
      <c r="E144" s="29"/>
      <c r="F144" s="30">
        <v>32050.61</v>
      </c>
      <c r="G144" s="31">
        <v>0.1409</v>
      </c>
      <c r="H144" s="32"/>
    </row>
    <row r="145" spans="1:8" ht="13.05" customHeight="1">
      <c r="A145" s="4"/>
      <c r="B145" s="11" t="s">
        <v>398</v>
      </c>
      <c r="C145" s="12"/>
      <c r="D145" s="13"/>
      <c r="E145" s="13"/>
      <c r="F145" s="13"/>
      <c r="G145" s="13"/>
      <c r="H145" s="14"/>
    </row>
    <row r="146" spans="1:8" ht="13.05" customHeight="1">
      <c r="A146" s="4"/>
      <c r="B146" s="11" t="s">
        <v>399</v>
      </c>
      <c r="C146" s="12"/>
      <c r="D146" s="13"/>
      <c r="E146" s="13"/>
      <c r="F146" s="13"/>
      <c r="G146" s="13"/>
      <c r="H146" s="14"/>
    </row>
    <row r="147" spans="1:8" ht="13.05" customHeight="1">
      <c r="A147" s="15" t="s">
        <v>400</v>
      </c>
      <c r="B147" s="16" t="s">
        <v>401</v>
      </c>
      <c r="C147" s="12" t="s">
        <v>402</v>
      </c>
      <c r="D147" s="13" t="s">
        <v>403</v>
      </c>
      <c r="E147" s="17">
        <v>5000000</v>
      </c>
      <c r="F147" s="18">
        <v>4923.72</v>
      </c>
      <c r="G147" s="19">
        <v>2.1700000000000001E-2</v>
      </c>
      <c r="H147" s="20">
        <v>7.2499999999999995E-2</v>
      </c>
    </row>
    <row r="148" spans="1:8" ht="13.05" customHeight="1">
      <c r="A148" s="15" t="s">
        <v>404</v>
      </c>
      <c r="B148" s="16" t="s">
        <v>106</v>
      </c>
      <c r="C148" s="12" t="s">
        <v>405</v>
      </c>
      <c r="D148" s="13" t="s">
        <v>403</v>
      </c>
      <c r="E148" s="17">
        <v>1700000</v>
      </c>
      <c r="F148" s="18">
        <v>1680.35</v>
      </c>
      <c r="G148" s="19">
        <v>7.4000000000000003E-3</v>
      </c>
      <c r="H148" s="20">
        <v>7.3598999999999998E-2</v>
      </c>
    </row>
    <row r="149" spans="1:8" ht="13.05" customHeight="1">
      <c r="A149" s="4"/>
      <c r="B149" s="34" t="s">
        <v>406</v>
      </c>
      <c r="C149" s="12"/>
      <c r="D149" s="13"/>
      <c r="E149" s="13"/>
      <c r="F149" s="13"/>
      <c r="G149" s="13"/>
      <c r="H149" s="14"/>
    </row>
    <row r="150" spans="1:8" ht="13.05" customHeight="1">
      <c r="A150" s="15" t="s">
        <v>407</v>
      </c>
      <c r="B150" s="16" t="s">
        <v>408</v>
      </c>
      <c r="C150" s="12"/>
      <c r="D150" s="13"/>
      <c r="E150" s="33"/>
      <c r="F150" s="18">
        <v>2483.7800000000002</v>
      </c>
      <c r="G150" s="19">
        <v>1.09E-2</v>
      </c>
      <c r="H150" s="20">
        <v>6.2893037341939489E-2</v>
      </c>
    </row>
    <row r="151" spans="1:8" ht="13.05" customHeight="1">
      <c r="A151" s="4"/>
      <c r="B151" s="21" t="s">
        <v>296</v>
      </c>
      <c r="C151" s="26"/>
      <c r="D151" s="27"/>
      <c r="E151" s="29"/>
      <c r="F151" s="30">
        <v>9087.85</v>
      </c>
      <c r="G151" s="31">
        <v>0.04</v>
      </c>
      <c r="H151" s="32"/>
    </row>
    <row r="152" spans="1:8" ht="13.05" customHeight="1">
      <c r="A152" s="4"/>
      <c r="B152" s="34" t="s">
        <v>409</v>
      </c>
      <c r="C152" s="35"/>
      <c r="D152" s="36"/>
      <c r="E152" s="36"/>
      <c r="F152" s="36"/>
      <c r="G152" s="36"/>
      <c r="H152" s="37"/>
    </row>
    <row r="153" spans="1:8" ht="13.05" customHeight="1">
      <c r="A153" s="4"/>
      <c r="B153" s="27" t="s">
        <v>410</v>
      </c>
      <c r="C153" s="26"/>
      <c r="D153" s="27"/>
      <c r="E153" s="27"/>
      <c r="F153" s="23">
        <v>0.04</v>
      </c>
      <c r="G153" s="38" t="s">
        <v>391</v>
      </c>
      <c r="H153" s="37"/>
    </row>
    <row r="154" spans="1:8" ht="13.05" customHeight="1">
      <c r="A154" s="4"/>
      <c r="B154" s="21" t="s">
        <v>291</v>
      </c>
      <c r="C154" s="22"/>
      <c r="D154" s="21"/>
      <c r="E154" s="21"/>
      <c r="F154" s="23">
        <v>0.04</v>
      </c>
      <c r="G154" s="38" t="s">
        <v>391</v>
      </c>
      <c r="H154" s="37"/>
    </row>
    <row r="155" spans="1:8" ht="13.05" customHeight="1">
      <c r="A155" s="4"/>
      <c r="B155" s="21" t="s">
        <v>411</v>
      </c>
      <c r="C155" s="26"/>
      <c r="D155" s="27"/>
      <c r="E155" s="27"/>
      <c r="F155" s="23">
        <v>194.33</v>
      </c>
      <c r="G155" s="39">
        <v>1.5E-3</v>
      </c>
      <c r="H155" s="37"/>
    </row>
    <row r="156" spans="1:8" ht="13.05" customHeight="1" thickBot="1">
      <c r="A156" s="4"/>
      <c r="B156" s="40" t="s">
        <v>412</v>
      </c>
      <c r="C156" s="41"/>
      <c r="D156" s="42"/>
      <c r="E156" s="42"/>
      <c r="F156" s="43">
        <v>227292.6431384132</v>
      </c>
      <c r="G156" s="44">
        <v>1</v>
      </c>
      <c r="H156" s="45"/>
    </row>
    <row r="157" spans="1:8" ht="13.05" customHeight="1">
      <c r="A157" s="4"/>
      <c r="B157" s="46"/>
      <c r="C157" s="4"/>
      <c r="D157" s="4"/>
      <c r="E157" s="4"/>
      <c r="F157" s="4"/>
      <c r="G157" s="4"/>
      <c r="H157" s="4"/>
    </row>
    <row r="158" spans="1:8" ht="13.05" customHeight="1">
      <c r="A158" s="4"/>
      <c r="B158" s="46" t="s">
        <v>413</v>
      </c>
      <c r="C158" s="4"/>
      <c r="D158" s="4"/>
      <c r="E158" s="4"/>
      <c r="F158" s="4"/>
      <c r="G158" s="4"/>
      <c r="H158" s="4"/>
    </row>
    <row r="159" spans="1:8" ht="13.05" customHeight="1">
      <c r="A159" s="4"/>
      <c r="B159" s="47" t="s">
        <v>414</v>
      </c>
      <c r="C159" s="4"/>
      <c r="D159" s="4"/>
      <c r="E159" s="4"/>
      <c r="F159" s="4"/>
      <c r="G159" s="4"/>
      <c r="H159" s="4"/>
    </row>
    <row r="160" spans="1:8">
      <c r="B160" s="47" t="s">
        <v>415</v>
      </c>
    </row>
    <row r="161" spans="2:6">
      <c r="F161" s="48" t="s">
        <v>416</v>
      </c>
    </row>
    <row r="162" spans="2:6">
      <c r="B162" s="48" t="s">
        <v>417</v>
      </c>
      <c r="F162" s="48" t="s">
        <v>418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IDF223</vt:lpstr>
      <vt:lpstr>JR_PAGE_ANCHOR_0_40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2025-01-08T09:21:59Z</dcterms:created>
  <dcterms:modified xsi:type="dcterms:W3CDTF">2025-01-08T09:22:01Z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2025-01-08T09:22:00Z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85002af3-e259-4c88-a591-0af50cf30309</vt:lpwstr>
  </property>
  <property fmtid="{D5CDD505-2E9C-101B-9397-08002B2CF9AE}" pid="8" name="MSIP_Label_1b7f8449-e5d3-4eba-8da7-ffd6ca5bf3e9_ContentBits">
    <vt:lpwstr>0</vt:lpwstr>
  </property>
</Properties>
</file>