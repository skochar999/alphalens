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3AEFB4B2-6872-499D-AECB-6B371FA15A0F}" xr6:coauthVersionLast="47" xr6:coauthVersionMax="47" xr10:uidLastSave="{00000000-0000-0000-0000-000000000000}"/>
  <bookViews>
    <workbookView xWindow="-120" yWindow="-120" windowWidth="29040" windowHeight="15840" tabRatio="927" xr2:uid="{F656FCAF-D845-4DB3-8552-75B361DD7545}"/>
  </bookViews>
  <sheets>
    <sheet name="Index" sheetId="30" r:id="rId1"/>
    <sheet name="CAPEXG" sheetId="1" r:id="rId2"/>
    <sheet name="GLOB" sheetId="31"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SUNMFF" sheetId="29" r:id="rId31"/>
    <sheet name="Annexure-A" sheetId="32" r:id="rId32"/>
  </sheets>
  <definedNames>
    <definedName name="_xlnm._FilterDatabase" localSheetId="31" hidden="1">'Annexure-A'!$A$8:$F$123</definedName>
    <definedName name="_xlnm._FilterDatabase" localSheetId="0" hidden="1">Index!$A$1:$C$27</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9" i="28" l="1"/>
  <c r="F111" i="28" s="1"/>
  <c r="G55" i="24"/>
  <c r="F55" i="24"/>
  <c r="G72" i="24"/>
  <c r="G74" i="24" s="1"/>
  <c r="F72" i="24"/>
  <c r="F74" i="24" s="1"/>
  <c r="G57" i="21"/>
  <c r="F57" i="21"/>
  <c r="G76" i="21"/>
  <c r="F74" i="21"/>
  <c r="F76" i="21" s="1"/>
  <c r="G124" i="19"/>
  <c r="F124" i="19"/>
  <c r="G141" i="19"/>
  <c r="G143" i="19" s="1"/>
  <c r="F141" i="19"/>
  <c r="F143" i="19" s="1"/>
  <c r="G49" i="17"/>
  <c r="F49" i="17"/>
  <c r="G66" i="17"/>
  <c r="G68" i="17" s="1"/>
  <c r="F66" i="17"/>
  <c r="F68" i="17" s="1"/>
  <c r="F139" i="16"/>
  <c r="F141" i="16" s="1"/>
  <c r="G97" i="2"/>
  <c r="F97" i="2"/>
  <c r="G116" i="2"/>
  <c r="F116" i="2"/>
  <c r="D145" i="22"/>
  <c r="D92" i="31"/>
  <c r="F146" i="28" l="1"/>
  <c r="G146" i="28" s="1"/>
  <c r="G85" i="28"/>
  <c r="F85" i="28"/>
  <c r="G82" i="28"/>
  <c r="G81" i="28"/>
  <c r="G80" i="28"/>
  <c r="G79" i="28"/>
  <c r="G78" i="28"/>
  <c r="G77" i="28"/>
  <c r="F58" i="20"/>
  <c r="G58" i="20"/>
  <c r="G66" i="20"/>
  <c r="F66" i="20"/>
  <c r="D133" i="20" s="1"/>
  <c r="G70" i="18"/>
  <c r="F70" i="18"/>
  <c r="G84" i="18"/>
  <c r="F84" i="18"/>
  <c r="G112" i="16"/>
  <c r="F112" i="16"/>
  <c r="F110" i="16"/>
  <c r="F174" i="16" s="1"/>
  <c r="G174" i="16" s="1"/>
  <c r="G109" i="16"/>
  <c r="G108" i="16"/>
  <c r="G107" i="16"/>
  <c r="G106" i="16"/>
  <c r="G105" i="16"/>
  <c r="G104" i="16"/>
  <c r="G103" i="16"/>
  <c r="G102" i="16"/>
  <c r="G101" i="16"/>
  <c r="G100" i="16"/>
  <c r="G99" i="16"/>
  <c r="G98" i="16"/>
  <c r="G97" i="16"/>
  <c r="G96" i="16"/>
  <c r="G95" i="16"/>
  <c r="G94" i="16"/>
  <c r="G93" i="16"/>
  <c r="G92" i="16"/>
  <c r="G91" i="16"/>
  <c r="G90" i="16"/>
  <c r="G89" i="16"/>
  <c r="G88" i="16"/>
  <c r="G87" i="16"/>
  <c r="G86" i="16"/>
  <c r="D138" i="15"/>
  <c r="F11" i="15"/>
  <c r="F34" i="15"/>
  <c r="F61" i="15"/>
  <c r="F82" i="15" s="1"/>
  <c r="F128" i="15" s="1"/>
  <c r="F166" i="14"/>
  <c r="F85" i="14"/>
  <c r="F86" i="14" s="1"/>
  <c r="F12" i="14"/>
  <c r="F53" i="14"/>
  <c r="I196" i="13"/>
  <c r="F196" i="13"/>
  <c r="G52" i="13"/>
  <c r="G114" i="13" s="1"/>
  <c r="F52" i="13"/>
  <c r="F114" i="13" s="1"/>
  <c r="F112" i="13"/>
  <c r="F165" i="13" s="1"/>
  <c r="F166" i="13" s="1"/>
  <c r="I246" i="12"/>
  <c r="F246" i="12"/>
  <c r="D223" i="12"/>
  <c r="D150" i="18" l="1"/>
  <c r="G110" i="16"/>
  <c r="G165" i="13"/>
  <c r="G166" i="13" s="1"/>
  <c r="G102" i="13"/>
  <c r="G86" i="13"/>
  <c r="G101" i="13"/>
  <c r="G85" i="13"/>
  <c r="G100" i="13"/>
  <c r="G84" i="13"/>
  <c r="G99" i="13"/>
  <c r="G83" i="13"/>
  <c r="G97" i="13"/>
  <c r="G77" i="13"/>
  <c r="G76" i="13"/>
  <c r="G75" i="13"/>
  <c r="G110" i="13"/>
  <c r="G89" i="13"/>
  <c r="G71" i="13"/>
  <c r="G98" i="13"/>
  <c r="G95" i="13"/>
  <c r="G90" i="13"/>
  <c r="G73" i="13"/>
  <c r="G87" i="13"/>
  <c r="G78" i="13"/>
  <c r="G96" i="13"/>
  <c r="G111" i="13"/>
  <c r="G74" i="13"/>
  <c r="G72" i="13"/>
  <c r="G107" i="13"/>
  <c r="G88" i="13"/>
  <c r="G109" i="13"/>
  <c r="G108" i="13"/>
  <c r="G11" i="15"/>
  <c r="G34" i="15"/>
  <c r="F70" i="14"/>
  <c r="F104" i="14" s="1"/>
  <c r="F167" i="14" s="1"/>
  <c r="G104" i="13"/>
  <c r="G67" i="13"/>
  <c r="G91" i="13"/>
  <c r="G92" i="13"/>
  <c r="G69" i="13"/>
  <c r="G81" i="13"/>
  <c r="G93" i="13"/>
  <c r="G105" i="13"/>
  <c r="G79" i="13"/>
  <c r="G103" i="13"/>
  <c r="G68" i="13"/>
  <c r="G80" i="13"/>
  <c r="G70" i="13"/>
  <c r="G82" i="13"/>
  <c r="G94" i="13"/>
  <c r="G106" i="13"/>
  <c r="F90" i="12"/>
  <c r="F91" i="12" s="1"/>
  <c r="G81" i="12"/>
  <c r="F81" i="12"/>
  <c r="F212" i="12"/>
  <c r="F15" i="12"/>
  <c r="F74" i="12" s="1"/>
  <c r="D148" i="11"/>
  <c r="G72" i="11"/>
  <c r="F72" i="11"/>
  <c r="D135" i="1"/>
  <c r="F119" i="12" l="1"/>
  <c r="G61" i="15"/>
  <c r="G82" i="15"/>
  <c r="G128" i="15" s="1"/>
  <c r="G97" i="14"/>
  <c r="G92" i="14"/>
  <c r="G99" i="14"/>
  <c r="G89" i="14"/>
  <c r="G98" i="14"/>
  <c r="G91" i="14"/>
  <c r="G95" i="14"/>
  <c r="G166" i="14"/>
  <c r="G101" i="14"/>
  <c r="G90" i="14"/>
  <c r="G96" i="14"/>
  <c r="G12" i="14"/>
  <c r="G53" i="14"/>
  <c r="G100" i="14"/>
  <c r="G94" i="14"/>
  <c r="G93" i="14"/>
  <c r="G85" i="14"/>
  <c r="G86" i="14" s="1"/>
  <c r="G112" i="13"/>
  <c r="G70" i="14" l="1"/>
  <c r="G104" i="14" s="1"/>
  <c r="G167" i="14" s="1"/>
  <c r="F213" i="12"/>
  <c r="G90" i="12" l="1"/>
  <c r="G91" i="12" s="1"/>
  <c r="G260" i="12"/>
  <c r="G106" i="12"/>
  <c r="G111" i="12"/>
  <c r="G110" i="12"/>
  <c r="G98" i="12"/>
  <c r="G101" i="12"/>
  <c r="G102" i="12"/>
  <c r="G97" i="12"/>
  <c r="G114" i="12"/>
  <c r="G100" i="12"/>
  <c r="G96" i="12"/>
  <c r="G103" i="12"/>
  <c r="G109" i="12"/>
  <c r="G94" i="12"/>
  <c r="G116" i="12"/>
  <c r="G115" i="12"/>
  <c r="G99" i="12"/>
  <c r="G95" i="12"/>
  <c r="G113" i="12"/>
  <c r="G108" i="12"/>
  <c r="G105" i="12"/>
  <c r="G104" i="12"/>
  <c r="G112" i="12"/>
  <c r="G212" i="12"/>
  <c r="G107" i="12"/>
  <c r="G15" i="12"/>
  <c r="G74" i="12" s="1"/>
  <c r="G117" i="12" l="1"/>
  <c r="G119" i="12"/>
  <c r="G213" i="12" s="1"/>
</calcChain>
</file>

<file path=xl/sharedStrings.xml><?xml version="1.0" encoding="utf-8"?>
<sst xmlns="http://schemas.openxmlformats.org/spreadsheetml/2006/main" count="12858" uniqueCount="1218">
  <si>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</si>
  <si>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</si>
  <si>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</si>
  <si>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</si>
  <si>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</si>
  <si>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</si>
  <si>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</si>
  <si>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</si>
  <si>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</si>
  <si>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</si>
  <si>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</si>
  <si>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</si>
  <si>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</si>
  <si>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</si>
  <si>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INE018A01030</t>
  </si>
  <si>
    <t>Larsen &amp; Toubro Ltd</t>
  </si>
  <si>
    <t>Construction</t>
  </si>
  <si>
    <t>INE002A01018</t>
  </si>
  <si>
    <t>Reliance Industries Ltd</t>
  </si>
  <si>
    <t>Petroleum Products</t>
  </si>
  <si>
    <t>INE733E01010</t>
  </si>
  <si>
    <t>NTPC LTD</t>
  </si>
  <si>
    <t>Power</t>
  </si>
  <si>
    <t>INE481G01011</t>
  </si>
  <si>
    <t>Ultratech Cement Ltd</t>
  </si>
  <si>
    <t>Cement &amp; Cement Products</t>
  </si>
  <si>
    <t>INE263A01024</t>
  </si>
  <si>
    <t>Bharat Electronics Ltd</t>
  </si>
  <si>
    <t>Aerospace &amp; Defense</t>
  </si>
  <si>
    <t>INE752E01010</t>
  </si>
  <si>
    <t>Power Grid Corporation of India Ltd</t>
  </si>
  <si>
    <t>INE090A01021</t>
  </si>
  <si>
    <t>ICICI Bank Ltd</t>
  </si>
  <si>
    <t>Banks</t>
  </si>
  <si>
    <t>INE029A01011</t>
  </si>
  <si>
    <t>Bharat Petroleum Corporation Ltd</t>
  </si>
  <si>
    <t>INE200A01026</t>
  </si>
  <si>
    <t>GE Vernova T and D India Ltd</t>
  </si>
  <si>
    <t>Electrical Equipment</t>
  </si>
  <si>
    <t>INE284S01014</t>
  </si>
  <si>
    <t>S.J.S. Enterprises Ltd</t>
  </si>
  <si>
    <t>Auto Components</t>
  </si>
  <si>
    <t>INE062A01020</t>
  </si>
  <si>
    <t>State Bank of India</t>
  </si>
  <si>
    <t>INE371P01015</t>
  </si>
  <si>
    <t>Amber Enterprises India Ltd</t>
  </si>
  <si>
    <t>Consumer Durables</t>
  </si>
  <si>
    <t>INE220B01022</t>
  </si>
  <si>
    <t>Kalpataru Projects International Ltd</t>
  </si>
  <si>
    <t>INE245A01021</t>
  </si>
  <si>
    <t>TATA Power Company Ltd</t>
  </si>
  <si>
    <t>INE742F01042</t>
  </si>
  <si>
    <t>Adani Ports and Special Economic Zone Ltd</t>
  </si>
  <si>
    <t>Transport Infrastructure</t>
  </si>
  <si>
    <t>INE646L01027</t>
  </si>
  <si>
    <t>Interglobe Aviation Ltd</t>
  </si>
  <si>
    <t>Transport Services</t>
  </si>
  <si>
    <t>INE040H01021</t>
  </si>
  <si>
    <t>Suzlon Energy Ltd</t>
  </si>
  <si>
    <t>INE213A01029</t>
  </si>
  <si>
    <t>Oil &amp; Natural Gas Corporation Ltd</t>
  </si>
  <si>
    <t>Oil</t>
  </si>
  <si>
    <t>INE298A01020</t>
  </si>
  <si>
    <t>Cummins India Ltd</t>
  </si>
  <si>
    <t>Industrial Products</t>
  </si>
  <si>
    <t>INE999A01023</t>
  </si>
  <si>
    <t>KSB LTD</t>
  </si>
  <si>
    <t>INE823G01014</t>
  </si>
  <si>
    <t>JK Cement Ltd</t>
  </si>
  <si>
    <t>INE284A01012</t>
  </si>
  <si>
    <t>ESAB India Ltd</t>
  </si>
  <si>
    <t>INE342J01019</t>
  </si>
  <si>
    <t>ZF Commercial Vehicle Control Systems I Ltd</t>
  </si>
  <si>
    <t>INE129A01019</t>
  </si>
  <si>
    <t>GAIL (India) Ltd</t>
  </si>
  <si>
    <t>Gas</t>
  </si>
  <si>
    <t>INE878B01027</t>
  </si>
  <si>
    <t>KEI Industries Ltd</t>
  </si>
  <si>
    <t>INE07Y701011</t>
  </si>
  <si>
    <t>Hitachi Energy India Ltd</t>
  </si>
  <si>
    <t>INE419M01027</t>
  </si>
  <si>
    <t>TD Power Systems Ltd</t>
  </si>
  <si>
    <t>INE121J01017</t>
  </si>
  <si>
    <t>Indus Towers Ltd (Prev Bharti Infratel Ltd)</t>
  </si>
  <si>
    <t>INE00LO01017</t>
  </si>
  <si>
    <t>Craftsman Automation Ltd</t>
  </si>
  <si>
    <t>INE343G01021</t>
  </si>
  <si>
    <t>Bharti Hexacom Ltd</t>
  </si>
  <si>
    <t>INE791I01019</t>
  </si>
  <si>
    <t>Brigade Enterprises Ltd</t>
  </si>
  <si>
    <t>Realty</t>
  </si>
  <si>
    <t>INE813H01021</t>
  </si>
  <si>
    <t>Torrent Power Ltd</t>
  </si>
  <si>
    <t>INE148O01028</t>
  </si>
  <si>
    <t>Delhivery Ltd</t>
  </si>
  <si>
    <t>INE513A01022</t>
  </si>
  <si>
    <t>Schaeffler India Ltd</t>
  </si>
  <si>
    <t>INE671H01015</t>
  </si>
  <si>
    <t>Sobha Ltd</t>
  </si>
  <si>
    <t>INE003A01024</t>
  </si>
  <si>
    <t>Siemens Ltd</t>
  </si>
  <si>
    <t>INE146L01010</t>
  </si>
  <si>
    <t>Kirloskar Oil Engines Ltd</t>
  </si>
  <si>
    <t>INE079A01024</t>
  </si>
  <si>
    <t>Ambuja Cements Ltd</t>
  </si>
  <si>
    <t>INE205B01031</t>
  </si>
  <si>
    <t>Elecon Engineering Company Ltd</t>
  </si>
  <si>
    <t>INE811A01020</t>
  </si>
  <si>
    <t>Kirlosakar Pneumatic Company Ltd</t>
  </si>
  <si>
    <t>INE152M01016</t>
  </si>
  <si>
    <t>Triveni Turbine Ltd</t>
  </si>
  <si>
    <t>INE117A01022</t>
  </si>
  <si>
    <t>ABB India Ltd</t>
  </si>
  <si>
    <t>INE868B01028</t>
  </si>
  <si>
    <t>NCC Ltd</t>
  </si>
  <si>
    <t>INE257A01026</t>
  </si>
  <si>
    <t>Bharat Heavy Electricals Ltd</t>
  </si>
  <si>
    <t>INE702C01027</t>
  </si>
  <si>
    <t>APL Apollo Tubes Ltd</t>
  </si>
  <si>
    <t>INE1NPP01017</t>
  </si>
  <si>
    <t>Siemens Energy India Limited</t>
  </si>
  <si>
    <t>INE935N01020</t>
  </si>
  <si>
    <t>Dixon Technologies (India) Ltd</t>
  </si>
  <si>
    <t>INE926X01010</t>
  </si>
  <si>
    <t>H.G. Infra Engineering Ltd</t>
  </si>
  <si>
    <t>INE152A01029</t>
  </si>
  <si>
    <t>Thermax Ltd</t>
  </si>
  <si>
    <t>INE111A01025</t>
  </si>
  <si>
    <t>Container Corporation of India Ltd</t>
  </si>
  <si>
    <t>INE465A01025</t>
  </si>
  <si>
    <t>Bharat Forge Ltd</t>
  </si>
  <si>
    <t>INE749A01030</t>
  </si>
  <si>
    <t>Jindal Steel &amp; Power Ltd</t>
  </si>
  <si>
    <t>Ferrous Metals</t>
  </si>
  <si>
    <t>INE0BYP01024</t>
  </si>
  <si>
    <t>OSWAL PUMPS LIMITED</t>
  </si>
  <si>
    <t>INE074A01025</t>
  </si>
  <si>
    <t>Praj Industries Ltd</t>
  </si>
  <si>
    <t>Industrial Manufacturing</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</si>
  <si>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</si>
  <si>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</si>
  <si>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</si>
  <si>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</si>
  <si>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</si>
  <si>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</si>
  <si>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</si>
  <si>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</si>
  <si>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</si>
  <si>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</si>
  <si>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</si>
  <si>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</si>
  <si>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</si>
  <si>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</si>
  <si>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</si>
  <si>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</si>
  <si>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</si>
  <si>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</si>
  <si>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</si>
  <si>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</si>
  <si>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</si>
  <si>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</si>
  <si>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</si>
  <si>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</si>
  <si>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</si>
  <si>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</si>
  <si>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</si>
  <si>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</si>
  <si>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</si>
  <si>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</si>
  <si>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</si>
  <si>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</si>
  <si>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</si>
  <si>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</si>
  <si>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</si>
  <si>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</si>
  <si>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</si>
  <si>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</si>
  <si>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</si>
  <si>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</si>
  <si>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</si>
  <si>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</si>
  <si>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</si>
  <si>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</si>
  <si>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</si>
  <si>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</si>
  <si>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</si>
  <si>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INE061F01013</t>
  </si>
  <si>
    <t>Fortis Health Care Ltd</t>
  </si>
  <si>
    <t>Healthcare Services</t>
  </si>
  <si>
    <t>INE774D01024</t>
  </si>
  <si>
    <t>Mahindra &amp; Mahindra Financial Services Ltd</t>
  </si>
  <si>
    <t>Finance</t>
  </si>
  <si>
    <t>INE326A01037</t>
  </si>
  <si>
    <t>Lupin Ltd</t>
  </si>
  <si>
    <t>Pharmaceuticals &amp; Biotechnology</t>
  </si>
  <si>
    <t>INE094A01015</t>
  </si>
  <si>
    <t>Hindustan Petroleum Corporation Ltd</t>
  </si>
  <si>
    <t>INE562A01011</t>
  </si>
  <si>
    <t>Indian Bank</t>
  </si>
  <si>
    <t>INE092T01019</t>
  </si>
  <si>
    <t>IDFC First Bank Ltd</t>
  </si>
  <si>
    <t>INE196A01026</t>
  </si>
  <si>
    <t>Marico Ltd</t>
  </si>
  <si>
    <t>Agricultural Food &amp; Other Products</t>
  </si>
  <si>
    <t>INE797F01020</t>
  </si>
  <si>
    <t>Jubilant Foodworks Ltd</t>
  </si>
  <si>
    <t>Leisure Services</t>
  </si>
  <si>
    <t>INE303R01014</t>
  </si>
  <si>
    <t>Kalyan Jewellers India Ltd</t>
  </si>
  <si>
    <t>INE171A01029</t>
  </si>
  <si>
    <t>The Federal Bank Ltd</t>
  </si>
  <si>
    <t>INE211B01039</t>
  </si>
  <si>
    <t>The Phoenix Mills Ltd</t>
  </si>
  <si>
    <t>INE262H01021</t>
  </si>
  <si>
    <t>Persistent Systems Ltd</t>
  </si>
  <si>
    <t>It - Software</t>
  </si>
  <si>
    <t>INE591G01025</t>
  </si>
  <si>
    <t>Coforge Ltd</t>
  </si>
  <si>
    <t>INE417T01026</t>
  </si>
  <si>
    <t>PB Fintech Ltd</t>
  </si>
  <si>
    <t>Financial Technology (Fintech)</t>
  </si>
  <si>
    <t>INE118H01025</t>
  </si>
  <si>
    <t>BSE Ltd</t>
  </si>
  <si>
    <t>Capital Markets</t>
  </si>
  <si>
    <t>INE455K01017</t>
  </si>
  <si>
    <t>Polycab India Ltd</t>
  </si>
  <si>
    <t>INE105A01035</t>
  </si>
  <si>
    <t>TVS Holdings Ltd</t>
  </si>
  <si>
    <t>INE686F01025</t>
  </si>
  <si>
    <t>United Breweries Ltd</t>
  </si>
  <si>
    <t>Beverages</t>
  </si>
  <si>
    <t>INE427F01016</t>
  </si>
  <si>
    <t>Chalet Hotels Ltd</t>
  </si>
  <si>
    <t>INE438A01022</t>
  </si>
  <si>
    <t>Apollo Tyres Ltd</t>
  </si>
  <si>
    <t>INE027H01010</t>
  </si>
  <si>
    <t>Max Healthcare Institute Ltd</t>
  </si>
  <si>
    <t>INE494B01023</t>
  </si>
  <si>
    <t>TVS Motor Company Ltd</t>
  </si>
  <si>
    <t>Automobiles</t>
  </si>
  <si>
    <t>INE600L01024</t>
  </si>
  <si>
    <t>Dr Lal Path Labs Ltd</t>
  </si>
  <si>
    <t>INE721A01047</t>
  </si>
  <si>
    <t>Shriram Finance Ltd</t>
  </si>
  <si>
    <t>INE115A01026</t>
  </si>
  <si>
    <t>LIC Housing Finance Ltd</t>
  </si>
  <si>
    <t>INE540L01014</t>
  </si>
  <si>
    <t>Alkem Laboratories Ltd</t>
  </si>
  <si>
    <t>INE949L01017</t>
  </si>
  <si>
    <t>AU Small Finance Bank Ltd</t>
  </si>
  <si>
    <t>INE195A01028</t>
  </si>
  <si>
    <t>Supreme Industries Ltd</t>
  </si>
  <si>
    <t>INE259A01022</t>
  </si>
  <si>
    <t>Colgate Palmolive (India) Ltd</t>
  </si>
  <si>
    <t>Personal Products</t>
  </si>
  <si>
    <t>INE405E01023</t>
  </si>
  <si>
    <t>UNO Minda Ltd</t>
  </si>
  <si>
    <t>INE010V01017</t>
  </si>
  <si>
    <t>L&amp;T Technology Services Ltd</t>
  </si>
  <si>
    <t>It - Services</t>
  </si>
  <si>
    <t>INE338I01027</t>
  </si>
  <si>
    <t>Motilal Oswal Financial Services Ltd</t>
  </si>
  <si>
    <t>INE179A01014</t>
  </si>
  <si>
    <t>Procter &amp; Gamble Hygiene and Health Care Ltd</t>
  </si>
  <si>
    <t>INE466L01038</t>
  </si>
  <si>
    <t>360 ONE WAM Ltd (Prev IIFL Wealth Management Ltd)</t>
  </si>
  <si>
    <t>INE073K01018</t>
  </si>
  <si>
    <t>Sona BLW Precision Forgings Ltd</t>
  </si>
  <si>
    <t>INE288B01029</t>
  </si>
  <si>
    <t>Deepak Nitrite Ltd</t>
  </si>
  <si>
    <t>Chemicals &amp; Petrochemicals</t>
  </si>
  <si>
    <t>INE634S01028</t>
  </si>
  <si>
    <t>Mankind Pharma Ltd</t>
  </si>
  <si>
    <t>INE180A01020</t>
  </si>
  <si>
    <t>Max Financial Services Ltd</t>
  </si>
  <si>
    <t>Insurance</t>
  </si>
  <si>
    <t>INE872J01023</t>
  </si>
  <si>
    <t>Devyani international limited</t>
  </si>
  <si>
    <t>INE811K01011</t>
  </si>
  <si>
    <t>Prestige Estates Projects Ltd</t>
  </si>
  <si>
    <t>INE848E01016</t>
  </si>
  <si>
    <t>NHPC Ltd</t>
  </si>
  <si>
    <t>INE388Y01029</t>
  </si>
  <si>
    <t>FSN E–Commerce Ventures Ltd(NYKAA)</t>
  </si>
  <si>
    <t>Retailing</t>
  </si>
  <si>
    <t>INE093I01010</t>
  </si>
  <si>
    <t>Oberoi Realty Ltd</t>
  </si>
  <si>
    <t>INE603J01030</t>
  </si>
  <si>
    <t>PI Industries Ltd</t>
  </si>
  <si>
    <t>INE299U01018</t>
  </si>
  <si>
    <t>Crompton Greaves Consumer Electricals Ltd</t>
  </si>
  <si>
    <t>INE548C01032</t>
  </si>
  <si>
    <t>Emami Ltd</t>
  </si>
  <si>
    <t>INE010B01027</t>
  </si>
  <si>
    <t>Zydus Lifesciences Ltd</t>
  </si>
  <si>
    <t>INE246F01010</t>
  </si>
  <si>
    <t>Gujarat State Petronet Ltd</t>
  </si>
  <si>
    <t>INE536A01023</t>
  </si>
  <si>
    <t>Grindwell Norton Ltd</t>
  </si>
  <si>
    <t>INE007A01025</t>
  </si>
  <si>
    <t>CRISIL Ltd</t>
  </si>
  <si>
    <t>INE640A01023</t>
  </si>
  <si>
    <t>SKF India Ltd</t>
  </si>
  <si>
    <t>INE726G01019</t>
  </si>
  <si>
    <t>ICICI Prudential Life Insurance Company Ltd</t>
  </si>
  <si>
    <t>INE012A01025</t>
  </si>
  <si>
    <t>ACC Ltd</t>
  </si>
  <si>
    <t>INE065X01017</t>
  </si>
  <si>
    <t>Indegene Limited</t>
  </si>
  <si>
    <t>INE00R701025</t>
  </si>
  <si>
    <t>Dalmia Cement (Bharat) Ltd.</t>
  </si>
  <si>
    <t>INE068V01023</t>
  </si>
  <si>
    <t>Gland Pharma Ltd</t>
  </si>
  <si>
    <t>INE0LXG01040</t>
  </si>
  <si>
    <t>Ola Electric Mobility Ltd</t>
  </si>
  <si>
    <t>INE494B04019</t>
  </si>
  <si>
    <t>TVS Motor Company Ltd 6.00% (Preference Share) 01-Sep-2026**</t>
  </si>
  <si>
    <t>INF173K01GU0</t>
  </si>
  <si>
    <t>Sundaram Liquid Fund - Direct Growth</t>
  </si>
  <si>
    <t>Margin Money For Derivatives</t>
  </si>
  <si>
    <t>Sundaram Large and Mid Cap Fund</t>
  </si>
  <si>
    <t>INE040A01034</t>
  </si>
  <si>
    <t>HDFC Bank Ltd</t>
  </si>
  <si>
    <t>INE237A01028</t>
  </si>
  <si>
    <t>Kotak Mahindra Bank Ltd</t>
  </si>
  <si>
    <t>INE009A01021</t>
  </si>
  <si>
    <t>Infosys Ltd</t>
  </si>
  <si>
    <t>INE238A01034</t>
  </si>
  <si>
    <t>Axis Bank Ltd</t>
  </si>
  <si>
    <t>INE296A01032</t>
  </si>
  <si>
    <t>Bajaj Finance Ltd</t>
  </si>
  <si>
    <t>INE028A01039</t>
  </si>
  <si>
    <t>Bank of Baroda</t>
  </si>
  <si>
    <t>INE101A01026</t>
  </si>
  <si>
    <t>Mahindra &amp; Mahindra Ltd</t>
  </si>
  <si>
    <t>INE066F01020</t>
  </si>
  <si>
    <t>Hindustan Aeronautics Ltd</t>
  </si>
  <si>
    <t>INE745G01035</t>
  </si>
  <si>
    <t>Multi Commodity Exchange of India Ltd</t>
  </si>
  <si>
    <t>INE047A01021</t>
  </si>
  <si>
    <t>Grasim Industries Ltd</t>
  </si>
  <si>
    <t>INE00WC01027</t>
  </si>
  <si>
    <t>Affle (India) Ltd</t>
  </si>
  <si>
    <t>INE758T01015</t>
  </si>
  <si>
    <t>Zomato Ltd</t>
  </si>
  <si>
    <t>INE121A01024</t>
  </si>
  <si>
    <t>Cholamandalam Investment and Finance Company Ltd</t>
  </si>
  <si>
    <t>INE053A01029</t>
  </si>
  <si>
    <t>The Indian Hotels Company Ltd</t>
  </si>
  <si>
    <t>INE044A01036</t>
  </si>
  <si>
    <t>Sun Pharmaceutical Industries Ltd</t>
  </si>
  <si>
    <t>INE880J01026</t>
  </si>
  <si>
    <t>JSW Infrastructure Ltd</t>
  </si>
  <si>
    <t>Sundaram Long Term Tax Advantage Fund Series III</t>
  </si>
  <si>
    <t>INE914M01019</t>
  </si>
  <si>
    <t>Aster DM Healthcare Ltd</t>
  </si>
  <si>
    <t>INE429E01023</t>
  </si>
  <si>
    <t>Safari Industries (India) Ltd</t>
  </si>
  <si>
    <t>INE806T01020</t>
  </si>
  <si>
    <t>Sapphire Foods India Ltd</t>
  </si>
  <si>
    <t>INE551W01018</t>
  </si>
  <si>
    <t>Ujjivan Small Finance Bank Ltd</t>
  </si>
  <si>
    <t>INE679A01013</t>
  </si>
  <si>
    <t>CSB Bank Ltd</t>
  </si>
  <si>
    <t>INE08ZM01014</t>
  </si>
  <si>
    <t>Green Panel Industries Ltd</t>
  </si>
  <si>
    <t>INE199A01012</t>
  </si>
  <si>
    <t>Procter &amp; Gamble Health Ltd</t>
  </si>
  <si>
    <t>INE0CLI01024</t>
  </si>
  <si>
    <t>Rate Gain Travel Technologies Ltd</t>
  </si>
  <si>
    <t>INE572A01036</t>
  </si>
  <si>
    <t>JB Chemicals &amp; Pharmaceuticals Ltd</t>
  </si>
  <si>
    <t>INE048G01026</t>
  </si>
  <si>
    <t>Navin Fluorine International Ltd</t>
  </si>
  <si>
    <t>INE063P01018</t>
  </si>
  <si>
    <t>Equitas Small Finance Bank Limited</t>
  </si>
  <si>
    <t>INE947Q01028</t>
  </si>
  <si>
    <t>Laurus Labs Ltd</t>
  </si>
  <si>
    <t>INE732I01013</t>
  </si>
  <si>
    <t>Angel One Ltd</t>
  </si>
  <si>
    <t>INE191H01014</t>
  </si>
  <si>
    <t>PVR INOX Ltd</t>
  </si>
  <si>
    <t>Entertainment</t>
  </si>
  <si>
    <t>INE477A01020</t>
  </si>
  <si>
    <t>Can Fin Homes Ltd</t>
  </si>
  <si>
    <t>INE149A01033</t>
  </si>
  <si>
    <t>Cholamandalam Financial Holdings Ltd</t>
  </si>
  <si>
    <t>INE285J01028</t>
  </si>
  <si>
    <t>SIS Ltd</t>
  </si>
  <si>
    <t>Other Consumer Services</t>
  </si>
  <si>
    <t>INE743M01012</t>
  </si>
  <si>
    <t>RHI Magnesita India Ltd</t>
  </si>
  <si>
    <t>INE274F01020</t>
  </si>
  <si>
    <t>Westlife Foodworld Ltd</t>
  </si>
  <si>
    <t>INE572E01012</t>
  </si>
  <si>
    <t>PNB Housing Finance Ltd</t>
  </si>
  <si>
    <t>INE411H01032</t>
  </si>
  <si>
    <t>R Systems International Ltd</t>
  </si>
  <si>
    <t>INE081A01020</t>
  </si>
  <si>
    <t>Tata Steel Ltd</t>
  </si>
  <si>
    <t>INE987B01026</t>
  </si>
  <si>
    <t>Natco Pharma Ltd</t>
  </si>
  <si>
    <t>INE348B01021</t>
  </si>
  <si>
    <t>Century Plyboards (India) Ltd</t>
  </si>
  <si>
    <t>INE836A01035</t>
  </si>
  <si>
    <t>Birlasoft Ltd</t>
  </si>
  <si>
    <t>INE845D01014</t>
  </si>
  <si>
    <t>Ganesha Ecosphere Ltd</t>
  </si>
  <si>
    <t>Textiles &amp; Apparels</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</si>
  <si>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</si>
  <si>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</si>
  <si>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</si>
  <si>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</si>
  <si>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</si>
  <si>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</si>
  <si>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</si>
  <si>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</si>
  <si>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INE155A01022</t>
  </si>
  <si>
    <t>Tata Motors Ltd</t>
  </si>
  <si>
    <t>INE280A01028</t>
  </si>
  <si>
    <t>Titan Company Ltd</t>
  </si>
  <si>
    <t>INE154A01025</t>
  </si>
  <si>
    <t>ITC Ltd</t>
  </si>
  <si>
    <t>Diversified Fmcg</t>
  </si>
  <si>
    <t>INE860A01027</t>
  </si>
  <si>
    <t>HCL Technologies Ltd</t>
  </si>
  <si>
    <t>INE038A01020</t>
  </si>
  <si>
    <t>Hindalco Industries Ltd</t>
  </si>
  <si>
    <t>Non - Ferrous Metals</t>
  </si>
  <si>
    <t>INE123W01016</t>
  </si>
  <si>
    <t>SBI Life Insurance Company Ltd</t>
  </si>
  <si>
    <t>INE192A01025</t>
  </si>
  <si>
    <t>TATA Consumer Products Ltd</t>
  </si>
  <si>
    <t>INE467B01029</t>
  </si>
  <si>
    <t>Tata Consultancy Services Ltd</t>
  </si>
  <si>
    <t>INE059A01026</t>
  </si>
  <si>
    <t>Cipla Ltd</t>
  </si>
  <si>
    <t>INE340A01012</t>
  </si>
  <si>
    <t>Birla Corporation Ltd</t>
  </si>
  <si>
    <t>INE030A01027</t>
  </si>
  <si>
    <t>Hindustan UniLever Ltd</t>
  </si>
  <si>
    <t>INE075A01022</t>
  </si>
  <si>
    <t>Wipro Ltd</t>
  </si>
  <si>
    <t>INE095A01012</t>
  </si>
  <si>
    <t>IndusInd Bank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</si>
  <si>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</si>
  <si>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</si>
  <si>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</si>
  <si>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</si>
  <si>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</si>
  <si>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</si>
  <si>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</si>
  <si>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</si>
  <si>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</si>
  <si>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</si>
  <si>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INE864I01014</t>
  </si>
  <si>
    <t>MTAR Technologies Ltd</t>
  </si>
  <si>
    <t>INE794A01010</t>
  </si>
  <si>
    <t>Neuland Laboratories Ltd</t>
  </si>
  <si>
    <t>INE503A01015</t>
  </si>
  <si>
    <t>DCB Bank Ltd</t>
  </si>
  <si>
    <t>INE0UOS01011</t>
  </si>
  <si>
    <t>Sanofi Consumer Healthcare India Ltd</t>
  </si>
  <si>
    <t>INE119A01028</t>
  </si>
  <si>
    <t>Balrampur Chini Mills Ltd</t>
  </si>
  <si>
    <t>INE456Z01021</t>
  </si>
  <si>
    <t>Medi Assist Healthcare Services Ltd</t>
  </si>
  <si>
    <t>INE482A01020</t>
  </si>
  <si>
    <t>Ceat Ltd</t>
  </si>
  <si>
    <t>INE663F01032</t>
  </si>
  <si>
    <t>Info Edge (India) Ltd</t>
  </si>
  <si>
    <t>INE177F01017</t>
  </si>
  <si>
    <t>Kovai Medical Center &amp; Hospital Ltd</t>
  </si>
  <si>
    <t>INE011K01018</t>
  </si>
  <si>
    <t>Tega Industries Ltd</t>
  </si>
  <si>
    <t>INE570A01022</t>
  </si>
  <si>
    <t>Ion Exchange (India) Ltd</t>
  </si>
  <si>
    <t>Other Utilities</t>
  </si>
  <si>
    <t>INE00F201020</t>
  </si>
  <si>
    <t>Prudent Corporate Advisory Services Ltd</t>
  </si>
  <si>
    <t>INE136S01016</t>
  </si>
  <si>
    <t>Neogen Chemicals Ltd</t>
  </si>
  <si>
    <t>INE136B01020</t>
  </si>
  <si>
    <t>Cyient Ltd</t>
  </si>
  <si>
    <t>INE094J01016</t>
  </si>
  <si>
    <t>UTI Asset Management Co Ltd</t>
  </si>
  <si>
    <t>INE142Z01019</t>
  </si>
  <si>
    <t>Orient Electric Ltd</t>
  </si>
  <si>
    <t>INE602W01027</t>
  </si>
  <si>
    <t>Senco Gold Ltd</t>
  </si>
  <si>
    <t>INE02YR01019</t>
  </si>
  <si>
    <t>Electronics Mart India Ltd</t>
  </si>
  <si>
    <t>INE930H01031</t>
  </si>
  <si>
    <t>K.P.R. Mill Ltd</t>
  </si>
  <si>
    <t>INF903JA1FR6</t>
  </si>
  <si>
    <t>Sundaram Money Market Fund-Direct Plan - Growth</t>
  </si>
  <si>
    <t>Sundaram Aggressive Hybrid Fund</t>
  </si>
  <si>
    <t>INE134E01011</t>
  </si>
  <si>
    <t>Power Finance Corporation Ltd</t>
  </si>
  <si>
    <t>INE585B01010</t>
  </si>
  <si>
    <t>Maruti Suzuki India Ltd</t>
  </si>
  <si>
    <t>INE854D01024</t>
  </si>
  <si>
    <t>United Spirits Ltd</t>
  </si>
  <si>
    <t>INE917I01010</t>
  </si>
  <si>
    <t>Bajaj Auto Ltd</t>
  </si>
  <si>
    <t>INE885A01032</t>
  </si>
  <si>
    <t>Amara Raja Energy &amp; Mobility Ltd</t>
  </si>
  <si>
    <t>INE481N01025</t>
  </si>
  <si>
    <t>Home First Finance Company Ltd</t>
  </si>
  <si>
    <t>INE318A01026</t>
  </si>
  <si>
    <t>Pidilite Industries Ltd</t>
  </si>
  <si>
    <t>INE200M01039</t>
  </si>
  <si>
    <t>Varun Beverages Ltd</t>
  </si>
  <si>
    <t>INE158A01026</t>
  </si>
  <si>
    <t>Hero MotoCorp Ltd</t>
  </si>
  <si>
    <t>INE669C01036</t>
  </si>
  <si>
    <t>Tech Mahindra Ltd</t>
  </si>
  <si>
    <t>INE376G01013</t>
  </si>
  <si>
    <t>Biocon Ltd</t>
  </si>
  <si>
    <t>INE758E01017</t>
  </si>
  <si>
    <t>Jio Financial Services Ltd</t>
  </si>
  <si>
    <t>INE019A01038</t>
  </si>
  <si>
    <t>JSW Steel Ltd</t>
  </si>
  <si>
    <t>INE205A01025</t>
  </si>
  <si>
    <t>Vedanta Ltd</t>
  </si>
  <si>
    <t>Diversified Metals</t>
  </si>
  <si>
    <t>INE121E01018</t>
  </si>
  <si>
    <t>JSW Energy Ltd</t>
  </si>
  <si>
    <t>INE423A01024</t>
  </si>
  <si>
    <t>Adani Enterprises</t>
  </si>
  <si>
    <t>Metals &amp; Minerals Trading</t>
  </si>
  <si>
    <t>INE545U01014</t>
  </si>
  <si>
    <t>Bandhan Bank Ltd</t>
  </si>
  <si>
    <t>INE852S01026</t>
  </si>
  <si>
    <t>Stock Future</t>
  </si>
  <si>
    <t>INE261F08EO7</t>
  </si>
  <si>
    <t>National Bank for Agriculture &amp; Rural Development - 7.48% - 15/09/2028</t>
  </si>
  <si>
    <t>CRISIL AAA</t>
  </si>
  <si>
    <t>INE261F08EM1</t>
  </si>
  <si>
    <t>National Bank for Agriculture &amp; Rural Development - 7.53% - 24/03/2028</t>
  </si>
  <si>
    <t>ICRA AAA</t>
  </si>
  <si>
    <t>INE261F08EP4</t>
  </si>
  <si>
    <t>National Bank for Agriculture &amp; Rural Development - 6.66% - 12/10/2028</t>
  </si>
  <si>
    <t>INE121A07RZ4</t>
  </si>
  <si>
    <t>Cholamandalam Investment and Finance Company Ltd - 8.54% - 12/04/2029**</t>
  </si>
  <si>
    <t>ICRA AA+</t>
  </si>
  <si>
    <t>INE296A07SV1</t>
  </si>
  <si>
    <t>Bajaj Finance Ltd - 7.82% - 31/01/2034**</t>
  </si>
  <si>
    <t>INE134E08MB9</t>
  </si>
  <si>
    <t>Power Finance Corporation Ltd - 7.82% - 06/03/2038**</t>
  </si>
  <si>
    <t>INE115A07QH6</t>
  </si>
  <si>
    <t>LIC Housing Finance Ltd - 8.025% - 23/03/2033**</t>
  </si>
  <si>
    <t>INE134E08MX3</t>
  </si>
  <si>
    <t>Power Finance Corporation Ltd - 7.6% - 13/04/2029</t>
  </si>
  <si>
    <t>INE556F08KR0</t>
  </si>
  <si>
    <t>Small Industries Development Bank of India - 7.47% - 05/09/2029**</t>
  </si>
  <si>
    <t>INE040A08955</t>
  </si>
  <si>
    <t>HDFC Bank Ltd - 7.7% - 16/05/2028</t>
  </si>
  <si>
    <t>INE261F08DV4</t>
  </si>
  <si>
    <t>National Bank for Agriculture &amp; Rural Development - 7.62% - 31/01/2028</t>
  </si>
  <si>
    <t>INE556F08KM1</t>
  </si>
  <si>
    <t>Small Industries Development Bank of India - 7.79% - 14/05/2027**</t>
  </si>
  <si>
    <t>INE721A07RH9</t>
  </si>
  <si>
    <t>Shriram Finance Ltd - 8.75% - 15/06/2026**</t>
  </si>
  <si>
    <t>CRISIL AA+</t>
  </si>
  <si>
    <t>INE414G07JQ6</t>
  </si>
  <si>
    <t>Muthoot Finance Ltd - 8.05% - 25/11/2027**</t>
  </si>
  <si>
    <t>INE296A07SU3</t>
  </si>
  <si>
    <t>Bajaj Finance Ltd - 7.87% - 08/02/2034**</t>
  </si>
  <si>
    <t>INE020B08FF1</t>
  </si>
  <si>
    <t>REC LTD - 7.56% - 31/08/2027**</t>
  </si>
  <si>
    <t>INE020B08FL9</t>
  </si>
  <si>
    <t>REC LTD - 7.34% - 30/04/2030**</t>
  </si>
  <si>
    <t>INE053F08338</t>
  </si>
  <si>
    <t>Indian Railway Finance Corporation Ltd - 7.68% - 24/11/2026**</t>
  </si>
  <si>
    <t>INE053F08296</t>
  </si>
  <si>
    <t>Indian Railway Finance Corporation Ltd - 7.74% - 15/04/2038**</t>
  </si>
  <si>
    <t>INE134E08MJ2</t>
  </si>
  <si>
    <t>Power Finance Corporation Ltd - 7.77% - 15/04/2028**</t>
  </si>
  <si>
    <t>INE752E08734</t>
  </si>
  <si>
    <t>Power Grid Corporation of India Ltd - 7.35% - 12/03/2034**</t>
  </si>
  <si>
    <t>INE414G07II5</t>
  </si>
  <si>
    <t>Muthoot Finance Ltd - 8.4% - 28/08/2028**</t>
  </si>
  <si>
    <t>INE134E08MC7</t>
  </si>
  <si>
    <t>Power Finance Corporation Ltd - 7.77% - 15/07/2026</t>
  </si>
  <si>
    <t>INE134E08NW3</t>
  </si>
  <si>
    <t>Power Finance Corporation Ltd - 6.73% - 15/10/2027</t>
  </si>
  <si>
    <t>INE296A07TM8</t>
  </si>
  <si>
    <t>Bajaj Finance Ltd - 7.11% - 10/07/2028**</t>
  </si>
  <si>
    <t>INE115A07PI6</t>
  </si>
  <si>
    <t>LIC Housing Finance Ltd - 6.17% - 03/09/2026</t>
  </si>
  <si>
    <t>INE556F08KP4</t>
  </si>
  <si>
    <t>Small Industries Development Bank of India - 7.68% - 10/08/2027**</t>
  </si>
  <si>
    <t>INE572E07183</t>
  </si>
  <si>
    <t>PNB Housing Finance Ltd - 8.15% - 29/07/2027**</t>
  </si>
  <si>
    <t>CARE AA+</t>
  </si>
  <si>
    <t>INE477A07415</t>
  </si>
  <si>
    <t>Can Fin Homes Ltd - 8.09% - 04/01/2027**</t>
  </si>
  <si>
    <t>INE020B08EI8</t>
  </si>
  <si>
    <t>REC LTD - 7.51% - 31/07/2026**</t>
  </si>
  <si>
    <t>INE756I07EN4</t>
  </si>
  <si>
    <t>HDB Financial Services Ltd - 7.84% - 14/07/2026**</t>
  </si>
  <si>
    <t>INE020B08EL2</t>
  </si>
  <si>
    <t>REC LTD - 7.44% - 30/04/2026**</t>
  </si>
  <si>
    <t>INE756I07FG5</t>
  </si>
  <si>
    <t>HDB Financial Services Ltd - 7.4091% - 05/06/2028**</t>
  </si>
  <si>
    <t>INE121A07SN8</t>
  </si>
  <si>
    <t>Cholamandalam Investment and Finance Company Ltd - 7.38% - 28/05/2027**</t>
  </si>
  <si>
    <t>IN0020240019</t>
  </si>
  <si>
    <t>7.10% Central Government Securities 08/04/2034</t>
  </si>
  <si>
    <t>Sovereign</t>
  </si>
  <si>
    <t>IN0020240027</t>
  </si>
  <si>
    <t>IN0020230077</t>
  </si>
  <si>
    <t>7.18%  Government Securities - 24/07/2037</t>
  </si>
  <si>
    <t>IN0020220011</t>
  </si>
  <si>
    <t>IN0020230051</t>
  </si>
  <si>
    <t>7.30% Government Securities - 19/06/2053</t>
  </si>
  <si>
    <t>IN0020240035</t>
  </si>
  <si>
    <t>7.34% Central Government Securities 22/04/2064</t>
  </si>
  <si>
    <t>IN0020240076</t>
  </si>
  <si>
    <t>7.02% Central Government Securities 18/06/2031</t>
  </si>
  <si>
    <t>IN0020210160</t>
  </si>
  <si>
    <t>IN3120230484</t>
  </si>
  <si>
    <t>7.44% Tamil Nadu State Government Securities -20/03/2034</t>
  </si>
  <si>
    <t>IN1920230100</t>
  </si>
  <si>
    <t>7.72% Karnataka State Government Securities - 06/12/2035</t>
  </si>
  <si>
    <t>IN0020250026</t>
  </si>
  <si>
    <t>6.33% Central Government Securities 05/05/2035</t>
  </si>
  <si>
    <t>INE514E16CI1</t>
  </si>
  <si>
    <t>Export Import Bank of India - 30/12/2025**</t>
  </si>
  <si>
    <t>CRISIL A1+</t>
  </si>
  <si>
    <t>INE238AD6AM2</t>
  </si>
  <si>
    <t>Axis Bank Ltd - 04/02/2026**</t>
  </si>
  <si>
    <t>Individual &amp; HUF</t>
  </si>
  <si>
    <t>Others</t>
  </si>
  <si>
    <t>Sundaram Arbitrage Fund</t>
  </si>
  <si>
    <t>INE976G01028</t>
  </si>
  <si>
    <t>RBL Bank Ltd</t>
  </si>
  <si>
    <t>INE171Z01026</t>
  </si>
  <si>
    <t>Bharat Dynamics Ltd</t>
  </si>
  <si>
    <t>INE160A01022</t>
  </si>
  <si>
    <t>Punjab National Bank</t>
  </si>
  <si>
    <t>INE476A01022</t>
  </si>
  <si>
    <t>Canara Bank</t>
  </si>
  <si>
    <t>INE148I01020</t>
  </si>
  <si>
    <t>Sammaan Capital Ltd</t>
  </si>
  <si>
    <t>INE271C01023</t>
  </si>
  <si>
    <t>DLF Ltd</t>
  </si>
  <si>
    <t>INE918I01026</t>
  </si>
  <si>
    <t>Bajaj Finserv Ltd</t>
  </si>
  <si>
    <t>INE361B01024</t>
  </si>
  <si>
    <t>Divis Laboratories Ltd</t>
  </si>
  <si>
    <t>INE239A01024</t>
  </si>
  <si>
    <t>Nestle India Ltd</t>
  </si>
  <si>
    <t>IN0020220037</t>
  </si>
  <si>
    <t>7.38% Central Government Securities 20/06/2027</t>
  </si>
  <si>
    <t>IN002024Z347</t>
  </si>
  <si>
    <t>IN002024Z412</t>
  </si>
  <si>
    <t>IN002024Z438</t>
  </si>
  <si>
    <t>Sundaram Balanced Advantage Fund</t>
  </si>
  <si>
    <t>INE619A01035</t>
  </si>
  <si>
    <t>Patanjali Foods Ltd</t>
  </si>
  <si>
    <t>INE020B08FD6</t>
  </si>
  <si>
    <t>REC LTD - 7.58% - 31/05/2029**</t>
  </si>
  <si>
    <t>INE261F08DX0</t>
  </si>
  <si>
    <t>National Bank for Agriculture &amp; Rural Development - 7.58% - 31/07/2026</t>
  </si>
  <si>
    <t>INE115A07QD5</t>
  </si>
  <si>
    <t>LIC Housing Finance Ltd - 7.82% - 28/11/2025**</t>
  </si>
  <si>
    <t>IN0020230135</t>
  </si>
  <si>
    <t>IN0020230036</t>
  </si>
  <si>
    <t>7.17% Government Securities - 17/04/20230</t>
  </si>
  <si>
    <t>-</t>
  </si>
  <si>
    <t>Sundaram Dividend Yield Fund</t>
  </si>
  <si>
    <t>INE522F01014</t>
  </si>
  <si>
    <t>Coal India Ltd</t>
  </si>
  <si>
    <t>Consumable Fuels</t>
  </si>
  <si>
    <t>INE216A01030</t>
  </si>
  <si>
    <t>Britannia Industries Ltd</t>
  </si>
  <si>
    <t>INE486A01021</t>
  </si>
  <si>
    <t>CESC Ltd</t>
  </si>
  <si>
    <t>INE172A01027</t>
  </si>
  <si>
    <t>Castrol India Ltd</t>
  </si>
  <si>
    <t>INE020B01018</t>
  </si>
  <si>
    <t>REC Ltd</t>
  </si>
  <si>
    <t>INE242A01010</t>
  </si>
  <si>
    <t>Indian Oil Corporation Ltd</t>
  </si>
  <si>
    <t>INE214T01019</t>
  </si>
  <si>
    <t>LTIMindtree Ltd</t>
  </si>
  <si>
    <t>INE274J01014</t>
  </si>
  <si>
    <t>Oil India Ltd</t>
  </si>
  <si>
    <t>INE102D01028</t>
  </si>
  <si>
    <t>Godrej Consumer Products Ltd</t>
  </si>
  <si>
    <t>INE356A01018</t>
  </si>
  <si>
    <t>MphasiS Ltd</t>
  </si>
  <si>
    <t>INE127D01025</t>
  </si>
  <si>
    <t>HDFC Asset Management Company Ltd</t>
  </si>
  <si>
    <t>INE058A01010</t>
  </si>
  <si>
    <t>Sanofi India Ltd</t>
  </si>
  <si>
    <t>INE021A01026</t>
  </si>
  <si>
    <t>Asian Paints Ltd</t>
  </si>
  <si>
    <t>INE462A01022</t>
  </si>
  <si>
    <t>Bayer Cropscience Ltd</t>
  </si>
  <si>
    <t>IDIA00069477</t>
  </si>
  <si>
    <t>INE02CF01010</t>
  </si>
  <si>
    <t>IDIA00069480</t>
  </si>
  <si>
    <t>INE759J01022</t>
  </si>
  <si>
    <t>Sundaram Equity Savings Fund</t>
  </si>
  <si>
    <t>INE406A01037</t>
  </si>
  <si>
    <t>Aurobindo Pharma Ltd</t>
  </si>
  <si>
    <t>INE115A07PR7</t>
  </si>
  <si>
    <t>LIC Housing Finance Ltd - 6.65% - 15/02/2027**</t>
  </si>
  <si>
    <t>INE556F08KH1</t>
  </si>
  <si>
    <t>Small Industries Development Bank of India - 7.43% - 31/08/2026</t>
  </si>
  <si>
    <t>INE134E08IE1</t>
  </si>
  <si>
    <t>Power Finance Corporation Ltd - 8.03% - 02/05/2026</t>
  </si>
  <si>
    <t>INE261F08EA6</t>
  </si>
  <si>
    <t>National Bank for Agriculture &amp; Rural Development - 7.5% - 31/08/2026</t>
  </si>
  <si>
    <t>INE134E08IO0</t>
  </si>
  <si>
    <t>Power Finance Corporation Ltd - 7.23% - 05/01/2027**</t>
  </si>
  <si>
    <t>IN0020230101</t>
  </si>
  <si>
    <t>7.37% Government Securities-23/10/2028</t>
  </si>
  <si>
    <t>IN0020240050</t>
  </si>
  <si>
    <t>7.04% Central Government Securities 03/06/2029</t>
  </si>
  <si>
    <t>INE476A16ZO0</t>
  </si>
  <si>
    <t>Canara Bank - 04/12/2025**</t>
  </si>
  <si>
    <t>IN002024Z362</t>
  </si>
  <si>
    <t>364 Days - T Bill - 18/12/2025</t>
  </si>
  <si>
    <t>Sundaram Focused  Fund</t>
  </si>
  <si>
    <t>INE192R01011</t>
  </si>
  <si>
    <t>Avenue Supermarts Ltd</t>
  </si>
  <si>
    <t>INE330T01021</t>
  </si>
  <si>
    <t>Happy Forgings Ltd</t>
  </si>
  <si>
    <t>INE437A01024</t>
  </si>
  <si>
    <t>Apollo Hospitals Enterprise Ltd</t>
  </si>
  <si>
    <t>INE491A01021</t>
  </si>
  <si>
    <t>City Union Bank Ltd</t>
  </si>
  <si>
    <t>INE389H01022</t>
  </si>
  <si>
    <t>KEC International Ltd</t>
  </si>
  <si>
    <t>INE089A01031</t>
  </si>
  <si>
    <t>Dr. Reddys Laboratories Ltd</t>
  </si>
  <si>
    <t>INE765G01017</t>
  </si>
  <si>
    <t>ICICI Lombard General Insurance Company Ltd</t>
  </si>
  <si>
    <t>Sundaram Multi Cap Fund</t>
  </si>
  <si>
    <t>INE668F01031</t>
  </si>
  <si>
    <t>Jyothy Laboratories Ltd</t>
  </si>
  <si>
    <t>Household Products</t>
  </si>
  <si>
    <t>INE472A01039</t>
  </si>
  <si>
    <t>Blue Star Ltd</t>
  </si>
  <si>
    <t>INE112L01020</t>
  </si>
  <si>
    <t>Metropolis Healthcare Ltd</t>
  </si>
  <si>
    <t>INE0BJS01011</t>
  </si>
  <si>
    <t>Go Fashion (India ) Ltd</t>
  </si>
  <si>
    <t>INE04VU01023</t>
  </si>
  <si>
    <t>Seshaasai Technologies Ltd</t>
  </si>
  <si>
    <t>INE147E01013</t>
  </si>
  <si>
    <t>IDIA00069359</t>
  </si>
  <si>
    <t>INE604A01011</t>
  </si>
  <si>
    <t>INE431E01011</t>
  </si>
  <si>
    <t>Healthcare Equipment &amp; Supplies</t>
  </si>
  <si>
    <t>INE348C01011</t>
  </si>
  <si>
    <t>Paper, Forest &amp; Jute Products</t>
  </si>
  <si>
    <t>IDIA00069356</t>
  </si>
  <si>
    <t>INE406B01019</t>
  </si>
  <si>
    <t>Sundaram Nifty 100 Equal Weight Fund</t>
  </si>
  <si>
    <t>INE814H01029</t>
  </si>
  <si>
    <t>Adani Power Ltd</t>
  </si>
  <si>
    <t>INE066A01021</t>
  </si>
  <si>
    <t>Eicher Motors Ltd</t>
  </si>
  <si>
    <t>INE0V6F01027</t>
  </si>
  <si>
    <t>Hyundai Motor India Ltd</t>
  </si>
  <si>
    <t>INE323A01026</t>
  </si>
  <si>
    <t>Bosch Ltd</t>
  </si>
  <si>
    <t>INE685A01028</t>
  </si>
  <si>
    <t>Torrent Pharmaceuticals Ltd</t>
  </si>
  <si>
    <t>INE067A01029</t>
  </si>
  <si>
    <t>CG Power and Industrial Solutions Ltd</t>
  </si>
  <si>
    <t>INE00H001014</t>
  </si>
  <si>
    <t>Swiggy Ltd</t>
  </si>
  <si>
    <t>INE775A01035</t>
  </si>
  <si>
    <t>Samvardhana Motherson International Ltd</t>
  </si>
  <si>
    <t>INE364U01010</t>
  </si>
  <si>
    <t>Adani Green Energy Ltd</t>
  </si>
  <si>
    <t>INE016A01026</t>
  </si>
  <si>
    <t>Dabur India Ltd</t>
  </si>
  <si>
    <t>INE931S01010</t>
  </si>
  <si>
    <t>Adani Energy Solutions Ltd</t>
  </si>
  <si>
    <t>INE070A01015</t>
  </si>
  <si>
    <t>Shree Cement Ltd</t>
  </si>
  <si>
    <t>INE176B01034</t>
  </si>
  <si>
    <t>Havells India Ltd</t>
  </si>
  <si>
    <t>INE795G01014</t>
  </si>
  <si>
    <t>HDFC Life Insurance Company Ltd</t>
  </si>
  <si>
    <t>INE0J1Y01017</t>
  </si>
  <si>
    <t>LIC of India Ltd</t>
  </si>
  <si>
    <t>INE377Y01014</t>
  </si>
  <si>
    <t>BAJAJ HOUSING FINANCE LTD</t>
  </si>
  <si>
    <t>INE118A01012</t>
  </si>
  <si>
    <t>Bajaj Holdings &amp; Investment Ltd</t>
  </si>
  <si>
    <t>INE053F01010</t>
  </si>
  <si>
    <t>Indian Railway Finance Corporation Ltd</t>
  </si>
  <si>
    <t>INE670K01029</t>
  </si>
  <si>
    <t>Macrotech Developers Ltd</t>
  </si>
  <si>
    <t>INE849A01020</t>
  </si>
  <si>
    <t>Trent Ltd</t>
  </si>
  <si>
    <t>Sundaram ELSS Tax Saver Fund</t>
  </si>
  <si>
    <t>INE451A01017</t>
  </si>
  <si>
    <t>Force Motors Ltd</t>
  </si>
  <si>
    <t>INE628A01036</t>
  </si>
  <si>
    <t>UPL Ltd</t>
  </si>
  <si>
    <t>INE692A01016</t>
  </si>
  <si>
    <t>Union Bank of India</t>
  </si>
  <si>
    <t>Sundaram Consumption Fund</t>
  </si>
  <si>
    <t>INE716A01013</t>
  </si>
  <si>
    <t>Whirlpool of India Ltd</t>
  </si>
  <si>
    <t>Sundaram Services Fund</t>
  </si>
  <si>
    <t>MU0295S00016</t>
  </si>
  <si>
    <t>Sundaram Value Fund</t>
  </si>
  <si>
    <t>INE884B01025</t>
  </si>
  <si>
    <t>Kirloskar Ferrous Ind Ltd</t>
  </si>
  <si>
    <t>INE531A01024</t>
  </si>
  <si>
    <t>Kansai Nerolac Paints Ltd</t>
  </si>
  <si>
    <t>INE002S01010</t>
  </si>
  <si>
    <t>Mahanagar Gas Ltd</t>
  </si>
  <si>
    <t>INE176A01028</t>
  </si>
  <si>
    <t>Bata India Ltd</t>
  </si>
  <si>
    <t>Sundaram Large Cap Fund</t>
  </si>
  <si>
    <t>Sundaram Business Cycle Fund</t>
  </si>
  <si>
    <t>INE410P01011</t>
  </si>
  <si>
    <t>Narayana Hrudayalaya Ltd</t>
  </si>
  <si>
    <t>INE0CAZ01013</t>
  </si>
  <si>
    <t>Urban Company Ltd</t>
  </si>
  <si>
    <t>INE224A01026</t>
  </si>
  <si>
    <t>Greaves Cotton Ltd</t>
  </si>
  <si>
    <t>INE716B01029</t>
  </si>
  <si>
    <t>Tips Music Ltd</t>
  </si>
  <si>
    <t>INE04I401011</t>
  </si>
  <si>
    <t>KPIT Technologies Ltd</t>
  </si>
  <si>
    <t>INE599M01018</t>
  </si>
  <si>
    <t>Just Dial Ltd</t>
  </si>
  <si>
    <t>INE559R01029</t>
  </si>
  <si>
    <t>Landmark Cars Ltd</t>
  </si>
  <si>
    <t>Sundaram Flexi Cap Fund</t>
  </si>
  <si>
    <t>Sundaram Financial Services Opportunities Fund</t>
  </si>
  <si>
    <t>INE756I01012</t>
  </si>
  <si>
    <t>HDB Financial Services Ltd</t>
  </si>
  <si>
    <t>Sundaram Multi Asset Allocation Fund</t>
  </si>
  <si>
    <t>IN0020240183</t>
  </si>
  <si>
    <t>6.75% Central Government Securities 23/12/2029</t>
  </si>
  <si>
    <t>IN0020250067</t>
  </si>
  <si>
    <t>6.01% Central Government Securities 21/07/2030</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</si>
  <si>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</si>
  <si>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</si>
  <si>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</si>
  <si>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</si>
  <si>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</si>
  <si>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</si>
  <si>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</si>
  <si>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</si>
  <si>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</si>
  <si>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</si>
  <si>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Sundaram Multi-Factor Fund</t>
  </si>
  <si>
    <t>INE918Z01012</t>
  </si>
  <si>
    <t>Kaynes Technology India Ltd</t>
  </si>
  <si>
    <t>INE260B01028</t>
  </si>
  <si>
    <t>Godfrey Phillips India Ltd</t>
  </si>
  <si>
    <t>Cigarettes &amp; Tobacco Products</t>
  </si>
  <si>
    <t>INE159A01016</t>
  </si>
  <si>
    <t>GlaxoSmithKline Pharmaceuticals Ltd</t>
  </si>
  <si>
    <t>INE343H01029</t>
  </si>
  <si>
    <t>Solar Industries India Ltd</t>
  </si>
  <si>
    <t>INE267A01025</t>
  </si>
  <si>
    <t>Hindustan Zinc Ltd</t>
  </si>
  <si>
    <t>INE084A01016</t>
  </si>
  <si>
    <t>Bank of India</t>
  </si>
  <si>
    <t>INE347G01014</t>
  </si>
  <si>
    <t>Petronet LNG Ltd</t>
  </si>
  <si>
    <t>INE498L01015</t>
  </si>
  <si>
    <t>L &amp; T Finance Ltd</t>
  </si>
  <si>
    <t>INE298J01013</t>
  </si>
  <si>
    <t>Nippon Life India Asset Management Ltd</t>
  </si>
  <si>
    <t>INE704P01025</t>
  </si>
  <si>
    <t>Cochin Shipyard Ltd</t>
  </si>
  <si>
    <t>INE674K01013</t>
  </si>
  <si>
    <t>Aditya Birla Capital Ltd</t>
  </si>
  <si>
    <t>INE935A01035</t>
  </si>
  <si>
    <t>GlenMark Pharmaceuticals Ltd</t>
  </si>
  <si>
    <t>INE414G01012</t>
  </si>
  <si>
    <t>Muthoot Finance Ltd</t>
  </si>
  <si>
    <t>INE589A01014</t>
  </si>
  <si>
    <t>Neyveli Lignite Corporation Ltd</t>
  </si>
  <si>
    <t>INE944F01028</t>
  </si>
  <si>
    <t>Radico Khaitan Ltd</t>
  </si>
  <si>
    <t>INE031A01017</t>
  </si>
  <si>
    <t>Housing &amp; Urban Development Corporation Ltd</t>
  </si>
  <si>
    <t>INE571A01038</t>
  </si>
  <si>
    <t>IPCA Laboratories Ltd</t>
  </si>
  <si>
    <t>INE114A01011</t>
  </si>
  <si>
    <t>Steel Authority of India Ltd</t>
  </si>
  <si>
    <t>INE584A01023</t>
  </si>
  <si>
    <t>NMDC Ltd</t>
  </si>
  <si>
    <t>Minerals &amp; Mining</t>
  </si>
  <si>
    <t>YTM (%)</t>
  </si>
  <si>
    <t>Index</t>
  </si>
  <si>
    <t>S.NO.</t>
  </si>
  <si>
    <t>ACRONYM</t>
  </si>
  <si>
    <t>SCHEME NAME</t>
  </si>
  <si>
    <t>CAPEXG</t>
  </si>
  <si>
    <t>GLOB</t>
  </si>
  <si>
    <t>Sundaram Global Brand Theme-Equity Active FOF</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</si>
  <si>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</si>
  <si>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</si>
  <si>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</si>
  <si>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</si>
  <si>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</si>
  <si>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</si>
  <si>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</si>
  <si>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</si>
  <si>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</si>
  <si>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</si>
  <si>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</si>
  <si>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</si>
  <si>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</si>
  <si>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</si>
  <si>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</si>
  <si>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</si>
  <si>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</si>
  <si>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</si>
  <si>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</si>
  <si>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</si>
  <si>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</si>
  <si>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</si>
  <si>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</si>
  <si>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</si>
  <si>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</si>
  <si>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</si>
  <si>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</si>
  <si>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</si>
  <si>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</si>
  <si>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</si>
  <si>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</si>
  <si>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</si>
  <si>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</si>
  <si>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</si>
  <si>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SUNMFF</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</si>
  <si>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</si>
  <si>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</si>
  <si>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</si>
  <si>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</si>
  <si>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</si>
  <si>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</si>
  <si>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</si>
  <si>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</si>
  <si>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d) IDCW declared during the period (Rupees per unit)</t>
  </si>
  <si>
    <t>Scheme Riskometer :</t>
  </si>
  <si>
    <t>Tier I Benchmark Riskometer :</t>
  </si>
  <si>
    <t xml:space="preserve">                     NIFTY Infrastructure TRI</t>
  </si>
  <si>
    <t>Sundaram Liquid Fund - Direct Growth*</t>
  </si>
  <si>
    <t>Tier II Benchmark Riskometer :</t>
  </si>
  <si>
    <t xml:space="preserve">                        Nifty Mid Cap 150 TRI</t>
  </si>
  <si>
    <t xml:space="preserve">                            Nifty Mid Cap 100 TRI</t>
  </si>
  <si>
    <t xml:space="preserve">           Nifty Large Mid Cap 250 TRI</t>
  </si>
  <si>
    <t xml:space="preserve">                           BSE 500 INDEX</t>
  </si>
  <si>
    <t xml:space="preserve">                                    BSE 500 TRI</t>
  </si>
  <si>
    <t xml:space="preserve">                    BSE 500 INDEX</t>
  </si>
  <si>
    <t xml:space="preserve">                   Nifty Small Cap 100</t>
  </si>
  <si>
    <t xml:space="preserve">                      Nifty Small Cap 100</t>
  </si>
  <si>
    <t xml:space="preserve">                     Nifty Small Cap 100</t>
  </si>
  <si>
    <t xml:space="preserve">           Nifty Small Cap 250 TRI</t>
  </si>
  <si>
    <t xml:space="preserve">           Nifty Small Cap 100 TRI</t>
  </si>
  <si>
    <t>INE041025011</t>
  </si>
  <si>
    <t>Embassy Office Parks (REIT)</t>
  </si>
  <si>
    <t>Chennai Super Kings Ltd @</t>
  </si>
  <si>
    <t>(f) Convertible Debenture</t>
  </si>
  <si>
    <t>INE121A08PJ0</t>
  </si>
  <si>
    <t>7.5% Cholamandalam Investment and Company Ltd - 30/09/2026</t>
  </si>
  <si>
    <t>Unrated</t>
  </si>
  <si>
    <t>Bandhan Bank Ltd OCT-2025</t>
  </si>
  <si>
    <t>Adani Enterprises Ltd OCT-2025</t>
  </si>
  <si>
    <t>JSW Energy Ltd OCT-2025</t>
  </si>
  <si>
    <t>Vedanta Ltd Pre Sesa Sterlite Ltd (Prvsly Sesa Goa Ltd) OCT-2025</t>
  </si>
  <si>
    <t>Bharat Electronics Ltd OCT-2025</t>
  </si>
  <si>
    <t>Oil &amp; Natural Gas Corpn.Ltd OCT-2025</t>
  </si>
  <si>
    <t>GAIL (India) Ltd OCT-2025</t>
  </si>
  <si>
    <t>Kotak Mahindra Bank Ltd OCT-2025</t>
  </si>
  <si>
    <t>Marico Ltd (Pre Marico Industries Ltd) OCT-2025</t>
  </si>
  <si>
    <t>JSW Steel Ltd OCT-2025</t>
  </si>
  <si>
    <t>Jio Financial Services Ltd (Prev Reliance Strategic Investments Ltd) OCT-2025</t>
  </si>
  <si>
    <t>Bank of Baroda OCT-2025</t>
  </si>
  <si>
    <t>Dixon Technologies India Ltd OCT-2025</t>
  </si>
  <si>
    <t>Indian Hotels Company Ltd OCT-2025</t>
  </si>
  <si>
    <t>Biocon Ltd OCT-2025</t>
  </si>
  <si>
    <t>Axis Bank Ltd  OCT-2025</t>
  </si>
  <si>
    <t>Hindustan Aeronautics Ltd OCT-2025</t>
  </si>
  <si>
    <t>Bharti Airtel Ltd OCT-2025</t>
  </si>
  <si>
    <t>HDFC Bank Ltd OCT-2025</t>
  </si>
  <si>
    <t>State Bank Of India Ltd OCT-2025</t>
  </si>
  <si>
    <t>ICICI Bank Ltd OCT-2025</t>
  </si>
  <si>
    <t>Reliance Industries Ltd OCT-2025</t>
  </si>
  <si>
    <t>Multi Commodity Exchange of India Limited OCT-2025</t>
  </si>
  <si>
    <t>7.11% Central Government Securities_Floating Rate Bond - 04/10/2028 ~</t>
  </si>
  <si>
    <t>Cash and Other Net Current Assets^</t>
  </si>
  <si>
    <t>Refer below point i)</t>
  </si>
  <si>
    <t>Annexure-A</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</si>
  <si>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</si>
  <si>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</si>
  <si>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</si>
  <si>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</si>
  <si>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</si>
  <si>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</si>
  <si>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</si>
  <si>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</si>
  <si>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</si>
  <si>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</si>
  <si>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</si>
  <si>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</si>
  <si>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</si>
  <si>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</si>
  <si>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</si>
  <si>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</si>
  <si>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</si>
  <si>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</si>
  <si>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</si>
  <si>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</si>
  <si>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</si>
  <si>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</si>
  <si>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</si>
  <si>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</si>
  <si>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</si>
  <si>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</si>
  <si>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</si>
  <si>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</si>
  <si>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</si>
  <si>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</si>
  <si>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</si>
  <si>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</si>
  <si>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</si>
  <si>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</si>
  <si>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</si>
  <si>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i) Exposure to securities classified as below investment grade or default as on 30-Sep-2025</t>
  </si>
  <si>
    <t>% to AUM as on 30-Sep-2025</t>
  </si>
  <si>
    <t>30-Sep-2025</t>
  </si>
  <si>
    <t>Nestle India Ltd OCT-2025</t>
  </si>
  <si>
    <t>Siemens Ltd OCT-2025</t>
  </si>
  <si>
    <t>Divis Labarotories Ltd  OCT-2025</t>
  </si>
  <si>
    <t>Federal Bank OCT-2025</t>
  </si>
  <si>
    <t>Bajaj Finserv Ltd OCT-2025</t>
  </si>
  <si>
    <t>DLF Ltd OCT-2025</t>
  </si>
  <si>
    <t>Tata Motors Ltd OCT-2025</t>
  </si>
  <si>
    <t>Mahindra &amp; Mahindra Ltd OCT-2025</t>
  </si>
  <si>
    <t>PNB Housing Finance Ltd OCT-2025</t>
  </si>
  <si>
    <t>Sammaan Capital Ltd ( Prv Indiabulls Housing Finance Ltd) OCT-2025</t>
  </si>
  <si>
    <t>Tata Consumer Products Limited OCT-2025</t>
  </si>
  <si>
    <t>Canara Bank OCT-2025</t>
  </si>
  <si>
    <t>Eternal Ltd ( Previously named as Zomato Ltd ) OCT-2025</t>
  </si>
  <si>
    <t>Indus Towers Ltd (Prev name Bharti Infratel Ltd) OCT-2025</t>
  </si>
  <si>
    <t>Punjab National Bank OCT-2025</t>
  </si>
  <si>
    <t>SBI Life Insurance Company Ltd OCT-2025</t>
  </si>
  <si>
    <t>Tata Steel Ltd OCT-2025</t>
  </si>
  <si>
    <t>Cipla Ltd OCT-2025</t>
  </si>
  <si>
    <t>BSE Ltd OCT-2025</t>
  </si>
  <si>
    <t>Adani Ports &amp; SEZ Ltd OCT-2025</t>
  </si>
  <si>
    <t>Hindustan Unilever Ltd OCT-2025</t>
  </si>
  <si>
    <t>IndusInd Bank Ltd OCT-2025</t>
  </si>
  <si>
    <t>Max Financial Services Ltd (Prev: Max India Ltd) OCT-2025</t>
  </si>
  <si>
    <t>Bharat Dynamics Ltd OCT-2025</t>
  </si>
  <si>
    <t>Sun Pharmaceuticals Ltd OCT-2025</t>
  </si>
  <si>
    <t>RBL Bank Ltd OCT-2025</t>
  </si>
  <si>
    <t>Hindalco Industries Ltd OCT-2025</t>
  </si>
  <si>
    <t>Gujarat Ambuja Cement Co.Ltd OCT-2025</t>
  </si>
  <si>
    <t>Larsen &amp; Toubro Ltd OCT-2025</t>
  </si>
  <si>
    <t>TATA Consultancy Services Ltd OCT-2025</t>
  </si>
  <si>
    <t>Bajaj Finance Ltd OCT-2025</t>
  </si>
  <si>
    <t>ITC Ltd OCT-2025</t>
  </si>
  <si>
    <t xml:space="preserve">           NIFTY 50 Arbitrage INDEX</t>
  </si>
  <si>
    <t>INE0GGX23010</t>
  </si>
  <si>
    <t>Power Grid Infrastructure Investment Trust (InvIT)</t>
  </si>
  <si>
    <t>Patanjali Foods Ltd(Prev Ruchi Soya Industries Ltd) OCT-2025</t>
  </si>
  <si>
    <t>Direct Plan - Monthly IDCW</t>
  </si>
  <si>
    <t>Regular Plan - Monthly IDCW</t>
  </si>
  <si>
    <t xml:space="preserve">           NIFTY 50 Hybrid Composite Debt 50 : 50 INDEX</t>
  </si>
  <si>
    <t>Power Grid Infrastructure Investment Trust(InvIT)</t>
  </si>
  <si>
    <t>Sandur Laminates Ltd @</t>
  </si>
  <si>
    <t>Crystal Cable Industries Ltd @</t>
  </si>
  <si>
    <t>Tirrihannah Company Ltd @</t>
  </si>
  <si>
    <t>Minerava Holdings Ltd @</t>
  </si>
  <si>
    <t>Direct Plan - IDCW</t>
  </si>
  <si>
    <t>Regular Plan - IDCW</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</si>
  <si>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</si>
  <si>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</si>
  <si>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</si>
  <si>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</si>
  <si>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</si>
  <si>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</si>
  <si>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</si>
  <si>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</si>
  <si>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 TRI</t>
  </si>
  <si>
    <t>Shriram Finance Ltd ( Prv Shriram Tpt Finance Co Ltd) OCT-2025</t>
  </si>
  <si>
    <t>Aurobindo Pharma Ltd-Equ OCT-2025</t>
  </si>
  <si>
    <t>NTPC Ltd OCT-2025</t>
  </si>
  <si>
    <t>Direct Plan - Half Yearly IDCW</t>
  </si>
  <si>
    <t>Regular Plan - Half Yearly IDCW</t>
  </si>
  <si>
    <t xml:space="preserve">                      Nifty Equity Savings TRI</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</si>
  <si>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</si>
  <si>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</si>
  <si>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</si>
  <si>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</si>
  <si>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</si>
  <si>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</si>
  <si>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</si>
  <si>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</si>
  <si>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</si>
  <si>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</si>
  <si>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 xml:space="preserve">           Nifty 500 MultiCap 50:25:25 TRI</t>
  </si>
  <si>
    <t>18% Jord Engineering Ltd</t>
  </si>
  <si>
    <t xml:space="preserve">                          NIFTY 500 TRI</t>
  </si>
  <si>
    <t xml:space="preserve">           Nifty India Consumption TRI</t>
  </si>
  <si>
    <t>Make My Trip Ltd (USD)</t>
  </si>
  <si>
    <t xml:space="preserve">           NIFTY Services Sector TRI</t>
  </si>
  <si>
    <t xml:space="preserve">           NIFTY 500 MULTICAP 50:25:25 TRI</t>
  </si>
  <si>
    <t xml:space="preserve">                       NIFTY 500_TRI</t>
  </si>
  <si>
    <t xml:space="preserve">               Nifty 100 TRI</t>
  </si>
  <si>
    <t xml:space="preserve">                      Nifty_500_ TRI</t>
  </si>
  <si>
    <t xml:space="preserve">                  Nifty 500 TRI</t>
  </si>
  <si>
    <t xml:space="preserve">           Nifty Financial Services TRI</t>
  </si>
  <si>
    <t>TVS Motor Company Ltd   OCT-2025</t>
  </si>
  <si>
    <t>Ultra Tech Cement Ltd OCT-2025</t>
  </si>
  <si>
    <t>NIFTY 500 TRI (65%) + NIFTY Short Duration Debt Index (10%) + Domestic Prices of Gold (25%)</t>
  </si>
  <si>
    <t xml:space="preserve">                     BSE 200 TRI</t>
  </si>
  <si>
    <t>https://www.sundarammutual.com/pdf2/2025/Rationale_for_Valuation/Update_on_Valuation_of_RoadStar_InVIT_Units_V1.pdf</t>
  </si>
  <si>
    <t>https://www.sundarammutual.com/pdf2/2025/Rationale_for_Valuation/Update_on_Valuation_of_RoadStar_InVIT_Units_22_Sep_2025.pdf</t>
  </si>
  <si>
    <t>Direct Plan - Halfyearly IDCW</t>
  </si>
  <si>
    <t>Regular Plan - Halfyearly IDCW</t>
  </si>
  <si>
    <t xml:space="preserve">           NIFTY IDCW Opportunities 50 TRI</t>
  </si>
  <si>
    <t>Sundaram Money Market Fund-Direct Plan - Growth*</t>
  </si>
  <si>
    <t>7.10% Central Government Securities 18/04/2029*</t>
  </si>
  <si>
    <t>7.23% Central Government Securities 15/04/2039*</t>
  </si>
  <si>
    <t>7.10% Central Government Securities 08/04/2034*</t>
  </si>
  <si>
    <t>7.38% Central Government Securities 20/06/2027 *</t>
  </si>
  <si>
    <t>364 Days - T Bill - 04/12/2025*</t>
  </si>
  <si>
    <t>364 Days - T Bill - 22/01/2026*</t>
  </si>
  <si>
    <t>364 Days - T Bill - 05/02/2026*</t>
  </si>
  <si>
    <t>7.32% Government Securities-13/11/2030*</t>
  </si>
  <si>
    <t>7.37% Government Securities-23/10/2028*</t>
  </si>
  <si>
    <t>7.38% Central Government Securities 20/06/2027*</t>
  </si>
  <si>
    <t>7.04% Central Government Securities 03/06/2029*</t>
  </si>
  <si>
    <t>SG9999013908</t>
  </si>
  <si>
    <t>Sundaram Global Brand Fund - Master Class</t>
  </si>
  <si>
    <t xml:space="preserve"> (a) Investments in Foreign Securities - Units of Mutual Funds</t>
  </si>
  <si>
    <t xml:space="preserve">                    MSCI ACWI TRI</t>
  </si>
  <si>
    <t>Sundaram Global Brand Fund</t>
  </si>
  <si>
    <t>Scheme Name</t>
  </si>
  <si>
    <t>Underlying</t>
  </si>
  <si>
    <t>Long/Short</t>
  </si>
  <si>
    <t>Futures Price When Purchased</t>
  </si>
  <si>
    <t>Current Price of the contract</t>
  </si>
  <si>
    <t>Margin maintained in       (Rs in Lakhs)*</t>
  </si>
  <si>
    <t>short</t>
  </si>
  <si>
    <t>%</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</si>
  <si>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</si>
  <si>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</si>
  <si>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</si>
  <si>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</si>
  <si>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</si>
  <si>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Gross Notional value of contracts where futures were sold      ( Rs. in Lakhs)</t>
  </si>
  <si>
    <t>Net Profit / (Loss) value on all contracts combined      (Rs. in lakhs)</t>
  </si>
  <si>
    <t xml:space="preserve"> </t>
  </si>
  <si>
    <t>* Note: Margin maintained denotes security specific margin.</t>
  </si>
  <si>
    <t>A. Hedging Positions through Futures as on September 30,2025 :</t>
  </si>
  <si>
    <t xml:space="preserve">                    Nifty Small Cap 100</t>
  </si>
  <si>
    <t xml:space="preserve">          Nifty 100 Equal Weight TRI</t>
  </si>
  <si>
    <t>(e) Non-Convertible Preference Shares</t>
  </si>
  <si>
    <t>Monthly Portfolio Statement for the month ended 30 September2025</t>
  </si>
  <si>
    <t>DERIVATIVES DISCLOSURE</t>
  </si>
  <si>
    <t>Disclosure regarding Derivative positions pursuant to SEBI Circular no CIR/IMD/DF/11/2010 dated August18,2010</t>
  </si>
  <si>
    <t>DETAILS OF INVESTMENTS IN DERIVATIVE INSTRUMENTS</t>
  </si>
  <si>
    <t xml:space="preserve">Total percentage of existing assets hedged through futures as a percentage of net assets </t>
  </si>
  <si>
    <t>For the period ended September 30,2025 following were the hedging transactions through futures which have been squared off/ expired</t>
  </si>
  <si>
    <t>B. Other than hedging positions through futures as on September 30,2025 : NIL</t>
  </si>
  <si>
    <t>For the period ended September 30,2025 following were the non-hedging transactions through futures which have been squared off / expired</t>
  </si>
  <si>
    <t>Sundaram Multi Factor Fund</t>
  </si>
  <si>
    <t>C. Hedging Positions through Put Options as on September 30,2025: NIL</t>
  </si>
  <si>
    <t>Call/Put</t>
  </si>
  <si>
    <t>Number of Contracts</t>
  </si>
  <si>
    <t>Option Price when purchased</t>
  </si>
  <si>
    <t>Current Option Price</t>
  </si>
  <si>
    <t>Total % of existing assets hedged through Put Options</t>
  </si>
  <si>
    <t>For the period ended  July 31,2025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</si>
  <si>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</si>
  <si>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</si>
  <si>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</si>
  <si>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</si>
  <si>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September 30,2025 : NIL</t>
  </si>
  <si>
    <t xml:space="preserve">Total Exposure through Options other than hedging as a percentage of net assets </t>
  </si>
  <si>
    <t>For the period ended July 31,2025 , the following non hedging transactions through options which have been already exercised/expired</t>
  </si>
  <si>
    <t>Gross Notional value of contracts  bought(Rs. in Lakhs)</t>
  </si>
  <si>
    <t>Gross Notional value of contracts  sold (Rs. in Lakhs)</t>
  </si>
  <si>
    <t>E. Hedging Positions through Swaps as on September 30,2025:</t>
  </si>
  <si>
    <t>Scheme name</t>
  </si>
  <si>
    <t>Swap Type</t>
  </si>
  <si>
    <t>Underlying Security</t>
  </si>
  <si>
    <t>Long Position</t>
  </si>
  <si>
    <t>Short Position</t>
  </si>
  <si>
    <t>Notional Value (Rs. in lacs.)</t>
  </si>
  <si>
    <t>Maturity date</t>
  </si>
  <si>
    <t>Sundaram Ultra Short Duration  Fund</t>
  </si>
  <si>
    <t>Fixed to Float</t>
  </si>
  <si>
    <t>7.56% REC Ltd NCD MD 30-06-2026</t>
  </si>
  <si>
    <t>Receiving Floating</t>
  </si>
  <si>
    <t>Pay Fixed</t>
  </si>
  <si>
    <t>7.58%  NABARD- NCD-31-07-2026</t>
  </si>
  <si>
    <t>9.20% Shriram Finance Ltd 22 05 2026</t>
  </si>
  <si>
    <t>F. Hedging Positions through Interest Rate Futures as on September 30,2025: NIL</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</si>
  <si>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</si>
  <si>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</si>
  <si>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</si>
  <si>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</si>
  <si>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31,2025 following were the hedging transactions through Interest Rate Futures which have been squared off/ expired</t>
  </si>
  <si>
    <t>For the period ended July 31,2025 following were the Non Hedging transactions through Interest Rate Futures which have been squared off/ 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</si>
</sst>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0;\-#,##0.000000"/>
    <numFmt numFmtId="174" formatCode="0.00000000"/>
    <numFmt numFmtId="175" formatCode="[$-1014009]#,##0.00;\(#,##0.00\)"/>
    <numFmt numFmtId="176" formatCode="[$-1014009]#,##0.0000;\-#,##0.0000"/>
    <numFmt numFmtId="177" formatCode="_(* #,##0_);_(* \(#,##0\);_(* &quot;-&quot;??_);_(@_)"/>
    <numFmt numFmtId="178" formatCode="0.0000000"/>
    <numFmt numFmtId="179" formatCode="0.00000000000"/>
    <numFmt numFmtId="180" formatCode="#,##0.0000;\(#,##0.0000\)"/>
    <numFmt numFmtId="181" formatCode="_(* #,##0.000_);_(* \(#,##0.000\);_(* &quot;-&quot;??_);_(@_)"/>
  </numFmts>
  <fonts count="34"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11"/>
      <color indexed="8"/>
      <name val="Calibri"/>
      <family val="2"/>
    </font>
    <font>
      <sz val="10"/>
      <color indexed="8"/>
      <name val="Calibri"/>
      <family val="2"/>
    </font>
    <font>
      <u/>
      <sz val="10"/>
      <color theme="10"/>
      <name val="Arial"/>
      <family val="2"/>
    </font>
    <font>
      <u/>
      <sz val="11"/>
      <color rgb="FF002060"/>
      <name val="Aptos Narrow"/>
      <family val="2"/>
      <scheme val="minor"/>
    </font>
    <font>
      <b/>
      <sz val="10"/>
      <color indexed="8"/>
      <name val="Calibri"/>
      <family val="2"/>
    </font>
    <font>
      <sz val="10"/>
      <name val="Arial"/>
      <family val="2"/>
    </font>
    <font>
      <b/>
      <sz val="11"/>
      <name val="Aptos Narrow"/>
      <family val="2"/>
      <scheme val="minor"/>
    </font>
    <font>
      <sz val="10"/>
      <name val="Arial"/>
      <family val="2"/>
    </font>
    <font>
      <sz val="11"/>
      <name val="Aptos Narrow"/>
      <family val="2"/>
      <scheme val="minor"/>
    </font>
    <font>
      <u/>
      <sz val="11"/>
      <color theme="10"/>
      <name val="Aptos Narrow"/>
      <family val="2"/>
      <scheme val="minor"/>
    </font>
    <font>
      <b/>
      <i/>
      <sz val="10"/>
      <color indexed="8"/>
      <name val="Calibri"/>
      <family val="2"/>
    </font>
    <font>
      <b/>
      <sz val="10"/>
      <name val="Arial"/>
      <family val="2"/>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0"/>
      <name val="Calibri"/>
      <family val="2"/>
    </font>
    <font>
      <sz val="10"/>
      <name val="Aptos Narrow"/>
      <family val="2"/>
      <scheme val="minor"/>
    </font>
    <font>
      <sz val="10"/>
      <color indexed="8"/>
      <name val="Calibri"/>
      <charset val="1"/>
    </font>
    <font>
      <b/>
      <sz val="10"/>
      <color indexed="8"/>
      <name val="Calibri"/>
      <charset val="1"/>
    </font>
    <font>
      <b/>
      <sz val="9"/>
      <color indexed="8"/>
      <name val="Calibri"/>
      <charset val="1"/>
    </font>
    <font>
      <b/>
      <sz val="10"/>
      <color theme="1"/>
      <name val="Arial"/>
      <family val="2"/>
    </font>
    <font>
      <b/>
      <sz val="10"/>
      <color theme="1"/>
      <name val="Tahoma"/>
      <family val="2"/>
    </font>
    <font>
      <b/>
      <sz val="10"/>
      <color rgb="FF000000"/>
      <name val="Tahoma"/>
      <family val="2"/>
    </font>
  </fonts>
  <fills count="2">
    <fill>
      <patternFill patternType="none"/>
    </fill>
    <fill>
      <patternFill patternType="gray125"/>
    </fill>
  </fills>
  <borders count="2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s>
  <cellStyleXfs count="24">
    <xf numFmtId="0" fontId="0" fillId="0" borderId="0">
      <alignment wrapText="1"/>
    </xf>
    <xf numFmtId="0" fontId="9" fillId="0" borderId="0" applyNumberFormat="0" applyFill="0" applyBorder="0" applyAlignment="0" applyProtection="0">
      <alignment wrapText="1"/>
    </xf>
    <xf numFmtId="164" fontId="12" fillId="0" borderId="0" applyFont="0" applyFill="0" applyBorder="0" applyAlignment="0" applyProtection="0"/>
    <xf numFmtId="9" fontId="12" fillId="0" borderId="0" applyFont="0" applyFill="0" applyBorder="0" applyAlignment="0" applyProtection="0"/>
    <xf numFmtId="0" fontId="3" fillId="0" borderId="0"/>
    <xf numFmtId="0" fontId="14" fillId="0" borderId="0">
      <alignment wrapText="1"/>
    </xf>
    <xf numFmtId="0" fontId="3" fillId="0" borderId="0"/>
    <xf numFmtId="0" fontId="14" fillId="0" borderId="0">
      <alignment wrapText="1"/>
    </xf>
    <xf numFmtId="164" fontId="3" fillId="0" borderId="0" applyFont="0" applyFill="0" applyBorder="0" applyAlignment="0" applyProtection="0"/>
    <xf numFmtId="9" fontId="23" fillId="0" borderId="0" applyFont="0" applyFill="0" applyBorder="0" applyAlignment="0" applyProtection="0"/>
    <xf numFmtId="0" fontId="14" fillId="0" borderId="0">
      <alignment wrapText="1"/>
    </xf>
    <xf numFmtId="0" fontId="2" fillId="0" borderId="0"/>
    <xf numFmtId="164" fontId="1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14" fillId="0" borderId="0"/>
    <xf numFmtId="164" fontId="23" fillId="0" borderId="0" applyFont="0" applyFill="0" applyBorder="0" applyAlignment="0" applyProtection="0"/>
    <xf numFmtId="0" fontId="14" fillId="0" borderId="0"/>
    <xf numFmtId="0" fontId="1" fillId="0" borderId="0"/>
    <xf numFmtId="0" fontId="12" fillId="0" borderId="0"/>
    <xf numFmtId="43" fontId="23" fillId="0" borderId="0" applyFont="0" applyFill="0" applyBorder="0" applyAlignment="0" applyProtection="0"/>
  </cellStyleXfs>
  <cellXfs count="288">
    <xf numFmtId="0" fontId="0" fillId="0" borderId="0" xfId="0">
      <alignment wrapText="1"/>
    </xf>
    <xf numFmtId="0" fontId="10" fillId="0" borderId="0" xfId="1" applyFont="1" applyFill="1" applyBorder="1" applyAlignment="1">
      <alignment horizontal="center" vertical="center" wrapText="1"/>
    </xf>
    <xf numFmtId="0" fontId="13" fillId="0" borderId="8" xfId="4" applyFont="1" applyBorder="1" applyAlignment="1">
      <alignment horizontal="center" vertical="center"/>
    </xf>
    <xf numFmtId="0" fontId="15" fillId="0" borderId="0" xfId="5" applyFont="1">
      <alignment wrapText="1"/>
    </xf>
    <xf numFmtId="0" fontId="15" fillId="0" borderId="8" xfId="5" applyFont="1" applyBorder="1" applyAlignment="1">
      <alignment horizontal="center" wrapText="1"/>
    </xf>
    <xf numFmtId="0" fontId="16" fillId="0" borderId="8" xfId="1" applyFont="1" applyBorder="1" applyAlignment="1"/>
    <xf numFmtId="0" fontId="15" fillId="0" borderId="8" xfId="5" applyFont="1" applyBorder="1" applyAlignment="1"/>
    <xf numFmtId="0" fontId="9" fillId="0" borderId="8" xfId="1" applyBorder="1" applyAlignment="1"/>
    <xf numFmtId="164" fontId="22" fillId="0" borderId="8" xfId="8" applyFont="1" applyFill="1" applyBorder="1"/>
    <xf numFmtId="4" fontId="22" fillId="0" borderId="8" xfId="9" applyNumberFormat="1" applyFont="1" applyFill="1" applyBorder="1"/>
    <xf numFmtId="0" fontId="9" fillId="0" borderId="0" xfId="1" applyFill="1" applyAlignment="1"/>
    <xf numFmtId="177" fontId="20" fillId="0" borderId="0" xfId="2" applyNumberFormat="1" applyFont="1" applyFill="1"/>
    <xf numFmtId="164" fontId="20" fillId="0" borderId="0" xfId="2" applyFont="1" applyFill="1"/>
    <xf numFmtId="10" fontId="20" fillId="0" borderId="0" xfId="3" applyNumberFormat="1" applyFont="1" applyFill="1" applyBorder="1" applyAlignment="1">
      <alignment vertical="center"/>
    </xf>
    <xf numFmtId="4" fontId="19" fillId="0" borderId="8" xfId="8" applyNumberFormat="1" applyFont="1" applyFill="1" applyBorder="1" applyAlignment="1">
      <alignment horizontal="center" vertical="center"/>
    </xf>
    <xf numFmtId="10" fontId="19" fillId="0" borderId="8" xfId="8" applyNumberFormat="1" applyFont="1" applyFill="1" applyBorder="1" applyAlignment="1">
      <alignment horizontal="center" vertical="center"/>
    </xf>
    <xf numFmtId="4" fontId="27" fillId="0" borderId="8" xfId="8" applyNumberFormat="1" applyFont="1" applyFill="1" applyBorder="1" applyAlignment="1">
      <alignment horizontal="center" vertical="center"/>
    </xf>
    <xf numFmtId="10" fontId="27" fillId="0" borderId="8" xfId="8" applyNumberFormat="1" applyFont="1" applyFill="1" applyBorder="1" applyAlignment="1">
      <alignment horizontal="center" vertical="center"/>
    </xf>
    <xf numFmtId="177" fontId="22" fillId="0" borderId="0" xfId="2" applyNumberFormat="1" applyFont="1" applyFill="1"/>
    <xf numFmtId="164" fontId="22" fillId="0" borderId="0" xfId="2" applyFont="1" applyFill="1"/>
    <xf numFmtId="164" fontId="27" fillId="0" borderId="17" xfId="8" applyFont="1" applyFill="1" applyBorder="1" applyAlignment="1">
      <alignment horizontal="right" vertical="center"/>
    </xf>
    <xf numFmtId="164" fontId="27" fillId="0" borderId="17" xfId="8" applyFont="1" applyFill="1" applyBorder="1" applyAlignment="1">
      <alignment horizontal="center" vertical="center"/>
    </xf>
    <xf numFmtId="0" fontId="4" fillId="0" borderId="4" xfId="0" applyFont="1" applyBorder="1" applyAlignment="1">
      <alignment horizontal="left" vertical="center" wrapText="1" readingOrder="1"/>
    </xf>
    <xf numFmtId="0" fontId="4" fillId="0" borderId="18" xfId="0" applyFont="1" applyBorder="1" applyAlignment="1">
      <alignment horizontal="right" vertical="top" wrapText="1" readingOrder="1"/>
    </xf>
    <xf numFmtId="0" fontId="7" fillId="0" borderId="9" xfId="0"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0" fillId="0" borderId="0" xfId="0" applyAlignment="1">
      <alignment horizontal="center" vertical="center" wrapText="1"/>
    </xf>
    <xf numFmtId="0" fontId="8" fillId="0" borderId="4" xfId="0" applyFont="1" applyBorder="1" applyAlignment="1">
      <alignment horizontal="right" vertical="top" wrapText="1" readingOrder="1"/>
    </xf>
    <xf numFmtId="0" fontId="11" fillId="0" borderId="4" xfId="0" applyFont="1" applyBorder="1" applyAlignment="1">
      <alignment horizontal="left" vertical="center" wrapText="1" readingOrder="1"/>
    </xf>
    <xf numFmtId="167" fontId="8" fillId="0" borderId="8" xfId="0" applyNumberFormat="1" applyFont="1" applyBorder="1" applyAlignment="1">
      <alignment horizontal="right" vertical="center" wrapText="1" readingOrder="1"/>
    </xf>
    <xf numFmtId="165" fontId="8"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166" fontId="8" fillId="0" borderId="4" xfId="0" applyNumberFormat="1" applyFont="1" applyBorder="1" applyAlignment="1">
      <alignment horizontal="right" vertical="center" wrapText="1" readingOrder="1"/>
    </xf>
    <xf numFmtId="167" fontId="8" fillId="0" borderId="4" xfId="0" applyNumberFormat="1" applyFont="1" applyBorder="1" applyAlignment="1">
      <alignment horizontal="right" vertical="center" wrapText="1" readingOrder="1"/>
    </xf>
    <xf numFmtId="168" fontId="8" fillId="0" borderId="4"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5" fillId="0" borderId="0" xfId="0" applyFont="1" applyAlignment="1">
      <alignment horizontal="left" vertical="center" wrapText="1" readingOrder="1"/>
    </xf>
    <xf numFmtId="0" fontId="6" fillId="0" borderId="0" xfId="0" applyFont="1" applyAlignment="1">
      <alignment horizontal="right" vertical="center" wrapText="1" readingOrder="1"/>
    </xf>
    <xf numFmtId="167" fontId="5" fillId="0" borderId="0" xfId="0" applyNumberFormat="1" applyFont="1" applyAlignment="1">
      <alignment horizontal="right" vertical="center" wrapText="1" readingOrder="1"/>
    </xf>
    <xf numFmtId="169" fontId="5" fillId="0" borderId="0" xfId="0" applyNumberFormat="1" applyFont="1" applyAlignment="1">
      <alignment horizontal="right" vertical="center" wrapText="1" readingOrder="1"/>
    </xf>
    <xf numFmtId="167" fontId="8" fillId="0" borderId="0" xfId="0" applyNumberFormat="1" applyFont="1" applyAlignment="1">
      <alignment horizontal="right" vertical="center" wrapText="1" readingOrder="1"/>
    </xf>
    <xf numFmtId="0" fontId="17" fillId="0" borderId="0" xfId="0" applyFont="1" applyAlignment="1">
      <alignment horizontal="left" vertical="center" wrapText="1" readingOrder="1"/>
    </xf>
    <xf numFmtId="0" fontId="8" fillId="0" borderId="0" xfId="0" applyFont="1" applyAlignment="1">
      <alignment horizontal="left" vertical="center" wrapText="1" readingOrder="1"/>
    </xf>
    <xf numFmtId="0" fontId="18" fillId="0" borderId="0" xfId="0" applyFont="1" applyAlignment="1">
      <alignment horizontal="center" vertical="center" wrapText="1"/>
    </xf>
    <xf numFmtId="0" fontId="17" fillId="0" borderId="0" xfId="4" applyFont="1" applyAlignment="1">
      <alignment horizontal="left" vertical="center" wrapText="1" readingOrder="1"/>
    </xf>
    <xf numFmtId="0" fontId="3" fillId="0" borderId="0" xfId="4" applyAlignment="1">
      <alignment wrapText="1"/>
    </xf>
    <xf numFmtId="0" fontId="17" fillId="0" borderId="0" xfId="0" applyFont="1" applyAlignment="1">
      <alignment horizontal="right" vertical="center" wrapText="1" readingOrder="1"/>
    </xf>
    <xf numFmtId="0" fontId="17" fillId="0" borderId="6" xfId="0" applyFont="1" applyBorder="1" applyAlignment="1">
      <alignment horizontal="right" vertical="center" wrapText="1" readingOrder="1"/>
    </xf>
    <xf numFmtId="0" fontId="17" fillId="0" borderId="4" xfId="0" applyFont="1" applyBorder="1" applyAlignment="1">
      <alignment horizontal="right" vertical="center" wrapText="1" readingOrder="1"/>
    </xf>
    <xf numFmtId="0" fontId="4" fillId="0" borderId="0" xfId="0" applyFont="1" applyAlignment="1">
      <alignment horizontal="right" vertical="top" wrapText="1" readingOrder="1"/>
    </xf>
    <xf numFmtId="0" fontId="5" fillId="0" borderId="22" xfId="0" applyFont="1" applyBorder="1" applyAlignment="1">
      <alignment horizontal="right" vertical="top" wrapText="1" readingOrder="1"/>
    </xf>
    <xf numFmtId="0" fontId="5" fillId="0" borderId="22" xfId="0" applyFont="1" applyBorder="1" applyAlignment="1">
      <alignment horizontal="center" vertical="top" wrapText="1" readingOrder="1"/>
    </xf>
    <xf numFmtId="15" fontId="5" fillId="0" borderId="22" xfId="0" applyNumberFormat="1" applyFont="1" applyBorder="1" applyAlignment="1">
      <alignment horizontal="right" vertical="top" wrapText="1" readingOrder="1"/>
    </xf>
    <xf numFmtId="0" fontId="28" fillId="0" borderId="0" xfId="0" applyFont="1" applyAlignment="1">
      <alignment horizontal="right" vertical="top" wrapText="1" readingOrder="1"/>
    </xf>
    <xf numFmtId="0" fontId="28" fillId="0" borderId="22" xfId="0" applyFont="1" applyBorder="1" applyAlignment="1">
      <alignment horizontal="left" vertical="center" wrapText="1" readingOrder="1"/>
    </xf>
    <xf numFmtId="170" fontId="28" fillId="0" borderId="22" xfId="0" applyNumberFormat="1" applyFont="1" applyBorder="1" applyAlignment="1">
      <alignment horizontal="right" vertical="center" wrapText="1" readingOrder="1"/>
    </xf>
    <xf numFmtId="0" fontId="28" fillId="0" borderId="0" xfId="0" applyFont="1" applyAlignment="1">
      <alignment horizontal="left" vertical="center" wrapText="1" readingOrder="1"/>
    </xf>
    <xf numFmtId="0" fontId="28" fillId="0" borderId="0" xfId="0" applyFont="1" applyAlignment="1">
      <alignment horizontal="right" vertical="center" wrapText="1" readingOrder="1"/>
    </xf>
    <xf numFmtId="0" fontId="5" fillId="0" borderId="22" xfId="0" applyFont="1" applyBorder="1" applyAlignment="1">
      <alignment horizontal="left" vertical="center" wrapText="1" readingOrder="1"/>
    </xf>
    <xf numFmtId="0" fontId="8" fillId="0" borderId="0" xfId="0" applyFont="1" applyAlignment="1">
      <alignment horizontal="right" vertical="top" wrapText="1" readingOrder="1"/>
    </xf>
    <xf numFmtId="0" fontId="0" fillId="0" borderId="0" xfId="0" applyAlignment="1">
      <alignment horizontal="center" vertical="top" readingOrder="1"/>
    </xf>
    <xf numFmtId="0" fontId="8" fillId="0" borderId="6" xfId="0" applyFont="1" applyBorder="1" applyAlignment="1">
      <alignment horizontal="right" vertical="top" wrapText="1" readingOrder="1"/>
    </xf>
    <xf numFmtId="171" fontId="11" fillId="0" borderId="4" xfId="0" applyNumberFormat="1" applyFont="1" applyBorder="1" applyAlignment="1">
      <alignment horizontal="left" vertical="center" wrapText="1" readingOrder="1"/>
    </xf>
    <xf numFmtId="0" fontId="8" fillId="0" borderId="0" xfId="0" applyFont="1" applyAlignment="1">
      <alignment horizontal="right" vertical="center" wrapText="1" readingOrder="1"/>
    </xf>
    <xf numFmtId="0" fontId="18" fillId="0" borderId="0" xfId="0" applyFont="1" applyAlignment="1"/>
    <xf numFmtId="0" fontId="0" fillId="0" borderId="0" xfId="0" applyAlignment="1"/>
    <xf numFmtId="172" fontId="4" fillId="0" borderId="4" xfId="0" applyNumberFormat="1" applyFont="1" applyBorder="1" applyAlignment="1">
      <alignment horizontal="right" vertical="center" wrapText="1" readingOrder="1"/>
    </xf>
    <xf numFmtId="0" fontId="19" fillId="0" borderId="8" xfId="0" applyFont="1" applyBorder="1" applyAlignment="1">
      <alignment horizontal="center" vertical="center" wrapText="1"/>
    </xf>
    <xf numFmtId="0" fontId="19" fillId="0" borderId="8" xfId="0" applyFont="1" applyBorder="1">
      <alignment wrapText="1"/>
    </xf>
    <xf numFmtId="0" fontId="19" fillId="0" borderId="8" xfId="0" applyFont="1" applyBorder="1" applyAlignment="1">
      <alignment horizontal="justify" vertical="center" wrapText="1"/>
    </xf>
    <xf numFmtId="175" fontId="11" fillId="0" borderId="4" xfId="0" applyNumberFormat="1" applyFont="1" applyBorder="1" applyAlignment="1">
      <alignment horizontal="left" vertical="center" wrapText="1" readingOrder="1"/>
    </xf>
    <xf numFmtId="14" fontId="19" fillId="0" borderId="8" xfId="0" quotePrefix="1" applyNumberFormat="1" applyFont="1" applyBorder="1" applyAlignment="1">
      <alignment horizontal="justify" vertical="center" wrapText="1"/>
    </xf>
    <xf numFmtId="167" fontId="11" fillId="0" borderId="4" xfId="0" applyNumberFormat="1" applyFont="1" applyBorder="1" applyAlignment="1">
      <alignment horizontal="left" vertical="center" wrapText="1" readingOrder="1"/>
    </xf>
    <xf numFmtId="0" fontId="14" fillId="0" borderId="0" xfId="0" applyFont="1" applyAlignment="1"/>
    <xf numFmtId="0" fontId="4" fillId="0" borderId="22" xfId="0" applyFont="1" applyBorder="1" applyAlignment="1">
      <alignment horizontal="right" vertical="top" wrapText="1" readingOrder="1"/>
    </xf>
    <xf numFmtId="0" fontId="5" fillId="0" borderId="22" xfId="0" applyFont="1" applyBorder="1" applyAlignment="1">
      <alignment horizontal="right" vertical="center" wrapText="1" readingOrder="1"/>
    </xf>
    <xf numFmtId="168" fontId="5" fillId="0" borderId="22" xfId="0" applyNumberFormat="1" applyFont="1" applyBorder="1" applyAlignment="1">
      <alignment horizontal="right" vertical="center" wrapText="1" readingOrder="1"/>
    </xf>
    <xf numFmtId="167" fontId="8" fillId="0" borderId="23" xfId="0" applyNumberFormat="1" applyFont="1" applyBorder="1" applyAlignment="1">
      <alignment horizontal="right" vertical="center" wrapText="1" readingOrder="1"/>
    </xf>
    <xf numFmtId="0" fontId="4" fillId="0" borderId="22" xfId="0" applyFont="1" applyBorder="1" applyAlignment="1">
      <alignment horizontal="left" vertical="center" wrapText="1" readingOrder="1"/>
    </xf>
    <xf numFmtId="0" fontId="19" fillId="0" borderId="0" xfId="0" applyFont="1" applyAlignment="1"/>
    <xf numFmtId="0" fontId="22" fillId="0" borderId="0" xfId="0" applyFont="1" applyAlignment="1"/>
    <xf numFmtId="0" fontId="21" fillId="0" borderId="17" xfId="0" applyFont="1" applyBorder="1" applyAlignment="1">
      <alignment horizontal="center" wrapText="1"/>
    </xf>
    <xf numFmtId="0" fontId="27" fillId="0" borderId="17" xfId="0" applyFont="1" applyBorder="1" applyAlignment="1">
      <alignment horizontal="left" vertical="center"/>
    </xf>
    <xf numFmtId="0" fontId="27" fillId="0" borderId="17" xfId="0" applyFont="1" applyBorder="1" applyAlignment="1">
      <alignment horizontal="center" vertical="center"/>
    </xf>
    <xf numFmtId="4" fontId="27" fillId="0" borderId="17" xfId="0" applyNumberFormat="1" applyFont="1" applyBorder="1" applyAlignment="1">
      <alignment horizontal="right" vertical="center"/>
    </xf>
    <xf numFmtId="0" fontId="21" fillId="0" borderId="8" xfId="0" applyFont="1" applyBorder="1" applyAlignment="1">
      <alignment horizontal="center" vertical="center" wrapText="1"/>
    </xf>
    <xf numFmtId="0" fontId="27" fillId="0" borderId="8" xfId="0" applyFont="1" applyBorder="1" applyAlignment="1">
      <alignment horizontal="left" vertical="center"/>
    </xf>
    <xf numFmtId="0" fontId="27" fillId="0" borderId="8" xfId="0" applyFont="1" applyBorder="1" applyAlignment="1">
      <alignment horizontal="center" vertical="center"/>
    </xf>
    <xf numFmtId="4" fontId="27" fillId="0" borderId="8" xfId="0" applyNumberFormat="1" applyFont="1" applyBorder="1" applyAlignment="1">
      <alignment horizontal="center" vertical="center"/>
    </xf>
    <xf numFmtId="0" fontId="19" fillId="0" borderId="8" xfId="0" applyFont="1" applyBorder="1" applyAlignment="1">
      <alignment horizontal="justify" vertical="center"/>
    </xf>
    <xf numFmtId="168" fontId="19" fillId="0" borderId="4" xfId="0" applyNumberFormat="1" applyFont="1" applyBorder="1" applyAlignment="1">
      <alignment horizontal="right" vertical="center" wrapText="1" readingOrder="1"/>
    </xf>
    <xf numFmtId="174" fontId="0" fillId="0" borderId="0" xfId="0" applyNumberFormat="1">
      <alignment wrapText="1"/>
    </xf>
    <xf numFmtId="0" fontId="19" fillId="0" borderId="0" xfId="0" applyFont="1">
      <alignment wrapText="1"/>
    </xf>
    <xf numFmtId="0" fontId="20" fillId="0" borderId="0" xfId="0" applyFont="1" applyAlignment="1"/>
    <xf numFmtId="0" fontId="25" fillId="0" borderId="8" xfId="0" applyFont="1" applyBorder="1" applyAlignment="1">
      <alignment horizontal="left" wrapText="1"/>
    </xf>
    <xf numFmtId="0" fontId="25" fillId="0" borderId="8" xfId="0" applyFont="1" applyBorder="1" applyAlignment="1">
      <alignment horizontal="center" wrapText="1"/>
    </xf>
    <xf numFmtId="0" fontId="19" fillId="0" borderId="8" xfId="0" applyFont="1" applyBorder="1" applyAlignment="1">
      <alignment horizontal="left" vertical="center" wrapText="1"/>
    </xf>
    <xf numFmtId="0" fontId="19" fillId="0" borderId="8" xfId="0" applyFont="1" applyBorder="1" applyAlignment="1">
      <alignment horizontal="center" vertical="center"/>
    </xf>
    <xf numFmtId="4" fontId="19" fillId="0" borderId="8" xfId="0" applyNumberFormat="1" applyFont="1" applyBorder="1" applyAlignment="1">
      <alignment horizontal="center" vertical="center"/>
    </xf>
    <xf numFmtId="0" fontId="17" fillId="0" borderId="4" xfId="0" applyFont="1" applyBorder="1" applyAlignment="1">
      <alignment horizontal="left" vertical="center" wrapText="1" readingOrder="1"/>
    </xf>
    <xf numFmtId="167" fontId="11" fillId="0" borderId="4" xfId="0" applyNumberFormat="1" applyFont="1" applyBorder="1" applyAlignment="1">
      <alignment horizontal="right" vertical="center" wrapText="1" readingOrder="1"/>
    </xf>
    <xf numFmtId="168" fontId="11" fillId="0" borderId="4" xfId="0" applyNumberFormat="1" applyFont="1" applyBorder="1" applyAlignment="1">
      <alignment horizontal="right" vertical="center" wrapText="1" readingOrder="1"/>
    </xf>
    <xf numFmtId="0" fontId="29" fillId="0" borderId="22" xfId="0" applyFont="1" applyBorder="1" applyAlignment="1">
      <alignment horizontal="left" vertical="center" wrapText="1" readingOrder="1"/>
    </xf>
    <xf numFmtId="0" fontId="30" fillId="0" borderId="22" xfId="0" applyFont="1" applyBorder="1" applyAlignment="1">
      <alignment horizontal="left" vertical="center" wrapText="1" readingOrder="1"/>
    </xf>
    <xf numFmtId="0" fontId="30" fillId="0" borderId="22" xfId="0" applyFont="1" applyBorder="1" applyAlignment="1">
      <alignment horizontal="right" vertical="center" wrapText="1" readingOrder="1"/>
    </xf>
    <xf numFmtId="173" fontId="28" fillId="0" borderId="22" xfId="0" applyNumberFormat="1" applyFont="1" applyBorder="1" applyAlignment="1">
      <alignment horizontal="right" vertical="center" wrapText="1" readingOrder="1"/>
    </xf>
    <xf numFmtId="0" fontId="28" fillId="0" borderId="22" xfId="0"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1" fillId="0" borderId="4" xfId="10" applyFont="1" applyBorder="1" applyAlignment="1">
      <alignment horizontal="left" vertical="center" wrapText="1" readingOrder="1"/>
    </xf>
    <xf numFmtId="0" fontId="0" fillId="0" borderId="0" xfId="0" applyAlignment="1">
      <alignment vertical="center" wrapText="1"/>
    </xf>
    <xf numFmtId="0" fontId="14" fillId="0" borderId="0" xfId="7">
      <alignment wrapText="1"/>
    </xf>
    <xf numFmtId="0" fontId="21" fillId="0" borderId="8" xfId="6" applyFont="1" applyBorder="1" applyAlignment="1">
      <alignment horizontal="center" vertical="center" wrapText="1"/>
    </xf>
    <xf numFmtId="0" fontId="22" fillId="0" borderId="8" xfId="6" applyFont="1" applyBorder="1"/>
    <xf numFmtId="0" fontId="22" fillId="0" borderId="8" xfId="6" applyFont="1" applyBorder="1" applyAlignment="1">
      <alignment wrapText="1"/>
    </xf>
    <xf numFmtId="4" fontId="19" fillId="0" borderId="8" xfId="0" applyNumberFormat="1" applyFont="1" applyBorder="1" applyAlignment="1">
      <alignment vertical="center"/>
    </xf>
    <xf numFmtId="43" fontId="22" fillId="0" borderId="8" xfId="6" applyNumberFormat="1" applyFont="1" applyBorder="1"/>
    <xf numFmtId="0" fontId="19" fillId="0" borderId="0" xfId="0" applyFont="1" applyAlignment="1">
      <alignment vertical="center" wrapText="1"/>
    </xf>
    <xf numFmtId="0" fontId="19" fillId="0" borderId="0" xfId="0" applyFont="1" applyAlignment="1">
      <alignment vertical="center"/>
    </xf>
    <xf numFmtId="2" fontId="19" fillId="0" borderId="0" xfId="0" applyNumberFormat="1" applyFont="1" applyAlignment="1">
      <alignment vertical="center"/>
    </xf>
    <xf numFmtId="4" fontId="19" fillId="0" borderId="0" xfId="0" applyNumberFormat="1" applyFont="1" applyAlignment="1">
      <alignment vertical="center"/>
    </xf>
    <xf numFmtId="0" fontId="22" fillId="0" borderId="0" xfId="6" applyFont="1" applyAlignment="1">
      <alignment vertical="center" wrapText="1"/>
    </xf>
    <xf numFmtId="0" fontId="24" fillId="0" borderId="0" xfId="0" applyFont="1" applyAlignment="1"/>
    <xf numFmtId="178" fontId="0" fillId="0" borderId="0" xfId="0" applyNumberFormat="1">
      <alignment wrapText="1"/>
    </xf>
    <xf numFmtId="0" fontId="11" fillId="0" borderId="4" xfId="0" applyFont="1" applyBorder="1" applyAlignment="1">
      <alignment horizontal="right" vertical="center" wrapText="1" readingOrder="1"/>
    </xf>
    <xf numFmtId="179" fontId="0" fillId="0" borderId="0" xfId="0" applyNumberFormat="1">
      <alignment wrapText="1"/>
    </xf>
    <xf numFmtId="176" fontId="28" fillId="0" borderId="22" xfId="0" applyNumberFormat="1" applyFont="1" applyBorder="1" applyAlignment="1">
      <alignment horizontal="right" vertical="center" wrapText="1" readingOrder="1"/>
    </xf>
    <xf numFmtId="0" fontId="20" fillId="0" borderId="0" xfId="0" applyFont="1" applyAlignment="1">
      <alignment vertical="center"/>
    </xf>
    <xf numFmtId="0" fontId="25" fillId="0" borderId="8" xfId="4" applyFont="1" applyBorder="1" applyAlignment="1">
      <alignment horizontal="center" vertical="center"/>
    </xf>
    <xf numFmtId="0" fontId="20" fillId="0" borderId="8" xfId="4" applyFont="1" applyBorder="1" applyAlignment="1">
      <alignment vertical="center"/>
    </xf>
    <xf numFmtId="0" fontId="20" fillId="0" borderId="8" xfId="4" applyFont="1" applyBorder="1" applyAlignment="1">
      <alignment vertical="center" wrapText="1"/>
    </xf>
    <xf numFmtId="0" fontId="25" fillId="0" borderId="8" xfId="4" applyFont="1" applyBorder="1" applyAlignment="1">
      <alignment horizontal="center" vertical="center" wrapText="1"/>
    </xf>
    <xf numFmtId="0" fontId="13" fillId="0" borderId="0" xfId="5" applyFont="1" applyAlignment="1">
      <alignment horizontal="center" vertical="center"/>
    </xf>
    <xf numFmtId="0" fontId="20" fillId="0" borderId="8" xfId="4" applyFont="1" applyBorder="1" applyAlignment="1">
      <alignment horizontal="left" vertical="center"/>
    </xf>
    <xf numFmtId="2" fontId="20" fillId="0" borderId="8" xfId="4" applyNumberFormat="1" applyFont="1" applyBorder="1" applyAlignment="1">
      <alignment horizontal="right" vertical="center" wrapText="1"/>
    </xf>
    <xf numFmtId="4" fontId="20" fillId="0" borderId="8" xfId="4" applyNumberFormat="1" applyFont="1" applyBorder="1" applyAlignment="1">
      <alignment horizontal="right" vertical="center"/>
    </xf>
    <xf numFmtId="10" fontId="20" fillId="0" borderId="8" xfId="3" applyNumberFormat="1" applyFont="1" applyFill="1" applyBorder="1" applyAlignment="1">
      <alignment vertical="center" wrapText="1"/>
    </xf>
    <xf numFmtId="4" fontId="15" fillId="0" borderId="0" xfId="4" applyNumberFormat="1" applyFont="1" applyAlignment="1">
      <alignment vertical="center"/>
    </xf>
    <xf numFmtId="0" fontId="26" fillId="0" borderId="8" xfId="0" applyFont="1" applyBorder="1" applyAlignment="1">
      <alignment horizontal="justify" vertical="center" wrapText="1"/>
    </xf>
    <xf numFmtId="0" fontId="8" fillId="0" borderId="4" xfId="0"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11" fillId="0" borderId="5" xfId="0" applyFont="1" applyBorder="1" applyAlignment="1">
      <alignment horizontal="left" vertical="center" wrapText="1" readingOrder="1"/>
    </xf>
    <xf numFmtId="172" fontId="8" fillId="0" borderId="4" xfId="0" applyNumberFormat="1" applyFont="1" applyBorder="1" applyAlignment="1">
      <alignment horizontal="right" vertical="center" wrapText="1" readingOrder="1"/>
    </xf>
    <xf numFmtId="0" fontId="5" fillId="0" borderId="18" xfId="0" applyFont="1" applyBorder="1" applyAlignment="1">
      <alignment horizontal="left" vertical="center" wrapText="1" readingOrder="1"/>
    </xf>
    <xf numFmtId="0" fontId="5" fillId="0" borderId="18" xfId="0" applyFont="1" applyBorder="1" applyAlignment="1">
      <alignment horizontal="right" vertical="center" wrapText="1" readingOrder="1"/>
    </xf>
    <xf numFmtId="168" fontId="5" fillId="0" borderId="18" xfId="0" applyNumberFormat="1" applyFont="1" applyBorder="1" applyAlignment="1">
      <alignment horizontal="right" vertical="center" wrapText="1" readingOrder="1"/>
    </xf>
    <xf numFmtId="0" fontId="6" fillId="0" borderId="18" xfId="0" applyFont="1" applyBorder="1" applyAlignment="1">
      <alignment horizontal="left" vertical="center" wrapText="1" readingOrder="1"/>
    </xf>
    <xf numFmtId="0" fontId="6" fillId="0" borderId="18" xfId="0" applyFont="1" applyBorder="1" applyAlignment="1">
      <alignment horizontal="right" vertical="center" wrapText="1" readingOrder="1"/>
    </xf>
    <xf numFmtId="167" fontId="5" fillId="0" borderId="18" xfId="0" applyNumberFormat="1" applyFont="1" applyBorder="1" applyAlignment="1">
      <alignment horizontal="right" vertical="center" wrapText="1" readingOrder="1"/>
    </xf>
    <xf numFmtId="165" fontId="4" fillId="0" borderId="18" xfId="0" applyNumberFormat="1" applyFont="1" applyBorder="1" applyAlignment="1">
      <alignment horizontal="right" vertical="center" wrapText="1" readingOrder="1"/>
    </xf>
    <xf numFmtId="0" fontId="4" fillId="0" borderId="18" xfId="0" applyFont="1" applyBorder="1" applyAlignment="1">
      <alignment horizontal="left" vertical="center" wrapText="1" readingOrder="1"/>
    </xf>
    <xf numFmtId="0" fontId="4" fillId="0" borderId="18" xfId="0" applyFont="1" applyBorder="1" applyAlignment="1">
      <alignment horizontal="right" vertical="center" wrapText="1" readingOrder="1"/>
    </xf>
    <xf numFmtId="167" fontId="4" fillId="0" borderId="18" xfId="0" applyNumberFormat="1" applyFont="1" applyBorder="1" applyAlignment="1">
      <alignment horizontal="right" vertical="center" wrapText="1" readingOrder="1"/>
    </xf>
    <xf numFmtId="168" fontId="4" fillId="0" borderId="18" xfId="0" applyNumberFormat="1" applyFont="1" applyBorder="1" applyAlignment="1">
      <alignment horizontal="right" vertical="center" wrapText="1" readingOrder="1"/>
    </xf>
    <xf numFmtId="172" fontId="4" fillId="0" borderId="18" xfId="0" applyNumberFormat="1" applyFont="1" applyBorder="1" applyAlignment="1">
      <alignment horizontal="right" vertical="center" wrapText="1" readingOrder="1"/>
    </xf>
    <xf numFmtId="169" fontId="5" fillId="0" borderId="18" xfId="0" applyNumberFormat="1" applyFont="1" applyBorder="1" applyAlignment="1">
      <alignment horizontal="right" vertical="center" wrapText="1" readingOrder="1"/>
    </xf>
    <xf numFmtId="0" fontId="11" fillId="0" borderId="18" xfId="0" applyFont="1" applyBorder="1" applyAlignment="1">
      <alignment horizontal="left" vertical="center" wrapText="1" readingOrder="1"/>
    </xf>
    <xf numFmtId="0" fontId="11" fillId="0" borderId="4" xfId="0" applyFont="1" applyBorder="1" applyAlignment="1">
      <alignment horizontal="right" vertical="top" wrapText="1" readingOrder="1"/>
    </xf>
    <xf numFmtId="0" fontId="11" fillId="0" borderId="4" xfId="0" applyFont="1" applyBorder="1" applyAlignment="1">
      <alignment horizontal="center" vertical="top" wrapText="1" readingOrder="1"/>
    </xf>
    <xf numFmtId="15" fontId="11" fillId="0" borderId="4" xfId="0" applyNumberFormat="1" applyFont="1" applyBorder="1" applyAlignment="1">
      <alignment horizontal="right" vertical="top" wrapText="1" readingOrder="1"/>
    </xf>
    <xf numFmtId="170" fontId="4" fillId="0" borderId="18" xfId="0" applyNumberFormat="1" applyFont="1" applyBorder="1" applyAlignment="1">
      <alignment horizontal="right" vertical="center" wrapText="1" readingOrder="1"/>
    </xf>
    <xf numFmtId="0" fontId="14" fillId="0" borderId="0" xfId="5">
      <alignment wrapText="1"/>
    </xf>
    <xf numFmtId="171" fontId="11" fillId="0" borderId="18" xfId="0" applyNumberFormat="1" applyFont="1" applyBorder="1" applyAlignment="1">
      <alignment horizontal="left" vertical="center" wrapText="1" readingOrder="1"/>
    </xf>
    <xf numFmtId="0" fontId="27" fillId="0" borderId="0" xfId="21" applyFont="1"/>
    <xf numFmtId="0" fontId="24" fillId="0" borderId="0" xfId="21" applyFont="1"/>
    <xf numFmtId="0" fontId="24" fillId="0" borderId="23" xfId="21" applyFont="1" applyBorder="1" applyAlignment="1">
      <alignment horizontal="center" vertical="top"/>
    </xf>
    <xf numFmtId="0" fontId="24" fillId="0" borderId="23" xfId="21" applyFont="1" applyBorder="1" applyAlignment="1">
      <alignment horizontal="center" vertical="top" wrapText="1"/>
    </xf>
    <xf numFmtId="0" fontId="27" fillId="0" borderId="23" xfId="21" applyFont="1" applyBorder="1" applyAlignment="1">
      <alignment horizontal="left" vertical="top"/>
    </xf>
    <xf numFmtId="0" fontId="27" fillId="0" borderId="23" xfId="21" applyFont="1" applyBorder="1" applyAlignment="1">
      <alignment horizontal="center" vertical="top"/>
    </xf>
    <xf numFmtId="175" fontId="4" fillId="0" borderId="22" xfId="22" applyNumberFormat="1" applyFont="1" applyBorder="1" applyAlignment="1">
      <alignment horizontal="center" vertical="center" wrapText="1" readingOrder="1"/>
    </xf>
    <xf numFmtId="2" fontId="4" fillId="0" borderId="22" xfId="22" applyNumberFormat="1" applyFont="1" applyBorder="1" applyAlignment="1">
      <alignment horizontal="center" vertical="center" wrapText="1" readingOrder="1"/>
    </xf>
    <xf numFmtId="2" fontId="27" fillId="0" borderId="23" xfId="21" applyNumberFormat="1" applyFont="1" applyBorder="1" applyAlignment="1">
      <alignment horizontal="center" vertical="top" wrapText="1"/>
    </xf>
    <xf numFmtId="2" fontId="27" fillId="0" borderId="0" xfId="21" applyNumberFormat="1" applyFont="1"/>
    <xf numFmtId="175" fontId="27" fillId="0" borderId="0" xfId="21" applyNumberFormat="1" applyFont="1"/>
    <xf numFmtId="0" fontId="24" fillId="0" borderId="23" xfId="21" applyFont="1" applyBorder="1" applyAlignment="1">
      <alignment horizontal="center"/>
    </xf>
    <xf numFmtId="2" fontId="27" fillId="0" borderId="23" xfId="21" applyNumberFormat="1" applyFont="1" applyBorder="1" applyAlignment="1">
      <alignment horizontal="center"/>
    </xf>
    <xf numFmtId="0" fontId="27" fillId="0" borderId="23" xfId="21" applyFont="1" applyBorder="1"/>
    <xf numFmtId="37" fontId="27" fillId="0" borderId="23" xfId="23" applyNumberFormat="1" applyFont="1" applyFill="1" applyBorder="1" applyAlignment="1">
      <alignment horizontal="center"/>
    </xf>
    <xf numFmtId="39" fontId="27" fillId="0" borderId="23" xfId="23" applyNumberFormat="1" applyFont="1" applyFill="1" applyBorder="1" applyAlignment="1">
      <alignment horizontal="center"/>
    </xf>
    <xf numFmtId="43" fontId="27" fillId="0" borderId="0" xfId="23" applyFont="1" applyFill="1" applyBorder="1"/>
    <xf numFmtId="43" fontId="27" fillId="0" borderId="0" xfId="21" applyNumberFormat="1" applyFont="1"/>
    <xf numFmtId="4" fontId="27" fillId="0" borderId="0" xfId="21" applyNumberFormat="1" applyFont="1"/>
    <xf numFmtId="0" fontId="27" fillId="0" borderId="26" xfId="21" applyFont="1" applyBorder="1" applyAlignment="1">
      <alignment horizontal="left" vertical="top"/>
    </xf>
    <xf numFmtId="37" fontId="27" fillId="0" borderId="26" xfId="23" applyNumberFormat="1" applyFont="1" applyFill="1" applyBorder="1" applyAlignment="1">
      <alignment horizontal="center"/>
    </xf>
    <xf numFmtId="39" fontId="27" fillId="0" borderId="26" xfId="23" applyNumberFormat="1" applyFont="1" applyFill="1" applyBorder="1" applyAlignment="1">
      <alignment horizontal="center"/>
    </xf>
    <xf numFmtId="0" fontId="27" fillId="0" borderId="0" xfId="21" applyFont="1" applyAlignment="1">
      <alignment horizontal="left" vertical="top"/>
    </xf>
    <xf numFmtId="175" fontId="4" fillId="0" borderId="0" xfId="21" applyNumberFormat="1" applyFont="1" applyAlignment="1">
      <alignment horizontal="center" vertical="center" wrapText="1" readingOrder="1"/>
    </xf>
    <xf numFmtId="39" fontId="27" fillId="0" borderId="0" xfId="21" applyNumberFormat="1" applyFont="1"/>
    <xf numFmtId="0" fontId="24" fillId="0" borderId="26" xfId="21" applyFont="1" applyBorder="1" applyAlignment="1">
      <alignment horizontal="center" vertical="top"/>
    </xf>
    <xf numFmtId="0" fontId="24" fillId="0" borderId="26" xfId="21" applyFont="1" applyBorder="1" applyAlignment="1">
      <alignment horizontal="center" vertical="top" wrapText="1"/>
    </xf>
    <xf numFmtId="177" fontId="27" fillId="0" borderId="26" xfId="23" applyNumberFormat="1" applyFont="1" applyFill="1" applyBorder="1" applyAlignment="1">
      <alignment horizontal="left" vertical="top"/>
    </xf>
    <xf numFmtId="0" fontId="27" fillId="0" borderId="26" xfId="21" applyFont="1" applyBorder="1" applyAlignment="1">
      <alignment horizontal="center" vertical="top" wrapText="1"/>
    </xf>
    <xf numFmtId="37" fontId="27" fillId="0" borderId="0" xfId="21" applyNumberFormat="1" applyFont="1"/>
    <xf numFmtId="0" fontId="24" fillId="0" borderId="0" xfId="21" applyFont="1" applyAlignment="1">
      <alignment vertical="top" wrapText="1"/>
    </xf>
    <xf numFmtId="0" fontId="27" fillId="0" borderId="0" xfId="21" applyFont="1" applyAlignment="1">
      <alignment horizontal="center"/>
    </xf>
    <xf numFmtId="2" fontId="27" fillId="0" borderId="0" xfId="21" applyNumberFormat="1" applyFont="1" applyAlignment="1">
      <alignment horizontal="right"/>
    </xf>
    <xf numFmtId="0" fontId="27" fillId="0" borderId="0" xfId="21" applyFont="1" applyAlignment="1">
      <alignment horizontal="right" vertical="top" wrapText="1"/>
    </xf>
    <xf numFmtId="180" fontId="27" fillId="0" borderId="0" xfId="21" applyNumberFormat="1" applyFont="1" applyAlignment="1">
      <alignment horizontal="right" vertical="top" wrapText="1"/>
    </xf>
    <xf numFmtId="0" fontId="24" fillId="0" borderId="26" xfId="21" applyFont="1" applyBorder="1" applyAlignment="1">
      <alignment horizontal="center"/>
    </xf>
    <xf numFmtId="2" fontId="27" fillId="0" borderId="0" xfId="21" applyNumberFormat="1" applyFont="1" applyAlignment="1">
      <alignment horizontal="center"/>
    </xf>
    <xf numFmtId="10" fontId="27" fillId="0" borderId="0" xfId="21" applyNumberFormat="1" applyFont="1" applyAlignment="1">
      <alignment horizontal="center"/>
    </xf>
    <xf numFmtId="0" fontId="27" fillId="0" borderId="26" xfId="21" applyFont="1" applyBorder="1" applyAlignment="1">
      <alignment horizontal="left"/>
    </xf>
    <xf numFmtId="2" fontId="27" fillId="0" borderId="26" xfId="21" applyNumberFormat="1" applyFont="1" applyBorder="1" applyAlignment="1">
      <alignment horizontal="center" vertical="top" wrapText="1"/>
    </xf>
    <xf numFmtId="43" fontId="27" fillId="0" borderId="26" xfId="23" applyFont="1" applyFill="1" applyBorder="1" applyAlignment="1">
      <alignment horizontal="center" vertical="top" wrapText="1"/>
    </xf>
    <xf numFmtId="0" fontId="27" fillId="0" borderId="0" xfId="21" applyFont="1" applyAlignment="1">
      <alignment horizontal="left"/>
    </xf>
    <xf numFmtId="0" fontId="27" fillId="0" borderId="0" xfId="21" applyFont="1" applyAlignment="1">
      <alignment horizontal="right" vertical="top"/>
    </xf>
    <xf numFmtId="2" fontId="27" fillId="0" borderId="0" xfId="21" applyNumberFormat="1" applyFont="1" applyAlignment="1">
      <alignment horizontal="right" vertical="top"/>
    </xf>
    <xf numFmtId="181" fontId="27" fillId="0" borderId="0" xfId="23" applyNumberFormat="1" applyFont="1" applyFill="1" applyBorder="1" applyAlignment="1">
      <alignment horizontal="center" vertical="top" wrapText="1"/>
    </xf>
    <xf numFmtId="0" fontId="27" fillId="0" borderId="0" xfId="21" applyFont="1" applyAlignment="1" applyProtection="1">
      <alignment horizontal="left"/>
      <protection locked="0"/>
    </xf>
    <xf numFmtId="0" fontId="27" fillId="0" borderId="0" xfId="21" applyFont="1" applyAlignment="1">
      <alignment horizontal="left" vertical="top" wrapText="1"/>
    </xf>
    <xf numFmtId="177" fontId="27" fillId="0" borderId="0" xfId="23" applyNumberFormat="1" applyFont="1" applyFill="1" applyBorder="1" applyAlignment="1">
      <alignment horizontal="right" vertical="top" wrapText="1"/>
    </xf>
    <xf numFmtId="4" fontId="27" fillId="0" borderId="0" xfId="23" applyNumberFormat="1" applyFont="1" applyFill="1" applyBorder="1"/>
    <xf numFmtId="0" fontId="31" fillId="0" borderId="26" xfId="21" applyFont="1" applyBorder="1"/>
    <xf numFmtId="0" fontId="32" fillId="0" borderId="26" xfId="21" applyFont="1" applyBorder="1" applyAlignment="1">
      <alignment horizontal="left" wrapText="1"/>
    </xf>
    <xf numFmtId="0" fontId="33" fillId="0" borderId="26" xfId="21" applyFont="1" applyBorder="1" applyAlignment="1">
      <alignment horizontal="left" wrapText="1"/>
    </xf>
    <xf numFmtId="43" fontId="27" fillId="0" borderId="26" xfId="23" applyFont="1" applyFill="1" applyBorder="1" applyAlignment="1">
      <alignment horizontal="left" vertical="top"/>
    </xf>
    <xf numFmtId="14" fontId="27" fillId="0" borderId="26" xfId="23" applyNumberFormat="1" applyFont="1" applyFill="1" applyBorder="1" applyAlignment="1">
      <alignment horizontal="center" vertical="top"/>
    </xf>
    <xf numFmtId="43" fontId="27" fillId="0" borderId="26" xfId="23" applyFont="1" applyFill="1" applyBorder="1" applyAlignment="1"/>
    <xf numFmtId="0" fontId="27" fillId="0" borderId="26" xfId="21" applyFont="1" applyBorder="1" applyAlignment="1">
      <alignment horizontal="center"/>
    </xf>
    <xf numFmtId="4" fontId="27" fillId="0" borderId="26" xfId="21" applyNumberFormat="1" applyFont="1" applyBorder="1" applyAlignment="1">
      <alignment horizontal="center"/>
    </xf>
    <xf numFmtId="4" fontId="27" fillId="0" borderId="26" xfId="23" applyNumberFormat="1" applyFont="1" applyFill="1" applyBorder="1" applyAlignment="1">
      <alignment horizontal="center"/>
    </xf>
    <xf numFmtId="4" fontId="24" fillId="0" borderId="26" xfId="21" applyNumberFormat="1" applyFont="1" applyBorder="1" applyAlignment="1">
      <alignment horizontal="center" vertical="top" wrapText="1"/>
    </xf>
    <xf numFmtId="0" fontId="27" fillId="0" borderId="26" xfId="21" applyFont="1" applyBorder="1" applyAlignment="1">
      <alignment horizontal="center" vertical="top"/>
    </xf>
    <xf numFmtId="4" fontId="27" fillId="0" borderId="26" xfId="21" applyNumberFormat="1" applyFont="1" applyBorder="1" applyAlignment="1">
      <alignment horizontal="center" vertical="top" wrapText="1"/>
    </xf>
    <xf numFmtId="0" fontId="18" fillId="0" borderId="0" xfId="0" applyFont="1" applyAlignment="1">
      <alignment horizontal="left" vertical="top" wrapText="1"/>
    </xf>
    <xf numFmtId="0" fontId="8" fillId="0" borderId="1"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7" fillId="0" borderId="8" xfId="0" applyFont="1" applyBorder="1" applyAlignment="1">
      <alignment horizontal="center" vertical="center" wrapText="1" readingOrder="1"/>
    </xf>
    <xf numFmtId="0" fontId="8" fillId="0" borderId="0" xfId="0" applyFont="1" applyAlignment="1">
      <alignment horizontal="left" vertical="center" wrapText="1" readingOrder="1"/>
    </xf>
    <xf numFmtId="0" fontId="8" fillId="0" borderId="0" xfId="0" applyFont="1" applyAlignment="1">
      <alignment horizontal="justify" vertical="top" wrapText="1" readingOrder="1"/>
    </xf>
    <xf numFmtId="0" fontId="4" fillId="0" borderId="24" xfId="0" applyFont="1" applyBorder="1" applyAlignment="1">
      <alignment horizontal="left" vertical="center" wrapText="1" readingOrder="1"/>
    </xf>
    <xf numFmtId="0" fontId="4" fillId="0" borderId="25" xfId="0" applyFont="1" applyBorder="1" applyAlignment="1">
      <alignment horizontal="left" vertical="center" wrapText="1" readingOrder="1"/>
    </xf>
    <xf numFmtId="0" fontId="11" fillId="0" borderId="1" xfId="0" applyFont="1" applyBorder="1" applyAlignment="1">
      <alignment horizontal="left" vertical="center" wrapText="1" readingOrder="1"/>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8" fillId="0" borderId="19" xfId="0" applyFont="1" applyBorder="1" applyAlignment="1">
      <alignment horizontal="left" vertical="center" wrapText="1" readingOrder="1"/>
    </xf>
    <xf numFmtId="0" fontId="8" fillId="0" borderId="20" xfId="0" applyFont="1" applyBorder="1" applyAlignment="1">
      <alignment horizontal="left" vertical="center" wrapText="1" readingOrder="1"/>
    </xf>
    <xf numFmtId="0" fontId="7" fillId="0" borderId="21" xfId="0" applyFont="1" applyBorder="1" applyAlignment="1">
      <alignment horizontal="center" vertical="center" wrapText="1" readingOrder="1"/>
    </xf>
    <xf numFmtId="0" fontId="8" fillId="0" borderId="11" xfId="0" applyFont="1" applyBorder="1" applyAlignment="1">
      <alignment horizontal="left" vertical="center" wrapText="1" readingOrder="1"/>
    </xf>
    <xf numFmtId="0" fontId="8" fillId="0" borderId="12" xfId="0" applyFont="1" applyBorder="1" applyAlignment="1">
      <alignment horizontal="left" vertical="center" wrapText="1" readingOrder="1"/>
    </xf>
    <xf numFmtId="0" fontId="8" fillId="0" borderId="13" xfId="0" applyFont="1" applyBorder="1" applyAlignment="1">
      <alignment horizontal="left" vertical="center" wrapText="1" readingOrder="1"/>
    </xf>
    <xf numFmtId="0" fontId="8" fillId="0" borderId="8" xfId="0" applyFont="1" applyBorder="1" applyAlignment="1">
      <alignment horizontal="left" vertical="center" wrapText="1" readingOrder="1"/>
    </xf>
    <xf numFmtId="0" fontId="26" fillId="0" borderId="11" xfId="0" applyFont="1" applyBorder="1" applyAlignment="1">
      <alignment horizontal="center" vertical="center"/>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5" fillId="0" borderId="11" xfId="4" applyFont="1" applyBorder="1" applyAlignment="1">
      <alignment horizontal="center" vertical="center"/>
    </xf>
    <xf numFmtId="0" fontId="25" fillId="0" borderId="12" xfId="4" applyFont="1" applyBorder="1" applyAlignment="1">
      <alignment horizontal="center" vertical="center"/>
    </xf>
    <xf numFmtId="0" fontId="25" fillId="0" borderId="13" xfId="4" applyFont="1" applyBorder="1" applyAlignment="1">
      <alignment horizontal="center" vertical="center"/>
    </xf>
    <xf numFmtId="0" fontId="25" fillId="0" borderId="8" xfId="4" applyFont="1" applyBorder="1" applyAlignment="1">
      <alignment horizontal="center" vertical="center"/>
    </xf>
    <xf numFmtId="0" fontId="20" fillId="0" borderId="11" xfId="4" applyFont="1" applyBorder="1" applyAlignment="1">
      <alignment horizontal="left" vertical="center" wrapText="1"/>
    </xf>
    <xf numFmtId="0" fontId="20" fillId="0" borderId="12" xfId="4" applyFont="1" applyBorder="1" applyAlignment="1">
      <alignment horizontal="left" vertical="center" wrapText="1"/>
    </xf>
    <xf numFmtId="0" fontId="20" fillId="0" borderId="13" xfId="4" applyFont="1" applyBorder="1" applyAlignment="1">
      <alignment horizontal="left" vertical="center" wrapText="1"/>
    </xf>
    <xf numFmtId="0" fontId="22" fillId="0" borderId="0" xfId="6" applyFont="1" applyAlignment="1">
      <alignment horizontal="justify" vertical="center" wrapText="1"/>
    </xf>
    <xf numFmtId="0" fontId="25" fillId="0" borderId="11" xfId="4" applyFont="1" applyBorder="1" applyAlignment="1">
      <alignment horizontal="center" vertical="center" wrapText="1"/>
    </xf>
    <xf numFmtId="0" fontId="25" fillId="0" borderId="13" xfId="4" applyFont="1" applyBorder="1" applyAlignment="1">
      <alignment horizontal="center" vertical="center" wrapText="1"/>
    </xf>
    <xf numFmtId="0" fontId="20" fillId="0" borderId="11" xfId="2" applyNumberFormat="1" applyFont="1" applyFill="1" applyBorder="1" applyAlignment="1">
      <alignment horizontal="center" vertical="center"/>
    </xf>
    <xf numFmtId="0" fontId="20" fillId="0" borderId="13" xfId="2" applyNumberFormat="1" applyFont="1" applyFill="1" applyBorder="1" applyAlignment="1">
      <alignment horizontal="center" vertical="center"/>
    </xf>
    <xf numFmtId="0" fontId="21" fillId="0" borderId="11" xfId="6" applyFont="1" applyBorder="1" applyAlignment="1">
      <alignment horizontal="center" vertical="center" wrapText="1"/>
    </xf>
    <xf numFmtId="0" fontId="21" fillId="0" borderId="12" xfId="6" applyFont="1" applyBorder="1" applyAlignment="1">
      <alignment horizontal="center" vertical="center" wrapText="1"/>
    </xf>
    <xf numFmtId="0" fontId="21" fillId="0" borderId="13" xfId="6" applyFont="1" applyBorder="1" applyAlignment="1">
      <alignment horizontal="center" vertical="center" wrapText="1"/>
    </xf>
    <xf numFmtId="0" fontId="21" fillId="0" borderId="10" xfId="6" applyFont="1" applyBorder="1" applyAlignment="1">
      <alignment horizontal="center" vertical="center" wrapText="1"/>
    </xf>
    <xf numFmtId="0" fontId="21" fillId="0" borderId="7" xfId="6" applyFont="1" applyBorder="1" applyAlignment="1">
      <alignment horizontal="center" vertical="center" wrapText="1"/>
    </xf>
    <xf numFmtId="0" fontId="21" fillId="0" borderId="15" xfId="6" applyFont="1" applyBorder="1" applyAlignment="1">
      <alignment horizontal="center" vertical="center" wrapText="1"/>
    </xf>
    <xf numFmtId="0" fontId="21" fillId="0" borderId="16" xfId="6" applyFont="1" applyBorder="1" applyAlignment="1">
      <alignment horizontal="center" vertical="center" wrapText="1"/>
    </xf>
    <xf numFmtId="0" fontId="21" fillId="0" borderId="10" xfId="6" applyFont="1" applyBorder="1" applyAlignment="1">
      <alignment horizontal="center" vertical="center"/>
    </xf>
    <xf numFmtId="0" fontId="21" fillId="0" borderId="14" xfId="6" applyFont="1" applyBorder="1" applyAlignment="1">
      <alignment horizontal="center" vertical="center"/>
    </xf>
    <xf numFmtId="0" fontId="21" fillId="0" borderId="7" xfId="6" applyFont="1" applyBorder="1" applyAlignment="1">
      <alignment horizontal="center" vertical="center"/>
    </xf>
    <xf numFmtId="0" fontId="21" fillId="0" borderId="11" xfId="6" applyFont="1" applyBorder="1" applyAlignment="1">
      <alignment horizontal="center" vertical="center"/>
    </xf>
    <xf numFmtId="0" fontId="21" fillId="0" borderId="12" xfId="6" applyFont="1" applyBorder="1" applyAlignment="1">
      <alignment horizontal="center" vertical="center"/>
    </xf>
    <xf numFmtId="0" fontId="21" fillId="0" borderId="13" xfId="6" applyFont="1" applyBorder="1" applyAlignment="1">
      <alignment horizontal="center" vertical="center"/>
    </xf>
    <xf numFmtId="0" fontId="28" fillId="0" borderId="24" xfId="0" applyFont="1" applyBorder="1" applyAlignment="1">
      <alignment horizontal="left" vertical="center" wrapText="1" readingOrder="1"/>
    </xf>
    <xf numFmtId="0" fontId="28" fillId="0" borderId="25" xfId="0" applyFont="1" applyBorder="1" applyAlignment="1">
      <alignment horizontal="left" vertical="center" wrapText="1" readingOrder="1"/>
    </xf>
    <xf numFmtId="0" fontId="24" fillId="0" borderId="0" xfId="21" applyFont="1" applyAlignment="1">
      <alignment horizontal="center"/>
    </xf>
  </cellXfs>
  <cellStyles count="24">
    <cellStyle name="Comma" xfId="2" builtinId="3"/>
    <cellStyle name="Comma 2" xfId="8" xr:uid="{8DEFB50F-5B4D-40DD-9219-E95023766D8B}"/>
    <cellStyle name="Comma 2 2" xfId="15" xr:uid="{76E25FAC-70A3-4686-9D42-B7693E6AA3FA}"/>
    <cellStyle name="Comma 3" xfId="19" xr:uid="{93A39DD7-E2CD-4C4A-99EE-E1FC99D27CC9}"/>
    <cellStyle name="Comma 4" xfId="12" xr:uid="{9310E5A1-2B1F-497F-A4EE-04542704257B}"/>
    <cellStyle name="Comma 5" xfId="23" xr:uid="{BB72338D-3461-4CFE-9CD3-5093DA18334D}"/>
    <cellStyle name="Hyperlink 2" xfId="1" xr:uid="{766D50D4-EDE6-4BD8-8D1A-5D2FA5553E41}"/>
    <cellStyle name="Normal" xfId="0" builtinId="0"/>
    <cellStyle name="Normal 2" xfId="5" xr:uid="{8ECB7082-83CF-4E7F-822C-697E3D613C03}"/>
    <cellStyle name="Normal 2 2" xfId="10" xr:uid="{F972E62E-E604-43C3-9BE3-EF6B37A23A0E}"/>
    <cellStyle name="Normal 2 2 2" xfId="6" xr:uid="{5A57F79C-E69D-4B56-8830-A92CC4553589}"/>
    <cellStyle name="Normal 2 2 2 2" xfId="13" xr:uid="{973FBF82-4B8F-4293-A1FB-CCECD766C788}"/>
    <cellStyle name="Normal 2 2 3 2 2 3 2" xfId="11" xr:uid="{3DA955B5-6970-461F-BE97-8DE9DBFC0630}"/>
    <cellStyle name="Normal 2 2 3 2 2 3 2 2" xfId="4" xr:uid="{344130C8-EF99-4849-BBEF-4008EBA9C2C4}"/>
    <cellStyle name="Normal 2 2 3 2 2 3 2 2 2" xfId="16" xr:uid="{848499C7-EF4B-475D-8275-137AE1659539}"/>
    <cellStyle name="Normal 2 3" xfId="18" xr:uid="{8385C6BE-3DA6-429E-A723-F62C8E95EF72}"/>
    <cellStyle name="Normal 2 4" xfId="20" xr:uid="{5F1A5273-4538-4F55-AD41-5DC7BD2EEBB1}"/>
    <cellStyle name="Normal 2 5" xfId="22" xr:uid="{60C993C8-78C6-4D6A-82A8-BC20449F6E5D}"/>
    <cellStyle name="Normal 3" xfId="7" xr:uid="{DBB6B6BD-85F0-4747-AAB2-6957C48014E3}"/>
    <cellStyle name="Normal 4" xfId="17" xr:uid="{820733FE-AF9F-4C7A-AE9C-AF048A0110FF}"/>
    <cellStyle name="Normal 5" xfId="14" xr:uid="{E552347F-3D89-45A3-A354-6861C70D7309}"/>
    <cellStyle name="Normal 6" xfId="21" xr:uid="{2B1C12C0-4C0D-40A0-970E-FD55BE370ECF}"/>
    <cellStyle name="Percent" xfId="3" builtinId="5"/>
    <cellStyle name="Percent 2" xfId="9" xr:uid="{07B5B1FF-6347-4A7B-95E0-FB70FECF6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152</xdr:row>
      <xdr:rowOff>0</xdr:rowOff>
    </xdr:from>
    <xdr:to>
      <xdr:col>2</xdr:col>
      <xdr:colOff>1975855</xdr:colOff>
      <xdr:row>153</xdr:row>
      <xdr:rowOff>27375</xdr:rowOff>
    </xdr:to>
    <xdr:pic>
      <xdr:nvPicPr>
        <xdr:cNvPr id="2" name="Picture 1">
          <a:extLst>
            <a:ext uri="{FF2B5EF4-FFF2-40B4-BE49-F238E27FC236}">
              <a16:creationId xmlns:a16="http://schemas.microsoft.com/office/drawing/2014/main" id="{414C7420-ADAE-41FE-A31D-1E6A0A97E0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965400"/>
          <a:ext cx="33093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157</xdr:row>
      <xdr:rowOff>0</xdr:rowOff>
    </xdr:from>
    <xdr:to>
      <xdr:col>2</xdr:col>
      <xdr:colOff>2033005</xdr:colOff>
      <xdr:row>157</xdr:row>
      <xdr:rowOff>1980000</xdr:rowOff>
    </xdr:to>
    <xdr:pic>
      <xdr:nvPicPr>
        <xdr:cNvPr id="3" name="Picture 2">
          <a:extLst>
            <a:ext uri="{FF2B5EF4-FFF2-40B4-BE49-F238E27FC236}">
              <a16:creationId xmlns:a16="http://schemas.microsoft.com/office/drawing/2014/main" id="{41C918A5-ECB1-4A49-A975-EB3334CA7C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565725"/>
          <a:ext cx="33665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97</xdr:row>
      <xdr:rowOff>0</xdr:rowOff>
    </xdr:from>
    <xdr:to>
      <xdr:col>2</xdr:col>
      <xdr:colOff>1975855</xdr:colOff>
      <xdr:row>98</xdr:row>
      <xdr:rowOff>27375</xdr:rowOff>
    </xdr:to>
    <xdr:pic>
      <xdr:nvPicPr>
        <xdr:cNvPr id="2" name="Picture 1">
          <a:extLst>
            <a:ext uri="{FF2B5EF4-FFF2-40B4-BE49-F238E27FC236}">
              <a16:creationId xmlns:a16="http://schemas.microsoft.com/office/drawing/2014/main" id="{9F3FF46B-AA0B-4B5D-AEFB-4F183343A4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1926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102</xdr:row>
      <xdr:rowOff>0</xdr:rowOff>
    </xdr:from>
    <xdr:to>
      <xdr:col>2</xdr:col>
      <xdr:colOff>1975855</xdr:colOff>
      <xdr:row>102</xdr:row>
      <xdr:rowOff>1980000</xdr:rowOff>
    </xdr:to>
    <xdr:pic>
      <xdr:nvPicPr>
        <xdr:cNvPr id="3" name="Picture 2">
          <a:extLst>
            <a:ext uri="{FF2B5EF4-FFF2-40B4-BE49-F238E27FC236}">
              <a16:creationId xmlns:a16="http://schemas.microsoft.com/office/drawing/2014/main" id="{A5DB760F-0B78-49F3-89C2-5019E7787E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7929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180</xdr:row>
      <xdr:rowOff>0</xdr:rowOff>
    </xdr:from>
    <xdr:to>
      <xdr:col>2</xdr:col>
      <xdr:colOff>1975855</xdr:colOff>
      <xdr:row>192</xdr:row>
      <xdr:rowOff>36900</xdr:rowOff>
    </xdr:to>
    <xdr:pic>
      <xdr:nvPicPr>
        <xdr:cNvPr id="2" name="Picture 1">
          <a:extLst>
            <a:ext uri="{FF2B5EF4-FFF2-40B4-BE49-F238E27FC236}">
              <a16:creationId xmlns:a16="http://schemas.microsoft.com/office/drawing/2014/main" id="{41A1C322-2E8C-4FCC-8D2A-B9CE217A13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042350"/>
          <a:ext cx="32617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200025</xdr:colOff>
      <xdr:row>180</xdr:row>
      <xdr:rowOff>0</xdr:rowOff>
    </xdr:from>
    <xdr:to>
      <xdr:col>5</xdr:col>
      <xdr:colOff>1080505</xdr:colOff>
      <xdr:row>192</xdr:row>
      <xdr:rowOff>36900</xdr:rowOff>
    </xdr:to>
    <xdr:pic>
      <xdr:nvPicPr>
        <xdr:cNvPr id="3" name="Picture 2">
          <a:extLst>
            <a:ext uri="{FF2B5EF4-FFF2-40B4-BE49-F238E27FC236}">
              <a16:creationId xmlns:a16="http://schemas.microsoft.com/office/drawing/2014/main" id="{5A3051FF-AE77-4A09-B7A7-AED07445F3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34042350"/>
          <a:ext cx="32141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175</xdr:row>
      <xdr:rowOff>0</xdr:rowOff>
    </xdr:from>
    <xdr:to>
      <xdr:col>2</xdr:col>
      <xdr:colOff>1975855</xdr:colOff>
      <xdr:row>176</xdr:row>
      <xdr:rowOff>27375</xdr:rowOff>
    </xdr:to>
    <xdr:pic>
      <xdr:nvPicPr>
        <xdr:cNvPr id="4" name="Picture 3">
          <a:extLst>
            <a:ext uri="{FF2B5EF4-FFF2-40B4-BE49-F238E27FC236}">
              <a16:creationId xmlns:a16="http://schemas.microsoft.com/office/drawing/2014/main" id="{F9A6AAE5-C8FE-4A85-96A3-B8E62BDB8A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442025"/>
          <a:ext cx="32617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180</xdr:row>
      <xdr:rowOff>85725</xdr:rowOff>
    </xdr:from>
    <xdr:to>
      <xdr:col>2</xdr:col>
      <xdr:colOff>1775830</xdr:colOff>
      <xdr:row>192</xdr:row>
      <xdr:rowOff>122625</xdr:rowOff>
    </xdr:to>
    <xdr:pic>
      <xdr:nvPicPr>
        <xdr:cNvPr id="2" name="Picture 1">
          <a:extLst>
            <a:ext uri="{FF2B5EF4-FFF2-40B4-BE49-F238E27FC236}">
              <a16:creationId xmlns:a16="http://schemas.microsoft.com/office/drawing/2014/main" id="{1F005358-91A8-4EE9-966E-BDDB3E3135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2832675"/>
          <a:ext cx="32617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165</xdr:row>
      <xdr:rowOff>0</xdr:rowOff>
    </xdr:from>
    <xdr:to>
      <xdr:col>2</xdr:col>
      <xdr:colOff>1975855</xdr:colOff>
      <xdr:row>177</xdr:row>
      <xdr:rowOff>36900</xdr:rowOff>
    </xdr:to>
    <xdr:pic>
      <xdr:nvPicPr>
        <xdr:cNvPr id="3" name="Picture 2">
          <a:extLst>
            <a:ext uri="{FF2B5EF4-FFF2-40B4-BE49-F238E27FC236}">
              <a16:creationId xmlns:a16="http://schemas.microsoft.com/office/drawing/2014/main" id="{763D3649-63C4-4299-97F1-2483B777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318075"/>
          <a:ext cx="33284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504B36AE-C8F9-461A-9336-398A922652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8888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2CD0E4A7-B9B9-4C15-B0F6-041A2B4A4E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4891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135</xdr:row>
      <xdr:rowOff>0</xdr:rowOff>
    </xdr:from>
    <xdr:to>
      <xdr:col>2</xdr:col>
      <xdr:colOff>1975855</xdr:colOff>
      <xdr:row>136</xdr:row>
      <xdr:rowOff>27375</xdr:rowOff>
    </xdr:to>
    <xdr:pic>
      <xdr:nvPicPr>
        <xdr:cNvPr id="2" name="Picture 1">
          <a:extLst>
            <a:ext uri="{FF2B5EF4-FFF2-40B4-BE49-F238E27FC236}">
              <a16:creationId xmlns:a16="http://schemas.microsoft.com/office/drawing/2014/main" id="{B0AA1F64-0E6E-45F8-8C1A-C597C6E7F3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0507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140</xdr:row>
      <xdr:rowOff>0</xdr:rowOff>
    </xdr:from>
    <xdr:to>
      <xdr:col>2</xdr:col>
      <xdr:colOff>1975855</xdr:colOff>
      <xdr:row>140</xdr:row>
      <xdr:rowOff>1980000</xdr:rowOff>
    </xdr:to>
    <xdr:pic>
      <xdr:nvPicPr>
        <xdr:cNvPr id="3" name="Picture 2">
          <a:extLst>
            <a:ext uri="{FF2B5EF4-FFF2-40B4-BE49-F238E27FC236}">
              <a16:creationId xmlns:a16="http://schemas.microsoft.com/office/drawing/2014/main" id="{7FC8160D-734D-4FFB-95BE-68545BCBBD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6510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127</xdr:row>
      <xdr:rowOff>0</xdr:rowOff>
    </xdr:from>
    <xdr:to>
      <xdr:col>2</xdr:col>
      <xdr:colOff>1975855</xdr:colOff>
      <xdr:row>128</xdr:row>
      <xdr:rowOff>27375</xdr:rowOff>
    </xdr:to>
    <xdr:pic>
      <xdr:nvPicPr>
        <xdr:cNvPr id="2" name="Picture 1">
          <a:extLst>
            <a:ext uri="{FF2B5EF4-FFF2-40B4-BE49-F238E27FC236}">
              <a16:creationId xmlns:a16="http://schemas.microsoft.com/office/drawing/2014/main" id="{EAD029D2-91E3-4680-8A36-48764369EE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4410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1975855</xdr:colOff>
      <xdr:row>132</xdr:row>
      <xdr:rowOff>1980000</xdr:rowOff>
    </xdr:to>
    <xdr:pic>
      <xdr:nvPicPr>
        <xdr:cNvPr id="3" name="Picture 2">
          <a:extLst>
            <a:ext uri="{FF2B5EF4-FFF2-40B4-BE49-F238E27FC236}">
              <a16:creationId xmlns:a16="http://schemas.microsoft.com/office/drawing/2014/main" id="{CA029EA5-84FC-4A4C-8CE1-569D5DA5A7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0413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627601B0-044F-451F-8A5C-AEA11EEA0C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3459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CC97E528-BAE4-4160-BAC8-3F5A552587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946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132</xdr:row>
      <xdr:rowOff>0</xdr:rowOff>
    </xdr:from>
    <xdr:to>
      <xdr:col>2</xdr:col>
      <xdr:colOff>1975855</xdr:colOff>
      <xdr:row>133</xdr:row>
      <xdr:rowOff>27375</xdr:rowOff>
    </xdr:to>
    <xdr:pic>
      <xdr:nvPicPr>
        <xdr:cNvPr id="2" name="Picture 1">
          <a:extLst>
            <a:ext uri="{FF2B5EF4-FFF2-40B4-BE49-F238E27FC236}">
              <a16:creationId xmlns:a16="http://schemas.microsoft.com/office/drawing/2014/main" id="{96E22A37-6A35-48B2-9F93-D926D087D8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3459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xdr:row>
      <xdr:rowOff>0</xdr:rowOff>
    </xdr:from>
    <xdr:to>
      <xdr:col>2</xdr:col>
      <xdr:colOff>1975855</xdr:colOff>
      <xdr:row>137</xdr:row>
      <xdr:rowOff>1980000</xdr:rowOff>
    </xdr:to>
    <xdr:pic>
      <xdr:nvPicPr>
        <xdr:cNvPr id="3" name="Picture 2">
          <a:extLst>
            <a:ext uri="{FF2B5EF4-FFF2-40B4-BE49-F238E27FC236}">
              <a16:creationId xmlns:a16="http://schemas.microsoft.com/office/drawing/2014/main" id="{535B1D9D-7AF9-4EE3-8EE7-56172581F2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946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23646D5C-7070-4A38-A6AD-701F3E58DB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7078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4FA2A475-F453-4510-AD88-F7B165B10A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3081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1975855</xdr:colOff>
      <xdr:row>132</xdr:row>
      <xdr:rowOff>27375</xdr:rowOff>
    </xdr:to>
    <xdr:pic>
      <xdr:nvPicPr>
        <xdr:cNvPr id="2" name="Picture 1">
          <a:extLst>
            <a:ext uri="{FF2B5EF4-FFF2-40B4-BE49-F238E27FC236}">
              <a16:creationId xmlns:a16="http://schemas.microsoft.com/office/drawing/2014/main" id="{0D6A60AC-94B6-4EDB-8344-84D9511C9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1649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136</xdr:row>
      <xdr:rowOff>0</xdr:rowOff>
    </xdr:from>
    <xdr:to>
      <xdr:col>2</xdr:col>
      <xdr:colOff>1975855</xdr:colOff>
      <xdr:row>136</xdr:row>
      <xdr:rowOff>1980000</xdr:rowOff>
    </xdr:to>
    <xdr:pic>
      <xdr:nvPicPr>
        <xdr:cNvPr id="3" name="Picture 2">
          <a:extLst>
            <a:ext uri="{FF2B5EF4-FFF2-40B4-BE49-F238E27FC236}">
              <a16:creationId xmlns:a16="http://schemas.microsoft.com/office/drawing/2014/main" id="{1CFE5CCE-EDD2-4BDE-A3C6-FB81BCBF2A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7652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165</xdr:row>
      <xdr:rowOff>0</xdr:rowOff>
    </xdr:from>
    <xdr:to>
      <xdr:col>2</xdr:col>
      <xdr:colOff>1975855</xdr:colOff>
      <xdr:row>166</xdr:row>
      <xdr:rowOff>27375</xdr:rowOff>
    </xdr:to>
    <xdr:pic>
      <xdr:nvPicPr>
        <xdr:cNvPr id="2" name="Picture 1">
          <a:extLst>
            <a:ext uri="{FF2B5EF4-FFF2-40B4-BE49-F238E27FC236}">
              <a16:creationId xmlns:a16="http://schemas.microsoft.com/office/drawing/2014/main" id="{AB5E11D6-EA63-432D-9354-804281361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2704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170</xdr:row>
      <xdr:rowOff>0</xdr:rowOff>
    </xdr:from>
    <xdr:to>
      <xdr:col>2</xdr:col>
      <xdr:colOff>1975855</xdr:colOff>
      <xdr:row>170</xdr:row>
      <xdr:rowOff>1980000</xdr:rowOff>
    </xdr:to>
    <xdr:pic>
      <xdr:nvPicPr>
        <xdr:cNvPr id="3" name="Picture 2">
          <a:extLst>
            <a:ext uri="{FF2B5EF4-FFF2-40B4-BE49-F238E27FC236}">
              <a16:creationId xmlns:a16="http://schemas.microsoft.com/office/drawing/2014/main" id="{BE1A48EF-4837-4366-ABC8-9D7F42ED4E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8707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38100</xdr:colOff>
      <xdr:row>169</xdr:row>
      <xdr:rowOff>152401</xdr:rowOff>
    </xdr:from>
    <xdr:to>
      <xdr:col>6</xdr:col>
      <xdr:colOff>295275</xdr:colOff>
      <xdr:row>170</xdr:row>
      <xdr:rowOff>2009776</xdr:rowOff>
    </xdr:to>
    <xdr:pic>
      <xdr:nvPicPr>
        <xdr:cNvPr id="4" name="Picture 3">
          <a:extLst>
            <a:ext uri="{FF2B5EF4-FFF2-40B4-BE49-F238E27FC236}">
              <a16:creationId xmlns:a16="http://schemas.microsoft.com/office/drawing/2014/main" id="{8437631D-ABA7-4AFE-A75C-641D0D1916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0699076"/>
          <a:ext cx="3171825"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276</xdr:row>
      <xdr:rowOff>0</xdr:rowOff>
    </xdr:from>
    <xdr:to>
      <xdr:col>2</xdr:col>
      <xdr:colOff>1986302</xdr:colOff>
      <xdr:row>277</xdr:row>
      <xdr:rowOff>27375</xdr:rowOff>
    </xdr:to>
    <xdr:pic>
      <xdr:nvPicPr>
        <xdr:cNvPr id="2" name="Picture 1">
          <a:extLst>
            <a:ext uri="{FF2B5EF4-FFF2-40B4-BE49-F238E27FC236}">
              <a16:creationId xmlns:a16="http://schemas.microsoft.com/office/drawing/2014/main" id="{403B2F70-E621-4ACD-AC19-ADE2560849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50615850"/>
          <a:ext cx="31769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281</xdr:row>
      <xdr:rowOff>171450</xdr:rowOff>
    </xdr:from>
    <xdr:to>
      <xdr:col>2</xdr:col>
      <xdr:colOff>1976777</xdr:colOff>
      <xdr:row>282</xdr:row>
      <xdr:rowOff>55950</xdr:rowOff>
    </xdr:to>
    <xdr:pic>
      <xdr:nvPicPr>
        <xdr:cNvPr id="3" name="Picture 2">
          <a:extLst>
            <a:ext uri="{FF2B5EF4-FFF2-40B4-BE49-F238E27FC236}">
              <a16:creationId xmlns:a16="http://schemas.microsoft.com/office/drawing/2014/main" id="{15A7B251-5EA9-4DC0-8566-8F5A1D372E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53387625"/>
          <a:ext cx="31769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224</xdr:row>
      <xdr:rowOff>0</xdr:rowOff>
    </xdr:from>
    <xdr:to>
      <xdr:col>2</xdr:col>
      <xdr:colOff>2015039</xdr:colOff>
      <xdr:row>224</xdr:row>
      <xdr:rowOff>1980000</xdr:rowOff>
    </xdr:to>
    <xdr:pic>
      <xdr:nvPicPr>
        <xdr:cNvPr id="2" name="Picture 1">
          <a:extLst>
            <a:ext uri="{FF2B5EF4-FFF2-40B4-BE49-F238E27FC236}">
              <a16:creationId xmlns:a16="http://schemas.microsoft.com/office/drawing/2014/main" id="{03B33DCD-503D-4F3A-8856-6B3240C0C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271950"/>
          <a:ext cx="332948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219</xdr:row>
      <xdr:rowOff>0</xdr:rowOff>
    </xdr:from>
    <xdr:to>
      <xdr:col>2</xdr:col>
      <xdr:colOff>2015039</xdr:colOff>
      <xdr:row>220</xdr:row>
      <xdr:rowOff>27375</xdr:rowOff>
    </xdr:to>
    <xdr:pic>
      <xdr:nvPicPr>
        <xdr:cNvPr id="3" name="Picture 2">
          <a:extLst>
            <a:ext uri="{FF2B5EF4-FFF2-40B4-BE49-F238E27FC236}">
              <a16:creationId xmlns:a16="http://schemas.microsoft.com/office/drawing/2014/main" id="{6168E083-AAE6-4D7C-8366-87C9D4E532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671625"/>
          <a:ext cx="332948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214</xdr:row>
      <xdr:rowOff>133350</xdr:rowOff>
    </xdr:from>
    <xdr:to>
      <xdr:col>2</xdr:col>
      <xdr:colOff>1504950</xdr:colOff>
      <xdr:row>215</xdr:row>
      <xdr:rowOff>17850</xdr:rowOff>
    </xdr:to>
    <xdr:pic>
      <xdr:nvPicPr>
        <xdr:cNvPr id="2" name="Picture 1">
          <a:extLst>
            <a:ext uri="{FF2B5EF4-FFF2-40B4-BE49-F238E27FC236}">
              <a16:creationId xmlns:a16="http://schemas.microsoft.com/office/drawing/2014/main" id="{7FC095C8-1A4D-4F36-8B01-96372A39D8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700200"/>
          <a:ext cx="34575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209</xdr:row>
      <xdr:rowOff>0</xdr:rowOff>
    </xdr:from>
    <xdr:to>
      <xdr:col>2</xdr:col>
      <xdr:colOff>1504950</xdr:colOff>
      <xdr:row>210</xdr:row>
      <xdr:rowOff>27375</xdr:rowOff>
    </xdr:to>
    <xdr:pic>
      <xdr:nvPicPr>
        <xdr:cNvPr id="3" name="Picture 2">
          <a:extLst>
            <a:ext uri="{FF2B5EF4-FFF2-40B4-BE49-F238E27FC236}">
              <a16:creationId xmlns:a16="http://schemas.microsoft.com/office/drawing/2014/main" id="{9BB0FC36-8F2E-41DB-8695-E97004325B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966525"/>
          <a:ext cx="34575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160</xdr:row>
      <xdr:rowOff>0</xdr:rowOff>
    </xdr:from>
    <xdr:to>
      <xdr:col>2</xdr:col>
      <xdr:colOff>1975855</xdr:colOff>
      <xdr:row>161</xdr:row>
      <xdr:rowOff>27375</xdr:rowOff>
    </xdr:to>
    <xdr:pic>
      <xdr:nvPicPr>
        <xdr:cNvPr id="2" name="Picture 1">
          <a:extLst>
            <a:ext uri="{FF2B5EF4-FFF2-40B4-BE49-F238E27FC236}">
              <a16:creationId xmlns:a16="http://schemas.microsoft.com/office/drawing/2014/main" id="{19DBBC85-BC49-4D28-B199-1C116FD66C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3276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165</xdr:row>
      <xdr:rowOff>0</xdr:rowOff>
    </xdr:from>
    <xdr:to>
      <xdr:col>2</xdr:col>
      <xdr:colOff>1975855</xdr:colOff>
      <xdr:row>165</xdr:row>
      <xdr:rowOff>1980000</xdr:rowOff>
    </xdr:to>
    <xdr:pic>
      <xdr:nvPicPr>
        <xdr:cNvPr id="3" name="Picture 2">
          <a:extLst>
            <a:ext uri="{FF2B5EF4-FFF2-40B4-BE49-F238E27FC236}">
              <a16:creationId xmlns:a16="http://schemas.microsoft.com/office/drawing/2014/main" id="{609471C5-DAA3-4DFC-B31C-F328FB196B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9279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165</xdr:row>
      <xdr:rowOff>0</xdr:rowOff>
    </xdr:from>
    <xdr:to>
      <xdr:col>6</xdr:col>
      <xdr:colOff>909055</xdr:colOff>
      <xdr:row>165</xdr:row>
      <xdr:rowOff>1980000</xdr:rowOff>
    </xdr:to>
    <xdr:pic>
      <xdr:nvPicPr>
        <xdr:cNvPr id="4" name="Picture 3">
          <a:extLst>
            <a:ext uri="{FF2B5EF4-FFF2-40B4-BE49-F238E27FC236}">
              <a16:creationId xmlns:a16="http://schemas.microsoft.com/office/drawing/2014/main" id="{5772A904-82D6-4347-AE51-666286D0A4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2927925"/>
          <a:ext cx="404278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214</xdr:row>
      <xdr:rowOff>0</xdr:rowOff>
    </xdr:from>
    <xdr:to>
      <xdr:col>2</xdr:col>
      <xdr:colOff>2015039</xdr:colOff>
      <xdr:row>215</xdr:row>
      <xdr:rowOff>27375</xdr:rowOff>
    </xdr:to>
    <xdr:pic>
      <xdr:nvPicPr>
        <xdr:cNvPr id="2" name="Picture 1">
          <a:extLst>
            <a:ext uri="{FF2B5EF4-FFF2-40B4-BE49-F238E27FC236}">
              <a16:creationId xmlns:a16="http://schemas.microsoft.com/office/drawing/2014/main" id="{6D532192-044A-4DE0-938D-ED80C63D64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890700"/>
          <a:ext cx="332948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219</xdr:row>
      <xdr:rowOff>57150</xdr:rowOff>
    </xdr:from>
    <xdr:to>
      <xdr:col>2</xdr:col>
      <xdr:colOff>2024564</xdr:colOff>
      <xdr:row>219</xdr:row>
      <xdr:rowOff>2037150</xdr:rowOff>
    </xdr:to>
    <xdr:pic>
      <xdr:nvPicPr>
        <xdr:cNvPr id="3" name="Picture 2">
          <a:extLst>
            <a:ext uri="{FF2B5EF4-FFF2-40B4-BE49-F238E27FC236}">
              <a16:creationId xmlns:a16="http://schemas.microsoft.com/office/drawing/2014/main" id="{204F779E-245C-446C-AAC4-74A75B8234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2548175"/>
          <a:ext cx="332948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125</xdr:row>
      <xdr:rowOff>0</xdr:rowOff>
    </xdr:from>
    <xdr:to>
      <xdr:col>2</xdr:col>
      <xdr:colOff>1975855</xdr:colOff>
      <xdr:row>126</xdr:row>
      <xdr:rowOff>27375</xdr:rowOff>
    </xdr:to>
    <xdr:pic>
      <xdr:nvPicPr>
        <xdr:cNvPr id="2" name="Picture 1">
          <a:extLst>
            <a:ext uri="{FF2B5EF4-FFF2-40B4-BE49-F238E27FC236}">
              <a16:creationId xmlns:a16="http://schemas.microsoft.com/office/drawing/2014/main" id="{DC3A140D-E29C-43F7-8C0E-A2C26F0300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790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130</xdr:row>
      <xdr:rowOff>0</xdr:rowOff>
    </xdr:from>
    <xdr:to>
      <xdr:col>2</xdr:col>
      <xdr:colOff>1975855</xdr:colOff>
      <xdr:row>130</xdr:row>
      <xdr:rowOff>1980000</xdr:rowOff>
    </xdr:to>
    <xdr:pic>
      <xdr:nvPicPr>
        <xdr:cNvPr id="3" name="Picture 2">
          <a:extLst>
            <a:ext uri="{FF2B5EF4-FFF2-40B4-BE49-F238E27FC236}">
              <a16:creationId xmlns:a16="http://schemas.microsoft.com/office/drawing/2014/main" id="{64380D3C-5A61-413E-9AF0-E600E1748C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793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130</xdr:row>
      <xdr:rowOff>0</xdr:rowOff>
    </xdr:from>
    <xdr:to>
      <xdr:col>6</xdr:col>
      <xdr:colOff>928105</xdr:colOff>
      <xdr:row>130</xdr:row>
      <xdr:rowOff>1980000</xdr:rowOff>
    </xdr:to>
    <xdr:pic>
      <xdr:nvPicPr>
        <xdr:cNvPr id="4" name="Picture 3">
          <a:extLst>
            <a:ext uri="{FF2B5EF4-FFF2-40B4-BE49-F238E27FC236}">
              <a16:creationId xmlns:a16="http://schemas.microsoft.com/office/drawing/2014/main" id="{B384DF2B-4BB8-4839-AC9A-27C88600E3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14925" y="25479375"/>
          <a:ext cx="413803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171</xdr:row>
      <xdr:rowOff>0</xdr:rowOff>
    </xdr:from>
    <xdr:to>
      <xdr:col>2</xdr:col>
      <xdr:colOff>1975855</xdr:colOff>
      <xdr:row>172</xdr:row>
      <xdr:rowOff>27375</xdr:rowOff>
    </xdr:to>
    <xdr:pic>
      <xdr:nvPicPr>
        <xdr:cNvPr id="2" name="Picture 1">
          <a:extLst>
            <a:ext uri="{FF2B5EF4-FFF2-40B4-BE49-F238E27FC236}">
              <a16:creationId xmlns:a16="http://schemas.microsoft.com/office/drawing/2014/main" id="{363C8754-E3D7-411F-B9F5-8EF6C562B4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849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176</xdr:row>
      <xdr:rowOff>0</xdr:rowOff>
    </xdr:from>
    <xdr:to>
      <xdr:col>2</xdr:col>
      <xdr:colOff>1975855</xdr:colOff>
      <xdr:row>176</xdr:row>
      <xdr:rowOff>1980000</xdr:rowOff>
    </xdr:to>
    <xdr:pic>
      <xdr:nvPicPr>
        <xdr:cNvPr id="3" name="Picture 2">
          <a:extLst>
            <a:ext uri="{FF2B5EF4-FFF2-40B4-BE49-F238E27FC236}">
              <a16:creationId xmlns:a16="http://schemas.microsoft.com/office/drawing/2014/main" id="{82CB2D90-B8E4-4034-933C-D9A5AB6841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185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204</xdr:row>
      <xdr:rowOff>0</xdr:rowOff>
    </xdr:from>
    <xdr:to>
      <xdr:col>2</xdr:col>
      <xdr:colOff>1975855</xdr:colOff>
      <xdr:row>204</xdr:row>
      <xdr:rowOff>1980000</xdr:rowOff>
    </xdr:to>
    <xdr:pic>
      <xdr:nvPicPr>
        <xdr:cNvPr id="3" name="Picture 2">
          <a:extLst>
            <a:ext uri="{FF2B5EF4-FFF2-40B4-BE49-F238E27FC236}">
              <a16:creationId xmlns:a16="http://schemas.microsoft.com/office/drawing/2014/main" id="{FABD5EF6-1D3E-4A4E-AAA3-B3AF29B6D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376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200</xdr:row>
      <xdr:rowOff>0</xdr:rowOff>
    </xdr:from>
    <xdr:to>
      <xdr:col>2</xdr:col>
      <xdr:colOff>1976777</xdr:colOff>
      <xdr:row>201</xdr:row>
      <xdr:rowOff>27375</xdr:rowOff>
    </xdr:to>
    <xdr:pic>
      <xdr:nvPicPr>
        <xdr:cNvPr id="4" name="Picture 3">
          <a:extLst>
            <a:ext uri="{FF2B5EF4-FFF2-40B4-BE49-F238E27FC236}">
              <a16:creationId xmlns:a16="http://schemas.microsoft.com/office/drawing/2014/main" id="{CEF82ED9-406F-4EB2-BEF3-3DA86D08D6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775525"/>
          <a:ext cx="32912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76200</xdr:colOff>
      <xdr:row>154</xdr:row>
      <xdr:rowOff>0</xdr:rowOff>
    </xdr:from>
    <xdr:to>
      <xdr:col>2</xdr:col>
      <xdr:colOff>2052055</xdr:colOff>
      <xdr:row>155</xdr:row>
      <xdr:rowOff>27375</xdr:rowOff>
    </xdr:to>
    <xdr:pic>
      <xdr:nvPicPr>
        <xdr:cNvPr id="2" name="Picture 1">
          <a:extLst>
            <a:ext uri="{FF2B5EF4-FFF2-40B4-BE49-F238E27FC236}">
              <a16:creationId xmlns:a16="http://schemas.microsoft.com/office/drawing/2014/main" id="{B734CB3D-4D1C-4C12-9F3E-7A417B2728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91465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159</xdr:row>
      <xdr:rowOff>161925</xdr:rowOff>
    </xdr:from>
    <xdr:to>
      <xdr:col>2</xdr:col>
      <xdr:colOff>1975855</xdr:colOff>
      <xdr:row>160</xdr:row>
      <xdr:rowOff>46425</xdr:rowOff>
    </xdr:to>
    <xdr:pic>
      <xdr:nvPicPr>
        <xdr:cNvPr id="3" name="Picture 2">
          <a:extLst>
            <a:ext uri="{FF2B5EF4-FFF2-40B4-BE49-F238E27FC236}">
              <a16:creationId xmlns:a16="http://schemas.microsoft.com/office/drawing/2014/main" id="{6C3DEDA4-5FB5-4A8D-8E97-18DA30D1CA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9087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134</xdr:row>
      <xdr:rowOff>0</xdr:rowOff>
    </xdr:from>
    <xdr:to>
      <xdr:col>2</xdr:col>
      <xdr:colOff>1975855</xdr:colOff>
      <xdr:row>135</xdr:row>
      <xdr:rowOff>27375</xdr:rowOff>
    </xdr:to>
    <xdr:pic>
      <xdr:nvPicPr>
        <xdr:cNvPr id="2" name="Picture 1">
          <a:extLst>
            <a:ext uri="{FF2B5EF4-FFF2-40B4-BE49-F238E27FC236}">
              <a16:creationId xmlns:a16="http://schemas.microsoft.com/office/drawing/2014/main" id="{079EA094-FB76-411D-A9E9-CB37448C4F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8982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xdr:row>
      <xdr:rowOff>0</xdr:rowOff>
    </xdr:from>
    <xdr:to>
      <xdr:col>2</xdr:col>
      <xdr:colOff>1975855</xdr:colOff>
      <xdr:row>139</xdr:row>
      <xdr:rowOff>1980000</xdr:rowOff>
    </xdr:to>
    <xdr:pic>
      <xdr:nvPicPr>
        <xdr:cNvPr id="3" name="Picture 2">
          <a:extLst>
            <a:ext uri="{FF2B5EF4-FFF2-40B4-BE49-F238E27FC236}">
              <a16:creationId xmlns:a16="http://schemas.microsoft.com/office/drawing/2014/main" id="{096798C0-DE3A-439E-88C8-9C01E47A28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4985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150</xdr:row>
      <xdr:rowOff>0</xdr:rowOff>
    </xdr:from>
    <xdr:to>
      <xdr:col>2</xdr:col>
      <xdr:colOff>1975855</xdr:colOff>
      <xdr:row>151</xdr:row>
      <xdr:rowOff>27375</xdr:rowOff>
    </xdr:to>
    <xdr:pic>
      <xdr:nvPicPr>
        <xdr:cNvPr id="2" name="Picture 1">
          <a:extLst>
            <a:ext uri="{FF2B5EF4-FFF2-40B4-BE49-F238E27FC236}">
              <a16:creationId xmlns:a16="http://schemas.microsoft.com/office/drawing/2014/main" id="{92AC46F9-8BD4-4083-94AE-7D965D5E62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3367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156</xdr:row>
      <xdr:rowOff>0</xdr:rowOff>
    </xdr:from>
    <xdr:to>
      <xdr:col>2</xdr:col>
      <xdr:colOff>1975855</xdr:colOff>
      <xdr:row>156</xdr:row>
      <xdr:rowOff>2046675</xdr:rowOff>
    </xdr:to>
    <xdr:pic>
      <xdr:nvPicPr>
        <xdr:cNvPr id="3" name="Picture 2">
          <a:extLst>
            <a:ext uri="{FF2B5EF4-FFF2-40B4-BE49-F238E27FC236}">
              <a16:creationId xmlns:a16="http://schemas.microsoft.com/office/drawing/2014/main" id="{55742B30-E11B-4DD6-8A4F-3EB7CE824D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099000"/>
          <a:ext cx="3290305" cy="204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156</xdr:row>
      <xdr:rowOff>0</xdr:rowOff>
    </xdr:from>
    <xdr:to>
      <xdr:col>6</xdr:col>
      <xdr:colOff>661405</xdr:colOff>
      <xdr:row>156</xdr:row>
      <xdr:rowOff>1980000</xdr:rowOff>
    </xdr:to>
    <xdr:pic>
      <xdr:nvPicPr>
        <xdr:cNvPr id="4" name="Picture 3">
          <a:extLst>
            <a:ext uri="{FF2B5EF4-FFF2-40B4-BE49-F238E27FC236}">
              <a16:creationId xmlns:a16="http://schemas.microsoft.com/office/drawing/2014/main" id="{531170E0-0AF0-4E70-8E04-FCEE4DD0A40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76775" y="30099000"/>
          <a:ext cx="36332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149</xdr:row>
      <xdr:rowOff>0</xdr:rowOff>
    </xdr:from>
    <xdr:to>
      <xdr:col>2</xdr:col>
      <xdr:colOff>1975855</xdr:colOff>
      <xdr:row>149</xdr:row>
      <xdr:rowOff>1980000</xdr:rowOff>
    </xdr:to>
    <xdr:pic>
      <xdr:nvPicPr>
        <xdr:cNvPr id="2" name="Picture 1">
          <a:extLst>
            <a:ext uri="{FF2B5EF4-FFF2-40B4-BE49-F238E27FC236}">
              <a16:creationId xmlns:a16="http://schemas.microsoft.com/office/drawing/2014/main" id="{931872BD-F42F-41F9-9A35-047A2707BE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5275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xdr:row>
      <xdr:rowOff>0</xdr:rowOff>
    </xdr:from>
    <xdr:to>
      <xdr:col>2</xdr:col>
      <xdr:colOff>1975855</xdr:colOff>
      <xdr:row>145</xdr:row>
      <xdr:rowOff>27375</xdr:rowOff>
    </xdr:to>
    <xdr:pic>
      <xdr:nvPicPr>
        <xdr:cNvPr id="3" name="Picture 2">
          <a:extLst>
            <a:ext uri="{FF2B5EF4-FFF2-40B4-BE49-F238E27FC236}">
              <a16:creationId xmlns:a16="http://schemas.microsoft.com/office/drawing/2014/main" id="{9292D67C-9B8F-47B1-9BEF-91566B6AA2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9271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1975855</xdr:colOff>
      <xdr:row>132</xdr:row>
      <xdr:rowOff>27375</xdr:rowOff>
    </xdr:to>
    <xdr:pic>
      <xdr:nvPicPr>
        <xdr:cNvPr id="2" name="Picture 1">
          <a:extLst>
            <a:ext uri="{FF2B5EF4-FFF2-40B4-BE49-F238E27FC236}">
              <a16:creationId xmlns:a16="http://schemas.microsoft.com/office/drawing/2014/main" id="{4C1B0538-8BC5-4AA0-AEA1-E3891918C5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4410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136</xdr:row>
      <xdr:rowOff>0</xdr:rowOff>
    </xdr:from>
    <xdr:to>
      <xdr:col>2</xdr:col>
      <xdr:colOff>1975855</xdr:colOff>
      <xdr:row>136</xdr:row>
      <xdr:rowOff>1980000</xdr:rowOff>
    </xdr:to>
    <xdr:pic>
      <xdr:nvPicPr>
        <xdr:cNvPr id="3" name="Picture 2">
          <a:extLst>
            <a:ext uri="{FF2B5EF4-FFF2-40B4-BE49-F238E27FC236}">
              <a16:creationId xmlns:a16="http://schemas.microsoft.com/office/drawing/2014/main" id="{B2B8859C-9FA9-4CE5-90F4-27BC77C65C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0413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28575</xdr:colOff>
      <xdr:row>142</xdr:row>
      <xdr:rowOff>0</xdr:rowOff>
    </xdr:from>
    <xdr:to>
      <xdr:col>2</xdr:col>
      <xdr:colOff>2004430</xdr:colOff>
      <xdr:row>143</xdr:row>
      <xdr:rowOff>27375</xdr:rowOff>
    </xdr:to>
    <xdr:pic>
      <xdr:nvPicPr>
        <xdr:cNvPr id="2" name="Picture 1">
          <a:extLst>
            <a:ext uri="{FF2B5EF4-FFF2-40B4-BE49-F238E27FC236}">
              <a16:creationId xmlns:a16="http://schemas.microsoft.com/office/drawing/2014/main" id="{B8EB860F-2F82-49DB-AA76-33BFE1592B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57937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147</xdr:row>
      <xdr:rowOff>0</xdr:rowOff>
    </xdr:from>
    <xdr:to>
      <xdr:col>2</xdr:col>
      <xdr:colOff>1975855</xdr:colOff>
      <xdr:row>147</xdr:row>
      <xdr:rowOff>1980000</xdr:rowOff>
    </xdr:to>
    <xdr:pic>
      <xdr:nvPicPr>
        <xdr:cNvPr id="3" name="Picture 2">
          <a:extLst>
            <a:ext uri="{FF2B5EF4-FFF2-40B4-BE49-F238E27FC236}">
              <a16:creationId xmlns:a16="http://schemas.microsoft.com/office/drawing/2014/main" id="{467BD153-6D23-4C63-873F-05CF07C284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4699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149</xdr:row>
      <xdr:rowOff>0</xdr:rowOff>
    </xdr:from>
    <xdr:to>
      <xdr:col>2</xdr:col>
      <xdr:colOff>1975855</xdr:colOff>
      <xdr:row>150</xdr:row>
      <xdr:rowOff>27375</xdr:rowOff>
    </xdr:to>
    <xdr:pic>
      <xdr:nvPicPr>
        <xdr:cNvPr id="2" name="Picture 1">
          <a:extLst>
            <a:ext uri="{FF2B5EF4-FFF2-40B4-BE49-F238E27FC236}">
              <a16:creationId xmlns:a16="http://schemas.microsoft.com/office/drawing/2014/main" id="{D49DDA63-D1DC-406C-899A-C02DFCE920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4224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154</xdr:row>
      <xdr:rowOff>0</xdr:rowOff>
    </xdr:from>
    <xdr:to>
      <xdr:col>2</xdr:col>
      <xdr:colOff>1975855</xdr:colOff>
      <xdr:row>154</xdr:row>
      <xdr:rowOff>1980000</xdr:rowOff>
    </xdr:to>
    <xdr:pic>
      <xdr:nvPicPr>
        <xdr:cNvPr id="3" name="Picture 2">
          <a:extLst>
            <a:ext uri="{FF2B5EF4-FFF2-40B4-BE49-F238E27FC236}">
              <a16:creationId xmlns:a16="http://schemas.microsoft.com/office/drawing/2014/main" id="{21565BBE-4BC2-48EC-8FC7-B56175AC92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02280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122</xdr:row>
      <xdr:rowOff>0</xdr:rowOff>
    </xdr:from>
    <xdr:to>
      <xdr:col>2</xdr:col>
      <xdr:colOff>1975855</xdr:colOff>
      <xdr:row>123</xdr:row>
      <xdr:rowOff>27375</xdr:rowOff>
    </xdr:to>
    <xdr:pic>
      <xdr:nvPicPr>
        <xdr:cNvPr id="2" name="Picture 1">
          <a:extLst>
            <a:ext uri="{FF2B5EF4-FFF2-40B4-BE49-F238E27FC236}">
              <a16:creationId xmlns:a16="http://schemas.microsoft.com/office/drawing/2014/main" id="{E33187FF-4D4C-47C3-A869-84387AB9FF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71712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127</xdr:row>
      <xdr:rowOff>0</xdr:rowOff>
    </xdr:from>
    <xdr:to>
      <xdr:col>2</xdr:col>
      <xdr:colOff>1975855</xdr:colOff>
      <xdr:row>127</xdr:row>
      <xdr:rowOff>1980000</xdr:rowOff>
    </xdr:to>
    <xdr:pic>
      <xdr:nvPicPr>
        <xdr:cNvPr id="3" name="Picture 2">
          <a:extLst>
            <a:ext uri="{FF2B5EF4-FFF2-40B4-BE49-F238E27FC236}">
              <a16:creationId xmlns:a16="http://schemas.microsoft.com/office/drawing/2014/main" id="{9FD2B592-872D-40B8-BF68-462A757115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3174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191</xdr:row>
      <xdr:rowOff>152400</xdr:rowOff>
    </xdr:from>
    <xdr:to>
      <xdr:col>2</xdr:col>
      <xdr:colOff>1976777</xdr:colOff>
      <xdr:row>192</xdr:row>
      <xdr:rowOff>36900</xdr:rowOff>
    </xdr:to>
    <xdr:pic>
      <xdr:nvPicPr>
        <xdr:cNvPr id="2" name="Picture 1">
          <a:extLst>
            <a:ext uri="{FF2B5EF4-FFF2-40B4-BE49-F238E27FC236}">
              <a16:creationId xmlns:a16="http://schemas.microsoft.com/office/drawing/2014/main" id="{D18A1BFC-D067-4D3D-9F7E-2EC8D93B6C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919150"/>
          <a:ext cx="32912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186</xdr:row>
      <xdr:rowOff>0</xdr:rowOff>
    </xdr:from>
    <xdr:to>
      <xdr:col>2</xdr:col>
      <xdr:colOff>1976777</xdr:colOff>
      <xdr:row>187</xdr:row>
      <xdr:rowOff>27375</xdr:rowOff>
    </xdr:to>
    <xdr:pic>
      <xdr:nvPicPr>
        <xdr:cNvPr id="3" name="Picture 2">
          <a:extLst>
            <a:ext uri="{FF2B5EF4-FFF2-40B4-BE49-F238E27FC236}">
              <a16:creationId xmlns:a16="http://schemas.microsoft.com/office/drawing/2014/main" id="{79CBE7F3-941B-4BE1-B8DA-91D4C45EC2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166425"/>
          <a:ext cx="329122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170</xdr:row>
      <xdr:rowOff>0</xdr:rowOff>
    </xdr:from>
    <xdr:to>
      <xdr:col>2</xdr:col>
      <xdr:colOff>1975855</xdr:colOff>
      <xdr:row>170</xdr:row>
      <xdr:rowOff>1980000</xdr:rowOff>
    </xdr:to>
    <xdr:pic>
      <xdr:nvPicPr>
        <xdr:cNvPr id="2" name="Picture 1">
          <a:extLst>
            <a:ext uri="{FF2B5EF4-FFF2-40B4-BE49-F238E27FC236}">
              <a16:creationId xmlns:a16="http://schemas.microsoft.com/office/drawing/2014/main" id="{36333BD4-94F2-4DAC-88FD-40A75B806C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213675"/>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165</xdr:row>
      <xdr:rowOff>0</xdr:rowOff>
    </xdr:from>
    <xdr:to>
      <xdr:col>2</xdr:col>
      <xdr:colOff>1975855</xdr:colOff>
      <xdr:row>166</xdr:row>
      <xdr:rowOff>27375</xdr:rowOff>
    </xdr:to>
    <xdr:pic>
      <xdr:nvPicPr>
        <xdr:cNvPr id="3" name="Picture 2">
          <a:extLst>
            <a:ext uri="{FF2B5EF4-FFF2-40B4-BE49-F238E27FC236}">
              <a16:creationId xmlns:a16="http://schemas.microsoft.com/office/drawing/2014/main" id="{41CF7090-2A52-40BC-A5B4-D4AC293412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613350"/>
          <a:ext cx="329030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48D9-497F-4E4B-B985-CEFE85506449}">
  <dimension ref="A1:C31"/>
  <sheetViews>
    <sheetView tabSelected="1" zoomScale="110" zoomScaleNormal="110" workbookViewId="0">
      <pane ySplit="1" topLeftCell="A2" activePane="bottomLeft" state="frozen"/>
      <selection sqref="A1:H1"/>
      <selection pane="bottomLeft" activeCell="A2" sqref="A2"/>
    </sheetView>
  </sheetViews>
  <sheetFormatPr defaultColWidth="9.140625" defaultRowHeight="15" x14ac:dyDescent="0.25"/>
  <cols>
    <col min="1" max="1" width="6.140625" style="3" bestFit="1" customWidth="1"/>
    <col min="2" max="2" width="10.42578125" style="3" bestFit="1" customWidth="1"/>
    <col min="3" max="3" width="56.140625" style="3" bestFit="1" customWidth="1"/>
    <col min="4" max="16384" width="9.140625" style="3"/>
  </cols>
  <sheetData>
    <row r="1" spans="1:3" x14ac:dyDescent="0.25">
      <c r="A1" s="2" t="s">
        <v>903</v>
      </c>
      <c r="B1" s="2" t="s">
        <v>904</v>
      </c>
      <c r="C1" s="2" t="s">
        <v>905</v>
      </c>
    </row>
    <row r="2" spans="1:3" x14ac:dyDescent="0.25">
      <c r="A2" s="4">
        <v>1</v>
      </c>
      <c r="B2" s="5" t="s">
        <v>906</v>
      </c>
      <c r="C2" s="6" t="s">
        <v>1</v>
      </c>
    </row>
    <row r="3" spans="1:3" x14ac:dyDescent="0.25">
      <c r="A3" s="4">
        <v>2</v>
      </c>
      <c r="B3" s="5" t="s">
        <v>907</v>
      </c>
      <c r="C3" s="6" t="s">
        <v>908</v>
      </c>
    </row>
    <row r="4" spans="1:3" x14ac:dyDescent="0.25">
      <c r="A4" s="4">
        <v>3</v>
      </c>
      <c r="B4" s="5" t="s">
        <v>909</v>
      </c>
      <c r="C4" s="6" t="s">
        <v>182</v>
      </c>
    </row>
    <row r="5" spans="1:3" x14ac:dyDescent="0.25">
      <c r="A5" s="4">
        <v>4</v>
      </c>
      <c r="B5" s="5" t="s">
        <v>910</v>
      </c>
      <c r="C5" s="6" t="s">
        <v>911</v>
      </c>
    </row>
    <row r="6" spans="1:3" x14ac:dyDescent="0.25">
      <c r="A6" s="4">
        <v>5</v>
      </c>
      <c r="B6" s="5" t="s">
        <v>912</v>
      </c>
      <c r="C6" s="6" t="s">
        <v>913</v>
      </c>
    </row>
    <row r="7" spans="1:3" x14ac:dyDescent="0.25">
      <c r="A7" s="4">
        <v>6</v>
      </c>
      <c r="B7" s="5" t="s">
        <v>914</v>
      </c>
      <c r="C7" s="6" t="s">
        <v>915</v>
      </c>
    </row>
    <row r="8" spans="1:3" x14ac:dyDescent="0.25">
      <c r="A8" s="4">
        <v>7</v>
      </c>
      <c r="B8" s="5" t="s">
        <v>916</v>
      </c>
      <c r="C8" s="6" t="s">
        <v>917</v>
      </c>
    </row>
    <row r="9" spans="1:3" x14ac:dyDescent="0.25">
      <c r="A9" s="4">
        <v>8</v>
      </c>
      <c r="B9" s="5" t="s">
        <v>918</v>
      </c>
      <c r="C9" s="6" t="s">
        <v>445</v>
      </c>
    </row>
    <row r="10" spans="1:3" x14ac:dyDescent="0.25">
      <c r="A10" s="4">
        <v>9</v>
      </c>
      <c r="B10" s="5" t="s">
        <v>919</v>
      </c>
      <c r="C10" s="6" t="s">
        <v>448</v>
      </c>
    </row>
    <row r="11" spans="1:3" x14ac:dyDescent="0.25">
      <c r="A11" s="4">
        <v>10</v>
      </c>
      <c r="B11" s="5" t="s">
        <v>920</v>
      </c>
      <c r="C11" s="6" t="s">
        <v>449</v>
      </c>
    </row>
    <row r="12" spans="1:3" x14ac:dyDescent="0.25">
      <c r="A12" s="4">
        <v>11</v>
      </c>
      <c r="B12" s="5" t="s">
        <v>921</v>
      </c>
      <c r="C12" s="6" t="s">
        <v>450</v>
      </c>
    </row>
    <row r="13" spans="1:3" x14ac:dyDescent="0.25">
      <c r="A13" s="4">
        <v>12</v>
      </c>
      <c r="B13" s="5" t="s">
        <v>922</v>
      </c>
      <c r="C13" s="6" t="s">
        <v>451</v>
      </c>
    </row>
    <row r="14" spans="1:3" x14ac:dyDescent="0.25">
      <c r="A14" s="4">
        <v>13</v>
      </c>
      <c r="B14" s="5" t="s">
        <v>923</v>
      </c>
      <c r="C14" s="6" t="s">
        <v>496</v>
      </c>
    </row>
    <row r="15" spans="1:3" x14ac:dyDescent="0.25">
      <c r="A15" s="4">
        <v>14</v>
      </c>
      <c r="B15" s="5" t="s">
        <v>924</v>
      </c>
      <c r="C15" s="6" t="s">
        <v>925</v>
      </c>
    </row>
    <row r="16" spans="1:3" x14ac:dyDescent="0.25">
      <c r="A16" s="4">
        <v>15</v>
      </c>
      <c r="B16" s="5" t="s">
        <v>926</v>
      </c>
      <c r="C16" s="6" t="s">
        <v>659</v>
      </c>
    </row>
    <row r="17" spans="1:3" x14ac:dyDescent="0.25">
      <c r="A17" s="4">
        <v>16</v>
      </c>
      <c r="B17" s="5" t="s">
        <v>927</v>
      </c>
      <c r="C17" s="6" t="s">
        <v>672</v>
      </c>
    </row>
    <row r="18" spans="1:3" x14ac:dyDescent="0.25">
      <c r="A18" s="4">
        <v>17</v>
      </c>
      <c r="B18" s="5" t="s">
        <v>928</v>
      </c>
      <c r="C18" s="6" t="s">
        <v>706</v>
      </c>
    </row>
    <row r="19" spans="1:3" x14ac:dyDescent="0.25">
      <c r="A19" s="4">
        <v>18</v>
      </c>
      <c r="B19" s="5" t="s">
        <v>929</v>
      </c>
      <c r="C19" s="6" t="s">
        <v>930</v>
      </c>
    </row>
    <row r="20" spans="1:3" x14ac:dyDescent="0.25">
      <c r="A20" s="4">
        <v>19</v>
      </c>
      <c r="B20" s="5" t="s">
        <v>931</v>
      </c>
      <c r="C20" s="6" t="s">
        <v>742</v>
      </c>
    </row>
    <row r="21" spans="1:3" x14ac:dyDescent="0.25">
      <c r="A21" s="4">
        <v>20</v>
      </c>
      <c r="B21" s="5" t="s">
        <v>932</v>
      </c>
      <c r="C21" s="6" t="s">
        <v>933</v>
      </c>
    </row>
    <row r="22" spans="1:3" x14ac:dyDescent="0.25">
      <c r="A22" s="4">
        <v>21</v>
      </c>
      <c r="B22" s="5" t="s">
        <v>934</v>
      </c>
      <c r="C22" s="6" t="s">
        <v>804</v>
      </c>
    </row>
    <row r="23" spans="1:3" x14ac:dyDescent="0.25">
      <c r="A23" s="4">
        <v>22</v>
      </c>
      <c r="B23" s="5" t="s">
        <v>935</v>
      </c>
      <c r="C23" s="6" t="s">
        <v>811</v>
      </c>
    </row>
    <row r="24" spans="1:3" x14ac:dyDescent="0.25">
      <c r="A24" s="4">
        <v>23</v>
      </c>
      <c r="B24" s="5" t="s">
        <v>936</v>
      </c>
      <c r="C24" s="6" t="s">
        <v>814</v>
      </c>
    </row>
    <row r="25" spans="1:3" x14ac:dyDescent="0.25">
      <c r="A25" s="4">
        <v>24</v>
      </c>
      <c r="B25" s="5" t="s">
        <v>937</v>
      </c>
      <c r="C25" s="6" t="s">
        <v>816</v>
      </c>
    </row>
    <row r="26" spans="1:3" x14ac:dyDescent="0.25">
      <c r="A26" s="4">
        <v>25</v>
      </c>
      <c r="B26" s="5" t="s">
        <v>938</v>
      </c>
      <c r="C26" s="6" t="s">
        <v>825</v>
      </c>
    </row>
    <row r="27" spans="1:3" x14ac:dyDescent="0.25">
      <c r="A27" s="4">
        <v>26</v>
      </c>
      <c r="B27" s="5" t="s">
        <v>939</v>
      </c>
      <c r="C27" s="6" t="s">
        <v>841</v>
      </c>
    </row>
    <row r="28" spans="1:3" x14ac:dyDescent="0.25">
      <c r="A28" s="4">
        <v>27</v>
      </c>
      <c r="B28" s="5" t="s">
        <v>940</v>
      </c>
      <c r="C28" s="6" t="s">
        <v>842</v>
      </c>
    </row>
    <row r="29" spans="1:3" x14ac:dyDescent="0.25">
      <c r="A29" s="4">
        <v>28</v>
      </c>
      <c r="B29" s="5" t="s">
        <v>941</v>
      </c>
      <c r="C29" s="6" t="s">
        <v>845</v>
      </c>
    </row>
    <row r="30" spans="1:3" x14ac:dyDescent="0.25">
      <c r="A30" s="4">
        <v>29</v>
      </c>
      <c r="B30" s="7" t="s">
        <v>942</v>
      </c>
      <c r="C30" s="6" t="s">
        <v>826</v>
      </c>
    </row>
    <row r="31" spans="1:3" x14ac:dyDescent="0.25">
      <c r="A31" s="4">
        <v>30</v>
      </c>
      <c r="B31" s="7" t="s">
        <v>943</v>
      </c>
      <c r="C31" s="6" t="s">
        <v>860</v>
      </c>
    </row>
  </sheetData>
  <hyperlinks>
    <hyperlink ref="B4" location="MIDCAP!A1" display="MIDCAP" xr:uid="{1E6B8696-0FAC-4DB7-9F0F-A11F8A251777}"/>
    <hyperlink ref="B5" location="MULTIP!A1" display="MULTIP" xr:uid="{FBE55B55-BDA6-45CD-A5A7-80C131CD0472}"/>
    <hyperlink ref="B6" location="SLTADV3!A1" display="SLTADV3" xr:uid="{A28283FB-88BB-4C9A-906B-1BC5FAC26ECD}"/>
    <hyperlink ref="B7" location="SLTADV4!A1" display="SLTADV4" xr:uid="{26740499-CF15-49FC-ACA4-427915BABADD}"/>
    <hyperlink ref="B8" location="SLTAX2!A1" display="SLTAX2" xr:uid="{340AE73A-DB2D-4028-AD6D-126B8C197D8A}"/>
    <hyperlink ref="B9" location="SLTAX3!A1" display="SLTAX3" xr:uid="{CE802188-0698-4C9E-A479-D6518BF71D67}"/>
    <hyperlink ref="B10" location="SLTAX4!A1" display="SLTAX4" xr:uid="{03EF8896-8CCF-418E-BF39-26DFD285337E}"/>
    <hyperlink ref="B11" location="SLTAX5!A1" display="SLTAX5" xr:uid="{DA5D5066-5B5B-4ADA-A597-6CCADC2A3582}"/>
    <hyperlink ref="B12" location="SLTAX6!A1" display="SLTAX6" xr:uid="{753A0ED1-6A32-46C1-9F15-DB41EF428F71}"/>
    <hyperlink ref="B13" location="SMILE!A1" display="SMILE" xr:uid="{810C31D3-EAD1-43AB-9F8A-BF2B30CAEBD2}"/>
    <hyperlink ref="B14" location="SPAHF!A1" display="SPAHF" xr:uid="{CE3D74CC-F6FE-404C-93E4-DD95167C499F}"/>
    <hyperlink ref="B15" location="SPARF!A1" display="SPARF" xr:uid="{2F77E45B-536C-4A81-AF41-E81BD6905A12}"/>
    <hyperlink ref="B16" location="SPBAF!A1" display="SPBAF" xr:uid="{48F727E1-49D0-4042-A7C7-24E9EB0CE394}"/>
    <hyperlink ref="B18" location="SPESF!A1" display="SPESF" xr:uid="{FE67FA1E-8D8D-42D9-B2C4-E46A88794EAE}"/>
    <hyperlink ref="B19" location="SPFOCUS!A1" display="SPFOCUS" xr:uid="{91EA1331-A7C1-4AD0-9A37-199FC65B95C4}"/>
    <hyperlink ref="B20" location="SPMUCF!A1" display="SPMUCF" xr:uid="{EF04C815-59EC-45A3-82C4-0C4FFBFE45D2}"/>
    <hyperlink ref="B21" location="SPSN100!A1" display="SPSN100" xr:uid="{9F2CB830-48DB-4191-BD51-701EBAFD4AE0}"/>
    <hyperlink ref="B22" location="SPTAX!A1" display="SPTAX" xr:uid="{5B005129-93CD-47C7-AD0F-391ADFBB864B}"/>
    <hyperlink ref="B23" location="SRURAL!A1" display="SRURAL" xr:uid="{CEB1621D-A6C0-4321-8CC0-59FCF38B41C6}"/>
    <hyperlink ref="B24" location="SSFUND!A1" display="SSFUND" xr:uid="{88437D3E-C578-4F17-8D3E-B8D84B9D659D}"/>
    <hyperlink ref="B25" location="STAX!A1" display="STAX" xr:uid="{FD584BB2-9607-4E2F-8B2E-4E22325E6537}"/>
    <hyperlink ref="B26" location="SUNBCF!A1" display="SUNBCF" xr:uid="{2BF3ABBF-7C99-4935-9FFA-9CE156420FA9}"/>
    <hyperlink ref="B28" location="SUNFOP!A1" display="SUNFOP" xr:uid="{660D9DD6-B2A6-4A4B-BB7B-5C358E543AA5}"/>
    <hyperlink ref="B3" location="GLOB!A1" display="GLOB" xr:uid="{B5F57529-6CCE-4158-910D-692C8FCE4254}"/>
    <hyperlink ref="B27" location="SUNFCF!A1" display="SUNFCF" xr:uid="{26941760-46F5-4CB1-BF37-ADBC02FE5CFB}"/>
    <hyperlink ref="B17" location="SPDYF!A1" display="SPDYF" xr:uid="{30935D8D-7C2C-4C91-99F5-85C379505D9F}"/>
    <hyperlink ref="B29" location="SUNMAF!A1" display="SUNMAF" xr:uid="{4FDC0181-C907-4312-8A48-90E5AFCE20E4}"/>
    <hyperlink ref="B2" location="CAPEXG!A1" display="CAPEXG" xr:uid="{7455B6F5-4D43-4C13-988E-6A6FE61CEECE}"/>
    <hyperlink ref="B30" location="SUNCYF!A1" display="SUNCYF" xr:uid="{FD06DF1B-BB58-4DE8-A80D-203DA57BC838}"/>
    <hyperlink ref="B31" location="SUNMFF!A1" display="SUNMFF" xr:uid="{1D65D9CF-6276-46FA-87AB-807D61368948}"/>
  </hyperlinks>
  <pageMargins left="0.7" right="0.7" top="0.75" bottom="0.75" header="0.3" footer="0.3"/>
  <headerFooter>
    <oddHeader>&amp;L&amp;"Calibri"&amp;10&amp;KFF0000 "Sensitivity: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6C637-0D4A-449D-9239-7AFBE9C5BD76}">
  <sheetPr>
    <outlinePr summaryBelow="0" summaryRight="0"/>
  </sheetPr>
  <dimension ref="A1:Q173"/>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1</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11</v>
      </c>
      <c r="C7" s="22" t="s">
        <v>12</v>
      </c>
      <c r="D7" s="22" t="s">
        <v>13</v>
      </c>
      <c r="E7" s="36">
        <v>415000</v>
      </c>
      <c r="F7" s="37">
        <v>7795.36</v>
      </c>
      <c r="G7" s="38">
        <v>8.2736160000000003E-2</v>
      </c>
      <c r="H7" s="29" t="s">
        <v>143</v>
      </c>
    </row>
    <row r="8" spans="1:9" ht="12.75" customHeight="1" x14ac:dyDescent="0.2">
      <c r="A8" s="35">
        <v>2</v>
      </c>
      <c r="B8" s="22" t="s">
        <v>14</v>
      </c>
      <c r="C8" s="22" t="s">
        <v>15</v>
      </c>
      <c r="D8" s="22" t="s">
        <v>16</v>
      </c>
      <c r="E8" s="36">
        <v>210000</v>
      </c>
      <c r="F8" s="37">
        <v>7683.9</v>
      </c>
      <c r="G8" s="38">
        <v>8.1553180000000003E-2</v>
      </c>
      <c r="H8" s="29" t="s">
        <v>143</v>
      </c>
    </row>
    <row r="9" spans="1:9" ht="12.75" customHeight="1" x14ac:dyDescent="0.2">
      <c r="A9" s="35">
        <v>3</v>
      </c>
      <c r="B9" s="22" t="s">
        <v>17</v>
      </c>
      <c r="C9" s="22" t="s">
        <v>18</v>
      </c>
      <c r="D9" s="22" t="s">
        <v>19</v>
      </c>
      <c r="E9" s="36">
        <v>525000</v>
      </c>
      <c r="F9" s="37">
        <v>7161</v>
      </c>
      <c r="G9" s="38">
        <v>7.6003379999999995E-2</v>
      </c>
      <c r="H9" s="29" t="s">
        <v>143</v>
      </c>
    </row>
    <row r="10" spans="1:9" ht="12.75" customHeight="1" x14ac:dyDescent="0.2">
      <c r="A10" s="35">
        <v>4</v>
      </c>
      <c r="B10" s="22" t="s">
        <v>20</v>
      </c>
      <c r="C10" s="22" t="s">
        <v>21</v>
      </c>
      <c r="D10" s="22" t="s">
        <v>22</v>
      </c>
      <c r="E10" s="36">
        <v>1340000</v>
      </c>
      <c r="F10" s="37">
        <v>4562.03</v>
      </c>
      <c r="G10" s="38">
        <v>4.8419169999999997E-2</v>
      </c>
      <c r="H10" s="29" t="s">
        <v>143</v>
      </c>
    </row>
    <row r="11" spans="1:9" ht="12.75" customHeight="1" x14ac:dyDescent="0.2">
      <c r="A11" s="35">
        <v>5</v>
      </c>
      <c r="B11" s="22" t="s">
        <v>23</v>
      </c>
      <c r="C11" s="22" t="s">
        <v>24</v>
      </c>
      <c r="D11" s="22" t="s">
        <v>25</v>
      </c>
      <c r="E11" s="36">
        <v>28000</v>
      </c>
      <c r="F11" s="37">
        <v>3422.16</v>
      </c>
      <c r="G11" s="38">
        <v>3.6321140000000002E-2</v>
      </c>
      <c r="H11" s="29" t="s">
        <v>143</v>
      </c>
    </row>
    <row r="12" spans="1:9" ht="12.75" customHeight="1" x14ac:dyDescent="0.2">
      <c r="A12" s="35">
        <v>6</v>
      </c>
      <c r="B12" s="22" t="s">
        <v>26</v>
      </c>
      <c r="C12" s="22" t="s">
        <v>27</v>
      </c>
      <c r="D12" s="22" t="s">
        <v>28</v>
      </c>
      <c r="E12" s="36">
        <v>675000</v>
      </c>
      <c r="F12" s="37">
        <v>2726.6624999999999</v>
      </c>
      <c r="G12" s="38">
        <v>2.8939469999999998E-2</v>
      </c>
      <c r="H12" s="29" t="s">
        <v>143</v>
      </c>
    </row>
    <row r="13" spans="1:9" ht="12.75" customHeight="1" x14ac:dyDescent="0.2">
      <c r="A13" s="35">
        <v>7</v>
      </c>
      <c r="B13" s="22" t="s">
        <v>29</v>
      </c>
      <c r="C13" s="22" t="s">
        <v>30</v>
      </c>
      <c r="D13" s="22" t="s">
        <v>22</v>
      </c>
      <c r="E13" s="36">
        <v>800000</v>
      </c>
      <c r="F13" s="37">
        <v>2242</v>
      </c>
      <c r="G13" s="38">
        <v>2.3795500000000001E-2</v>
      </c>
      <c r="H13" s="29" t="s">
        <v>143</v>
      </c>
    </row>
    <row r="14" spans="1:9" ht="12.75" customHeight="1" x14ac:dyDescent="0.2">
      <c r="A14" s="35">
        <v>8</v>
      </c>
      <c r="B14" s="22" t="s">
        <v>31</v>
      </c>
      <c r="C14" s="22" t="s">
        <v>32</v>
      </c>
      <c r="D14" s="22" t="s">
        <v>33</v>
      </c>
      <c r="E14" s="36">
        <v>145000</v>
      </c>
      <c r="F14" s="37">
        <v>1954.6</v>
      </c>
      <c r="G14" s="38">
        <v>2.0745179999999998E-2</v>
      </c>
      <c r="H14" s="29" t="s">
        <v>143</v>
      </c>
    </row>
    <row r="15" spans="1:9" ht="12.75" customHeight="1" x14ac:dyDescent="0.2">
      <c r="A15" s="35">
        <v>9</v>
      </c>
      <c r="B15" s="22" t="s">
        <v>34</v>
      </c>
      <c r="C15" s="22" t="s">
        <v>35</v>
      </c>
      <c r="D15" s="22" t="s">
        <v>19</v>
      </c>
      <c r="E15" s="36">
        <v>575000</v>
      </c>
      <c r="F15" s="37">
        <v>1952.9875</v>
      </c>
      <c r="G15" s="38">
        <v>2.072806E-2</v>
      </c>
      <c r="H15" s="29" t="s">
        <v>143</v>
      </c>
    </row>
    <row r="16" spans="1:9" ht="12.75" customHeight="1" x14ac:dyDescent="0.2">
      <c r="A16" s="35">
        <v>10</v>
      </c>
      <c r="B16" s="22" t="s">
        <v>36</v>
      </c>
      <c r="C16" s="22" t="s">
        <v>37</v>
      </c>
      <c r="D16" s="22" t="s">
        <v>38</v>
      </c>
      <c r="E16" s="36">
        <v>64000</v>
      </c>
      <c r="F16" s="37">
        <v>1894.72</v>
      </c>
      <c r="G16" s="38">
        <v>2.0109640000000002E-2</v>
      </c>
      <c r="H16" s="29" t="s">
        <v>143</v>
      </c>
    </row>
    <row r="17" spans="1:8" ht="12.75" customHeight="1" x14ac:dyDescent="0.2">
      <c r="A17" s="35">
        <v>11</v>
      </c>
      <c r="B17" s="22" t="s">
        <v>39</v>
      </c>
      <c r="C17" s="22" t="s">
        <v>40</v>
      </c>
      <c r="D17" s="22" t="s">
        <v>41</v>
      </c>
      <c r="E17" s="36">
        <v>125000</v>
      </c>
      <c r="F17" s="37">
        <v>1815.5</v>
      </c>
      <c r="G17" s="38">
        <v>1.9268839999999999E-2</v>
      </c>
      <c r="H17" s="29" t="s">
        <v>143</v>
      </c>
    </row>
    <row r="18" spans="1:8" ht="12.75" customHeight="1" x14ac:dyDescent="0.2">
      <c r="A18" s="35">
        <v>12</v>
      </c>
      <c r="B18" s="22" t="s">
        <v>42</v>
      </c>
      <c r="C18" s="22" t="s">
        <v>43</v>
      </c>
      <c r="D18" s="22" t="s">
        <v>33</v>
      </c>
      <c r="E18" s="36">
        <v>200000</v>
      </c>
      <c r="F18" s="37">
        <v>1744.9</v>
      </c>
      <c r="G18" s="38">
        <v>1.8519520000000001E-2</v>
      </c>
      <c r="H18" s="29" t="s">
        <v>143</v>
      </c>
    </row>
    <row r="19" spans="1:8" ht="12.75" customHeight="1" x14ac:dyDescent="0.2">
      <c r="A19" s="35">
        <v>13</v>
      </c>
      <c r="B19" s="22" t="s">
        <v>44</v>
      </c>
      <c r="C19" s="22" t="s">
        <v>45</v>
      </c>
      <c r="D19" s="22" t="s">
        <v>46</v>
      </c>
      <c r="E19" s="36">
        <v>21500</v>
      </c>
      <c r="F19" s="37">
        <v>1739.135</v>
      </c>
      <c r="G19" s="38">
        <v>1.8458329999999998E-2</v>
      </c>
      <c r="H19" s="29" t="s">
        <v>143</v>
      </c>
    </row>
    <row r="20" spans="1:8" ht="12.75" customHeight="1" x14ac:dyDescent="0.2">
      <c r="A20" s="35">
        <v>14</v>
      </c>
      <c r="B20" s="22" t="s">
        <v>47</v>
      </c>
      <c r="C20" s="22" t="s">
        <v>48</v>
      </c>
      <c r="D20" s="22" t="s">
        <v>16</v>
      </c>
      <c r="E20" s="36">
        <v>138000</v>
      </c>
      <c r="F20" s="37">
        <v>1731.624</v>
      </c>
      <c r="G20" s="38">
        <v>1.8378619999999998E-2</v>
      </c>
      <c r="H20" s="29" t="s">
        <v>143</v>
      </c>
    </row>
    <row r="21" spans="1:8" ht="12.75" customHeight="1" x14ac:dyDescent="0.2">
      <c r="A21" s="35">
        <v>15</v>
      </c>
      <c r="B21" s="22" t="s">
        <v>49</v>
      </c>
      <c r="C21" s="22" t="s">
        <v>50</v>
      </c>
      <c r="D21" s="22" t="s">
        <v>22</v>
      </c>
      <c r="E21" s="36">
        <v>415000</v>
      </c>
      <c r="F21" s="37">
        <v>1612.8975</v>
      </c>
      <c r="G21" s="38">
        <v>1.711851E-2</v>
      </c>
      <c r="H21" s="29" t="s">
        <v>143</v>
      </c>
    </row>
    <row r="22" spans="1:8" ht="12.75" customHeight="1" x14ac:dyDescent="0.2">
      <c r="A22" s="35">
        <v>16</v>
      </c>
      <c r="B22" s="22" t="s">
        <v>51</v>
      </c>
      <c r="C22" s="22" t="s">
        <v>52</v>
      </c>
      <c r="D22" s="22" t="s">
        <v>53</v>
      </c>
      <c r="E22" s="36">
        <v>100000</v>
      </c>
      <c r="F22" s="37">
        <v>1403.5</v>
      </c>
      <c r="G22" s="38">
        <v>1.4896070000000001E-2</v>
      </c>
      <c r="H22" s="29" t="s">
        <v>143</v>
      </c>
    </row>
    <row r="23" spans="1:8" ht="12.75" customHeight="1" x14ac:dyDescent="0.2">
      <c r="A23" s="35">
        <v>17</v>
      </c>
      <c r="B23" s="22" t="s">
        <v>54</v>
      </c>
      <c r="C23" s="22" t="s">
        <v>55</v>
      </c>
      <c r="D23" s="22" t="s">
        <v>56</v>
      </c>
      <c r="E23" s="36">
        <v>25000</v>
      </c>
      <c r="F23" s="37">
        <v>1398.625</v>
      </c>
      <c r="G23" s="38">
        <v>1.4844329999999999E-2</v>
      </c>
      <c r="H23" s="29" t="s">
        <v>143</v>
      </c>
    </row>
    <row r="24" spans="1:8" ht="12.75" customHeight="1" x14ac:dyDescent="0.2">
      <c r="A24" s="35">
        <v>18</v>
      </c>
      <c r="B24" s="22" t="s">
        <v>57</v>
      </c>
      <c r="C24" s="22" t="s">
        <v>58</v>
      </c>
      <c r="D24" s="22" t="s">
        <v>38</v>
      </c>
      <c r="E24" s="36">
        <v>2500000</v>
      </c>
      <c r="F24" s="37">
        <v>1376.25</v>
      </c>
      <c r="G24" s="38">
        <v>1.4606849999999999E-2</v>
      </c>
      <c r="H24" s="29" t="s">
        <v>143</v>
      </c>
    </row>
    <row r="25" spans="1:8" ht="12.75" customHeight="1" x14ac:dyDescent="0.2">
      <c r="A25" s="35">
        <v>19</v>
      </c>
      <c r="B25" s="22" t="s">
        <v>59</v>
      </c>
      <c r="C25" s="22" t="s">
        <v>60</v>
      </c>
      <c r="D25" s="22" t="s">
        <v>61</v>
      </c>
      <c r="E25" s="36">
        <v>550000</v>
      </c>
      <c r="F25" s="37">
        <v>1317.25</v>
      </c>
      <c r="G25" s="38">
        <v>1.3980650000000001E-2</v>
      </c>
      <c r="H25" s="29" t="s">
        <v>143</v>
      </c>
    </row>
    <row r="26" spans="1:8" ht="12.75" customHeight="1" x14ac:dyDescent="0.2">
      <c r="A26" s="35">
        <v>20</v>
      </c>
      <c r="B26" s="22" t="s">
        <v>62</v>
      </c>
      <c r="C26" s="22" t="s">
        <v>63</v>
      </c>
      <c r="D26" s="22" t="s">
        <v>64</v>
      </c>
      <c r="E26" s="36">
        <v>33000</v>
      </c>
      <c r="F26" s="37">
        <v>1295.7449999999999</v>
      </c>
      <c r="G26" s="38">
        <v>1.375241E-2</v>
      </c>
      <c r="H26" s="29" t="s">
        <v>143</v>
      </c>
    </row>
    <row r="27" spans="1:8" ht="12.75" customHeight="1" x14ac:dyDescent="0.2">
      <c r="A27" s="35">
        <v>21</v>
      </c>
      <c r="B27" s="22" t="s">
        <v>65</v>
      </c>
      <c r="C27" s="22" t="s">
        <v>66</v>
      </c>
      <c r="D27" s="22" t="s">
        <v>64</v>
      </c>
      <c r="E27" s="36">
        <v>155000</v>
      </c>
      <c r="F27" s="37">
        <v>1273.48</v>
      </c>
      <c r="G27" s="38">
        <v>1.35161E-2</v>
      </c>
      <c r="H27" s="29" t="s">
        <v>143</v>
      </c>
    </row>
    <row r="28" spans="1:8" ht="12.75" customHeight="1" x14ac:dyDescent="0.2">
      <c r="A28" s="35">
        <v>22</v>
      </c>
      <c r="B28" s="22" t="s">
        <v>67</v>
      </c>
      <c r="C28" s="22" t="s">
        <v>68</v>
      </c>
      <c r="D28" s="22" t="s">
        <v>25</v>
      </c>
      <c r="E28" s="36">
        <v>20000</v>
      </c>
      <c r="F28" s="37">
        <v>1260</v>
      </c>
      <c r="G28" s="38">
        <v>1.3373029999999999E-2</v>
      </c>
      <c r="H28" s="29" t="s">
        <v>143</v>
      </c>
    </row>
    <row r="29" spans="1:8" ht="12.75" customHeight="1" x14ac:dyDescent="0.2">
      <c r="A29" s="35">
        <v>23</v>
      </c>
      <c r="B29" s="22" t="s">
        <v>69</v>
      </c>
      <c r="C29" s="22" t="s">
        <v>70</v>
      </c>
      <c r="D29" s="22" t="s">
        <v>64</v>
      </c>
      <c r="E29" s="36">
        <v>25000</v>
      </c>
      <c r="F29" s="37">
        <v>1232.875</v>
      </c>
      <c r="G29" s="38">
        <v>1.308514E-2</v>
      </c>
      <c r="H29" s="29" t="s">
        <v>143</v>
      </c>
    </row>
    <row r="30" spans="1:8" ht="12.75" customHeight="1" x14ac:dyDescent="0.2">
      <c r="A30" s="35">
        <v>24</v>
      </c>
      <c r="B30" s="22" t="s">
        <v>71</v>
      </c>
      <c r="C30" s="22" t="s">
        <v>72</v>
      </c>
      <c r="D30" s="22" t="s">
        <v>41</v>
      </c>
      <c r="E30" s="36">
        <v>9500</v>
      </c>
      <c r="F30" s="37">
        <v>1225.9749999999999</v>
      </c>
      <c r="G30" s="38">
        <v>1.30119E-2</v>
      </c>
      <c r="H30" s="29" t="s">
        <v>143</v>
      </c>
    </row>
    <row r="31" spans="1:8" ht="12.75" customHeight="1" x14ac:dyDescent="0.2">
      <c r="A31" s="35">
        <v>25</v>
      </c>
      <c r="B31" s="22" t="s">
        <v>73</v>
      </c>
      <c r="C31" s="22" t="s">
        <v>74</v>
      </c>
      <c r="D31" s="22" t="s">
        <v>75</v>
      </c>
      <c r="E31" s="36">
        <v>675000</v>
      </c>
      <c r="F31" s="37">
        <v>1189.9575</v>
      </c>
      <c r="G31" s="38">
        <v>1.2629629999999999E-2</v>
      </c>
      <c r="H31" s="29" t="s">
        <v>143</v>
      </c>
    </row>
    <row r="32" spans="1:8" ht="12.75" customHeight="1" x14ac:dyDescent="0.2">
      <c r="A32" s="35">
        <v>26</v>
      </c>
      <c r="B32" s="22" t="s">
        <v>76</v>
      </c>
      <c r="C32" s="22" t="s">
        <v>77</v>
      </c>
      <c r="D32" s="22" t="s">
        <v>64</v>
      </c>
      <c r="E32" s="36">
        <v>29000</v>
      </c>
      <c r="F32" s="37">
        <v>1178.067</v>
      </c>
      <c r="G32" s="38">
        <v>1.2503429999999999E-2</v>
      </c>
      <c r="H32" s="29" t="s">
        <v>143</v>
      </c>
    </row>
    <row r="33" spans="1:8" ht="12.75" customHeight="1" x14ac:dyDescent="0.2">
      <c r="A33" s="35">
        <v>27</v>
      </c>
      <c r="B33" s="22" t="s">
        <v>78</v>
      </c>
      <c r="C33" s="22" t="s">
        <v>79</v>
      </c>
      <c r="D33" s="22" t="s">
        <v>38</v>
      </c>
      <c r="E33" s="36">
        <v>6500</v>
      </c>
      <c r="F33" s="37">
        <v>1170.0650000000001</v>
      </c>
      <c r="G33" s="38">
        <v>1.2418500000000001E-2</v>
      </c>
      <c r="H33" s="29" t="s">
        <v>143</v>
      </c>
    </row>
    <row r="34" spans="1:8" ht="12.75" customHeight="1" x14ac:dyDescent="0.2">
      <c r="A34" s="35">
        <v>28</v>
      </c>
      <c r="B34" s="22" t="s">
        <v>80</v>
      </c>
      <c r="C34" s="22" t="s">
        <v>81</v>
      </c>
      <c r="D34" s="22" t="s">
        <v>38</v>
      </c>
      <c r="E34" s="36">
        <v>190000</v>
      </c>
      <c r="F34" s="37">
        <v>1122.615</v>
      </c>
      <c r="G34" s="38">
        <v>1.1914889999999999E-2</v>
      </c>
      <c r="H34" s="29" t="s">
        <v>143</v>
      </c>
    </row>
    <row r="35" spans="1:8" ht="12.75" customHeight="1" x14ac:dyDescent="0.2">
      <c r="A35" s="35">
        <v>29</v>
      </c>
      <c r="B35" s="22" t="s">
        <v>82</v>
      </c>
      <c r="C35" s="22" t="s">
        <v>83</v>
      </c>
      <c r="D35" s="22" t="s">
        <v>13</v>
      </c>
      <c r="E35" s="36">
        <v>325000</v>
      </c>
      <c r="F35" s="37">
        <v>1114.425</v>
      </c>
      <c r="G35" s="38">
        <v>1.182797E-2</v>
      </c>
      <c r="H35" s="29" t="s">
        <v>143</v>
      </c>
    </row>
    <row r="36" spans="1:8" ht="12.75" customHeight="1" x14ac:dyDescent="0.2">
      <c r="A36" s="35">
        <v>30</v>
      </c>
      <c r="B36" s="22" t="s">
        <v>84</v>
      </c>
      <c r="C36" s="22" t="s">
        <v>85</v>
      </c>
      <c r="D36" s="22" t="s">
        <v>41</v>
      </c>
      <c r="E36" s="36">
        <v>16000</v>
      </c>
      <c r="F36" s="37">
        <v>1086.96</v>
      </c>
      <c r="G36" s="38">
        <v>1.153647E-2</v>
      </c>
      <c r="H36" s="29" t="s">
        <v>143</v>
      </c>
    </row>
    <row r="37" spans="1:8" ht="12.75" customHeight="1" x14ac:dyDescent="0.2">
      <c r="A37" s="35">
        <v>31</v>
      </c>
      <c r="B37" s="22" t="s">
        <v>86</v>
      </c>
      <c r="C37" s="22" t="s">
        <v>87</v>
      </c>
      <c r="D37" s="22" t="s">
        <v>13</v>
      </c>
      <c r="E37" s="36">
        <v>65000</v>
      </c>
      <c r="F37" s="37">
        <v>1078.8699999999999</v>
      </c>
      <c r="G37" s="38">
        <v>1.14506E-2</v>
      </c>
      <c r="H37" s="29" t="s">
        <v>143</v>
      </c>
    </row>
    <row r="38" spans="1:8" ht="12.75" customHeight="1" x14ac:dyDescent="0.2">
      <c r="A38" s="35">
        <v>32</v>
      </c>
      <c r="B38" s="22" t="s">
        <v>88</v>
      </c>
      <c r="C38" s="22" t="s">
        <v>89</v>
      </c>
      <c r="D38" s="22" t="s">
        <v>90</v>
      </c>
      <c r="E38" s="36">
        <v>120000</v>
      </c>
      <c r="F38" s="37">
        <v>1075.26</v>
      </c>
      <c r="G38" s="38">
        <v>1.141229E-2</v>
      </c>
      <c r="H38" s="29" t="s">
        <v>143</v>
      </c>
    </row>
    <row r="39" spans="1:8" ht="12.75" customHeight="1" x14ac:dyDescent="0.2">
      <c r="A39" s="35">
        <v>33</v>
      </c>
      <c r="B39" s="22" t="s">
        <v>91</v>
      </c>
      <c r="C39" s="22" t="s">
        <v>92</v>
      </c>
      <c r="D39" s="22" t="s">
        <v>22</v>
      </c>
      <c r="E39" s="36">
        <v>88000</v>
      </c>
      <c r="F39" s="37">
        <v>1072.6320000000001</v>
      </c>
      <c r="G39" s="38">
        <v>1.1384399999999999E-2</v>
      </c>
      <c r="H39" s="29" t="s">
        <v>143</v>
      </c>
    </row>
    <row r="40" spans="1:8" ht="12.75" customHeight="1" x14ac:dyDescent="0.2">
      <c r="A40" s="35">
        <v>34</v>
      </c>
      <c r="B40" s="22" t="s">
        <v>93</v>
      </c>
      <c r="C40" s="22" t="s">
        <v>94</v>
      </c>
      <c r="D40" s="22" t="s">
        <v>56</v>
      </c>
      <c r="E40" s="36">
        <v>235000</v>
      </c>
      <c r="F40" s="37">
        <v>1057.6175000000001</v>
      </c>
      <c r="G40" s="38">
        <v>1.122504E-2</v>
      </c>
      <c r="H40" s="29" t="s">
        <v>143</v>
      </c>
    </row>
    <row r="41" spans="1:8" ht="12.75" customHeight="1" x14ac:dyDescent="0.2">
      <c r="A41" s="35">
        <v>35</v>
      </c>
      <c r="B41" s="22" t="s">
        <v>95</v>
      </c>
      <c r="C41" s="22" t="s">
        <v>96</v>
      </c>
      <c r="D41" s="22" t="s">
        <v>41</v>
      </c>
      <c r="E41" s="36">
        <v>25000</v>
      </c>
      <c r="F41" s="37">
        <v>1052.2</v>
      </c>
      <c r="G41" s="38">
        <v>1.116754E-2</v>
      </c>
      <c r="H41" s="29" t="s">
        <v>143</v>
      </c>
    </row>
    <row r="42" spans="1:8" ht="12.75" customHeight="1" x14ac:dyDescent="0.2">
      <c r="A42" s="35">
        <v>36</v>
      </c>
      <c r="B42" s="22" t="s">
        <v>97</v>
      </c>
      <c r="C42" s="22" t="s">
        <v>98</v>
      </c>
      <c r="D42" s="22" t="s">
        <v>90</v>
      </c>
      <c r="E42" s="36">
        <v>67000</v>
      </c>
      <c r="F42" s="37">
        <v>1032.8050000000001</v>
      </c>
      <c r="G42" s="38">
        <v>1.096169E-2</v>
      </c>
      <c r="H42" s="29" t="s">
        <v>143</v>
      </c>
    </row>
    <row r="43" spans="1:8" ht="12.75" customHeight="1" x14ac:dyDescent="0.2">
      <c r="A43" s="35">
        <v>37</v>
      </c>
      <c r="B43" s="22" t="s">
        <v>99</v>
      </c>
      <c r="C43" s="22" t="s">
        <v>100</v>
      </c>
      <c r="D43" s="22" t="s">
        <v>38</v>
      </c>
      <c r="E43" s="36">
        <v>33000</v>
      </c>
      <c r="F43" s="37">
        <v>1032.636</v>
      </c>
      <c r="G43" s="38">
        <v>1.09599E-2</v>
      </c>
      <c r="H43" s="29" t="s">
        <v>143</v>
      </c>
    </row>
    <row r="44" spans="1:8" ht="12.75" customHeight="1" x14ac:dyDescent="0.2">
      <c r="A44" s="35">
        <v>38</v>
      </c>
      <c r="B44" s="22" t="s">
        <v>101</v>
      </c>
      <c r="C44" s="22" t="s">
        <v>102</v>
      </c>
      <c r="D44" s="22" t="s">
        <v>64</v>
      </c>
      <c r="E44" s="36">
        <v>112000</v>
      </c>
      <c r="F44" s="37">
        <v>1029.056</v>
      </c>
      <c r="G44" s="38">
        <v>1.09219E-2</v>
      </c>
      <c r="H44" s="29" t="s">
        <v>143</v>
      </c>
    </row>
    <row r="45" spans="1:8" ht="12.75" customHeight="1" x14ac:dyDescent="0.2">
      <c r="A45" s="35">
        <v>39</v>
      </c>
      <c r="B45" s="22" t="s">
        <v>103</v>
      </c>
      <c r="C45" s="22" t="s">
        <v>104</v>
      </c>
      <c r="D45" s="22" t="s">
        <v>25</v>
      </c>
      <c r="E45" s="36">
        <v>175000</v>
      </c>
      <c r="F45" s="37">
        <v>997.41250000000002</v>
      </c>
      <c r="G45" s="38">
        <v>1.058605E-2</v>
      </c>
      <c r="H45" s="29" t="s">
        <v>143</v>
      </c>
    </row>
    <row r="46" spans="1:8" ht="12.75" customHeight="1" x14ac:dyDescent="0.2">
      <c r="A46" s="35">
        <v>40</v>
      </c>
      <c r="B46" s="22" t="s">
        <v>105</v>
      </c>
      <c r="C46" s="22" t="s">
        <v>106</v>
      </c>
      <c r="D46" s="22" t="s">
        <v>38</v>
      </c>
      <c r="E46" s="36">
        <v>175000</v>
      </c>
      <c r="F46" s="37">
        <v>993.82500000000005</v>
      </c>
      <c r="G46" s="38">
        <v>1.054798E-2</v>
      </c>
      <c r="H46" s="29" t="s">
        <v>143</v>
      </c>
    </row>
    <row r="47" spans="1:8" ht="12.75" customHeight="1" x14ac:dyDescent="0.2">
      <c r="A47" s="35">
        <v>41</v>
      </c>
      <c r="B47" s="22" t="s">
        <v>107</v>
      </c>
      <c r="C47" s="22" t="s">
        <v>108</v>
      </c>
      <c r="D47" s="22" t="s">
        <v>64</v>
      </c>
      <c r="E47" s="36">
        <v>77000</v>
      </c>
      <c r="F47" s="37">
        <v>926.61800000000005</v>
      </c>
      <c r="G47" s="38">
        <v>9.8346700000000002E-3</v>
      </c>
      <c r="H47" s="29" t="s">
        <v>143</v>
      </c>
    </row>
    <row r="48" spans="1:8" ht="12.75" customHeight="1" x14ac:dyDescent="0.2">
      <c r="A48" s="35">
        <v>42</v>
      </c>
      <c r="B48" s="22" t="s">
        <v>109</v>
      </c>
      <c r="C48" s="22" t="s">
        <v>110</v>
      </c>
      <c r="D48" s="22" t="s">
        <v>38</v>
      </c>
      <c r="E48" s="36">
        <v>160000</v>
      </c>
      <c r="F48" s="37">
        <v>830.32</v>
      </c>
      <c r="G48" s="38">
        <v>8.8126100000000002E-3</v>
      </c>
      <c r="H48" s="29" t="s">
        <v>143</v>
      </c>
    </row>
    <row r="49" spans="1:8" ht="12.75" customHeight="1" x14ac:dyDescent="0.2">
      <c r="A49" s="35">
        <v>43</v>
      </c>
      <c r="B49" s="22" t="s">
        <v>111</v>
      </c>
      <c r="C49" s="22" t="s">
        <v>112</v>
      </c>
      <c r="D49" s="22" t="s">
        <v>38</v>
      </c>
      <c r="E49" s="36">
        <v>16000</v>
      </c>
      <c r="F49" s="37">
        <v>829.32799999999997</v>
      </c>
      <c r="G49" s="38">
        <v>8.8020900000000003E-3</v>
      </c>
      <c r="H49" s="29" t="s">
        <v>143</v>
      </c>
    </row>
    <row r="50" spans="1:8" ht="12.75" customHeight="1" x14ac:dyDescent="0.2">
      <c r="A50" s="35">
        <v>44</v>
      </c>
      <c r="B50" s="22" t="s">
        <v>113</v>
      </c>
      <c r="C50" s="22" t="s">
        <v>114</v>
      </c>
      <c r="D50" s="22" t="s">
        <v>16</v>
      </c>
      <c r="E50" s="36">
        <v>380000</v>
      </c>
      <c r="F50" s="37">
        <v>788.80399999999997</v>
      </c>
      <c r="G50" s="38">
        <v>8.3719799999999994E-3</v>
      </c>
      <c r="H50" s="29" t="s">
        <v>143</v>
      </c>
    </row>
    <row r="51" spans="1:8" ht="12.75" customHeight="1" x14ac:dyDescent="0.2">
      <c r="A51" s="35">
        <v>45</v>
      </c>
      <c r="B51" s="22" t="s">
        <v>115</v>
      </c>
      <c r="C51" s="22" t="s">
        <v>116</v>
      </c>
      <c r="D51" s="22" t="s">
        <v>38</v>
      </c>
      <c r="E51" s="36">
        <v>325000</v>
      </c>
      <c r="F51" s="37">
        <v>774.96249999999998</v>
      </c>
      <c r="G51" s="38">
        <v>8.2250799999999992E-3</v>
      </c>
      <c r="H51" s="29" t="s">
        <v>143</v>
      </c>
    </row>
    <row r="52" spans="1:8" ht="12.75" customHeight="1" x14ac:dyDescent="0.2">
      <c r="A52" s="35">
        <v>46</v>
      </c>
      <c r="B52" s="22" t="s">
        <v>117</v>
      </c>
      <c r="C52" s="22" t="s">
        <v>118</v>
      </c>
      <c r="D52" s="22" t="s">
        <v>64</v>
      </c>
      <c r="E52" s="36">
        <v>45000</v>
      </c>
      <c r="F52" s="37">
        <v>758.745</v>
      </c>
      <c r="G52" s="38">
        <v>8.0529499999999997E-3</v>
      </c>
      <c r="H52" s="29" t="s">
        <v>143</v>
      </c>
    </row>
    <row r="53" spans="1:8" ht="12.75" customHeight="1" x14ac:dyDescent="0.2">
      <c r="A53" s="35">
        <v>47</v>
      </c>
      <c r="B53" s="22" t="s">
        <v>119</v>
      </c>
      <c r="C53" s="22" t="s">
        <v>120</v>
      </c>
      <c r="D53" s="22" t="s">
        <v>38</v>
      </c>
      <c r="E53" s="36">
        <v>21000</v>
      </c>
      <c r="F53" s="37">
        <v>720.88800000000003</v>
      </c>
      <c r="G53" s="38">
        <v>7.6511599999999997E-3</v>
      </c>
      <c r="H53" s="29" t="s">
        <v>143</v>
      </c>
    </row>
    <row r="54" spans="1:8" ht="12.75" customHeight="1" x14ac:dyDescent="0.2">
      <c r="A54" s="35">
        <v>48</v>
      </c>
      <c r="B54" s="22" t="s">
        <v>121</v>
      </c>
      <c r="C54" s="22" t="s">
        <v>122</v>
      </c>
      <c r="D54" s="22" t="s">
        <v>46</v>
      </c>
      <c r="E54" s="36">
        <v>4000</v>
      </c>
      <c r="F54" s="37">
        <v>652.88</v>
      </c>
      <c r="G54" s="38">
        <v>6.9293499999999999E-3</v>
      </c>
      <c r="H54" s="29" t="s">
        <v>143</v>
      </c>
    </row>
    <row r="55" spans="1:8" ht="12.75" customHeight="1" x14ac:dyDescent="0.2">
      <c r="A55" s="35">
        <v>49</v>
      </c>
      <c r="B55" s="22" t="s">
        <v>123</v>
      </c>
      <c r="C55" s="22" t="s">
        <v>124</v>
      </c>
      <c r="D55" s="22" t="s">
        <v>16</v>
      </c>
      <c r="E55" s="36">
        <v>70000</v>
      </c>
      <c r="F55" s="37">
        <v>650.86</v>
      </c>
      <c r="G55" s="38">
        <v>6.9079099999999997E-3</v>
      </c>
      <c r="H55" s="29" t="s">
        <v>143</v>
      </c>
    </row>
    <row r="56" spans="1:8" ht="12.75" customHeight="1" x14ac:dyDescent="0.2">
      <c r="A56" s="35">
        <v>50</v>
      </c>
      <c r="B56" s="22" t="s">
        <v>125</v>
      </c>
      <c r="C56" s="22" t="s">
        <v>126</v>
      </c>
      <c r="D56" s="22" t="s">
        <v>38</v>
      </c>
      <c r="E56" s="36">
        <v>20000</v>
      </c>
      <c r="F56" s="37">
        <v>634.05999999999995</v>
      </c>
      <c r="G56" s="38">
        <v>6.7296099999999996E-3</v>
      </c>
      <c r="H56" s="29" t="s">
        <v>143</v>
      </c>
    </row>
    <row r="57" spans="1:8" ht="12.75" customHeight="1" x14ac:dyDescent="0.2">
      <c r="A57" s="35">
        <v>51</v>
      </c>
      <c r="B57" s="22" t="s">
        <v>127</v>
      </c>
      <c r="C57" s="22" t="s">
        <v>128</v>
      </c>
      <c r="D57" s="22" t="s">
        <v>56</v>
      </c>
      <c r="E57" s="36">
        <v>112500</v>
      </c>
      <c r="F57" s="37">
        <v>591.52499999999998</v>
      </c>
      <c r="G57" s="38">
        <v>6.2781599999999996E-3</v>
      </c>
      <c r="H57" s="29" t="s">
        <v>143</v>
      </c>
    </row>
    <row r="58" spans="1:8" ht="12.75" customHeight="1" x14ac:dyDescent="0.2">
      <c r="A58" s="35">
        <v>52</v>
      </c>
      <c r="B58" s="22" t="s">
        <v>129</v>
      </c>
      <c r="C58" s="22" t="s">
        <v>130</v>
      </c>
      <c r="D58" s="22" t="s">
        <v>41</v>
      </c>
      <c r="E58" s="36">
        <v>45000</v>
      </c>
      <c r="F58" s="37">
        <v>545.58000000000004</v>
      </c>
      <c r="G58" s="38">
        <v>5.7905200000000004E-3</v>
      </c>
      <c r="H58" s="29" t="s">
        <v>143</v>
      </c>
    </row>
    <row r="59" spans="1:8" ht="12.75" customHeight="1" x14ac:dyDescent="0.2">
      <c r="A59" s="35">
        <v>53</v>
      </c>
      <c r="B59" s="22" t="s">
        <v>131</v>
      </c>
      <c r="C59" s="22" t="s">
        <v>132</v>
      </c>
      <c r="D59" s="22" t="s">
        <v>133</v>
      </c>
      <c r="E59" s="36">
        <v>50000</v>
      </c>
      <c r="F59" s="37">
        <v>531.875</v>
      </c>
      <c r="G59" s="38">
        <v>5.6450600000000004E-3</v>
      </c>
      <c r="H59" s="29" t="s">
        <v>143</v>
      </c>
    </row>
    <row r="60" spans="1:8" ht="12.75" customHeight="1" x14ac:dyDescent="0.2">
      <c r="A60" s="35">
        <v>54</v>
      </c>
      <c r="B60" s="22" t="s">
        <v>134</v>
      </c>
      <c r="C60" s="22" t="s">
        <v>135</v>
      </c>
      <c r="D60" s="22" t="s">
        <v>64</v>
      </c>
      <c r="E60" s="36">
        <v>70000</v>
      </c>
      <c r="F60" s="37">
        <v>505.4</v>
      </c>
      <c r="G60" s="38">
        <v>5.3640700000000003E-3</v>
      </c>
      <c r="H60" s="29" t="s">
        <v>143</v>
      </c>
    </row>
    <row r="61" spans="1:8" ht="12.75" customHeight="1" x14ac:dyDescent="0.2">
      <c r="A61" s="35">
        <v>55</v>
      </c>
      <c r="B61" s="22" t="s">
        <v>136</v>
      </c>
      <c r="C61" s="22" t="s">
        <v>137</v>
      </c>
      <c r="D61" s="22" t="s">
        <v>138</v>
      </c>
      <c r="E61" s="36">
        <v>135000</v>
      </c>
      <c r="F61" s="37">
        <v>445.4325</v>
      </c>
      <c r="G61" s="38">
        <v>4.7276000000000002E-3</v>
      </c>
      <c r="H61" s="29" t="s">
        <v>143</v>
      </c>
    </row>
    <row r="62" spans="1:8" ht="12.75" customHeight="1" x14ac:dyDescent="0.2">
      <c r="A62" s="39"/>
      <c r="B62" s="39"/>
      <c r="C62" s="40" t="s">
        <v>142</v>
      </c>
      <c r="D62" s="39"/>
      <c r="E62" s="39" t="s">
        <v>143</v>
      </c>
      <c r="F62" s="41">
        <v>89294.858011189004</v>
      </c>
      <c r="G62" s="42">
        <v>0.94773227999999998</v>
      </c>
      <c r="H62" s="29" t="s">
        <v>143</v>
      </c>
    </row>
    <row r="63" spans="1:8" ht="12.75" customHeight="1" x14ac:dyDescent="0.2">
      <c r="A63" s="39"/>
      <c r="B63" s="39"/>
      <c r="C63" s="43"/>
      <c r="D63" s="39"/>
      <c r="E63" s="39"/>
      <c r="F63" s="44"/>
      <c r="G63" s="44"/>
      <c r="H63" s="29" t="s">
        <v>143</v>
      </c>
    </row>
    <row r="64" spans="1:8" ht="12.75" customHeight="1" x14ac:dyDescent="0.2">
      <c r="A64" s="39"/>
      <c r="B64" s="39"/>
      <c r="C64" s="40" t="s">
        <v>144</v>
      </c>
      <c r="D64" s="39"/>
      <c r="E64" s="39"/>
      <c r="F64" s="39"/>
      <c r="G64" s="39"/>
      <c r="H64" s="29" t="s">
        <v>143</v>
      </c>
    </row>
    <row r="65" spans="1:8" ht="12.75" customHeight="1" x14ac:dyDescent="0.2">
      <c r="A65" s="39"/>
      <c r="B65" s="39"/>
      <c r="C65" s="40" t="s">
        <v>142</v>
      </c>
      <c r="D65" s="39"/>
      <c r="E65" s="39" t="s">
        <v>143</v>
      </c>
      <c r="F65" s="45" t="s">
        <v>145</v>
      </c>
      <c r="G65" s="42">
        <v>0</v>
      </c>
      <c r="H65" s="29" t="s">
        <v>143</v>
      </c>
    </row>
    <row r="66" spans="1:8" ht="12.75" customHeight="1" x14ac:dyDescent="0.2">
      <c r="A66" s="39"/>
      <c r="B66" s="39"/>
      <c r="C66" s="43"/>
      <c r="D66" s="39"/>
      <c r="E66" s="39"/>
      <c r="F66" s="44"/>
      <c r="G66" s="44"/>
      <c r="H66" s="29" t="s">
        <v>143</v>
      </c>
    </row>
    <row r="67" spans="1:8" ht="12.75" customHeight="1" x14ac:dyDescent="0.2">
      <c r="A67" s="39"/>
      <c r="B67" s="39"/>
      <c r="C67" s="40" t="s">
        <v>146</v>
      </c>
      <c r="D67" s="39"/>
      <c r="E67" s="39"/>
      <c r="F67" s="39"/>
      <c r="G67" s="39"/>
      <c r="H67" s="29" t="s">
        <v>143</v>
      </c>
    </row>
    <row r="68" spans="1:8" ht="12.75" customHeight="1" x14ac:dyDescent="0.2">
      <c r="A68" s="35">
        <v>1</v>
      </c>
      <c r="B68" s="22" t="s">
        <v>139</v>
      </c>
      <c r="C68" s="31" t="s">
        <v>944</v>
      </c>
      <c r="D68" s="22" t="s">
        <v>140</v>
      </c>
      <c r="E68" s="36">
        <v>559425</v>
      </c>
      <c r="F68" s="37">
        <v>1.1189000000000001E-5</v>
      </c>
      <c r="G68" s="46" t="s">
        <v>141</v>
      </c>
      <c r="H68" s="29" t="s">
        <v>143</v>
      </c>
    </row>
    <row r="69" spans="1:8" ht="12.75" customHeight="1" x14ac:dyDescent="0.2">
      <c r="A69" s="39"/>
      <c r="B69" s="39"/>
      <c r="C69" s="40" t="s">
        <v>142</v>
      </c>
      <c r="D69" s="39"/>
      <c r="E69" s="39" t="s">
        <v>143</v>
      </c>
      <c r="F69" s="45" t="s">
        <v>145</v>
      </c>
      <c r="G69" s="42">
        <v>0</v>
      </c>
      <c r="H69" s="29" t="s">
        <v>143</v>
      </c>
    </row>
    <row r="70" spans="1:8" ht="12.75" customHeight="1" x14ac:dyDescent="0.2">
      <c r="A70" s="39"/>
      <c r="B70" s="39"/>
      <c r="C70" s="43"/>
      <c r="D70" s="39"/>
      <c r="E70" s="39"/>
      <c r="F70" s="44"/>
      <c r="G70" s="44"/>
      <c r="H70" s="29" t="s">
        <v>143</v>
      </c>
    </row>
    <row r="71" spans="1:8" ht="12.75" customHeight="1" x14ac:dyDescent="0.2">
      <c r="A71" s="39"/>
      <c r="B71" s="39"/>
      <c r="C71" s="40" t="s">
        <v>147</v>
      </c>
      <c r="D71" s="39"/>
      <c r="E71" s="39"/>
      <c r="F71" s="39"/>
      <c r="G71" s="39"/>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148</v>
      </c>
      <c r="D74" s="39"/>
      <c r="E74" s="39"/>
      <c r="F74" s="44"/>
      <c r="G74" s="44"/>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149</v>
      </c>
      <c r="D77" s="39"/>
      <c r="E77" s="39"/>
      <c r="F77" s="44"/>
      <c r="G77" s="44"/>
      <c r="H77" s="29" t="s">
        <v>143</v>
      </c>
    </row>
    <row r="78" spans="1:8" ht="12.75" customHeight="1" x14ac:dyDescent="0.2">
      <c r="A78" s="39"/>
      <c r="B78" s="39"/>
      <c r="C78" s="40" t="s">
        <v>142</v>
      </c>
      <c r="D78" s="39"/>
      <c r="E78" s="39" t="s">
        <v>143</v>
      </c>
      <c r="F78" s="45" t="s">
        <v>145</v>
      </c>
      <c r="G78" s="42">
        <v>0</v>
      </c>
      <c r="H78" s="29" t="s">
        <v>143</v>
      </c>
    </row>
    <row r="79" spans="1:8" ht="12.75" customHeight="1" x14ac:dyDescent="0.2">
      <c r="A79" s="39"/>
      <c r="B79" s="39"/>
      <c r="C79" s="43"/>
      <c r="D79" s="39"/>
      <c r="E79" s="39"/>
      <c r="F79" s="44"/>
      <c r="G79" s="44"/>
      <c r="H79" s="29" t="s">
        <v>143</v>
      </c>
    </row>
    <row r="80" spans="1:8" ht="12.75" customHeight="1" x14ac:dyDescent="0.2">
      <c r="A80" s="39"/>
      <c r="B80" s="39"/>
      <c r="C80" s="40" t="s">
        <v>150</v>
      </c>
      <c r="D80" s="39"/>
      <c r="E80" s="39"/>
      <c r="F80" s="41">
        <v>89294.858011189004</v>
      </c>
      <c r="G80" s="42">
        <v>0.94773227999999998</v>
      </c>
      <c r="H80" s="29" t="s">
        <v>143</v>
      </c>
    </row>
    <row r="81" spans="1:8" ht="12.75" customHeight="1" x14ac:dyDescent="0.2">
      <c r="A81" s="39"/>
      <c r="B81" s="39"/>
      <c r="C81" s="43"/>
      <c r="D81" s="39"/>
      <c r="E81" s="39"/>
      <c r="F81" s="44"/>
      <c r="G81" s="44"/>
      <c r="H81" s="29" t="s">
        <v>143</v>
      </c>
    </row>
    <row r="82" spans="1:8" ht="12.75" customHeight="1" x14ac:dyDescent="0.2">
      <c r="A82" s="39"/>
      <c r="B82" s="39"/>
      <c r="C82" s="40" t="s">
        <v>151</v>
      </c>
      <c r="D82" s="39"/>
      <c r="E82" s="39"/>
      <c r="F82" s="44"/>
      <c r="G82" s="44"/>
      <c r="H82" s="29" t="s">
        <v>143</v>
      </c>
    </row>
    <row r="83" spans="1:8" ht="12.75" customHeight="1" x14ac:dyDescent="0.2">
      <c r="A83" s="39"/>
      <c r="B83" s="39"/>
      <c r="C83" s="40" t="s">
        <v>10</v>
      </c>
      <c r="D83" s="39"/>
      <c r="E83" s="39"/>
      <c r="F83" s="44"/>
      <c r="G83" s="44"/>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152</v>
      </c>
      <c r="D86" s="39"/>
      <c r="E86" s="39"/>
      <c r="F86" s="39"/>
      <c r="G86" s="39"/>
      <c r="H86" s="29" t="s">
        <v>143</v>
      </c>
    </row>
    <row r="87" spans="1:8" ht="12.75" customHeight="1" x14ac:dyDescent="0.2">
      <c r="A87" s="39"/>
      <c r="B87" s="39"/>
      <c r="C87" s="40" t="s">
        <v>142</v>
      </c>
      <c r="D87" s="39"/>
      <c r="E87" s="39" t="s">
        <v>143</v>
      </c>
      <c r="F87" s="45" t="s">
        <v>145</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153</v>
      </c>
      <c r="D89" s="39"/>
      <c r="E89" s="39"/>
      <c r="F89" s="39"/>
      <c r="G89" s="39"/>
      <c r="H89" s="29" t="s">
        <v>143</v>
      </c>
    </row>
    <row r="90" spans="1:8" ht="12.75" customHeight="1" x14ac:dyDescent="0.2">
      <c r="A90" s="39"/>
      <c r="B90" s="39"/>
      <c r="C90" s="40" t="s">
        <v>142</v>
      </c>
      <c r="D90" s="39"/>
      <c r="E90" s="39" t="s">
        <v>143</v>
      </c>
      <c r="F90" s="45" t="s">
        <v>145</v>
      </c>
      <c r="G90" s="42">
        <v>0</v>
      </c>
      <c r="H90" s="29" t="s">
        <v>143</v>
      </c>
    </row>
    <row r="91" spans="1:8" ht="12.75" customHeight="1" x14ac:dyDescent="0.2">
      <c r="A91" s="39"/>
      <c r="B91" s="39"/>
      <c r="C91" s="43"/>
      <c r="D91" s="39"/>
      <c r="E91" s="39"/>
      <c r="F91" s="44"/>
      <c r="G91" s="44"/>
      <c r="H91" s="29" t="s">
        <v>143</v>
      </c>
    </row>
    <row r="92" spans="1:8" ht="12.75" customHeight="1" x14ac:dyDescent="0.2">
      <c r="A92" s="39"/>
      <c r="B92" s="39"/>
      <c r="C92" s="40" t="s">
        <v>154</v>
      </c>
      <c r="D92" s="39"/>
      <c r="E92" s="39"/>
      <c r="F92" s="44"/>
      <c r="G92" s="44"/>
      <c r="H92" s="29" t="s">
        <v>143</v>
      </c>
    </row>
    <row r="93" spans="1:8" ht="12.75" customHeight="1" x14ac:dyDescent="0.2">
      <c r="A93" s="39"/>
      <c r="B93" s="39"/>
      <c r="C93" s="40" t="s">
        <v>142</v>
      </c>
      <c r="D93" s="39"/>
      <c r="E93" s="39" t="s">
        <v>143</v>
      </c>
      <c r="F93" s="45" t="s">
        <v>145</v>
      </c>
      <c r="G93" s="42">
        <v>0</v>
      </c>
      <c r="H93" s="29" t="s">
        <v>143</v>
      </c>
    </row>
    <row r="94" spans="1:8" ht="12.75" customHeight="1" x14ac:dyDescent="0.2">
      <c r="A94" s="39"/>
      <c r="B94" s="39"/>
      <c r="C94" s="43"/>
      <c r="D94" s="39"/>
      <c r="E94" s="39"/>
      <c r="F94" s="44"/>
      <c r="G94" s="44"/>
      <c r="H94" s="29" t="s">
        <v>143</v>
      </c>
    </row>
    <row r="95" spans="1:8" ht="12.75" customHeight="1" x14ac:dyDescent="0.2">
      <c r="A95" s="39"/>
      <c r="B95" s="39"/>
      <c r="C95" s="40" t="s">
        <v>155</v>
      </c>
      <c r="D95" s="39"/>
      <c r="E95" s="39"/>
      <c r="F95" s="41">
        <v>0</v>
      </c>
      <c r="G95" s="42">
        <v>0</v>
      </c>
      <c r="H95" s="29" t="s">
        <v>143</v>
      </c>
    </row>
    <row r="96" spans="1:8" ht="12.75" customHeight="1" x14ac:dyDescent="0.2">
      <c r="A96" s="39"/>
      <c r="B96" s="39"/>
      <c r="C96" s="43"/>
      <c r="D96" s="39"/>
      <c r="E96" s="39"/>
      <c r="F96" s="44"/>
      <c r="G96" s="44"/>
      <c r="H96" s="29" t="s">
        <v>143</v>
      </c>
    </row>
    <row r="97" spans="1:8" ht="12.75" customHeight="1" x14ac:dyDescent="0.2">
      <c r="A97" s="39"/>
      <c r="B97" s="39"/>
      <c r="C97" s="40" t="s">
        <v>156</v>
      </c>
      <c r="D97" s="39"/>
      <c r="E97" s="39"/>
      <c r="F97" s="44"/>
      <c r="G97" s="44"/>
      <c r="H97" s="29" t="s">
        <v>143</v>
      </c>
    </row>
    <row r="98" spans="1:8" ht="12.75" customHeight="1" x14ac:dyDescent="0.2">
      <c r="A98" s="39"/>
      <c r="B98" s="39"/>
      <c r="C98" s="40" t="s">
        <v>157</v>
      </c>
      <c r="D98" s="39"/>
      <c r="E98" s="39"/>
      <c r="F98" s="44"/>
      <c r="G98" s="44"/>
      <c r="H98" s="29" t="s">
        <v>143</v>
      </c>
    </row>
    <row r="99" spans="1:8" ht="12.75" customHeight="1" x14ac:dyDescent="0.2">
      <c r="A99" s="39"/>
      <c r="B99" s="39"/>
      <c r="C99" s="40" t="s">
        <v>142</v>
      </c>
      <c r="D99" s="39"/>
      <c r="E99" s="39" t="s">
        <v>143</v>
      </c>
      <c r="F99" s="45" t="s">
        <v>145</v>
      </c>
      <c r="G99" s="42">
        <v>0</v>
      </c>
      <c r="H99" s="29" t="s">
        <v>143</v>
      </c>
    </row>
    <row r="100" spans="1:8" ht="12.75" customHeight="1" x14ac:dyDescent="0.2">
      <c r="A100" s="39"/>
      <c r="B100" s="39"/>
      <c r="C100" s="43"/>
      <c r="D100" s="39"/>
      <c r="E100" s="39"/>
      <c r="F100" s="44"/>
      <c r="G100" s="44"/>
      <c r="H100" s="29" t="s">
        <v>143</v>
      </c>
    </row>
    <row r="101" spans="1:8" ht="12.75" customHeight="1" x14ac:dyDescent="0.2">
      <c r="A101" s="39"/>
      <c r="B101" s="39"/>
      <c r="C101" s="40" t="s">
        <v>158</v>
      </c>
      <c r="D101" s="39"/>
      <c r="E101" s="39"/>
      <c r="F101" s="44"/>
      <c r="G101" s="44"/>
      <c r="H101" s="29" t="s">
        <v>143</v>
      </c>
    </row>
    <row r="102" spans="1:8" ht="12.75" customHeight="1" x14ac:dyDescent="0.2">
      <c r="A102" s="39"/>
      <c r="B102" s="39"/>
      <c r="C102" s="40" t="s">
        <v>142</v>
      </c>
      <c r="D102" s="39"/>
      <c r="E102" s="39" t="s">
        <v>143</v>
      </c>
      <c r="F102" s="45" t="s">
        <v>145</v>
      </c>
      <c r="G102" s="42">
        <v>0</v>
      </c>
      <c r="H102" s="29" t="s">
        <v>143</v>
      </c>
    </row>
    <row r="103" spans="1:8" ht="12.75" customHeight="1" x14ac:dyDescent="0.2">
      <c r="A103" s="39"/>
      <c r="B103" s="39"/>
      <c r="C103" s="43"/>
      <c r="D103" s="39"/>
      <c r="E103" s="39"/>
      <c r="F103" s="44"/>
      <c r="G103" s="44"/>
      <c r="H103" s="29" t="s">
        <v>143</v>
      </c>
    </row>
    <row r="104" spans="1:8" ht="12.75" customHeight="1" x14ac:dyDescent="0.2">
      <c r="A104" s="39"/>
      <c r="B104" s="39"/>
      <c r="C104" s="40" t="s">
        <v>159</v>
      </c>
      <c r="D104" s="39"/>
      <c r="E104" s="39"/>
      <c r="F104" s="44"/>
      <c r="G104" s="44"/>
      <c r="H104" s="29" t="s">
        <v>143</v>
      </c>
    </row>
    <row r="105" spans="1:8" ht="12.75" customHeight="1" x14ac:dyDescent="0.2">
      <c r="A105" s="39"/>
      <c r="B105" s="39"/>
      <c r="C105" s="40" t="s">
        <v>142</v>
      </c>
      <c r="D105" s="39"/>
      <c r="E105" s="39" t="s">
        <v>143</v>
      </c>
      <c r="F105" s="45" t="s">
        <v>145</v>
      </c>
      <c r="G105" s="42">
        <v>0</v>
      </c>
      <c r="H105" s="29" t="s">
        <v>143</v>
      </c>
    </row>
    <row r="106" spans="1:8" ht="12.75" customHeight="1" x14ac:dyDescent="0.2">
      <c r="A106" s="39"/>
      <c r="B106" s="39"/>
      <c r="C106" s="43"/>
      <c r="D106" s="39"/>
      <c r="E106" s="39"/>
      <c r="F106" s="44"/>
      <c r="G106" s="44"/>
      <c r="H106" s="29" t="s">
        <v>143</v>
      </c>
    </row>
    <row r="107" spans="1:8" ht="12.75" customHeight="1" x14ac:dyDescent="0.2">
      <c r="A107" s="39"/>
      <c r="B107" s="39"/>
      <c r="C107" s="40" t="s">
        <v>160</v>
      </c>
      <c r="D107" s="39"/>
      <c r="E107" s="39"/>
      <c r="F107" s="44"/>
      <c r="G107" s="44"/>
      <c r="H107" s="29" t="s">
        <v>143</v>
      </c>
    </row>
    <row r="108" spans="1:8" ht="12.75" customHeight="1" x14ac:dyDescent="0.2">
      <c r="A108" s="35">
        <v>1</v>
      </c>
      <c r="B108" s="22"/>
      <c r="C108" s="22" t="s">
        <v>161</v>
      </c>
      <c r="D108" s="22"/>
      <c r="E108" s="46"/>
      <c r="F108" s="37">
        <v>4290.9374450120004</v>
      </c>
      <c r="G108" s="38">
        <v>4.5541930000000001E-2</v>
      </c>
      <c r="H108" s="29">
        <v>5.51</v>
      </c>
    </row>
    <row r="109" spans="1:8" ht="12.75" customHeight="1" x14ac:dyDescent="0.2">
      <c r="A109" s="39"/>
      <c r="B109" s="39"/>
      <c r="C109" s="40" t="s">
        <v>142</v>
      </c>
      <c r="D109" s="39"/>
      <c r="E109" s="39" t="s">
        <v>143</v>
      </c>
      <c r="F109" s="41">
        <v>4290.9374450120004</v>
      </c>
      <c r="G109" s="42">
        <v>4.5541930000000001E-2</v>
      </c>
      <c r="H109" s="29" t="s">
        <v>143</v>
      </c>
    </row>
    <row r="110" spans="1:8" ht="12.75" customHeight="1" x14ac:dyDescent="0.2">
      <c r="A110" s="39"/>
      <c r="B110" s="39"/>
      <c r="C110" s="43"/>
      <c r="D110" s="39"/>
      <c r="E110" s="39"/>
      <c r="F110" s="44"/>
      <c r="G110" s="44"/>
      <c r="H110" s="29" t="s">
        <v>143</v>
      </c>
    </row>
    <row r="111" spans="1:8" ht="12.75" customHeight="1" x14ac:dyDescent="0.2">
      <c r="A111" s="39"/>
      <c r="B111" s="39"/>
      <c r="C111" s="40" t="s">
        <v>162</v>
      </c>
      <c r="D111" s="39"/>
      <c r="E111" s="39"/>
      <c r="F111" s="41">
        <v>4290.9374450120004</v>
      </c>
      <c r="G111" s="42">
        <v>4.5541930000000001E-2</v>
      </c>
      <c r="H111" s="29" t="s">
        <v>143</v>
      </c>
    </row>
    <row r="112" spans="1:8" ht="12.75" customHeight="1" x14ac:dyDescent="0.2">
      <c r="A112" s="39"/>
      <c r="B112" s="39"/>
      <c r="C112" s="44"/>
      <c r="D112" s="39"/>
      <c r="E112" s="39"/>
      <c r="F112" s="39"/>
      <c r="G112" s="39"/>
      <c r="H112" s="29" t="s">
        <v>143</v>
      </c>
    </row>
    <row r="113" spans="1:10" ht="12.75" customHeight="1" x14ac:dyDescent="0.2">
      <c r="A113" s="39"/>
      <c r="B113" s="39"/>
      <c r="C113" s="40" t="s">
        <v>163</v>
      </c>
      <c r="D113" s="39"/>
      <c r="E113" s="39"/>
      <c r="F113" s="39"/>
      <c r="G113" s="39"/>
      <c r="H113" s="29" t="s">
        <v>143</v>
      </c>
    </row>
    <row r="114" spans="1:10" ht="12.75" customHeight="1" x14ac:dyDescent="0.2">
      <c r="A114" s="39"/>
      <c r="B114" s="39"/>
      <c r="C114" s="40" t="s">
        <v>164</v>
      </c>
      <c r="D114" s="39"/>
      <c r="E114" s="39"/>
      <c r="F114" s="39"/>
      <c r="G114" s="39"/>
      <c r="H114" s="29" t="s">
        <v>143</v>
      </c>
    </row>
    <row r="115" spans="1:10" ht="12.75" customHeight="1" x14ac:dyDescent="0.2">
      <c r="A115" s="39"/>
      <c r="B115" s="39"/>
      <c r="C115" s="40" t="s">
        <v>142</v>
      </c>
      <c r="D115" s="39"/>
      <c r="E115" s="39" t="s">
        <v>143</v>
      </c>
      <c r="F115" s="45" t="s">
        <v>145</v>
      </c>
      <c r="G115" s="42">
        <v>0</v>
      </c>
      <c r="H115" s="29" t="s">
        <v>143</v>
      </c>
    </row>
    <row r="116" spans="1:10" ht="12.75" customHeight="1" x14ac:dyDescent="0.2">
      <c r="A116" s="39"/>
      <c r="B116" s="39"/>
      <c r="C116" s="43"/>
      <c r="D116" s="39"/>
      <c r="E116" s="39"/>
      <c r="F116" s="44"/>
      <c r="G116" s="44"/>
      <c r="H116" s="29" t="s">
        <v>143</v>
      </c>
    </row>
    <row r="117" spans="1:10" ht="12.75" customHeight="1" x14ac:dyDescent="0.2">
      <c r="A117" s="39"/>
      <c r="B117" s="39"/>
      <c r="C117" s="40" t="s">
        <v>165</v>
      </c>
      <c r="D117" s="39"/>
      <c r="E117" s="39"/>
      <c r="F117" s="39"/>
      <c r="G117" s="39"/>
      <c r="H117" s="29" t="s">
        <v>143</v>
      </c>
    </row>
    <row r="118" spans="1:10" ht="12.75" customHeight="1" x14ac:dyDescent="0.2">
      <c r="A118" s="39"/>
      <c r="B118" s="39"/>
      <c r="C118" s="40" t="s">
        <v>166</v>
      </c>
      <c r="D118" s="39"/>
      <c r="E118" s="39"/>
      <c r="F118" s="39"/>
      <c r="G118" s="39"/>
      <c r="H118" s="29" t="s">
        <v>143</v>
      </c>
    </row>
    <row r="119" spans="1:10" ht="12.75" customHeight="1" x14ac:dyDescent="0.2">
      <c r="A119" s="39"/>
      <c r="B119" s="39"/>
      <c r="C119" s="40" t="s">
        <v>142</v>
      </c>
      <c r="D119" s="39"/>
      <c r="E119" s="39" t="s">
        <v>143</v>
      </c>
      <c r="F119" s="45" t="s">
        <v>145</v>
      </c>
      <c r="G119" s="42">
        <v>0</v>
      </c>
      <c r="H119" s="29" t="s">
        <v>143</v>
      </c>
    </row>
    <row r="120" spans="1:10" ht="12.75" customHeight="1" x14ac:dyDescent="0.2">
      <c r="A120" s="39"/>
      <c r="B120" s="39"/>
      <c r="C120" s="43"/>
      <c r="D120" s="39"/>
      <c r="E120" s="39"/>
      <c r="F120" s="44"/>
      <c r="G120" s="44"/>
      <c r="H120" s="29" t="s">
        <v>143</v>
      </c>
    </row>
    <row r="121" spans="1:10" ht="12.75" customHeight="1" x14ac:dyDescent="0.2">
      <c r="A121" s="39"/>
      <c r="B121" s="39"/>
      <c r="C121" s="40" t="s">
        <v>167</v>
      </c>
      <c r="D121" s="39"/>
      <c r="E121" s="39"/>
      <c r="F121" s="44"/>
      <c r="G121" s="44"/>
      <c r="H121" s="29" t="s">
        <v>143</v>
      </c>
    </row>
    <row r="122" spans="1:10" ht="12.75" customHeight="1" x14ac:dyDescent="0.2">
      <c r="A122" s="39"/>
      <c r="B122" s="39"/>
      <c r="C122" s="40" t="s">
        <v>142</v>
      </c>
      <c r="D122" s="39"/>
      <c r="E122" s="39" t="s">
        <v>143</v>
      </c>
      <c r="F122" s="45" t="s">
        <v>145</v>
      </c>
      <c r="G122" s="42">
        <v>0</v>
      </c>
      <c r="H122" s="29" t="s">
        <v>143</v>
      </c>
    </row>
    <row r="123" spans="1:10" ht="12.75" customHeight="1" x14ac:dyDescent="0.2">
      <c r="A123" s="39"/>
      <c r="B123" s="39"/>
      <c r="C123" s="43"/>
      <c r="D123" s="39"/>
      <c r="E123" s="39"/>
      <c r="F123" s="44"/>
      <c r="G123" s="44"/>
      <c r="H123" s="29" t="s">
        <v>143</v>
      </c>
    </row>
    <row r="124" spans="1:10" ht="12.75" customHeight="1" x14ac:dyDescent="0.2">
      <c r="A124" s="46"/>
      <c r="B124" s="22"/>
      <c r="C124" s="22" t="s">
        <v>168</v>
      </c>
      <c r="D124" s="22"/>
      <c r="E124" s="46"/>
      <c r="F124" s="37">
        <v>633.70400716999995</v>
      </c>
      <c r="G124" s="38">
        <v>6.7258300000000003E-3</v>
      </c>
      <c r="H124" s="29" t="s">
        <v>143</v>
      </c>
    </row>
    <row r="125" spans="1:10" ht="12.75" customHeight="1" x14ac:dyDescent="0.2">
      <c r="A125" s="43"/>
      <c r="B125" s="43"/>
      <c r="C125" s="40" t="s">
        <v>169</v>
      </c>
      <c r="D125" s="44"/>
      <c r="E125" s="44"/>
      <c r="F125" s="41">
        <v>94219.499463371001</v>
      </c>
      <c r="G125" s="47">
        <v>1.00000004</v>
      </c>
      <c r="H125" s="29" t="s">
        <v>143</v>
      </c>
    </row>
    <row r="126" spans="1:10" ht="12.75" customHeight="1" x14ac:dyDescent="0.2">
      <c r="A126" s="48"/>
      <c r="B126" s="48"/>
      <c r="C126" s="49"/>
      <c r="D126" s="50"/>
      <c r="E126" s="50"/>
      <c r="F126" s="51"/>
      <c r="G126" s="52"/>
      <c r="H126" s="53"/>
    </row>
    <row r="127" spans="1:10" x14ac:dyDescent="0.2">
      <c r="A127" s="54"/>
      <c r="B127" s="243" t="s">
        <v>945</v>
      </c>
      <c r="C127" s="243"/>
      <c r="D127" s="243"/>
      <c r="E127" s="243"/>
      <c r="F127" s="243"/>
      <c r="G127" s="243"/>
      <c r="H127" s="243"/>
      <c r="J127" s="56"/>
    </row>
    <row r="128" spans="1:10" x14ac:dyDescent="0.2">
      <c r="A128" s="54"/>
      <c r="B128" s="243" t="s">
        <v>946</v>
      </c>
      <c r="C128" s="243"/>
      <c r="D128" s="243"/>
      <c r="E128" s="243"/>
      <c r="F128" s="243"/>
      <c r="G128" s="243"/>
      <c r="H128" s="243"/>
      <c r="J128" s="56"/>
    </row>
    <row r="129" spans="1:17" x14ac:dyDescent="0.2">
      <c r="A129" s="54"/>
      <c r="B129" s="243" t="s">
        <v>947</v>
      </c>
      <c r="C129" s="243"/>
      <c r="D129" s="243"/>
      <c r="E129" s="243"/>
      <c r="F129" s="243"/>
      <c r="G129" s="243"/>
      <c r="H129" s="243"/>
      <c r="J129" s="56"/>
    </row>
    <row r="130" spans="1:17" s="58" customFormat="1" ht="66.75" customHeight="1" x14ac:dyDescent="0.25">
      <c r="A130" s="57"/>
      <c r="B130" s="244" t="s">
        <v>948</v>
      </c>
      <c r="C130" s="244"/>
      <c r="D130" s="244"/>
      <c r="E130" s="244"/>
      <c r="F130" s="244"/>
      <c r="G130" s="244"/>
      <c r="H130" s="244"/>
      <c r="I130"/>
      <c r="J130" s="56"/>
      <c r="K130"/>
      <c r="L130"/>
      <c r="M130"/>
      <c r="N130"/>
      <c r="O130"/>
      <c r="P130"/>
      <c r="Q130"/>
    </row>
    <row r="131" spans="1:17" x14ac:dyDescent="0.2">
      <c r="A131" s="54"/>
      <c r="B131" s="243" t="s">
        <v>949</v>
      </c>
      <c r="C131" s="243"/>
      <c r="D131" s="243"/>
      <c r="E131" s="243"/>
      <c r="F131" s="243"/>
      <c r="G131" s="243"/>
      <c r="H131" s="243"/>
      <c r="J131" s="56"/>
    </row>
    <row r="132" spans="1:17" x14ac:dyDescent="0.2">
      <c r="A132" s="54"/>
      <c r="B132" s="54"/>
      <c r="C132" s="54"/>
      <c r="D132" s="59"/>
      <c r="E132" s="59"/>
      <c r="F132" s="59"/>
      <c r="G132" s="59"/>
    </row>
    <row r="133" spans="1:17" x14ac:dyDescent="0.2">
      <c r="A133" s="54"/>
      <c r="B133" s="247" t="s">
        <v>170</v>
      </c>
      <c r="C133" s="248"/>
      <c r="D133" s="249"/>
      <c r="E133" s="60"/>
      <c r="F133" s="59"/>
      <c r="G133" s="59"/>
    </row>
    <row r="134" spans="1:17" ht="27.75" customHeight="1" x14ac:dyDescent="0.2">
      <c r="A134" s="54"/>
      <c r="B134" s="240" t="s">
        <v>171</v>
      </c>
      <c r="C134" s="241"/>
      <c r="D134" s="28" t="s">
        <v>172</v>
      </c>
      <c r="E134" s="60"/>
      <c r="F134" s="59"/>
      <c r="G134" s="59"/>
    </row>
    <row r="135" spans="1:17" ht="12.75" customHeight="1" x14ac:dyDescent="0.2">
      <c r="A135" s="54"/>
      <c r="B135" s="240" t="s">
        <v>950</v>
      </c>
      <c r="C135" s="241"/>
      <c r="D135" s="28" t="str">
        <f>"Rs. "&amp;TEXT(F69,"0.00")&amp;" lacs/ "&amp;IF(ROUND((G69*100),2) = 0,"#",(TEXT((G69*100),"0.00")&amp;"%"))</f>
        <v>Rs. 0.00 lacs/ #</v>
      </c>
      <c r="E135" s="60"/>
      <c r="F135" s="59"/>
      <c r="G135" s="59"/>
    </row>
    <row r="136" spans="1:17" x14ac:dyDescent="0.2">
      <c r="A136" s="54"/>
      <c r="B136" s="240" t="s">
        <v>173</v>
      </c>
      <c r="C136" s="241"/>
      <c r="D136" s="61" t="s">
        <v>143</v>
      </c>
      <c r="E136" s="60"/>
      <c r="F136" s="59"/>
      <c r="G136" s="59"/>
    </row>
    <row r="137" spans="1:17" x14ac:dyDescent="0.2">
      <c r="A137" s="62"/>
      <c r="B137" s="63" t="s">
        <v>143</v>
      </c>
      <c r="C137" s="63" t="s">
        <v>951</v>
      </c>
      <c r="D137" s="63" t="s">
        <v>174</v>
      </c>
      <c r="E137" s="62"/>
      <c r="F137" s="62"/>
      <c r="G137" s="62"/>
      <c r="H137" s="62"/>
      <c r="J137" s="56"/>
    </row>
    <row r="138" spans="1:17" x14ac:dyDescent="0.2">
      <c r="A138" s="62"/>
      <c r="B138" s="64" t="s">
        <v>175</v>
      </c>
      <c r="C138" s="65">
        <v>45900</v>
      </c>
      <c r="D138" s="65">
        <v>45930</v>
      </c>
      <c r="E138" s="62"/>
      <c r="F138" s="62"/>
      <c r="G138" s="62"/>
      <c r="J138" s="56"/>
    </row>
    <row r="139" spans="1:17" ht="12.75" customHeight="1" x14ac:dyDescent="0.2">
      <c r="A139" s="66"/>
      <c r="B139" s="67" t="s">
        <v>176</v>
      </c>
      <c r="C139" s="68">
        <v>99.152699999999996</v>
      </c>
      <c r="D139" s="68">
        <v>100.58369999999999</v>
      </c>
      <c r="E139" s="66"/>
      <c r="F139" s="69"/>
      <c r="G139" s="70"/>
    </row>
    <row r="140" spans="1:17" ht="12.75" customHeight="1" x14ac:dyDescent="0.2">
      <c r="A140" s="66"/>
      <c r="B140" s="67" t="s">
        <v>1085</v>
      </c>
      <c r="C140" s="68">
        <v>61.0916</v>
      </c>
      <c r="D140" s="68">
        <v>61.973300000000002</v>
      </c>
      <c r="E140" s="66"/>
      <c r="F140" s="69"/>
      <c r="G140" s="70"/>
    </row>
    <row r="141" spans="1:17" ht="12.75" customHeight="1" x14ac:dyDescent="0.2">
      <c r="A141" s="66"/>
      <c r="B141" s="67" t="s">
        <v>177</v>
      </c>
      <c r="C141" s="68">
        <v>92.732500000000002</v>
      </c>
      <c r="D141" s="68">
        <v>94.030699999999996</v>
      </c>
      <c r="E141" s="66"/>
      <c r="F141" s="69"/>
      <c r="G141" s="70"/>
    </row>
    <row r="142" spans="1:17" ht="12.75" customHeight="1" x14ac:dyDescent="0.2">
      <c r="A142" s="66"/>
      <c r="B142" s="67" t="s">
        <v>1086</v>
      </c>
      <c r="C142" s="68">
        <v>56.843299999999999</v>
      </c>
      <c r="D142" s="68">
        <v>57.639099999999999</v>
      </c>
      <c r="E142" s="66"/>
      <c r="F142" s="69"/>
      <c r="G142" s="70"/>
    </row>
    <row r="143" spans="1:17" ht="12.75" customHeight="1" x14ac:dyDescent="0.2">
      <c r="A143" s="66"/>
      <c r="B143" s="66"/>
      <c r="C143" s="66"/>
      <c r="D143" s="66"/>
      <c r="E143" s="66"/>
      <c r="F143" s="66"/>
      <c r="G143" s="66"/>
    </row>
    <row r="144" spans="1:17" x14ac:dyDescent="0.2">
      <c r="A144" s="62"/>
      <c r="B144" s="245" t="s">
        <v>952</v>
      </c>
      <c r="C144" s="246"/>
      <c r="D144" s="71" t="s">
        <v>172</v>
      </c>
      <c r="E144" s="62"/>
      <c r="F144" s="62"/>
      <c r="G144" s="62"/>
    </row>
    <row r="145" spans="1:10" x14ac:dyDescent="0.2">
      <c r="A145" s="72"/>
      <c r="B145" s="155"/>
      <c r="C145" s="155"/>
      <c r="D145" s="156"/>
      <c r="E145" s="72"/>
      <c r="F145" s="55"/>
      <c r="G145" s="76"/>
      <c r="J145" s="56"/>
    </row>
    <row r="146" spans="1:10" ht="25.5" customHeight="1" x14ac:dyDescent="0.2">
      <c r="A146" s="72"/>
      <c r="B146" s="240" t="s">
        <v>178</v>
      </c>
      <c r="C146" s="241"/>
      <c r="D146" s="28" t="s">
        <v>172</v>
      </c>
      <c r="E146" s="74"/>
      <c r="F146" s="72"/>
      <c r="G146" s="72"/>
      <c r="J146" s="56"/>
    </row>
    <row r="147" spans="1:10" ht="26.25" customHeight="1" x14ac:dyDescent="0.2">
      <c r="A147" s="72"/>
      <c r="B147" s="240" t="s">
        <v>179</v>
      </c>
      <c r="C147" s="241"/>
      <c r="D147" s="28" t="s">
        <v>172</v>
      </c>
      <c r="E147" s="74"/>
      <c r="F147" s="72"/>
      <c r="G147" s="72"/>
      <c r="J147" s="56"/>
    </row>
    <row r="148" spans="1:10" x14ac:dyDescent="0.2">
      <c r="A148" s="72"/>
      <c r="B148" s="240" t="s">
        <v>180</v>
      </c>
      <c r="C148" s="241"/>
      <c r="D148" s="28" t="s">
        <v>172</v>
      </c>
      <c r="E148" s="74"/>
      <c r="F148" s="72"/>
      <c r="G148" s="72"/>
      <c r="J148" s="56"/>
    </row>
    <row r="149" spans="1:10" x14ac:dyDescent="0.2">
      <c r="A149" s="72"/>
      <c r="B149" s="240" t="s">
        <v>181</v>
      </c>
      <c r="C149" s="241"/>
      <c r="D149" s="75">
        <v>0.27329381693685828</v>
      </c>
      <c r="E149" s="72"/>
      <c r="F149" s="55"/>
      <c r="G149" s="76"/>
      <c r="J149" s="56"/>
    </row>
    <row r="150" spans="1:10" x14ac:dyDescent="0.2">
      <c r="J150" s="56"/>
    </row>
    <row r="151" spans="1:10" x14ac:dyDescent="0.2">
      <c r="B151" s="239" t="s">
        <v>953</v>
      </c>
      <c r="C151" s="239"/>
    </row>
    <row r="152" spans="1:10" x14ac:dyDescent="0.2"/>
    <row r="153" spans="1:10" ht="153.75" customHeight="1" x14ac:dyDescent="0.2"/>
    <row r="154" spans="1:10" x14ac:dyDescent="0.2"/>
    <row r="155" spans="1:10" x14ac:dyDescent="0.2"/>
    <row r="156" spans="1:10" x14ac:dyDescent="0.2">
      <c r="B156" s="77" t="s">
        <v>954</v>
      </c>
      <c r="C156" s="78"/>
      <c r="D156" s="77"/>
    </row>
    <row r="157" spans="1:10" x14ac:dyDescent="0.2">
      <c r="B157" s="77" t="s">
        <v>955</v>
      </c>
      <c r="D157" s="77"/>
    </row>
    <row r="158" spans="1:10" ht="165" customHeight="1" x14ac:dyDescent="0.2"/>
    <row r="159" spans="1:10" x14ac:dyDescent="0.2"/>
    <row r="160" spans="1:10" x14ac:dyDescent="0.2">
      <c r="J160" s="26"/>
    </row>
    <row r="161" spans="10:10" x14ac:dyDescent="0.2">
      <c r="J161" s="26"/>
    </row>
    <row r="162" spans="10:10" x14ac:dyDescent="0.2">
      <c r="J162" s="26"/>
    </row>
    <row r="163" spans="10:10" x14ac:dyDescent="0.2"/>
    <row r="164" spans="10:10" x14ac:dyDescent="0.2"/>
    <row r="165" spans="10:10" x14ac:dyDescent="0.2"/>
    <row r="166" spans="10:10" x14ac:dyDescent="0.2"/>
    <row r="167" spans="10:10" x14ac:dyDescent="0.2"/>
    <row r="168" spans="10:10" x14ac:dyDescent="0.2"/>
    <row r="169" spans="10:10" x14ac:dyDescent="0.2"/>
    <row r="170" spans="10:10" ht="14.25" customHeight="1" x14ac:dyDescent="0.2"/>
    <row r="171" spans="10:10" ht="14.25" customHeight="1" x14ac:dyDescent="0.2"/>
    <row r="172" spans="10:10" ht="14.25" customHeight="1" x14ac:dyDescent="0.2"/>
    <row r="173" spans="10:10" ht="14.25" customHeight="1" x14ac:dyDescent="0.2"/>
  </sheetData>
  <mergeCells count="18">
    <mergeCell ref="B133:D133"/>
    <mergeCell ref="B134:C134"/>
    <mergeCell ref="B151:C151"/>
    <mergeCell ref="B149:C149"/>
    <mergeCell ref="A1:H1"/>
    <mergeCell ref="A2:H2"/>
    <mergeCell ref="A3:H3"/>
    <mergeCell ref="B148:C148"/>
    <mergeCell ref="B127:H127"/>
    <mergeCell ref="B128:H128"/>
    <mergeCell ref="B135:C135"/>
    <mergeCell ref="B136:C136"/>
    <mergeCell ref="B146:C146"/>
    <mergeCell ref="B147:C147"/>
    <mergeCell ref="B129:H129"/>
    <mergeCell ref="B130:H130"/>
    <mergeCell ref="B131:H131"/>
    <mergeCell ref="B144:C144"/>
  </mergeCells>
  <hyperlinks>
    <hyperlink ref="I1" location="Index!B2" display="Index" xr:uid="{E584AC26-2733-41B4-9E64-CBEC81984B6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5FCE-4474-4811-810F-F8DF355B5842}">
  <sheetPr>
    <outlinePr summaryBelow="0" summaryRight="0"/>
  </sheetPr>
  <dimension ref="A1:Q103"/>
  <sheetViews>
    <sheetView showGridLines="0" workbookViewId="0">
      <selection sqref="A1:H1"/>
    </sheetView>
  </sheetViews>
  <sheetFormatPr defaultRowHeight="12.75" x14ac:dyDescent="0.2"/>
  <cols>
    <col min="1" max="1" width="5.85546875" bestFit="1" customWidth="1"/>
    <col min="2" max="2" width="19.7109375" bestFit="1" customWidth="1"/>
    <col min="3" max="3" width="43.42578125" customWidth="1"/>
    <col min="4" max="4" width="16.42578125" customWidth="1"/>
    <col min="5" max="5" width="12.42578125" bestFit="1" customWidth="1"/>
    <col min="6" max="6" width="10.140625" bestFit="1" customWidth="1"/>
    <col min="7" max="7" width="14" bestFit="1" customWidth="1"/>
    <col min="8" max="8" width="8.42578125" bestFit="1" customWidth="1"/>
    <col min="9" max="9" width="5.710937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242" t="s">
        <v>0</v>
      </c>
      <c r="B1" s="242"/>
      <c r="C1" s="242"/>
      <c r="D1" s="242"/>
      <c r="E1" s="242"/>
      <c r="F1" s="242"/>
      <c r="G1" s="242"/>
      <c r="H1" s="242"/>
      <c r="I1" s="1" t="s">
        <v>902</v>
      </c>
    </row>
    <row r="2" spans="1:9" ht="15" customHeight="1" x14ac:dyDescent="0.2">
      <c r="A2" s="252" t="s">
        <v>1149</v>
      </c>
      <c r="B2" s="252"/>
      <c r="C2" s="252"/>
      <c r="D2" s="252"/>
      <c r="E2" s="252"/>
      <c r="F2" s="252"/>
      <c r="G2" s="252"/>
      <c r="H2" s="252"/>
    </row>
    <row r="3" spans="1:9" ht="15" x14ac:dyDescent="0.2">
      <c r="A3" s="242" t="s">
        <v>1171</v>
      </c>
      <c r="B3" s="242"/>
      <c r="C3" s="242"/>
      <c r="D3" s="242"/>
      <c r="E3" s="242"/>
      <c r="F3" s="242"/>
      <c r="G3" s="242"/>
      <c r="H3" s="242"/>
    </row>
    <row r="4" spans="1:9" s="26" customFormat="1" ht="30" x14ac:dyDescent="0.2">
      <c r="A4" s="24" t="s">
        <v>2</v>
      </c>
      <c r="B4" s="24" t="s">
        <v>3</v>
      </c>
      <c r="C4" s="24" t="s">
        <v>4</v>
      </c>
      <c r="D4" s="24" t="s">
        <v>5</v>
      </c>
      <c r="E4" s="24" t="s">
        <v>6</v>
      </c>
      <c r="F4" s="24" t="s">
        <v>7</v>
      </c>
      <c r="G4" s="24" t="s">
        <v>8</v>
      </c>
      <c r="H4" s="25" t="s">
        <v>901</v>
      </c>
    </row>
    <row r="5" spans="1:9" x14ac:dyDescent="0.2">
      <c r="A5" s="27"/>
      <c r="B5" s="27"/>
      <c r="C5" s="28" t="s">
        <v>9</v>
      </c>
      <c r="D5" s="27"/>
      <c r="E5" s="27"/>
      <c r="F5" s="27"/>
      <c r="G5" s="27"/>
      <c r="H5" s="29" t="s">
        <v>143</v>
      </c>
    </row>
    <row r="6" spans="1:9" x14ac:dyDescent="0.2">
      <c r="A6" s="30"/>
      <c r="B6" s="31"/>
      <c r="C6" s="31" t="s">
        <v>10</v>
      </c>
      <c r="D6" s="31"/>
      <c r="E6" s="32"/>
      <c r="F6" s="33"/>
      <c r="G6" s="34"/>
      <c r="H6" s="29" t="s">
        <v>143</v>
      </c>
    </row>
    <row r="7" spans="1:9" x14ac:dyDescent="0.2">
      <c r="A7" s="23"/>
      <c r="B7" s="23"/>
      <c r="C7" s="158" t="s">
        <v>142</v>
      </c>
      <c r="D7" s="23"/>
      <c r="E7" s="23" t="s">
        <v>143</v>
      </c>
      <c r="F7" s="159" t="s">
        <v>145</v>
      </c>
      <c r="G7" s="160">
        <v>0</v>
      </c>
      <c r="H7" s="29" t="s">
        <v>143</v>
      </c>
    </row>
    <row r="8" spans="1:9" x14ac:dyDescent="0.2">
      <c r="A8" s="23"/>
      <c r="B8" s="23"/>
      <c r="C8" s="161"/>
      <c r="D8" s="23"/>
      <c r="E8" s="23"/>
      <c r="F8" s="162"/>
      <c r="G8" s="162"/>
      <c r="H8" s="29" t="s">
        <v>143</v>
      </c>
    </row>
    <row r="9" spans="1:9" x14ac:dyDescent="0.2">
      <c r="A9" s="23"/>
      <c r="B9" s="23"/>
      <c r="C9" s="158" t="s">
        <v>144</v>
      </c>
      <c r="D9" s="23"/>
      <c r="E9" s="23"/>
      <c r="F9" s="23"/>
      <c r="G9" s="23"/>
      <c r="H9" s="29" t="s">
        <v>143</v>
      </c>
    </row>
    <row r="10" spans="1:9" x14ac:dyDescent="0.2">
      <c r="A10" s="23"/>
      <c r="B10" s="23"/>
      <c r="C10" s="158" t="s">
        <v>142</v>
      </c>
      <c r="D10" s="23"/>
      <c r="E10" s="23" t="s">
        <v>143</v>
      </c>
      <c r="F10" s="159" t="s">
        <v>145</v>
      </c>
      <c r="G10" s="160">
        <v>0</v>
      </c>
      <c r="H10" s="29" t="s">
        <v>143</v>
      </c>
    </row>
    <row r="11" spans="1:9" x14ac:dyDescent="0.2">
      <c r="A11" s="23"/>
      <c r="B11" s="23"/>
      <c r="C11" s="161"/>
      <c r="D11" s="23"/>
      <c r="E11" s="23"/>
      <c r="F11" s="162"/>
      <c r="G11" s="162"/>
      <c r="H11" s="29" t="s">
        <v>143</v>
      </c>
    </row>
    <row r="12" spans="1:9" x14ac:dyDescent="0.2">
      <c r="A12" s="23"/>
      <c r="B12" s="23"/>
      <c r="C12" s="158" t="s">
        <v>146</v>
      </c>
      <c r="D12" s="23"/>
      <c r="E12" s="23"/>
      <c r="F12" s="23"/>
      <c r="G12" s="23"/>
      <c r="H12" s="29" t="s">
        <v>143</v>
      </c>
    </row>
    <row r="13" spans="1:9" x14ac:dyDescent="0.2">
      <c r="A13" s="23"/>
      <c r="B13" s="23"/>
      <c r="C13" s="158" t="s">
        <v>142</v>
      </c>
      <c r="D13" s="23"/>
      <c r="E13" s="23" t="s">
        <v>143</v>
      </c>
      <c r="F13" s="159" t="s">
        <v>145</v>
      </c>
      <c r="G13" s="160">
        <v>0</v>
      </c>
      <c r="H13" s="29" t="s">
        <v>143</v>
      </c>
    </row>
    <row r="14" spans="1:9" x14ac:dyDescent="0.2">
      <c r="A14" s="23"/>
      <c r="B14" s="23"/>
      <c r="C14" s="161"/>
      <c r="D14" s="23"/>
      <c r="E14" s="23"/>
      <c r="F14" s="162"/>
      <c r="G14" s="162"/>
      <c r="H14" s="29" t="s">
        <v>143</v>
      </c>
    </row>
    <row r="15" spans="1:9" x14ac:dyDescent="0.2">
      <c r="A15" s="23"/>
      <c r="B15" s="23"/>
      <c r="C15" s="158" t="s">
        <v>147</v>
      </c>
      <c r="D15" s="23"/>
      <c r="E15" s="23"/>
      <c r="F15" s="23"/>
      <c r="G15" s="23"/>
      <c r="H15" s="29" t="s">
        <v>143</v>
      </c>
    </row>
    <row r="16" spans="1:9" x14ac:dyDescent="0.2">
      <c r="A16" s="23"/>
      <c r="B16" s="23"/>
      <c r="C16" s="158" t="s">
        <v>142</v>
      </c>
      <c r="D16" s="23"/>
      <c r="E16" s="23" t="s">
        <v>143</v>
      </c>
      <c r="F16" s="159" t="s">
        <v>145</v>
      </c>
      <c r="G16" s="160">
        <v>0</v>
      </c>
      <c r="H16" s="29" t="s">
        <v>143</v>
      </c>
    </row>
    <row r="17" spans="1:8" x14ac:dyDescent="0.2">
      <c r="A17" s="23"/>
      <c r="B17" s="23"/>
      <c r="C17" s="161"/>
      <c r="D17" s="23"/>
      <c r="E17" s="23"/>
      <c r="F17" s="162"/>
      <c r="G17" s="162"/>
      <c r="H17" s="29" t="s">
        <v>143</v>
      </c>
    </row>
    <row r="18" spans="1:8" x14ac:dyDescent="0.2">
      <c r="A18" s="23"/>
      <c r="B18" s="23"/>
      <c r="C18" s="158" t="s">
        <v>148</v>
      </c>
      <c r="D18" s="23"/>
      <c r="E18" s="23"/>
      <c r="F18" s="162"/>
      <c r="G18" s="162"/>
      <c r="H18" s="29" t="s">
        <v>143</v>
      </c>
    </row>
    <row r="19" spans="1:8" x14ac:dyDescent="0.2">
      <c r="A19" s="23"/>
      <c r="B19" s="23"/>
      <c r="C19" s="158" t="s">
        <v>142</v>
      </c>
      <c r="D19" s="23"/>
      <c r="E19" s="23" t="s">
        <v>143</v>
      </c>
      <c r="F19" s="159" t="s">
        <v>145</v>
      </c>
      <c r="G19" s="160">
        <v>0</v>
      </c>
      <c r="H19" s="29" t="s">
        <v>143</v>
      </c>
    </row>
    <row r="20" spans="1:8" x14ac:dyDescent="0.2">
      <c r="A20" s="23"/>
      <c r="B20" s="23"/>
      <c r="C20" s="161"/>
      <c r="D20" s="23"/>
      <c r="E20" s="23"/>
      <c r="F20" s="162"/>
      <c r="G20" s="162"/>
      <c r="H20" s="29" t="s">
        <v>143</v>
      </c>
    </row>
    <row r="21" spans="1:8" x14ac:dyDescent="0.2">
      <c r="A21" s="23"/>
      <c r="B21" s="23"/>
      <c r="C21" s="158" t="s">
        <v>149</v>
      </c>
      <c r="D21" s="23"/>
      <c r="E21" s="23"/>
      <c r="F21" s="162"/>
      <c r="G21" s="162"/>
      <c r="H21" s="29" t="s">
        <v>143</v>
      </c>
    </row>
    <row r="22" spans="1:8" x14ac:dyDescent="0.2">
      <c r="A22" s="23"/>
      <c r="B22" s="23"/>
      <c r="C22" s="158" t="s">
        <v>142</v>
      </c>
      <c r="D22" s="23"/>
      <c r="E22" s="23" t="s">
        <v>143</v>
      </c>
      <c r="F22" s="159" t="s">
        <v>145</v>
      </c>
      <c r="G22" s="160">
        <v>0</v>
      </c>
      <c r="H22" s="29" t="s">
        <v>143</v>
      </c>
    </row>
    <row r="23" spans="1:8" x14ac:dyDescent="0.2">
      <c r="A23" s="23"/>
      <c r="B23" s="23"/>
      <c r="C23" s="161"/>
      <c r="D23" s="23"/>
      <c r="E23" s="23"/>
      <c r="F23" s="162"/>
      <c r="G23" s="162"/>
      <c r="H23" s="29" t="s">
        <v>143</v>
      </c>
    </row>
    <row r="24" spans="1:8" x14ac:dyDescent="0.2">
      <c r="A24" s="23"/>
      <c r="B24" s="23"/>
      <c r="C24" s="158" t="s">
        <v>150</v>
      </c>
      <c r="D24" s="23"/>
      <c r="E24" s="23"/>
      <c r="F24" s="163">
        <v>0</v>
      </c>
      <c r="G24" s="160">
        <v>0</v>
      </c>
      <c r="H24" s="29" t="s">
        <v>143</v>
      </c>
    </row>
    <row r="25" spans="1:8" x14ac:dyDescent="0.2">
      <c r="A25" s="23"/>
      <c r="B25" s="23"/>
      <c r="C25" s="161"/>
      <c r="D25" s="23"/>
      <c r="E25" s="23"/>
      <c r="F25" s="162"/>
      <c r="G25" s="162"/>
      <c r="H25" s="29" t="s">
        <v>143</v>
      </c>
    </row>
    <row r="26" spans="1:8" x14ac:dyDescent="0.2">
      <c r="A26" s="23"/>
      <c r="B26" s="23"/>
      <c r="C26" s="158" t="s">
        <v>151</v>
      </c>
      <c r="D26" s="23"/>
      <c r="E26" s="23"/>
      <c r="F26" s="162"/>
      <c r="G26" s="162"/>
      <c r="H26" s="29" t="s">
        <v>143</v>
      </c>
    </row>
    <row r="27" spans="1:8" x14ac:dyDescent="0.2">
      <c r="A27" s="23"/>
      <c r="B27" s="23"/>
      <c r="C27" s="158" t="s">
        <v>10</v>
      </c>
      <c r="D27" s="23"/>
      <c r="E27" s="23"/>
      <c r="F27" s="162"/>
      <c r="G27" s="162"/>
      <c r="H27" s="29" t="s">
        <v>143</v>
      </c>
    </row>
    <row r="28" spans="1:8" x14ac:dyDescent="0.2">
      <c r="A28" s="23"/>
      <c r="B28" s="23"/>
      <c r="C28" s="158" t="s">
        <v>142</v>
      </c>
      <c r="D28" s="23"/>
      <c r="E28" s="23" t="s">
        <v>143</v>
      </c>
      <c r="F28" s="159" t="s">
        <v>145</v>
      </c>
      <c r="G28" s="160">
        <v>0</v>
      </c>
      <c r="H28" s="29" t="s">
        <v>143</v>
      </c>
    </row>
    <row r="29" spans="1:8" x14ac:dyDescent="0.2">
      <c r="A29" s="23"/>
      <c r="B29" s="23"/>
      <c r="C29" s="161"/>
      <c r="D29" s="23"/>
      <c r="E29" s="23"/>
      <c r="F29" s="162"/>
      <c r="G29" s="162"/>
      <c r="H29" s="29" t="s">
        <v>143</v>
      </c>
    </row>
    <row r="30" spans="1:8" x14ac:dyDescent="0.2">
      <c r="A30" s="23"/>
      <c r="B30" s="23"/>
      <c r="C30" s="158" t="s">
        <v>152</v>
      </c>
      <c r="D30" s="23"/>
      <c r="E30" s="23"/>
      <c r="F30" s="23"/>
      <c r="G30" s="23"/>
      <c r="H30" s="29" t="s">
        <v>143</v>
      </c>
    </row>
    <row r="31" spans="1:8" x14ac:dyDescent="0.2">
      <c r="A31" s="23"/>
      <c r="B31" s="23"/>
      <c r="C31" s="158" t="s">
        <v>142</v>
      </c>
      <c r="D31" s="23"/>
      <c r="E31" s="23" t="s">
        <v>143</v>
      </c>
      <c r="F31" s="159" t="s">
        <v>145</v>
      </c>
      <c r="G31" s="160">
        <v>0</v>
      </c>
      <c r="H31" s="29" t="s">
        <v>143</v>
      </c>
    </row>
    <row r="32" spans="1:8" x14ac:dyDescent="0.2">
      <c r="A32" s="23"/>
      <c r="B32" s="23"/>
      <c r="C32" s="161"/>
      <c r="D32" s="23"/>
      <c r="E32" s="23"/>
      <c r="F32" s="162"/>
      <c r="G32" s="162"/>
      <c r="H32" s="29" t="s">
        <v>143</v>
      </c>
    </row>
    <row r="33" spans="1:8" x14ac:dyDescent="0.2">
      <c r="A33" s="23"/>
      <c r="B33" s="23"/>
      <c r="C33" s="158" t="s">
        <v>153</v>
      </c>
      <c r="D33" s="23"/>
      <c r="E33" s="23"/>
      <c r="F33" s="23"/>
      <c r="G33" s="23"/>
      <c r="H33" s="29" t="s">
        <v>143</v>
      </c>
    </row>
    <row r="34" spans="1:8" x14ac:dyDescent="0.2">
      <c r="A34" s="23"/>
      <c r="B34" s="23"/>
      <c r="C34" s="158" t="s">
        <v>142</v>
      </c>
      <c r="D34" s="23"/>
      <c r="E34" s="23" t="s">
        <v>143</v>
      </c>
      <c r="F34" s="159" t="s">
        <v>145</v>
      </c>
      <c r="G34" s="160">
        <v>0</v>
      </c>
      <c r="H34" s="29" t="s">
        <v>143</v>
      </c>
    </row>
    <row r="35" spans="1:8" x14ac:dyDescent="0.2">
      <c r="A35" s="23"/>
      <c r="B35" s="23"/>
      <c r="C35" s="161"/>
      <c r="D35" s="23"/>
      <c r="E35" s="23"/>
      <c r="F35" s="162"/>
      <c r="G35" s="162"/>
      <c r="H35" s="29" t="s">
        <v>143</v>
      </c>
    </row>
    <row r="36" spans="1:8" x14ac:dyDescent="0.2">
      <c r="A36" s="23"/>
      <c r="B36" s="23"/>
      <c r="C36" s="158" t="s">
        <v>154</v>
      </c>
      <c r="D36" s="23"/>
      <c r="E36" s="23"/>
      <c r="F36" s="162"/>
      <c r="G36" s="162"/>
      <c r="H36" s="29" t="s">
        <v>143</v>
      </c>
    </row>
    <row r="37" spans="1:8" x14ac:dyDescent="0.2">
      <c r="A37" s="23"/>
      <c r="B37" s="23"/>
      <c r="C37" s="158" t="s">
        <v>142</v>
      </c>
      <c r="D37" s="23"/>
      <c r="E37" s="23" t="s">
        <v>143</v>
      </c>
      <c r="F37" s="159" t="s">
        <v>145</v>
      </c>
      <c r="G37" s="160">
        <v>0</v>
      </c>
      <c r="H37" s="29" t="s">
        <v>143</v>
      </c>
    </row>
    <row r="38" spans="1:8" x14ac:dyDescent="0.2">
      <c r="A38" s="23"/>
      <c r="B38" s="23"/>
      <c r="C38" s="161"/>
      <c r="D38" s="23"/>
      <c r="E38" s="23"/>
      <c r="F38" s="162"/>
      <c r="G38" s="162"/>
      <c r="H38" s="29" t="s">
        <v>143</v>
      </c>
    </row>
    <row r="39" spans="1:8" x14ac:dyDescent="0.2">
      <c r="A39" s="23"/>
      <c r="B39" s="23"/>
      <c r="C39" s="158" t="s">
        <v>155</v>
      </c>
      <c r="D39" s="23"/>
      <c r="E39" s="23"/>
      <c r="F39" s="163">
        <v>0</v>
      </c>
      <c r="G39" s="160">
        <v>0</v>
      </c>
      <c r="H39" s="29" t="s">
        <v>143</v>
      </c>
    </row>
    <row r="40" spans="1:8" x14ac:dyDescent="0.2">
      <c r="A40" s="23"/>
      <c r="B40" s="23"/>
      <c r="C40" s="161"/>
      <c r="D40" s="23"/>
      <c r="E40" s="23"/>
      <c r="F40" s="162"/>
      <c r="G40" s="162"/>
      <c r="H40" s="29" t="s">
        <v>143</v>
      </c>
    </row>
    <row r="41" spans="1:8" x14ac:dyDescent="0.2">
      <c r="A41" s="23"/>
      <c r="B41" s="23"/>
      <c r="C41" s="158" t="s">
        <v>156</v>
      </c>
      <c r="D41" s="23"/>
      <c r="E41" s="23"/>
      <c r="F41" s="162"/>
      <c r="G41" s="162"/>
      <c r="H41" s="29" t="s">
        <v>143</v>
      </c>
    </row>
    <row r="42" spans="1:8" x14ac:dyDescent="0.2">
      <c r="A42" s="23"/>
      <c r="B42" s="23"/>
      <c r="C42" s="158" t="s">
        <v>157</v>
      </c>
      <c r="D42" s="23"/>
      <c r="E42" s="23"/>
      <c r="F42" s="162"/>
      <c r="G42" s="162"/>
      <c r="H42" s="29" t="s">
        <v>143</v>
      </c>
    </row>
    <row r="43" spans="1:8" x14ac:dyDescent="0.2">
      <c r="A43" s="23"/>
      <c r="B43" s="23"/>
      <c r="C43" s="158" t="s">
        <v>142</v>
      </c>
      <c r="D43" s="23"/>
      <c r="E43" s="23" t="s">
        <v>143</v>
      </c>
      <c r="F43" s="159" t="s">
        <v>145</v>
      </c>
      <c r="G43" s="160">
        <v>0</v>
      </c>
      <c r="H43" s="29" t="s">
        <v>143</v>
      </c>
    </row>
    <row r="44" spans="1:8" x14ac:dyDescent="0.2">
      <c r="A44" s="23"/>
      <c r="B44" s="23"/>
      <c r="C44" s="161"/>
      <c r="D44" s="23"/>
      <c r="E44" s="23"/>
      <c r="F44" s="162"/>
      <c r="G44" s="162"/>
      <c r="H44" s="29" t="s">
        <v>143</v>
      </c>
    </row>
    <row r="45" spans="1:8" x14ac:dyDescent="0.2">
      <c r="A45" s="23"/>
      <c r="B45" s="23"/>
      <c r="C45" s="158" t="s">
        <v>158</v>
      </c>
      <c r="D45" s="23"/>
      <c r="E45" s="23"/>
      <c r="F45" s="162"/>
      <c r="G45" s="162"/>
      <c r="H45" s="29" t="s">
        <v>143</v>
      </c>
    </row>
    <row r="46" spans="1:8" x14ac:dyDescent="0.2">
      <c r="A46" s="23"/>
      <c r="B46" s="23"/>
      <c r="C46" s="158" t="s">
        <v>142</v>
      </c>
      <c r="D46" s="23"/>
      <c r="E46" s="23" t="s">
        <v>143</v>
      </c>
      <c r="F46" s="159" t="s">
        <v>145</v>
      </c>
      <c r="G46" s="160">
        <v>0</v>
      </c>
      <c r="H46" s="29" t="s">
        <v>143</v>
      </c>
    </row>
    <row r="47" spans="1:8" x14ac:dyDescent="0.2">
      <c r="A47" s="23"/>
      <c r="B47" s="23"/>
      <c r="C47" s="161"/>
      <c r="D47" s="23"/>
      <c r="E47" s="23"/>
      <c r="F47" s="162"/>
      <c r="G47" s="162"/>
      <c r="H47" s="29" t="s">
        <v>143</v>
      </c>
    </row>
    <row r="48" spans="1:8" x14ac:dyDescent="0.2">
      <c r="A48" s="23"/>
      <c r="B48" s="23"/>
      <c r="C48" s="158" t="s">
        <v>159</v>
      </c>
      <c r="D48" s="23"/>
      <c r="E48" s="23"/>
      <c r="F48" s="162"/>
      <c r="G48" s="162"/>
      <c r="H48" s="29" t="s">
        <v>143</v>
      </c>
    </row>
    <row r="49" spans="1:8" x14ac:dyDescent="0.2">
      <c r="A49" s="23"/>
      <c r="B49" s="23"/>
      <c r="C49" s="158" t="s">
        <v>142</v>
      </c>
      <c r="D49" s="23"/>
      <c r="E49" s="23" t="s">
        <v>143</v>
      </c>
      <c r="F49" s="159" t="s">
        <v>145</v>
      </c>
      <c r="G49" s="160">
        <v>0</v>
      </c>
      <c r="H49" s="29" t="s">
        <v>143</v>
      </c>
    </row>
    <row r="50" spans="1:8" x14ac:dyDescent="0.2">
      <c r="A50" s="23"/>
      <c r="B50" s="23"/>
      <c r="C50" s="161"/>
      <c r="D50" s="23"/>
      <c r="E50" s="23"/>
      <c r="F50" s="162"/>
      <c r="G50" s="162"/>
      <c r="H50" s="29" t="s">
        <v>143</v>
      </c>
    </row>
    <row r="51" spans="1:8" x14ac:dyDescent="0.2">
      <c r="A51" s="23"/>
      <c r="B51" s="23"/>
      <c r="C51" s="158" t="s">
        <v>160</v>
      </c>
      <c r="D51" s="23"/>
      <c r="E51" s="23"/>
      <c r="F51" s="162"/>
      <c r="G51" s="162"/>
      <c r="H51" s="29" t="s">
        <v>143</v>
      </c>
    </row>
    <row r="52" spans="1:8" x14ac:dyDescent="0.2">
      <c r="A52" s="164">
        <v>1</v>
      </c>
      <c r="B52" s="165"/>
      <c r="C52" s="165" t="s">
        <v>161</v>
      </c>
      <c r="D52" s="165"/>
      <c r="E52" s="166"/>
      <c r="F52" s="167">
        <v>578.10689600000001</v>
      </c>
      <c r="G52" s="168">
        <v>4.1704140000000001E-2</v>
      </c>
      <c r="H52" s="29">
        <v>5.51</v>
      </c>
    </row>
    <row r="53" spans="1:8" x14ac:dyDescent="0.2">
      <c r="A53" s="23"/>
      <c r="B53" s="23"/>
      <c r="C53" s="158" t="s">
        <v>142</v>
      </c>
      <c r="D53" s="23"/>
      <c r="E53" s="23" t="s">
        <v>143</v>
      </c>
      <c r="F53" s="163">
        <v>578.10689600000001</v>
      </c>
      <c r="G53" s="160">
        <v>4.1704140000000001E-2</v>
      </c>
      <c r="H53" s="29" t="s">
        <v>143</v>
      </c>
    </row>
    <row r="54" spans="1:8" x14ac:dyDescent="0.2">
      <c r="A54" s="23"/>
      <c r="B54" s="23"/>
      <c r="C54" s="161"/>
      <c r="D54" s="23"/>
      <c r="E54" s="23"/>
      <c r="F54" s="162"/>
      <c r="G54" s="162"/>
      <c r="H54" s="29" t="s">
        <v>143</v>
      </c>
    </row>
    <row r="55" spans="1:8" x14ac:dyDescent="0.2">
      <c r="A55" s="23"/>
      <c r="B55" s="23"/>
      <c r="C55" s="158" t="s">
        <v>162</v>
      </c>
      <c r="D55" s="23"/>
      <c r="E55" s="23"/>
      <c r="F55" s="163">
        <v>578.10689600000001</v>
      </c>
      <c r="G55" s="160">
        <v>4.1704140000000001E-2</v>
      </c>
      <c r="H55" s="29" t="s">
        <v>143</v>
      </c>
    </row>
    <row r="56" spans="1:8" x14ac:dyDescent="0.2">
      <c r="A56" s="23"/>
      <c r="B56" s="23"/>
      <c r="C56" s="162"/>
      <c r="D56" s="23"/>
      <c r="E56" s="23"/>
      <c r="F56" s="23"/>
      <c r="G56" s="23"/>
      <c r="H56" s="29" t="s">
        <v>143</v>
      </c>
    </row>
    <row r="57" spans="1:8" x14ac:dyDescent="0.2">
      <c r="A57" s="23"/>
      <c r="B57" s="23"/>
      <c r="C57" s="158" t="s">
        <v>163</v>
      </c>
      <c r="D57" s="23"/>
      <c r="E57" s="23"/>
      <c r="F57" s="23"/>
      <c r="G57" s="23"/>
      <c r="H57" s="29" t="s">
        <v>143</v>
      </c>
    </row>
    <row r="58" spans="1:8" ht="25.5" x14ac:dyDescent="0.2">
      <c r="A58" s="23"/>
      <c r="B58" s="23"/>
      <c r="C58" s="158" t="s">
        <v>1147</v>
      </c>
      <c r="D58" s="23"/>
      <c r="E58" s="23"/>
      <c r="F58" s="23"/>
      <c r="G58" s="23"/>
      <c r="H58" s="29" t="s">
        <v>143</v>
      </c>
    </row>
    <row r="59" spans="1:8" x14ac:dyDescent="0.2">
      <c r="A59" s="164">
        <v>1</v>
      </c>
      <c r="B59" s="165" t="s">
        <v>1145</v>
      </c>
      <c r="C59" s="165" t="s">
        <v>1146</v>
      </c>
      <c r="D59" s="165"/>
      <c r="E59" s="169">
        <v>8533786.9913999997</v>
      </c>
      <c r="F59" s="167">
        <v>13320.973822813001</v>
      </c>
      <c r="G59" s="168">
        <v>0.96096362000000002</v>
      </c>
      <c r="H59" s="29" t="s">
        <v>143</v>
      </c>
    </row>
    <row r="60" spans="1:8" x14ac:dyDescent="0.2">
      <c r="A60" s="23"/>
      <c r="B60" s="23"/>
      <c r="C60" s="158" t="s">
        <v>142</v>
      </c>
      <c r="D60" s="23"/>
      <c r="E60" s="23" t="s">
        <v>143</v>
      </c>
      <c r="F60" s="163">
        <v>13320.973822813001</v>
      </c>
      <c r="G60" s="160">
        <v>0.96096362000000002</v>
      </c>
      <c r="H60" s="29" t="s">
        <v>143</v>
      </c>
    </row>
    <row r="61" spans="1:8" x14ac:dyDescent="0.2">
      <c r="A61" s="23"/>
      <c r="B61" s="23"/>
      <c r="C61" s="161"/>
      <c r="D61" s="23"/>
      <c r="E61" s="23"/>
      <c r="F61" s="162"/>
      <c r="G61" s="162"/>
      <c r="H61" s="29" t="s">
        <v>143</v>
      </c>
    </row>
    <row r="62" spans="1:8" x14ac:dyDescent="0.2">
      <c r="A62" s="23"/>
      <c r="B62" s="23"/>
      <c r="C62" s="158" t="s">
        <v>165</v>
      </c>
      <c r="D62" s="23"/>
      <c r="E62" s="23"/>
      <c r="F62" s="23"/>
      <c r="G62" s="23"/>
      <c r="H62" s="29" t="s">
        <v>143</v>
      </c>
    </row>
    <row r="63" spans="1:8" x14ac:dyDescent="0.2">
      <c r="A63" s="23"/>
      <c r="B63" s="23"/>
      <c r="C63" s="158" t="s">
        <v>166</v>
      </c>
      <c r="D63" s="23"/>
      <c r="E63" s="23"/>
      <c r="F63" s="23"/>
      <c r="G63" s="23"/>
      <c r="H63" s="29" t="s">
        <v>143</v>
      </c>
    </row>
    <row r="64" spans="1:8" x14ac:dyDescent="0.2">
      <c r="A64" s="23"/>
      <c r="B64" s="23"/>
      <c r="C64" s="158" t="s">
        <v>142</v>
      </c>
      <c r="D64" s="23"/>
      <c r="E64" s="23" t="s">
        <v>143</v>
      </c>
      <c r="F64" s="159" t="s">
        <v>145</v>
      </c>
      <c r="G64" s="160">
        <v>0</v>
      </c>
      <c r="H64" s="29" t="s">
        <v>143</v>
      </c>
    </row>
    <row r="65" spans="1:17" x14ac:dyDescent="0.2">
      <c r="A65" s="23"/>
      <c r="B65" s="23"/>
      <c r="C65" s="161"/>
      <c r="D65" s="23"/>
      <c r="E65" s="23"/>
      <c r="F65" s="162"/>
      <c r="G65" s="162"/>
      <c r="H65" s="29" t="s">
        <v>143</v>
      </c>
    </row>
    <row r="66" spans="1:17" x14ac:dyDescent="0.2">
      <c r="A66" s="23"/>
      <c r="B66" s="23"/>
      <c r="C66" s="158" t="s">
        <v>167</v>
      </c>
      <c r="D66" s="23"/>
      <c r="E66" s="23"/>
      <c r="F66" s="162"/>
      <c r="G66" s="162"/>
      <c r="H66" s="29" t="s">
        <v>143</v>
      </c>
    </row>
    <row r="67" spans="1:17" x14ac:dyDescent="0.2">
      <c r="A67" s="23"/>
      <c r="B67" s="23"/>
      <c r="C67" s="158" t="s">
        <v>142</v>
      </c>
      <c r="D67" s="23"/>
      <c r="E67" s="23" t="s">
        <v>143</v>
      </c>
      <c r="F67" s="159" t="s">
        <v>145</v>
      </c>
      <c r="G67" s="160">
        <v>0</v>
      </c>
      <c r="H67" s="29" t="s">
        <v>143</v>
      </c>
    </row>
    <row r="68" spans="1:17" x14ac:dyDescent="0.2">
      <c r="A68" s="23"/>
      <c r="B68" s="23"/>
      <c r="C68" s="161"/>
      <c r="D68" s="23"/>
      <c r="E68" s="23"/>
      <c r="F68" s="162"/>
      <c r="G68" s="162"/>
      <c r="H68" s="29" t="s">
        <v>143</v>
      </c>
    </row>
    <row r="69" spans="1:17" x14ac:dyDescent="0.2">
      <c r="A69" s="166"/>
      <c r="B69" s="165"/>
      <c r="C69" s="165" t="s">
        <v>168</v>
      </c>
      <c r="D69" s="165"/>
      <c r="E69" s="166"/>
      <c r="F69" s="167">
        <v>-36.98074166</v>
      </c>
      <c r="G69" s="168">
        <v>-2.6677599999999999E-3</v>
      </c>
      <c r="H69" s="29" t="s">
        <v>143</v>
      </c>
    </row>
    <row r="70" spans="1:17" x14ac:dyDescent="0.2">
      <c r="A70" s="161"/>
      <c r="B70" s="161"/>
      <c r="C70" s="158" t="s">
        <v>169</v>
      </c>
      <c r="D70" s="162"/>
      <c r="E70" s="162"/>
      <c r="F70" s="163">
        <v>13862.099977153001</v>
      </c>
      <c r="G70" s="170">
        <v>1</v>
      </c>
      <c r="H70" s="29" t="s">
        <v>143</v>
      </c>
    </row>
    <row r="71" spans="1:17" x14ac:dyDescent="0.2">
      <c r="A71" s="48"/>
      <c r="B71" s="48"/>
      <c r="C71" s="49"/>
      <c r="D71" s="50"/>
      <c r="E71" s="50"/>
      <c r="F71" s="51"/>
      <c r="G71" s="52"/>
      <c r="H71" s="53"/>
    </row>
    <row r="72" spans="1:17" x14ac:dyDescent="0.2">
      <c r="A72" s="54"/>
      <c r="B72" s="243" t="s">
        <v>945</v>
      </c>
      <c r="C72" s="243"/>
      <c r="D72" s="243"/>
      <c r="E72" s="243"/>
      <c r="F72" s="243"/>
      <c r="G72" s="243"/>
      <c r="H72" s="243"/>
      <c r="J72" s="56"/>
    </row>
    <row r="73" spans="1:17" x14ac:dyDescent="0.2">
      <c r="A73" s="54"/>
      <c r="B73" s="243" t="s">
        <v>946</v>
      </c>
      <c r="C73" s="243"/>
      <c r="D73" s="243"/>
      <c r="E73" s="243"/>
      <c r="F73" s="243"/>
      <c r="G73" s="243"/>
      <c r="H73" s="243"/>
      <c r="J73" s="56"/>
    </row>
    <row r="74" spans="1:17" x14ac:dyDescent="0.2">
      <c r="A74" s="54"/>
      <c r="B74" s="243" t="s">
        <v>947</v>
      </c>
      <c r="C74" s="243"/>
      <c r="D74" s="243"/>
      <c r="E74" s="243"/>
      <c r="F74" s="243"/>
      <c r="G74" s="243"/>
      <c r="H74" s="243"/>
      <c r="J74" s="56"/>
    </row>
    <row r="75" spans="1:17" s="58" customFormat="1" ht="69" customHeight="1" x14ac:dyDescent="0.25">
      <c r="A75" s="57"/>
      <c r="B75" s="244" t="s">
        <v>948</v>
      </c>
      <c r="C75" s="244"/>
      <c r="D75" s="244"/>
      <c r="E75" s="244"/>
      <c r="F75" s="244"/>
      <c r="G75" s="244"/>
      <c r="H75" s="244"/>
      <c r="I75"/>
      <c r="J75" s="56"/>
      <c r="K75"/>
      <c r="L75"/>
      <c r="M75"/>
      <c r="N75"/>
      <c r="O75"/>
      <c r="P75"/>
      <c r="Q75"/>
    </row>
    <row r="76" spans="1:17" x14ac:dyDescent="0.2">
      <c r="A76" s="54"/>
      <c r="B76" s="243" t="s">
        <v>949</v>
      </c>
      <c r="C76" s="243"/>
      <c r="D76" s="243"/>
      <c r="E76" s="243"/>
      <c r="F76" s="243"/>
      <c r="G76" s="243"/>
      <c r="H76" s="243"/>
      <c r="J76" s="56"/>
    </row>
    <row r="77" spans="1:17" x14ac:dyDescent="0.2">
      <c r="A77" s="54"/>
      <c r="B77" s="54"/>
      <c r="C77" s="54"/>
      <c r="D77" s="59"/>
      <c r="E77" s="59"/>
      <c r="F77" s="59"/>
      <c r="G77" s="59"/>
    </row>
    <row r="78" spans="1:17" x14ac:dyDescent="0.2">
      <c r="A78" s="54"/>
      <c r="B78" s="247" t="s">
        <v>170</v>
      </c>
      <c r="C78" s="248"/>
      <c r="D78" s="249"/>
      <c r="E78" s="60"/>
      <c r="F78" s="59"/>
      <c r="G78" s="59"/>
    </row>
    <row r="79" spans="1:17" x14ac:dyDescent="0.2">
      <c r="A79" s="54"/>
      <c r="B79" s="240" t="s">
        <v>171</v>
      </c>
      <c r="C79" s="241"/>
      <c r="D79" s="28" t="s">
        <v>172</v>
      </c>
      <c r="E79" s="60"/>
      <c r="F79" s="59"/>
      <c r="G79" s="59"/>
    </row>
    <row r="80" spans="1:17" x14ac:dyDescent="0.2">
      <c r="A80" s="54"/>
      <c r="B80" s="240" t="s">
        <v>950</v>
      </c>
      <c r="C80" s="241"/>
      <c r="D80" s="171" t="s">
        <v>172</v>
      </c>
      <c r="E80" s="60"/>
      <c r="F80" s="59"/>
      <c r="G80" s="59"/>
    </row>
    <row r="81" spans="1:10" x14ac:dyDescent="0.2">
      <c r="A81" s="54"/>
      <c r="B81" s="240" t="s">
        <v>173</v>
      </c>
      <c r="C81" s="241"/>
      <c r="D81" s="61" t="s">
        <v>143</v>
      </c>
      <c r="E81" s="60"/>
      <c r="F81" s="59"/>
      <c r="G81" s="59"/>
    </row>
    <row r="82" spans="1:10" x14ac:dyDescent="0.2">
      <c r="A82" s="72"/>
      <c r="B82" s="172" t="s">
        <v>143</v>
      </c>
      <c r="C82" s="172" t="s">
        <v>951</v>
      </c>
      <c r="D82" s="172" t="s">
        <v>174</v>
      </c>
      <c r="E82" s="72"/>
      <c r="F82" s="72"/>
      <c r="G82" s="72"/>
      <c r="H82" s="72"/>
      <c r="J82" s="56"/>
    </row>
    <row r="83" spans="1:10" x14ac:dyDescent="0.2">
      <c r="A83" s="72"/>
      <c r="B83" s="173" t="s">
        <v>175</v>
      </c>
      <c r="C83" s="65">
        <v>45900</v>
      </c>
      <c r="D83" s="174">
        <v>45930</v>
      </c>
      <c r="E83" s="72"/>
      <c r="F83" s="72"/>
      <c r="G83" s="72"/>
      <c r="J83" s="56"/>
    </row>
    <row r="84" spans="1:10" x14ac:dyDescent="0.2">
      <c r="A84" s="62"/>
      <c r="B84" s="165" t="s">
        <v>176</v>
      </c>
      <c r="C84" s="175">
        <v>99.152699999999996</v>
      </c>
      <c r="D84" s="175">
        <v>41.442900000000002</v>
      </c>
      <c r="E84" s="62"/>
      <c r="F84" s="122"/>
      <c r="G84" s="123"/>
    </row>
    <row r="85" spans="1:10" x14ac:dyDescent="0.2">
      <c r="A85" s="62"/>
      <c r="B85" s="165" t="s">
        <v>1085</v>
      </c>
      <c r="C85" s="175">
        <v>61.0916</v>
      </c>
      <c r="D85" s="175">
        <v>36.856900000000003</v>
      </c>
      <c r="E85" s="62"/>
      <c r="F85" s="122"/>
      <c r="G85" s="123"/>
    </row>
    <row r="86" spans="1:10" x14ac:dyDescent="0.2">
      <c r="A86" s="62"/>
      <c r="B86" s="165" t="s">
        <v>177</v>
      </c>
      <c r="C86" s="175">
        <v>92.732500000000002</v>
      </c>
      <c r="D86" s="175">
        <v>37.777999999999999</v>
      </c>
      <c r="E86" s="62"/>
      <c r="F86" s="122"/>
      <c r="G86" s="123"/>
    </row>
    <row r="87" spans="1:10" x14ac:dyDescent="0.2">
      <c r="A87" s="62"/>
      <c r="B87" s="165" t="s">
        <v>1086</v>
      </c>
      <c r="C87" s="175">
        <v>56.843299999999999</v>
      </c>
      <c r="D87" s="175">
        <v>32.372399999999999</v>
      </c>
      <c r="E87" s="62"/>
      <c r="F87" s="122"/>
      <c r="G87" s="123"/>
    </row>
    <row r="88" spans="1:10" x14ac:dyDescent="0.2">
      <c r="A88" s="62"/>
      <c r="B88" s="62"/>
      <c r="C88" s="62"/>
      <c r="D88" s="62"/>
      <c r="E88" s="62"/>
      <c r="F88" s="62"/>
      <c r="G88" s="62"/>
    </row>
    <row r="89" spans="1:10" x14ac:dyDescent="0.2">
      <c r="A89" s="72"/>
      <c r="B89" s="250" t="s">
        <v>952</v>
      </c>
      <c r="C89" s="251"/>
      <c r="D89" s="171" t="s">
        <v>172</v>
      </c>
      <c r="E89" s="72"/>
      <c r="F89" s="72"/>
      <c r="G89" s="72"/>
    </row>
    <row r="90" spans="1:10" x14ac:dyDescent="0.2">
      <c r="A90" s="72"/>
      <c r="B90" s="73"/>
      <c r="C90" s="73"/>
      <c r="D90" s="73"/>
      <c r="E90" s="72"/>
      <c r="F90" s="72"/>
      <c r="G90" s="72"/>
    </row>
    <row r="91" spans="1:10" x14ac:dyDescent="0.2">
      <c r="A91" s="72"/>
      <c r="B91" s="250" t="s">
        <v>178</v>
      </c>
      <c r="C91" s="251"/>
      <c r="D91" s="171" t="s">
        <v>172</v>
      </c>
      <c r="E91" s="74"/>
      <c r="F91" s="72"/>
      <c r="G91" s="72"/>
      <c r="I91" s="176"/>
    </row>
    <row r="92" spans="1:10" x14ac:dyDescent="0.2">
      <c r="A92" s="72"/>
      <c r="B92" s="250" t="s">
        <v>179</v>
      </c>
      <c r="C92" s="251"/>
      <c r="D92" s="171" t="str">
        <f>"Rs. "&amp;TEXT(F60,"0,000.00")&amp;" Lacs"</f>
        <v>Rs. 13,320.97 Lacs</v>
      </c>
      <c r="E92" s="74"/>
      <c r="F92" s="72"/>
      <c r="G92" s="72"/>
      <c r="I92" s="176"/>
    </row>
    <row r="93" spans="1:10" x14ac:dyDescent="0.2">
      <c r="A93" s="72"/>
      <c r="B93" s="250" t="s">
        <v>180</v>
      </c>
      <c r="C93" s="251"/>
      <c r="D93" s="171" t="s">
        <v>172</v>
      </c>
      <c r="E93" s="74"/>
      <c r="F93" s="72"/>
      <c r="G93" s="72"/>
      <c r="I93" s="176"/>
    </row>
    <row r="94" spans="1:10" x14ac:dyDescent="0.2">
      <c r="A94" s="72"/>
      <c r="B94" s="250" t="s">
        <v>181</v>
      </c>
      <c r="C94" s="251"/>
      <c r="D94" s="177">
        <v>0</v>
      </c>
      <c r="E94" s="72"/>
      <c r="F94" s="55"/>
      <c r="G94" s="76"/>
      <c r="I94" s="176"/>
    </row>
    <row r="95" spans="1:10" x14ac:dyDescent="0.2">
      <c r="I95" s="176"/>
    </row>
    <row r="96" spans="1:10" x14ac:dyDescent="0.2">
      <c r="B96" s="239" t="s">
        <v>953</v>
      </c>
      <c r="C96" s="239"/>
    </row>
    <row r="98" spans="2:4" ht="153.75" customHeight="1" x14ac:dyDescent="0.2"/>
    <row r="101" spans="2:4" x14ac:dyDescent="0.2">
      <c r="B101" s="77" t="s">
        <v>954</v>
      </c>
      <c r="C101" s="78"/>
      <c r="D101" s="77"/>
    </row>
    <row r="102" spans="2:4" x14ac:dyDescent="0.2">
      <c r="B102" s="77" t="s">
        <v>1148</v>
      </c>
      <c r="D102" s="77"/>
    </row>
    <row r="103" spans="2:4" ht="165" customHeight="1" x14ac:dyDescent="0.2"/>
  </sheetData>
  <mergeCells count="18">
    <mergeCell ref="B74:H74"/>
    <mergeCell ref="B75:H75"/>
    <mergeCell ref="B76:H76"/>
    <mergeCell ref="B89:C89"/>
    <mergeCell ref="B93:C93"/>
    <mergeCell ref="B91:C91"/>
    <mergeCell ref="B92:C92"/>
    <mergeCell ref="A1:H1"/>
    <mergeCell ref="A2:H2"/>
    <mergeCell ref="A3:H3"/>
    <mergeCell ref="B72:H72"/>
    <mergeCell ref="B73:H73"/>
    <mergeCell ref="B78:D78"/>
    <mergeCell ref="B79:C79"/>
    <mergeCell ref="B80:C80"/>
    <mergeCell ref="B81:C81"/>
    <mergeCell ref="B96:C96"/>
    <mergeCell ref="B94:C94"/>
  </mergeCells>
  <hyperlinks>
    <hyperlink ref="I1" location="Index!B2" display="Index" xr:uid="{32FB4FF7-2E87-41FA-BA40-4C6FF61DBC8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8BDF0-8D96-49EA-A630-E72492BF326C}">
  <sheetPr>
    <outlinePr summaryBelow="0" summaryRight="0"/>
  </sheetPr>
  <dimension ref="A1:Q195"/>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52.7109375" bestFit="1" customWidth="1"/>
    <col min="4" max="4" width="20.28515625" customWidth="1"/>
    <col min="5" max="5" width="11.42578125" bestFit="1" customWidth="1"/>
    <col min="6" max="6" width="10.425781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182</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62</v>
      </c>
      <c r="C7" s="22" t="s">
        <v>63</v>
      </c>
      <c r="D7" s="22" t="s">
        <v>64</v>
      </c>
      <c r="E7" s="36">
        <v>1273753</v>
      </c>
      <c r="F7" s="37">
        <v>50013.911545000003</v>
      </c>
      <c r="G7" s="38">
        <v>3.9740530000000003E-2</v>
      </c>
      <c r="H7" s="29" t="s">
        <v>143</v>
      </c>
    </row>
    <row r="8" spans="1:9" ht="12.75" customHeight="1" x14ac:dyDescent="0.2">
      <c r="A8" s="35">
        <v>2</v>
      </c>
      <c r="B8" s="22" t="s">
        <v>183</v>
      </c>
      <c r="C8" s="22" t="s">
        <v>184</v>
      </c>
      <c r="D8" s="22" t="s">
        <v>185</v>
      </c>
      <c r="E8" s="36">
        <v>1712601</v>
      </c>
      <c r="F8" s="37">
        <v>38506.120884000004</v>
      </c>
      <c r="G8" s="38">
        <v>3.0596559999999998E-2</v>
      </c>
      <c r="H8" s="29" t="s">
        <v>143</v>
      </c>
    </row>
    <row r="9" spans="1:9" ht="12.75" customHeight="1" x14ac:dyDescent="0.2">
      <c r="A9" s="35">
        <v>3</v>
      </c>
      <c r="B9" s="22" t="s">
        <v>186</v>
      </c>
      <c r="C9" s="22" t="s">
        <v>187</v>
      </c>
      <c r="D9" s="22" t="s">
        <v>188</v>
      </c>
      <c r="E9" s="36">
        <v>3791187</v>
      </c>
      <c r="F9" s="37">
        <v>36766.931526</v>
      </c>
      <c r="G9" s="38">
        <v>2.921462E-2</v>
      </c>
      <c r="H9" s="29" t="s">
        <v>143</v>
      </c>
    </row>
    <row r="10" spans="1:9" ht="12.75" customHeight="1" x14ac:dyDescent="0.2">
      <c r="A10" s="35">
        <v>4</v>
      </c>
      <c r="B10" s="22" t="s">
        <v>36</v>
      </c>
      <c r="C10" s="22" t="s">
        <v>37</v>
      </c>
      <c r="D10" s="22" t="s">
        <v>38</v>
      </c>
      <c r="E10" s="36">
        <v>1179542</v>
      </c>
      <c r="F10" s="37">
        <v>34920.340909999999</v>
      </c>
      <c r="G10" s="38">
        <v>2.7747339999999999E-2</v>
      </c>
      <c r="H10" s="29" t="s">
        <v>143</v>
      </c>
    </row>
    <row r="11" spans="1:9" ht="12.75" customHeight="1" x14ac:dyDescent="0.2">
      <c r="A11" s="35">
        <v>5</v>
      </c>
      <c r="B11" s="22" t="s">
        <v>189</v>
      </c>
      <c r="C11" s="22" t="s">
        <v>190</v>
      </c>
      <c r="D11" s="22" t="s">
        <v>191</v>
      </c>
      <c r="E11" s="36">
        <v>11920703</v>
      </c>
      <c r="F11" s="37">
        <v>32817.695358999998</v>
      </c>
      <c r="G11" s="38">
        <v>2.6076599999999998E-2</v>
      </c>
      <c r="H11" s="29" t="s">
        <v>143</v>
      </c>
    </row>
    <row r="12" spans="1:9" ht="12.75" customHeight="1" x14ac:dyDescent="0.2">
      <c r="A12" s="35">
        <v>6</v>
      </c>
      <c r="B12" s="22" t="s">
        <v>192</v>
      </c>
      <c r="C12" s="22" t="s">
        <v>193</v>
      </c>
      <c r="D12" s="22" t="s">
        <v>194</v>
      </c>
      <c r="E12" s="36">
        <v>1569363</v>
      </c>
      <c r="F12" s="37">
        <v>29995.235019</v>
      </c>
      <c r="G12" s="38">
        <v>2.3833900000000002E-2</v>
      </c>
      <c r="H12" s="29" t="s">
        <v>143</v>
      </c>
    </row>
    <row r="13" spans="1:9" ht="12.75" customHeight="1" x14ac:dyDescent="0.2">
      <c r="A13" s="35">
        <v>7</v>
      </c>
      <c r="B13" s="22" t="s">
        <v>195</v>
      </c>
      <c r="C13" s="22" t="s">
        <v>196</v>
      </c>
      <c r="D13" s="22" t="s">
        <v>19</v>
      </c>
      <c r="E13" s="36">
        <v>6144382</v>
      </c>
      <c r="F13" s="37">
        <v>27244.189788</v>
      </c>
      <c r="G13" s="38">
        <v>2.1647949999999999E-2</v>
      </c>
      <c r="H13" s="29" t="s">
        <v>143</v>
      </c>
    </row>
    <row r="14" spans="1:9" ht="12.75" customHeight="1" x14ac:dyDescent="0.2">
      <c r="A14" s="35">
        <v>8</v>
      </c>
      <c r="B14" s="22" t="s">
        <v>197</v>
      </c>
      <c r="C14" s="22" t="s">
        <v>198</v>
      </c>
      <c r="D14" s="22" t="s">
        <v>33</v>
      </c>
      <c r="E14" s="36">
        <v>3602269</v>
      </c>
      <c r="F14" s="37">
        <v>27042.233382999999</v>
      </c>
      <c r="G14" s="38">
        <v>2.148748E-2</v>
      </c>
      <c r="H14" s="29" t="s">
        <v>143</v>
      </c>
    </row>
    <row r="15" spans="1:9" ht="12.75" customHeight="1" x14ac:dyDescent="0.2">
      <c r="A15" s="35">
        <v>9</v>
      </c>
      <c r="B15" s="22" t="s">
        <v>199</v>
      </c>
      <c r="C15" s="22" t="s">
        <v>200</v>
      </c>
      <c r="D15" s="22" t="s">
        <v>33</v>
      </c>
      <c r="E15" s="36">
        <v>37611985</v>
      </c>
      <c r="F15" s="37">
        <v>26241.881934500001</v>
      </c>
      <c r="G15" s="38">
        <v>2.0851519999999998E-2</v>
      </c>
      <c r="H15" s="29" t="s">
        <v>143</v>
      </c>
    </row>
    <row r="16" spans="1:9" ht="12.75" customHeight="1" x14ac:dyDescent="0.2">
      <c r="A16" s="35">
        <v>10</v>
      </c>
      <c r="B16" s="22" t="s">
        <v>201</v>
      </c>
      <c r="C16" s="22" t="s">
        <v>202</v>
      </c>
      <c r="D16" s="22" t="s">
        <v>203</v>
      </c>
      <c r="E16" s="36">
        <v>3660354</v>
      </c>
      <c r="F16" s="37">
        <v>25527.308796000001</v>
      </c>
      <c r="G16" s="38">
        <v>2.028373E-2</v>
      </c>
      <c r="H16" s="29" t="s">
        <v>143</v>
      </c>
    </row>
    <row r="17" spans="1:8" ht="12.75" customHeight="1" x14ac:dyDescent="0.2">
      <c r="A17" s="35">
        <v>11</v>
      </c>
      <c r="B17" s="22" t="s">
        <v>131</v>
      </c>
      <c r="C17" s="22" t="s">
        <v>132</v>
      </c>
      <c r="D17" s="22" t="s">
        <v>133</v>
      </c>
      <c r="E17" s="36">
        <v>2380218</v>
      </c>
      <c r="F17" s="37">
        <v>25319.568974999998</v>
      </c>
      <c r="G17" s="38">
        <v>2.011866E-2</v>
      </c>
      <c r="H17" s="29" t="s">
        <v>143</v>
      </c>
    </row>
    <row r="18" spans="1:8" ht="12.75" customHeight="1" x14ac:dyDescent="0.2">
      <c r="A18" s="35">
        <v>12</v>
      </c>
      <c r="B18" s="22" t="s">
        <v>204</v>
      </c>
      <c r="C18" s="22" t="s">
        <v>205</v>
      </c>
      <c r="D18" s="22" t="s">
        <v>206</v>
      </c>
      <c r="E18" s="36">
        <v>3997650</v>
      </c>
      <c r="F18" s="37">
        <v>24681.491099999999</v>
      </c>
      <c r="G18" s="38">
        <v>1.9611650000000001E-2</v>
      </c>
      <c r="H18" s="29" t="s">
        <v>143</v>
      </c>
    </row>
    <row r="19" spans="1:8" ht="12.75" customHeight="1" x14ac:dyDescent="0.2">
      <c r="A19" s="35">
        <v>13</v>
      </c>
      <c r="B19" s="22" t="s">
        <v>207</v>
      </c>
      <c r="C19" s="22" t="s">
        <v>208</v>
      </c>
      <c r="D19" s="22" t="s">
        <v>46</v>
      </c>
      <c r="E19" s="36">
        <v>5430735</v>
      </c>
      <c r="F19" s="37">
        <v>24671.829105000001</v>
      </c>
      <c r="G19" s="38">
        <v>1.960398E-2</v>
      </c>
      <c r="H19" s="29" t="s">
        <v>143</v>
      </c>
    </row>
    <row r="20" spans="1:8" ht="12.75" customHeight="1" x14ac:dyDescent="0.2">
      <c r="A20" s="35">
        <v>14</v>
      </c>
      <c r="B20" s="22" t="s">
        <v>209</v>
      </c>
      <c r="C20" s="22" t="s">
        <v>210</v>
      </c>
      <c r="D20" s="22" t="s">
        <v>33</v>
      </c>
      <c r="E20" s="36">
        <v>12344646</v>
      </c>
      <c r="F20" s="37">
        <v>23816.5255278</v>
      </c>
      <c r="G20" s="38">
        <v>1.8924360000000001E-2</v>
      </c>
      <c r="H20" s="29" t="s">
        <v>143</v>
      </c>
    </row>
    <row r="21" spans="1:8" ht="12.75" customHeight="1" x14ac:dyDescent="0.2">
      <c r="A21" s="35">
        <v>15</v>
      </c>
      <c r="B21" s="22" t="s">
        <v>67</v>
      </c>
      <c r="C21" s="22" t="s">
        <v>68</v>
      </c>
      <c r="D21" s="22" t="s">
        <v>25</v>
      </c>
      <c r="E21" s="36">
        <v>373091</v>
      </c>
      <c r="F21" s="37">
        <v>23504.733</v>
      </c>
      <c r="G21" s="38">
        <v>1.867661E-2</v>
      </c>
      <c r="H21" s="29" t="s">
        <v>143</v>
      </c>
    </row>
    <row r="22" spans="1:8" ht="12.75" customHeight="1" x14ac:dyDescent="0.2">
      <c r="A22" s="35">
        <v>16</v>
      </c>
      <c r="B22" s="22" t="s">
        <v>211</v>
      </c>
      <c r="C22" s="22" t="s">
        <v>212</v>
      </c>
      <c r="D22" s="22" t="s">
        <v>90</v>
      </c>
      <c r="E22" s="36">
        <v>1493619</v>
      </c>
      <c r="F22" s="37">
        <v>23233.243545000001</v>
      </c>
      <c r="G22" s="38">
        <v>1.8460890000000001E-2</v>
      </c>
      <c r="H22" s="29" t="s">
        <v>143</v>
      </c>
    </row>
    <row r="23" spans="1:8" ht="12.75" customHeight="1" x14ac:dyDescent="0.2">
      <c r="A23" s="35">
        <v>17</v>
      </c>
      <c r="B23" s="22" t="s">
        <v>213</v>
      </c>
      <c r="C23" s="22" t="s">
        <v>214</v>
      </c>
      <c r="D23" s="22" t="s">
        <v>215</v>
      </c>
      <c r="E23" s="36">
        <v>477751</v>
      </c>
      <c r="F23" s="37">
        <v>23039.541975</v>
      </c>
      <c r="G23" s="38">
        <v>1.830698E-2</v>
      </c>
      <c r="H23" s="29" t="s">
        <v>143</v>
      </c>
    </row>
    <row r="24" spans="1:8" ht="12.75" customHeight="1" x14ac:dyDescent="0.2">
      <c r="A24" s="35">
        <v>18</v>
      </c>
      <c r="B24" s="22" t="s">
        <v>216</v>
      </c>
      <c r="C24" s="22" t="s">
        <v>217</v>
      </c>
      <c r="D24" s="22" t="s">
        <v>215</v>
      </c>
      <c r="E24" s="36">
        <v>1439832</v>
      </c>
      <c r="F24" s="37">
        <v>22907.72712</v>
      </c>
      <c r="G24" s="38">
        <v>1.8202240000000001E-2</v>
      </c>
      <c r="H24" s="29" t="s">
        <v>143</v>
      </c>
    </row>
    <row r="25" spans="1:8" ht="12.75" customHeight="1" x14ac:dyDescent="0.2">
      <c r="A25" s="35">
        <v>19</v>
      </c>
      <c r="B25" s="22" t="s">
        <v>93</v>
      </c>
      <c r="C25" s="22" t="s">
        <v>94</v>
      </c>
      <c r="D25" s="22" t="s">
        <v>56</v>
      </c>
      <c r="E25" s="36">
        <v>4721909</v>
      </c>
      <c r="F25" s="37">
        <v>21250.951454499998</v>
      </c>
      <c r="G25" s="38">
        <v>1.688578E-2</v>
      </c>
      <c r="H25" s="29" t="s">
        <v>143</v>
      </c>
    </row>
    <row r="26" spans="1:8" ht="12.75" customHeight="1" x14ac:dyDescent="0.2">
      <c r="A26" s="35">
        <v>20</v>
      </c>
      <c r="B26" s="22" t="s">
        <v>218</v>
      </c>
      <c r="C26" s="22" t="s">
        <v>219</v>
      </c>
      <c r="D26" s="22" t="s">
        <v>220</v>
      </c>
      <c r="E26" s="36">
        <v>1204245</v>
      </c>
      <c r="F26" s="37">
        <v>20496.249899999999</v>
      </c>
      <c r="G26" s="38">
        <v>1.6286109999999999E-2</v>
      </c>
      <c r="H26" s="29" t="s">
        <v>143</v>
      </c>
    </row>
    <row r="27" spans="1:8" ht="12.75" customHeight="1" x14ac:dyDescent="0.2">
      <c r="A27" s="35">
        <v>21</v>
      </c>
      <c r="B27" s="22" t="s">
        <v>26</v>
      </c>
      <c r="C27" s="22" t="s">
        <v>27</v>
      </c>
      <c r="D27" s="22" t="s">
        <v>28</v>
      </c>
      <c r="E27" s="36">
        <v>5030754</v>
      </c>
      <c r="F27" s="37">
        <v>20321.730782999999</v>
      </c>
      <c r="G27" s="38">
        <v>1.6147430000000001E-2</v>
      </c>
      <c r="H27" s="29" t="s">
        <v>143</v>
      </c>
    </row>
    <row r="28" spans="1:8" ht="12.75" customHeight="1" x14ac:dyDescent="0.2">
      <c r="A28" s="35">
        <v>22</v>
      </c>
      <c r="B28" s="22" t="s">
        <v>221</v>
      </c>
      <c r="C28" s="22" t="s">
        <v>222</v>
      </c>
      <c r="D28" s="22" t="s">
        <v>223</v>
      </c>
      <c r="E28" s="36">
        <v>992562</v>
      </c>
      <c r="F28" s="37">
        <v>20250.249924</v>
      </c>
      <c r="G28" s="38">
        <v>1.609064E-2</v>
      </c>
      <c r="H28" s="29" t="s">
        <v>143</v>
      </c>
    </row>
    <row r="29" spans="1:8" ht="12.75" customHeight="1" x14ac:dyDescent="0.2">
      <c r="A29" s="35">
        <v>23</v>
      </c>
      <c r="B29" s="22" t="s">
        <v>224</v>
      </c>
      <c r="C29" s="22" t="s">
        <v>225</v>
      </c>
      <c r="D29" s="22" t="s">
        <v>64</v>
      </c>
      <c r="E29" s="36">
        <v>263330</v>
      </c>
      <c r="F29" s="37">
        <v>19186.2238</v>
      </c>
      <c r="G29" s="38">
        <v>1.5245170000000001E-2</v>
      </c>
      <c r="H29" s="29" t="s">
        <v>143</v>
      </c>
    </row>
    <row r="30" spans="1:8" ht="12.75" customHeight="1" x14ac:dyDescent="0.2">
      <c r="A30" s="35">
        <v>24</v>
      </c>
      <c r="B30" s="22" t="s">
        <v>226</v>
      </c>
      <c r="C30" s="22" t="s">
        <v>227</v>
      </c>
      <c r="D30" s="22" t="s">
        <v>191</v>
      </c>
      <c r="E30" s="36">
        <v>149775</v>
      </c>
      <c r="F30" s="37">
        <v>19111.29</v>
      </c>
      <c r="G30" s="38">
        <v>1.518563E-2</v>
      </c>
      <c r="H30" s="29" t="s">
        <v>143</v>
      </c>
    </row>
    <row r="31" spans="1:8" ht="12.75" customHeight="1" x14ac:dyDescent="0.2">
      <c r="A31" s="35">
        <v>25</v>
      </c>
      <c r="B31" s="22" t="s">
        <v>228</v>
      </c>
      <c r="C31" s="22" t="s">
        <v>229</v>
      </c>
      <c r="D31" s="22" t="s">
        <v>230</v>
      </c>
      <c r="E31" s="36">
        <v>1007797</v>
      </c>
      <c r="F31" s="37">
        <v>18148.408375999999</v>
      </c>
      <c r="G31" s="38">
        <v>1.4420540000000001E-2</v>
      </c>
      <c r="H31" s="29" t="s">
        <v>143</v>
      </c>
    </row>
    <row r="32" spans="1:8" ht="12.75" customHeight="1" x14ac:dyDescent="0.2">
      <c r="A32" s="35">
        <v>26</v>
      </c>
      <c r="B32" s="22" t="s">
        <v>231</v>
      </c>
      <c r="C32" s="22" t="s">
        <v>232</v>
      </c>
      <c r="D32" s="22" t="s">
        <v>206</v>
      </c>
      <c r="E32" s="36">
        <v>1863350</v>
      </c>
      <c r="F32" s="37">
        <v>17724.1852</v>
      </c>
      <c r="G32" s="38">
        <v>1.4083450000000001E-2</v>
      </c>
      <c r="H32" s="29" t="s">
        <v>143</v>
      </c>
    </row>
    <row r="33" spans="1:8" ht="12.75" customHeight="1" x14ac:dyDescent="0.2">
      <c r="A33" s="35">
        <v>27</v>
      </c>
      <c r="B33" s="22" t="s">
        <v>233</v>
      </c>
      <c r="C33" s="22" t="s">
        <v>234</v>
      </c>
      <c r="D33" s="22" t="s">
        <v>41</v>
      </c>
      <c r="E33" s="36">
        <v>3711536</v>
      </c>
      <c r="F33" s="37">
        <v>17553.709512000001</v>
      </c>
      <c r="G33" s="38">
        <v>1.394799E-2</v>
      </c>
      <c r="H33" s="29" t="s">
        <v>143</v>
      </c>
    </row>
    <row r="34" spans="1:8" ht="12.75" customHeight="1" x14ac:dyDescent="0.2">
      <c r="A34" s="35">
        <v>28</v>
      </c>
      <c r="B34" s="22" t="s">
        <v>82</v>
      </c>
      <c r="C34" s="22" t="s">
        <v>83</v>
      </c>
      <c r="D34" s="22" t="s">
        <v>13</v>
      </c>
      <c r="E34" s="36">
        <v>5069388</v>
      </c>
      <c r="F34" s="37">
        <v>17382.931452000001</v>
      </c>
      <c r="G34" s="38">
        <v>1.38123E-2</v>
      </c>
      <c r="H34" s="29" t="s">
        <v>143</v>
      </c>
    </row>
    <row r="35" spans="1:8" ht="12.75" customHeight="1" x14ac:dyDescent="0.2">
      <c r="A35" s="35">
        <v>29</v>
      </c>
      <c r="B35" s="22" t="s">
        <v>235</v>
      </c>
      <c r="C35" s="22" t="s">
        <v>236</v>
      </c>
      <c r="D35" s="22" t="s">
        <v>188</v>
      </c>
      <c r="E35" s="36">
        <v>1553545</v>
      </c>
      <c r="F35" s="37">
        <v>17317.366115000001</v>
      </c>
      <c r="G35" s="38">
        <v>1.37602E-2</v>
      </c>
      <c r="H35" s="29" t="s">
        <v>143</v>
      </c>
    </row>
    <row r="36" spans="1:8" ht="12.75" customHeight="1" x14ac:dyDescent="0.2">
      <c r="A36" s="35">
        <v>30</v>
      </c>
      <c r="B36" s="22" t="s">
        <v>71</v>
      </c>
      <c r="C36" s="22" t="s">
        <v>72</v>
      </c>
      <c r="D36" s="22" t="s">
        <v>41</v>
      </c>
      <c r="E36" s="36">
        <v>129128</v>
      </c>
      <c r="F36" s="37">
        <v>16663.968400000002</v>
      </c>
      <c r="G36" s="38">
        <v>1.3241009999999999E-2</v>
      </c>
      <c r="H36" s="29" t="s">
        <v>143</v>
      </c>
    </row>
    <row r="37" spans="1:8" ht="12.75" customHeight="1" x14ac:dyDescent="0.2">
      <c r="A37" s="35">
        <v>31</v>
      </c>
      <c r="B37" s="22" t="s">
        <v>237</v>
      </c>
      <c r="C37" s="22" t="s">
        <v>238</v>
      </c>
      <c r="D37" s="22" t="s">
        <v>239</v>
      </c>
      <c r="E37" s="36">
        <v>465740</v>
      </c>
      <c r="F37" s="37">
        <v>16015.401379999999</v>
      </c>
      <c r="G37" s="38">
        <v>1.272567E-2</v>
      </c>
      <c r="H37" s="29" t="s">
        <v>143</v>
      </c>
    </row>
    <row r="38" spans="1:8" ht="12.75" customHeight="1" x14ac:dyDescent="0.2">
      <c r="A38" s="35">
        <v>32</v>
      </c>
      <c r="B38" s="22" t="s">
        <v>240</v>
      </c>
      <c r="C38" s="22" t="s">
        <v>241</v>
      </c>
      <c r="D38" s="22" t="s">
        <v>188</v>
      </c>
      <c r="E38" s="36">
        <v>512777</v>
      </c>
      <c r="F38" s="37">
        <v>15988.899637</v>
      </c>
      <c r="G38" s="38">
        <v>1.270461E-2</v>
      </c>
      <c r="H38" s="29" t="s">
        <v>143</v>
      </c>
    </row>
    <row r="39" spans="1:8" ht="12.75" customHeight="1" x14ac:dyDescent="0.2">
      <c r="A39" s="35">
        <v>33</v>
      </c>
      <c r="B39" s="22" t="s">
        <v>242</v>
      </c>
      <c r="C39" s="22" t="s">
        <v>243</v>
      </c>
      <c r="D39" s="22" t="s">
        <v>191</v>
      </c>
      <c r="E39" s="36">
        <v>2437153</v>
      </c>
      <c r="F39" s="37">
        <v>15015.299633000001</v>
      </c>
      <c r="G39" s="38">
        <v>1.1931000000000001E-2</v>
      </c>
      <c r="H39" s="29" t="s">
        <v>143</v>
      </c>
    </row>
    <row r="40" spans="1:8" ht="12.75" customHeight="1" x14ac:dyDescent="0.2">
      <c r="A40" s="35">
        <v>34</v>
      </c>
      <c r="B40" s="22" t="s">
        <v>244</v>
      </c>
      <c r="C40" s="22" t="s">
        <v>245</v>
      </c>
      <c r="D40" s="22" t="s">
        <v>191</v>
      </c>
      <c r="E40" s="36">
        <v>2651690</v>
      </c>
      <c r="F40" s="37">
        <v>14982.048500000001</v>
      </c>
      <c r="G40" s="38">
        <v>1.190458E-2</v>
      </c>
      <c r="H40" s="29" t="s">
        <v>143</v>
      </c>
    </row>
    <row r="41" spans="1:8" ht="12.75" customHeight="1" x14ac:dyDescent="0.2">
      <c r="A41" s="35">
        <v>35</v>
      </c>
      <c r="B41" s="22" t="s">
        <v>246</v>
      </c>
      <c r="C41" s="22" t="s">
        <v>247</v>
      </c>
      <c r="D41" s="22" t="s">
        <v>194</v>
      </c>
      <c r="E41" s="36">
        <v>275425</v>
      </c>
      <c r="F41" s="37">
        <v>14941.80625</v>
      </c>
      <c r="G41" s="38">
        <v>1.1872600000000001E-2</v>
      </c>
      <c r="H41" s="29" t="s">
        <v>143</v>
      </c>
    </row>
    <row r="42" spans="1:8" ht="12.75" customHeight="1" x14ac:dyDescent="0.2">
      <c r="A42" s="35">
        <v>36</v>
      </c>
      <c r="B42" s="22" t="s">
        <v>248</v>
      </c>
      <c r="C42" s="22" t="s">
        <v>249</v>
      </c>
      <c r="D42" s="22" t="s">
        <v>33</v>
      </c>
      <c r="E42" s="36">
        <v>2042510</v>
      </c>
      <c r="F42" s="37">
        <v>14938.91814</v>
      </c>
      <c r="G42" s="38">
        <v>1.187031E-2</v>
      </c>
      <c r="H42" s="29" t="s">
        <v>143</v>
      </c>
    </row>
    <row r="43" spans="1:8" ht="12.75" customHeight="1" x14ac:dyDescent="0.2">
      <c r="A43" s="35">
        <v>37</v>
      </c>
      <c r="B43" s="22" t="s">
        <v>250</v>
      </c>
      <c r="C43" s="22" t="s">
        <v>251</v>
      </c>
      <c r="D43" s="22" t="s">
        <v>64</v>
      </c>
      <c r="E43" s="36">
        <v>347384</v>
      </c>
      <c r="F43" s="37">
        <v>14658.215264</v>
      </c>
      <c r="G43" s="38">
        <v>1.164726E-2</v>
      </c>
      <c r="H43" s="29" t="s">
        <v>143</v>
      </c>
    </row>
    <row r="44" spans="1:8" ht="12.75" customHeight="1" x14ac:dyDescent="0.2">
      <c r="A44" s="35">
        <v>38</v>
      </c>
      <c r="B44" s="22" t="s">
        <v>252</v>
      </c>
      <c r="C44" s="22" t="s">
        <v>253</v>
      </c>
      <c r="D44" s="22" t="s">
        <v>254</v>
      </c>
      <c r="E44" s="36">
        <v>636906</v>
      </c>
      <c r="F44" s="37">
        <v>14154.598943999999</v>
      </c>
      <c r="G44" s="38">
        <v>1.1247099999999999E-2</v>
      </c>
      <c r="H44" s="29" t="s">
        <v>143</v>
      </c>
    </row>
    <row r="45" spans="1:8" ht="12.75" customHeight="1" x14ac:dyDescent="0.2">
      <c r="A45" s="35">
        <v>39</v>
      </c>
      <c r="B45" s="22" t="s">
        <v>255</v>
      </c>
      <c r="C45" s="22" t="s">
        <v>256</v>
      </c>
      <c r="D45" s="22" t="s">
        <v>41</v>
      </c>
      <c r="E45" s="36">
        <v>1056387</v>
      </c>
      <c r="F45" s="37">
        <v>13720.354356</v>
      </c>
      <c r="G45" s="38">
        <v>1.090205E-2</v>
      </c>
      <c r="H45" s="29" t="s">
        <v>143</v>
      </c>
    </row>
    <row r="46" spans="1:8" ht="12.75" customHeight="1" x14ac:dyDescent="0.2">
      <c r="A46" s="35">
        <v>40</v>
      </c>
      <c r="B46" s="22" t="s">
        <v>257</v>
      </c>
      <c r="C46" s="22" t="s">
        <v>258</v>
      </c>
      <c r="D46" s="22" t="s">
        <v>259</v>
      </c>
      <c r="E46" s="36">
        <v>332208</v>
      </c>
      <c r="F46" s="37">
        <v>13666.704911999999</v>
      </c>
      <c r="G46" s="38">
        <v>1.085942E-2</v>
      </c>
      <c r="H46" s="29" t="s">
        <v>143</v>
      </c>
    </row>
    <row r="47" spans="1:8" ht="12.75" customHeight="1" x14ac:dyDescent="0.2">
      <c r="A47" s="35">
        <v>41</v>
      </c>
      <c r="B47" s="22" t="s">
        <v>260</v>
      </c>
      <c r="C47" s="22" t="s">
        <v>261</v>
      </c>
      <c r="D47" s="22" t="s">
        <v>223</v>
      </c>
      <c r="E47" s="36">
        <v>1454585</v>
      </c>
      <c r="F47" s="37">
        <v>12998.171560000001</v>
      </c>
      <c r="G47" s="38">
        <v>1.0328210000000001E-2</v>
      </c>
      <c r="H47" s="29" t="s">
        <v>143</v>
      </c>
    </row>
    <row r="48" spans="1:8" ht="12.75" customHeight="1" x14ac:dyDescent="0.2">
      <c r="A48" s="35">
        <v>42</v>
      </c>
      <c r="B48" s="22" t="s">
        <v>262</v>
      </c>
      <c r="C48" s="22" t="s">
        <v>263</v>
      </c>
      <c r="D48" s="22" t="s">
        <v>254</v>
      </c>
      <c r="E48" s="36">
        <v>91606</v>
      </c>
      <c r="F48" s="37">
        <v>12957.6687</v>
      </c>
      <c r="G48" s="38">
        <v>1.0296029999999999E-2</v>
      </c>
      <c r="H48" s="29" t="s">
        <v>143</v>
      </c>
    </row>
    <row r="49" spans="1:8" ht="12.75" customHeight="1" x14ac:dyDescent="0.2">
      <c r="A49" s="35">
        <v>43</v>
      </c>
      <c r="B49" s="22" t="s">
        <v>264</v>
      </c>
      <c r="C49" s="22" t="s">
        <v>265</v>
      </c>
      <c r="D49" s="22" t="s">
        <v>223</v>
      </c>
      <c r="E49" s="36">
        <v>1251779</v>
      </c>
      <c r="F49" s="37">
        <v>12818.21696</v>
      </c>
      <c r="G49" s="38">
        <v>1.018522E-2</v>
      </c>
      <c r="H49" s="29" t="s">
        <v>143</v>
      </c>
    </row>
    <row r="50" spans="1:8" ht="12.75" customHeight="1" x14ac:dyDescent="0.2">
      <c r="A50" s="35">
        <v>44</v>
      </c>
      <c r="B50" s="22" t="s">
        <v>57</v>
      </c>
      <c r="C50" s="22" t="s">
        <v>58</v>
      </c>
      <c r="D50" s="22" t="s">
        <v>38</v>
      </c>
      <c r="E50" s="36">
        <v>23240450</v>
      </c>
      <c r="F50" s="37">
        <v>12793.867725</v>
      </c>
      <c r="G50" s="38">
        <v>1.016587E-2</v>
      </c>
      <c r="H50" s="29" t="s">
        <v>143</v>
      </c>
    </row>
    <row r="51" spans="1:8" ht="12.75" customHeight="1" x14ac:dyDescent="0.2">
      <c r="A51" s="35">
        <v>45</v>
      </c>
      <c r="B51" s="22" t="s">
        <v>266</v>
      </c>
      <c r="C51" s="22" t="s">
        <v>267</v>
      </c>
      <c r="D51" s="22" t="s">
        <v>41</v>
      </c>
      <c r="E51" s="36">
        <v>3066819</v>
      </c>
      <c r="F51" s="37">
        <v>12627.627232500001</v>
      </c>
      <c r="G51" s="38">
        <v>1.0033780000000001E-2</v>
      </c>
      <c r="H51" s="29" t="s">
        <v>143</v>
      </c>
    </row>
    <row r="52" spans="1:8" ht="12.75" customHeight="1" x14ac:dyDescent="0.2">
      <c r="A52" s="35">
        <v>46</v>
      </c>
      <c r="B52" s="22" t="s">
        <v>268</v>
      </c>
      <c r="C52" s="22" t="s">
        <v>269</v>
      </c>
      <c r="D52" s="22" t="s">
        <v>270</v>
      </c>
      <c r="E52" s="36">
        <v>687834</v>
      </c>
      <c r="F52" s="37">
        <v>12622.441734</v>
      </c>
      <c r="G52" s="38">
        <v>1.0029659999999999E-2</v>
      </c>
      <c r="H52" s="29" t="s">
        <v>143</v>
      </c>
    </row>
    <row r="53" spans="1:8" ht="12.75" customHeight="1" x14ac:dyDescent="0.2">
      <c r="A53" s="35">
        <v>47</v>
      </c>
      <c r="B53" s="22" t="s">
        <v>271</v>
      </c>
      <c r="C53" s="22" t="s">
        <v>272</v>
      </c>
      <c r="D53" s="22" t="s">
        <v>194</v>
      </c>
      <c r="E53" s="36">
        <v>515555</v>
      </c>
      <c r="F53" s="37">
        <v>12557.373135</v>
      </c>
      <c r="G53" s="38">
        <v>9.9779599999999993E-3</v>
      </c>
      <c r="H53" s="29" t="s">
        <v>143</v>
      </c>
    </row>
    <row r="54" spans="1:8" ht="12.75" customHeight="1" x14ac:dyDescent="0.2">
      <c r="A54" s="35">
        <v>48</v>
      </c>
      <c r="B54" s="22" t="s">
        <v>91</v>
      </c>
      <c r="C54" s="22" t="s">
        <v>92</v>
      </c>
      <c r="D54" s="22" t="s">
        <v>22</v>
      </c>
      <c r="E54" s="36">
        <v>1029049</v>
      </c>
      <c r="F54" s="37">
        <v>12543.078261000001</v>
      </c>
      <c r="G54" s="38">
        <v>9.9666000000000008E-3</v>
      </c>
      <c r="H54" s="29" t="s">
        <v>143</v>
      </c>
    </row>
    <row r="55" spans="1:8" ht="12.75" customHeight="1" x14ac:dyDescent="0.2">
      <c r="A55" s="35">
        <v>49</v>
      </c>
      <c r="B55" s="22" t="s">
        <v>273</v>
      </c>
      <c r="C55" s="22" t="s">
        <v>274</v>
      </c>
      <c r="D55" s="22" t="s">
        <v>275</v>
      </c>
      <c r="E55" s="36">
        <v>782298</v>
      </c>
      <c r="F55" s="37">
        <v>12328.234182</v>
      </c>
      <c r="G55" s="38">
        <v>9.7958899999999998E-3</v>
      </c>
      <c r="H55" s="29" t="s">
        <v>143</v>
      </c>
    </row>
    <row r="56" spans="1:8" ht="12.75" customHeight="1" x14ac:dyDescent="0.2">
      <c r="A56" s="35">
        <v>50</v>
      </c>
      <c r="B56" s="22" t="s">
        <v>276</v>
      </c>
      <c r="C56" s="22" t="s">
        <v>277</v>
      </c>
      <c r="D56" s="22" t="s">
        <v>206</v>
      </c>
      <c r="E56" s="36">
        <v>6919293</v>
      </c>
      <c r="F56" s="37">
        <v>11626.488027900001</v>
      </c>
      <c r="G56" s="38">
        <v>9.2382899999999997E-3</v>
      </c>
      <c r="H56" s="29" t="s">
        <v>143</v>
      </c>
    </row>
    <row r="57" spans="1:8" ht="12.75" customHeight="1" x14ac:dyDescent="0.2">
      <c r="A57" s="35">
        <v>51</v>
      </c>
      <c r="B57" s="22" t="s">
        <v>278</v>
      </c>
      <c r="C57" s="22" t="s">
        <v>279</v>
      </c>
      <c r="D57" s="22" t="s">
        <v>90</v>
      </c>
      <c r="E57" s="36">
        <v>769848</v>
      </c>
      <c r="F57" s="37">
        <v>11625.474647999999</v>
      </c>
      <c r="G57" s="38">
        <v>9.2374799999999993E-3</v>
      </c>
      <c r="H57" s="29" t="s">
        <v>143</v>
      </c>
    </row>
    <row r="58" spans="1:8" ht="12.75" customHeight="1" x14ac:dyDescent="0.2">
      <c r="A58" s="35">
        <v>52</v>
      </c>
      <c r="B58" s="22" t="s">
        <v>280</v>
      </c>
      <c r="C58" s="22" t="s">
        <v>281</v>
      </c>
      <c r="D58" s="22" t="s">
        <v>22</v>
      </c>
      <c r="E58" s="36">
        <v>13035894</v>
      </c>
      <c r="F58" s="37">
        <v>11252.5837008</v>
      </c>
      <c r="G58" s="38">
        <v>8.9411899999999999E-3</v>
      </c>
      <c r="H58" s="29" t="s">
        <v>143</v>
      </c>
    </row>
    <row r="59" spans="1:8" ht="12.75" customHeight="1" x14ac:dyDescent="0.2">
      <c r="A59" s="35">
        <v>53</v>
      </c>
      <c r="B59" s="22" t="s">
        <v>282</v>
      </c>
      <c r="C59" s="22" t="s">
        <v>283</v>
      </c>
      <c r="D59" s="22" t="s">
        <v>284</v>
      </c>
      <c r="E59" s="36">
        <v>4718876</v>
      </c>
      <c r="F59" s="37">
        <v>10965.724048800001</v>
      </c>
      <c r="G59" s="38">
        <v>8.7132500000000005E-3</v>
      </c>
      <c r="H59" s="29" t="s">
        <v>143</v>
      </c>
    </row>
    <row r="60" spans="1:8" ht="12.75" customHeight="1" x14ac:dyDescent="0.2">
      <c r="A60" s="35">
        <v>54</v>
      </c>
      <c r="B60" s="22" t="s">
        <v>95</v>
      </c>
      <c r="C60" s="22" t="s">
        <v>96</v>
      </c>
      <c r="D60" s="22" t="s">
        <v>41</v>
      </c>
      <c r="E60" s="36">
        <v>258555</v>
      </c>
      <c r="F60" s="37">
        <v>10882.062840000001</v>
      </c>
      <c r="G60" s="38">
        <v>8.6467699999999998E-3</v>
      </c>
      <c r="H60" s="29" t="s">
        <v>143</v>
      </c>
    </row>
    <row r="61" spans="1:8" ht="12.75" customHeight="1" x14ac:dyDescent="0.2">
      <c r="A61" s="35">
        <v>55</v>
      </c>
      <c r="B61" s="22" t="s">
        <v>117</v>
      </c>
      <c r="C61" s="22" t="s">
        <v>118</v>
      </c>
      <c r="D61" s="22" t="s">
        <v>64</v>
      </c>
      <c r="E61" s="36">
        <v>631409</v>
      </c>
      <c r="F61" s="37">
        <v>10646.187148999999</v>
      </c>
      <c r="G61" s="38">
        <v>8.4593499999999992E-3</v>
      </c>
      <c r="H61" s="29" t="s">
        <v>143</v>
      </c>
    </row>
    <row r="62" spans="1:8" ht="12.75" customHeight="1" x14ac:dyDescent="0.2">
      <c r="A62" s="35">
        <v>56</v>
      </c>
      <c r="B62" s="22" t="s">
        <v>285</v>
      </c>
      <c r="C62" s="22" t="s">
        <v>286</v>
      </c>
      <c r="D62" s="22" t="s">
        <v>90</v>
      </c>
      <c r="E62" s="36">
        <v>644655</v>
      </c>
      <c r="F62" s="37">
        <v>10199.086755</v>
      </c>
      <c r="G62" s="38">
        <v>8.1040899999999996E-3</v>
      </c>
      <c r="H62" s="29" t="s">
        <v>143</v>
      </c>
    </row>
    <row r="63" spans="1:8" ht="12.75" customHeight="1" x14ac:dyDescent="0.2">
      <c r="A63" s="35">
        <v>57</v>
      </c>
      <c r="B63" s="22" t="s">
        <v>86</v>
      </c>
      <c r="C63" s="22" t="s">
        <v>87</v>
      </c>
      <c r="D63" s="22" t="s">
        <v>13</v>
      </c>
      <c r="E63" s="36">
        <v>583736</v>
      </c>
      <c r="F63" s="37">
        <v>9688.850128</v>
      </c>
      <c r="G63" s="38">
        <v>7.6986600000000004E-3</v>
      </c>
      <c r="H63" s="29" t="s">
        <v>143</v>
      </c>
    </row>
    <row r="64" spans="1:8" ht="12.75" customHeight="1" x14ac:dyDescent="0.2">
      <c r="A64" s="35">
        <v>58</v>
      </c>
      <c r="B64" s="22" t="s">
        <v>121</v>
      </c>
      <c r="C64" s="22" t="s">
        <v>122</v>
      </c>
      <c r="D64" s="22" t="s">
        <v>46</v>
      </c>
      <c r="E64" s="36">
        <v>57621</v>
      </c>
      <c r="F64" s="37">
        <v>9404.8996200000001</v>
      </c>
      <c r="G64" s="38">
        <v>7.4730300000000003E-3</v>
      </c>
      <c r="H64" s="29" t="s">
        <v>143</v>
      </c>
    </row>
    <row r="65" spans="1:8" ht="12.75" customHeight="1" x14ac:dyDescent="0.2">
      <c r="A65" s="35">
        <v>59</v>
      </c>
      <c r="B65" s="22" t="s">
        <v>287</v>
      </c>
      <c r="C65" s="22" t="s">
        <v>288</v>
      </c>
      <c r="D65" s="22" t="s">
        <v>185</v>
      </c>
      <c r="E65" s="36">
        <v>255227</v>
      </c>
      <c r="F65" s="37">
        <v>8967.4006449999997</v>
      </c>
      <c r="G65" s="38">
        <v>7.1253999999999996E-3</v>
      </c>
      <c r="H65" s="29" t="s">
        <v>143</v>
      </c>
    </row>
    <row r="66" spans="1:8" ht="12.75" customHeight="1" x14ac:dyDescent="0.2">
      <c r="A66" s="35">
        <v>60</v>
      </c>
      <c r="B66" s="22" t="s">
        <v>44</v>
      </c>
      <c r="C66" s="22" t="s">
        <v>45</v>
      </c>
      <c r="D66" s="22" t="s">
        <v>46</v>
      </c>
      <c r="E66" s="36">
        <v>109788</v>
      </c>
      <c r="F66" s="37">
        <v>8880.7513199999994</v>
      </c>
      <c r="G66" s="38">
        <v>7.05655E-3</v>
      </c>
      <c r="H66" s="29" t="s">
        <v>143</v>
      </c>
    </row>
    <row r="67" spans="1:8" ht="12.75" customHeight="1" x14ac:dyDescent="0.2">
      <c r="A67" s="35">
        <v>61</v>
      </c>
      <c r="B67" s="22" t="s">
        <v>289</v>
      </c>
      <c r="C67" s="22" t="s">
        <v>290</v>
      </c>
      <c r="D67" s="22" t="s">
        <v>46</v>
      </c>
      <c r="E67" s="36">
        <v>3018063</v>
      </c>
      <c r="F67" s="37">
        <v>8791.6175189999994</v>
      </c>
      <c r="G67" s="38">
        <v>6.9857299999999999E-3</v>
      </c>
      <c r="H67" s="29" t="s">
        <v>143</v>
      </c>
    </row>
    <row r="68" spans="1:8" ht="12.75" customHeight="1" x14ac:dyDescent="0.2">
      <c r="A68" s="35">
        <v>62</v>
      </c>
      <c r="B68" s="22" t="s">
        <v>291</v>
      </c>
      <c r="C68" s="22" t="s">
        <v>292</v>
      </c>
      <c r="D68" s="22" t="s">
        <v>254</v>
      </c>
      <c r="E68" s="36">
        <v>1611272</v>
      </c>
      <c r="F68" s="37">
        <v>8672.6715399999994</v>
      </c>
      <c r="G68" s="38">
        <v>6.89121E-3</v>
      </c>
      <c r="H68" s="29" t="s">
        <v>143</v>
      </c>
    </row>
    <row r="69" spans="1:8" ht="12.75" customHeight="1" x14ac:dyDescent="0.2">
      <c r="A69" s="35">
        <v>63</v>
      </c>
      <c r="B69" s="22" t="s">
        <v>293</v>
      </c>
      <c r="C69" s="22" t="s">
        <v>294</v>
      </c>
      <c r="D69" s="22" t="s">
        <v>194</v>
      </c>
      <c r="E69" s="36">
        <v>837023</v>
      </c>
      <c r="F69" s="37">
        <v>8218.7288370000006</v>
      </c>
      <c r="G69" s="38">
        <v>6.5305199999999997E-3</v>
      </c>
      <c r="H69" s="29" t="s">
        <v>143</v>
      </c>
    </row>
    <row r="70" spans="1:8" ht="12.75" customHeight="1" x14ac:dyDescent="0.2">
      <c r="A70" s="35">
        <v>64</v>
      </c>
      <c r="B70" s="22" t="s">
        <v>295</v>
      </c>
      <c r="C70" s="22" t="s">
        <v>296</v>
      </c>
      <c r="D70" s="22" t="s">
        <v>75</v>
      </c>
      <c r="E70" s="36">
        <v>2549078</v>
      </c>
      <c r="F70" s="37">
        <v>7890.6709490000003</v>
      </c>
      <c r="G70" s="38">
        <v>6.2698399999999996E-3</v>
      </c>
      <c r="H70" s="29" t="s">
        <v>143</v>
      </c>
    </row>
    <row r="71" spans="1:8" ht="12.75" customHeight="1" x14ac:dyDescent="0.2">
      <c r="A71" s="35">
        <v>65</v>
      </c>
      <c r="B71" s="22" t="s">
        <v>297</v>
      </c>
      <c r="C71" s="22" t="s">
        <v>298</v>
      </c>
      <c r="D71" s="22" t="s">
        <v>64</v>
      </c>
      <c r="E71" s="36">
        <v>434376</v>
      </c>
      <c r="F71" s="37">
        <v>6898.7596320000002</v>
      </c>
      <c r="G71" s="38">
        <v>5.4816800000000001E-3</v>
      </c>
      <c r="H71" s="29" t="s">
        <v>143</v>
      </c>
    </row>
    <row r="72" spans="1:8" ht="12.75" customHeight="1" x14ac:dyDescent="0.2">
      <c r="A72" s="35">
        <v>66</v>
      </c>
      <c r="B72" s="22" t="s">
        <v>299</v>
      </c>
      <c r="C72" s="22" t="s">
        <v>300</v>
      </c>
      <c r="D72" s="22" t="s">
        <v>191</v>
      </c>
      <c r="E72" s="36">
        <v>147376</v>
      </c>
      <c r="F72" s="37">
        <v>6538.4836160000004</v>
      </c>
      <c r="G72" s="38">
        <v>5.1954100000000001E-3</v>
      </c>
      <c r="H72" s="29" t="s">
        <v>143</v>
      </c>
    </row>
    <row r="73" spans="1:8" ht="12.75" customHeight="1" x14ac:dyDescent="0.2">
      <c r="A73" s="35">
        <v>67</v>
      </c>
      <c r="B73" s="22" t="s">
        <v>301</v>
      </c>
      <c r="C73" s="22" t="s">
        <v>302</v>
      </c>
      <c r="D73" s="22" t="s">
        <v>64</v>
      </c>
      <c r="E73" s="36">
        <v>132084</v>
      </c>
      <c r="F73" s="37">
        <v>6228.5531039999996</v>
      </c>
      <c r="G73" s="38">
        <v>4.9491400000000003E-3</v>
      </c>
      <c r="H73" s="29" t="s">
        <v>143</v>
      </c>
    </row>
    <row r="74" spans="1:8" ht="12.75" customHeight="1" x14ac:dyDescent="0.2">
      <c r="A74" s="35">
        <v>68</v>
      </c>
      <c r="B74" s="22" t="s">
        <v>303</v>
      </c>
      <c r="C74" s="22" t="s">
        <v>304</v>
      </c>
      <c r="D74" s="22" t="s">
        <v>275</v>
      </c>
      <c r="E74" s="36">
        <v>1030215</v>
      </c>
      <c r="F74" s="37">
        <v>6131.83968</v>
      </c>
      <c r="G74" s="38">
        <v>4.8723000000000004E-3</v>
      </c>
      <c r="H74" s="29" t="s">
        <v>143</v>
      </c>
    </row>
    <row r="75" spans="1:8" ht="12.75" customHeight="1" x14ac:dyDescent="0.2">
      <c r="A75" s="35">
        <v>69</v>
      </c>
      <c r="B75" s="22" t="s">
        <v>305</v>
      </c>
      <c r="C75" s="22" t="s">
        <v>306</v>
      </c>
      <c r="D75" s="22" t="s">
        <v>25</v>
      </c>
      <c r="E75" s="36">
        <v>335314</v>
      </c>
      <c r="F75" s="37">
        <v>6118.4745579999999</v>
      </c>
      <c r="G75" s="38">
        <v>4.8616800000000002E-3</v>
      </c>
      <c r="H75" s="29" t="s">
        <v>143</v>
      </c>
    </row>
    <row r="76" spans="1:8" ht="12.75" customHeight="1" x14ac:dyDescent="0.2">
      <c r="A76" s="35">
        <v>70</v>
      </c>
      <c r="B76" s="22" t="s">
        <v>307</v>
      </c>
      <c r="C76" s="22" t="s">
        <v>308</v>
      </c>
      <c r="D76" s="22" t="s">
        <v>188</v>
      </c>
      <c r="E76" s="36">
        <v>1087841</v>
      </c>
      <c r="F76" s="37">
        <v>6102.7880100000002</v>
      </c>
      <c r="G76" s="38">
        <v>4.8492099999999996E-3</v>
      </c>
      <c r="H76" s="29" t="s">
        <v>143</v>
      </c>
    </row>
    <row r="77" spans="1:8" ht="12.75" customHeight="1" x14ac:dyDescent="0.2">
      <c r="A77" s="35">
        <v>71</v>
      </c>
      <c r="B77" s="22" t="s">
        <v>309</v>
      </c>
      <c r="C77" s="22" t="s">
        <v>310</v>
      </c>
      <c r="D77" s="22" t="s">
        <v>25</v>
      </c>
      <c r="E77" s="36">
        <v>272227</v>
      </c>
      <c r="F77" s="37">
        <v>6063.0397439999997</v>
      </c>
      <c r="G77" s="38">
        <v>4.8176299999999998E-3</v>
      </c>
      <c r="H77" s="29" t="s">
        <v>143</v>
      </c>
    </row>
    <row r="78" spans="1:8" ht="12.75" customHeight="1" x14ac:dyDescent="0.2">
      <c r="A78" s="35">
        <v>72</v>
      </c>
      <c r="B78" s="22" t="s">
        <v>311</v>
      </c>
      <c r="C78" s="22" t="s">
        <v>312</v>
      </c>
      <c r="D78" s="22" t="s">
        <v>194</v>
      </c>
      <c r="E78" s="36">
        <v>280069</v>
      </c>
      <c r="F78" s="37">
        <v>5577.8542040000002</v>
      </c>
      <c r="G78" s="38">
        <v>4.4320999999999996E-3</v>
      </c>
      <c r="H78" s="29" t="s">
        <v>143</v>
      </c>
    </row>
    <row r="79" spans="1:8" ht="12.75" customHeight="1" x14ac:dyDescent="0.2">
      <c r="A79" s="35">
        <v>73</v>
      </c>
      <c r="B79" s="22" t="s">
        <v>313</v>
      </c>
      <c r="C79" s="22" t="s">
        <v>314</v>
      </c>
      <c r="D79" s="22" t="s">
        <v>239</v>
      </c>
      <c r="E79" s="36">
        <v>7763567</v>
      </c>
      <c r="F79" s="37">
        <v>4421.3514064999999</v>
      </c>
      <c r="G79" s="38">
        <v>3.51316E-3</v>
      </c>
      <c r="H79" s="29" t="s">
        <v>143</v>
      </c>
    </row>
    <row r="80" spans="1:8" ht="12.75" customHeight="1" x14ac:dyDescent="0.2">
      <c r="A80" s="39"/>
      <c r="B80" s="39"/>
      <c r="C80" s="40" t="s">
        <v>142</v>
      </c>
      <c r="D80" s="39"/>
      <c r="E80" s="39" t="s">
        <v>143</v>
      </c>
      <c r="F80" s="41">
        <v>1209781.0425962999</v>
      </c>
      <c r="G80" s="42">
        <v>0.96127934000000004</v>
      </c>
      <c r="H80" s="29" t="s">
        <v>143</v>
      </c>
    </row>
    <row r="81" spans="1:8" ht="12.75" customHeight="1" x14ac:dyDescent="0.2">
      <c r="A81" s="39"/>
      <c r="B81" s="39"/>
      <c r="C81" s="43"/>
      <c r="D81" s="39"/>
      <c r="E81" s="39"/>
      <c r="F81" s="44"/>
      <c r="G81" s="44"/>
      <c r="H81" s="29" t="s">
        <v>143</v>
      </c>
    </row>
    <row r="82" spans="1:8" ht="12.75" customHeight="1" x14ac:dyDescent="0.2">
      <c r="A82" s="39"/>
      <c r="B82" s="39"/>
      <c r="C82" s="40" t="s">
        <v>144</v>
      </c>
      <c r="D82" s="39"/>
      <c r="E82" s="39"/>
      <c r="F82" s="39"/>
      <c r="G82" s="39"/>
      <c r="H82" s="29" t="s">
        <v>143</v>
      </c>
    </row>
    <row r="83" spans="1:8" ht="12.75" customHeight="1" x14ac:dyDescent="0.2">
      <c r="A83" s="39"/>
      <c r="B83" s="39"/>
      <c r="C83" s="40" t="s">
        <v>142</v>
      </c>
      <c r="D83" s="39"/>
      <c r="E83" s="39" t="s">
        <v>143</v>
      </c>
      <c r="F83" s="45" t="s">
        <v>145</v>
      </c>
      <c r="G83" s="42">
        <v>0</v>
      </c>
      <c r="H83" s="29" t="s">
        <v>143</v>
      </c>
    </row>
    <row r="84" spans="1:8" ht="12.75" customHeight="1" x14ac:dyDescent="0.2">
      <c r="A84" s="39"/>
      <c r="B84" s="39"/>
      <c r="C84" s="43"/>
      <c r="D84" s="39"/>
      <c r="E84" s="39"/>
      <c r="F84" s="44"/>
      <c r="G84" s="44"/>
      <c r="H84" s="29" t="s">
        <v>143</v>
      </c>
    </row>
    <row r="85" spans="1:8" ht="12.75" customHeight="1" x14ac:dyDescent="0.2">
      <c r="A85" s="39"/>
      <c r="B85" s="39"/>
      <c r="C85" s="40" t="s">
        <v>146</v>
      </c>
      <c r="D85" s="39"/>
      <c r="E85" s="39"/>
      <c r="F85" s="39"/>
      <c r="G85" s="39"/>
      <c r="H85" s="29" t="s">
        <v>143</v>
      </c>
    </row>
    <row r="86" spans="1:8" ht="12.75" customHeight="1" x14ac:dyDescent="0.2">
      <c r="A86" s="39"/>
      <c r="B86" s="39"/>
      <c r="C86" s="40" t="s">
        <v>142</v>
      </c>
      <c r="D86" s="39"/>
      <c r="E86" s="39" t="s">
        <v>143</v>
      </c>
      <c r="F86" s="45" t="s">
        <v>145</v>
      </c>
      <c r="G86" s="42">
        <v>0</v>
      </c>
      <c r="H86" s="29" t="s">
        <v>143</v>
      </c>
    </row>
    <row r="87" spans="1:8" ht="12.75" customHeight="1" x14ac:dyDescent="0.2">
      <c r="A87" s="39"/>
      <c r="B87" s="39"/>
      <c r="C87" s="43"/>
      <c r="D87" s="39"/>
      <c r="E87" s="39"/>
      <c r="F87" s="44"/>
      <c r="G87" s="44"/>
      <c r="H87" s="29" t="s">
        <v>143</v>
      </c>
    </row>
    <row r="88" spans="1:8" ht="12.75" customHeight="1" x14ac:dyDescent="0.2">
      <c r="A88" s="39"/>
      <c r="B88" s="39"/>
      <c r="C88" s="40" t="s">
        <v>147</v>
      </c>
      <c r="D88" s="39"/>
      <c r="E88" s="39"/>
      <c r="F88" s="39"/>
      <c r="G88" s="39"/>
      <c r="H88" s="29" t="s">
        <v>143</v>
      </c>
    </row>
    <row r="89" spans="1:8" ht="12.75" customHeight="1" x14ac:dyDescent="0.2">
      <c r="A89" s="39"/>
      <c r="B89" s="39"/>
      <c r="C89" s="40" t="s">
        <v>142</v>
      </c>
      <c r="D89" s="39"/>
      <c r="E89" s="39" t="s">
        <v>143</v>
      </c>
      <c r="F89" s="45" t="s">
        <v>145</v>
      </c>
      <c r="G89" s="42">
        <v>0</v>
      </c>
      <c r="H89" s="29" t="s">
        <v>143</v>
      </c>
    </row>
    <row r="90" spans="1:8" ht="12.75" customHeight="1" x14ac:dyDescent="0.2">
      <c r="A90" s="39"/>
      <c r="B90" s="39"/>
      <c r="C90" s="43"/>
      <c r="D90" s="39"/>
      <c r="E90" s="39"/>
      <c r="F90" s="44"/>
      <c r="G90" s="44"/>
      <c r="H90" s="29" t="s">
        <v>143</v>
      </c>
    </row>
    <row r="91" spans="1:8" ht="12.75" customHeight="1" x14ac:dyDescent="0.2">
      <c r="A91" s="39"/>
      <c r="B91" s="39"/>
      <c r="C91" s="40" t="s">
        <v>148</v>
      </c>
      <c r="D91" s="39"/>
      <c r="E91" s="39"/>
      <c r="F91" s="44"/>
      <c r="G91" s="44"/>
      <c r="H91" s="29" t="s">
        <v>143</v>
      </c>
    </row>
    <row r="92" spans="1:8" ht="12.75" customHeight="1" x14ac:dyDescent="0.2">
      <c r="A92" s="39"/>
      <c r="B92" s="39"/>
      <c r="C92" s="40" t="s">
        <v>142</v>
      </c>
      <c r="D92" s="39"/>
      <c r="E92" s="39" t="s">
        <v>143</v>
      </c>
      <c r="F92" s="45" t="s">
        <v>145</v>
      </c>
      <c r="G92" s="42">
        <v>0</v>
      </c>
      <c r="H92" s="29" t="s">
        <v>143</v>
      </c>
    </row>
    <row r="93" spans="1:8" ht="12.75" customHeight="1" x14ac:dyDescent="0.2">
      <c r="A93" s="39"/>
      <c r="B93" s="39"/>
      <c r="C93" s="43"/>
      <c r="D93" s="39"/>
      <c r="E93" s="39"/>
      <c r="F93" s="44"/>
      <c r="G93" s="44"/>
      <c r="H93" s="29" t="s">
        <v>143</v>
      </c>
    </row>
    <row r="94" spans="1:8" ht="12.75" customHeight="1" x14ac:dyDescent="0.2">
      <c r="A94" s="39"/>
      <c r="B94" s="39"/>
      <c r="C94" s="40" t="s">
        <v>149</v>
      </c>
      <c r="D94" s="39"/>
      <c r="E94" s="39"/>
      <c r="F94" s="44"/>
      <c r="G94" s="44"/>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39"/>
      <c r="C96" s="43"/>
      <c r="D96" s="39"/>
      <c r="E96" s="39"/>
      <c r="F96" s="44"/>
      <c r="G96" s="44"/>
      <c r="H96" s="29" t="s">
        <v>143</v>
      </c>
    </row>
    <row r="97" spans="1:8" ht="12.75" customHeight="1" x14ac:dyDescent="0.2">
      <c r="A97" s="39"/>
      <c r="B97" s="39"/>
      <c r="C97" s="40" t="s">
        <v>150</v>
      </c>
      <c r="D97" s="39"/>
      <c r="E97" s="39"/>
      <c r="F97" s="41">
        <f>F80</f>
        <v>1209781.0425962999</v>
      </c>
      <c r="G97" s="42">
        <f>G80</f>
        <v>0.96127934000000004</v>
      </c>
      <c r="H97" s="29" t="s">
        <v>143</v>
      </c>
    </row>
    <row r="98" spans="1:8" ht="12.75" customHeight="1" x14ac:dyDescent="0.2">
      <c r="A98" s="39"/>
      <c r="B98" s="39"/>
      <c r="C98" s="43"/>
      <c r="D98" s="39"/>
      <c r="E98" s="39"/>
      <c r="F98" s="44"/>
      <c r="G98" s="44"/>
      <c r="H98" s="29" t="s">
        <v>143</v>
      </c>
    </row>
    <row r="99" spans="1:8" ht="12.75" customHeight="1" x14ac:dyDescent="0.2">
      <c r="A99" s="39"/>
      <c r="B99" s="39"/>
      <c r="C99" s="40" t="s">
        <v>151</v>
      </c>
      <c r="D99" s="39"/>
      <c r="E99" s="39"/>
      <c r="F99" s="44"/>
      <c r="G99" s="44"/>
      <c r="H99" s="29" t="s">
        <v>143</v>
      </c>
    </row>
    <row r="100" spans="1:8" ht="12.75" customHeight="1" x14ac:dyDescent="0.2">
      <c r="A100" s="39"/>
      <c r="B100" s="39"/>
      <c r="C100" s="40" t="s">
        <v>10</v>
      </c>
      <c r="D100" s="39"/>
      <c r="E100" s="39"/>
      <c r="F100" s="44"/>
      <c r="G100" s="44"/>
      <c r="H100" s="29" t="s">
        <v>143</v>
      </c>
    </row>
    <row r="101" spans="1:8" ht="12.75" customHeight="1" x14ac:dyDescent="0.2">
      <c r="A101" s="39"/>
      <c r="B101" s="39"/>
      <c r="C101" s="40" t="s">
        <v>142</v>
      </c>
      <c r="D101" s="39"/>
      <c r="E101" s="39" t="s">
        <v>143</v>
      </c>
      <c r="F101" s="45" t="s">
        <v>145</v>
      </c>
      <c r="G101" s="42">
        <v>0</v>
      </c>
      <c r="H101" s="29" t="s">
        <v>143</v>
      </c>
    </row>
    <row r="102" spans="1:8" ht="12.75" customHeight="1" x14ac:dyDescent="0.2">
      <c r="A102" s="39"/>
      <c r="B102" s="39"/>
      <c r="C102" s="43"/>
      <c r="D102" s="39"/>
      <c r="E102" s="39"/>
      <c r="F102" s="44"/>
      <c r="G102" s="44"/>
      <c r="H102" s="29" t="s">
        <v>143</v>
      </c>
    </row>
    <row r="103" spans="1:8" ht="12.75" customHeight="1" x14ac:dyDescent="0.2">
      <c r="A103" s="39"/>
      <c r="B103" s="39"/>
      <c r="C103" s="40" t="s">
        <v>152</v>
      </c>
      <c r="D103" s="39"/>
      <c r="E103" s="39"/>
      <c r="F103" s="39"/>
      <c r="G103" s="39"/>
      <c r="H103" s="29" t="s">
        <v>143</v>
      </c>
    </row>
    <row r="104" spans="1:8" ht="12.75" customHeight="1" x14ac:dyDescent="0.2">
      <c r="A104" s="39"/>
      <c r="B104" s="39"/>
      <c r="C104" s="40" t="s">
        <v>142</v>
      </c>
      <c r="D104" s="39"/>
      <c r="E104" s="39" t="s">
        <v>143</v>
      </c>
      <c r="F104" s="45" t="s">
        <v>145</v>
      </c>
      <c r="G104" s="42">
        <v>0</v>
      </c>
      <c r="H104" s="29" t="s">
        <v>143</v>
      </c>
    </row>
    <row r="105" spans="1:8" ht="12.75" customHeight="1" x14ac:dyDescent="0.2">
      <c r="A105" s="39"/>
      <c r="B105" s="39"/>
      <c r="C105" s="43"/>
      <c r="D105" s="39"/>
      <c r="E105" s="39"/>
      <c r="F105" s="44"/>
      <c r="G105" s="44"/>
      <c r="H105" s="29" t="s">
        <v>143</v>
      </c>
    </row>
    <row r="106" spans="1:8" ht="12.75" customHeight="1" x14ac:dyDescent="0.2">
      <c r="A106" s="39"/>
      <c r="B106" s="39"/>
      <c r="C106" s="40" t="s">
        <v>153</v>
      </c>
      <c r="D106" s="39"/>
      <c r="E106" s="39"/>
      <c r="F106" s="39"/>
      <c r="G106" s="39"/>
      <c r="H106" s="29" t="s">
        <v>143</v>
      </c>
    </row>
    <row r="107" spans="1:8" ht="12.75" customHeight="1" x14ac:dyDescent="0.2">
      <c r="A107" s="39"/>
      <c r="B107" s="39"/>
      <c r="C107" s="40" t="s">
        <v>142</v>
      </c>
      <c r="D107" s="39"/>
      <c r="E107" s="39" t="s">
        <v>143</v>
      </c>
      <c r="F107" s="45" t="s">
        <v>145</v>
      </c>
      <c r="G107" s="42">
        <v>0</v>
      </c>
      <c r="H107" s="29" t="s">
        <v>143</v>
      </c>
    </row>
    <row r="108" spans="1:8" ht="12.75" customHeight="1" x14ac:dyDescent="0.2">
      <c r="A108" s="39"/>
      <c r="B108" s="39"/>
      <c r="C108" s="43"/>
      <c r="D108" s="39"/>
      <c r="E108" s="39"/>
      <c r="F108" s="44"/>
      <c r="G108" s="44"/>
      <c r="H108" s="29" t="s">
        <v>143</v>
      </c>
    </row>
    <row r="109" spans="1:8" ht="12.75" customHeight="1" x14ac:dyDescent="0.2">
      <c r="A109" s="39"/>
      <c r="B109" s="39"/>
      <c r="C109" s="40" t="s">
        <v>154</v>
      </c>
      <c r="D109" s="39"/>
      <c r="E109" s="39"/>
      <c r="F109" s="44"/>
      <c r="G109" s="44"/>
      <c r="H109" s="29" t="s">
        <v>143</v>
      </c>
    </row>
    <row r="110" spans="1:8" ht="12.75" customHeight="1" x14ac:dyDescent="0.2">
      <c r="A110" s="39"/>
      <c r="B110" s="39"/>
      <c r="C110" s="40" t="s">
        <v>142</v>
      </c>
      <c r="D110" s="39"/>
      <c r="E110" s="39" t="s">
        <v>143</v>
      </c>
      <c r="F110" s="45" t="s">
        <v>145</v>
      </c>
      <c r="G110" s="42">
        <v>0</v>
      </c>
      <c r="H110" s="29" t="s">
        <v>143</v>
      </c>
    </row>
    <row r="111" spans="1:8" ht="12.75" customHeight="1" x14ac:dyDescent="0.2">
      <c r="A111" s="87"/>
      <c r="B111" s="87"/>
      <c r="C111" s="71"/>
      <c r="D111" s="87"/>
      <c r="E111" s="87"/>
      <c r="F111" s="88"/>
      <c r="G111" s="89"/>
      <c r="H111" s="90"/>
    </row>
    <row r="112" spans="1:8" ht="12.75" customHeight="1" x14ac:dyDescent="0.2">
      <c r="A112" s="39"/>
      <c r="B112" s="39"/>
      <c r="C112" s="40" t="s">
        <v>1170</v>
      </c>
      <c r="D112" s="39"/>
      <c r="E112" s="39"/>
      <c r="F112" s="39"/>
      <c r="G112" s="39"/>
      <c r="H112" s="29" t="s">
        <v>143</v>
      </c>
    </row>
    <row r="113" spans="1:8" ht="12.75" customHeight="1" x14ac:dyDescent="0.2">
      <c r="A113" s="35">
        <v>1</v>
      </c>
      <c r="B113" s="22" t="s">
        <v>315</v>
      </c>
      <c r="C113" s="22" t="s">
        <v>316</v>
      </c>
      <c r="D113" s="22" t="s">
        <v>239</v>
      </c>
      <c r="E113" s="36">
        <v>1862960</v>
      </c>
      <c r="F113" s="37">
        <v>187.08589504</v>
      </c>
      <c r="G113" s="38">
        <v>1.4866E-4</v>
      </c>
      <c r="H113" s="29" t="s">
        <v>143</v>
      </c>
    </row>
    <row r="114" spans="1:8" ht="12.75" customHeight="1" x14ac:dyDescent="0.2">
      <c r="A114" s="39"/>
      <c r="B114" s="39"/>
      <c r="C114" s="40" t="s">
        <v>142</v>
      </c>
      <c r="D114" s="39"/>
      <c r="E114" s="39" t="s">
        <v>143</v>
      </c>
      <c r="F114" s="41">
        <v>187.08589504</v>
      </c>
      <c r="G114" s="42">
        <v>1.4966E-4</v>
      </c>
      <c r="H114" s="29" t="s">
        <v>143</v>
      </c>
    </row>
    <row r="115" spans="1:8" ht="12.75" customHeight="1" x14ac:dyDescent="0.2">
      <c r="A115" s="39"/>
      <c r="B115" s="39"/>
      <c r="C115" s="43"/>
      <c r="D115" s="39"/>
      <c r="E115" s="39"/>
      <c r="F115" s="44"/>
      <c r="G115" s="44"/>
      <c r="H115" s="29" t="s">
        <v>143</v>
      </c>
    </row>
    <row r="116" spans="1:8" ht="12.75" customHeight="1" x14ac:dyDescent="0.2">
      <c r="A116" s="39"/>
      <c r="B116" s="39"/>
      <c r="C116" s="40" t="s">
        <v>155</v>
      </c>
      <c r="D116" s="39"/>
      <c r="E116" s="39"/>
      <c r="F116" s="41">
        <f>F114</f>
        <v>187.08589504</v>
      </c>
      <c r="G116" s="42">
        <f>G114</f>
        <v>1.4966E-4</v>
      </c>
      <c r="H116" s="29" t="s">
        <v>143</v>
      </c>
    </row>
    <row r="117" spans="1:8" ht="12.75" customHeight="1" x14ac:dyDescent="0.2">
      <c r="A117" s="39"/>
      <c r="B117" s="39"/>
      <c r="C117" s="43"/>
      <c r="D117" s="39"/>
      <c r="E117" s="39"/>
      <c r="F117" s="44"/>
      <c r="G117" s="44"/>
      <c r="H117" s="29" t="s">
        <v>143</v>
      </c>
    </row>
    <row r="118" spans="1:8" ht="12.75" customHeight="1" x14ac:dyDescent="0.2">
      <c r="A118" s="39"/>
      <c r="B118" s="39"/>
      <c r="C118" s="40" t="s">
        <v>156</v>
      </c>
      <c r="D118" s="39"/>
      <c r="E118" s="39"/>
      <c r="F118" s="44"/>
      <c r="G118" s="44"/>
      <c r="H118" s="29" t="s">
        <v>143</v>
      </c>
    </row>
    <row r="119" spans="1:8" ht="12.75" customHeight="1" x14ac:dyDescent="0.2">
      <c r="A119" s="39"/>
      <c r="B119" s="39"/>
      <c r="C119" s="40" t="s">
        <v>157</v>
      </c>
      <c r="D119" s="39"/>
      <c r="E119" s="39"/>
      <c r="F119" s="44"/>
      <c r="G119" s="44"/>
      <c r="H119" s="29" t="s">
        <v>143</v>
      </c>
    </row>
    <row r="120" spans="1:8" ht="12.75" customHeight="1" x14ac:dyDescent="0.2">
      <c r="A120" s="39"/>
      <c r="B120" s="39"/>
      <c r="C120" s="40" t="s">
        <v>142</v>
      </c>
      <c r="D120" s="39"/>
      <c r="E120" s="39" t="s">
        <v>143</v>
      </c>
      <c r="F120" s="45" t="s">
        <v>145</v>
      </c>
      <c r="G120" s="42">
        <v>0</v>
      </c>
      <c r="H120" s="29" t="s">
        <v>143</v>
      </c>
    </row>
    <row r="121" spans="1:8" ht="12.75" customHeight="1" x14ac:dyDescent="0.2">
      <c r="A121" s="39"/>
      <c r="B121" s="39"/>
      <c r="C121" s="43"/>
      <c r="D121" s="39"/>
      <c r="E121" s="39"/>
      <c r="F121" s="44"/>
      <c r="G121" s="44"/>
      <c r="H121" s="29" t="s">
        <v>143</v>
      </c>
    </row>
    <row r="122" spans="1:8" ht="12.75" customHeight="1" x14ac:dyDescent="0.2">
      <c r="A122" s="39"/>
      <c r="B122" s="39"/>
      <c r="C122" s="40" t="s">
        <v>158</v>
      </c>
      <c r="D122" s="39"/>
      <c r="E122" s="39"/>
      <c r="F122" s="44"/>
      <c r="G122" s="44"/>
      <c r="H122" s="29" t="s">
        <v>143</v>
      </c>
    </row>
    <row r="123" spans="1:8" ht="12.75" customHeight="1" x14ac:dyDescent="0.2">
      <c r="A123" s="39"/>
      <c r="B123" s="39"/>
      <c r="C123" s="40" t="s">
        <v>142</v>
      </c>
      <c r="D123" s="39"/>
      <c r="E123" s="39" t="s">
        <v>143</v>
      </c>
      <c r="F123" s="45" t="s">
        <v>145</v>
      </c>
      <c r="G123" s="42">
        <v>0</v>
      </c>
      <c r="H123" s="29" t="s">
        <v>143</v>
      </c>
    </row>
    <row r="124" spans="1:8" ht="12.75" customHeight="1" x14ac:dyDescent="0.2">
      <c r="A124" s="39"/>
      <c r="B124" s="39"/>
      <c r="C124" s="43"/>
      <c r="D124" s="39"/>
      <c r="E124" s="39"/>
      <c r="F124" s="44"/>
      <c r="G124" s="44"/>
      <c r="H124" s="29" t="s">
        <v>143</v>
      </c>
    </row>
    <row r="125" spans="1:8" ht="12.75" customHeight="1" x14ac:dyDescent="0.2">
      <c r="A125" s="39"/>
      <c r="B125" s="39"/>
      <c r="C125" s="40" t="s">
        <v>159</v>
      </c>
      <c r="D125" s="39"/>
      <c r="E125" s="39"/>
      <c r="F125" s="44"/>
      <c r="G125" s="44"/>
      <c r="H125" s="29" t="s">
        <v>143</v>
      </c>
    </row>
    <row r="126" spans="1:8" ht="12.75" customHeight="1" x14ac:dyDescent="0.2">
      <c r="A126" s="39"/>
      <c r="B126" s="39"/>
      <c r="C126" s="40" t="s">
        <v>142</v>
      </c>
      <c r="D126" s="39"/>
      <c r="E126" s="39" t="s">
        <v>143</v>
      </c>
      <c r="F126" s="45" t="s">
        <v>145</v>
      </c>
      <c r="G126" s="42">
        <v>0</v>
      </c>
      <c r="H126" s="29" t="s">
        <v>143</v>
      </c>
    </row>
    <row r="127" spans="1:8" ht="12.75" customHeight="1" x14ac:dyDescent="0.2">
      <c r="A127" s="39"/>
      <c r="B127" s="39"/>
      <c r="C127" s="43"/>
      <c r="D127" s="39"/>
      <c r="E127" s="39"/>
      <c r="F127" s="44"/>
      <c r="G127" s="44"/>
      <c r="H127" s="29" t="s">
        <v>143</v>
      </c>
    </row>
    <row r="128" spans="1:8" ht="12.75" customHeight="1" x14ac:dyDescent="0.2">
      <c r="A128" s="39"/>
      <c r="B128" s="39"/>
      <c r="C128" s="40" t="s">
        <v>160</v>
      </c>
      <c r="D128" s="39"/>
      <c r="E128" s="39"/>
      <c r="F128" s="44"/>
      <c r="G128" s="44"/>
      <c r="H128" s="29" t="s">
        <v>143</v>
      </c>
    </row>
    <row r="129" spans="1:8" ht="12.75" customHeight="1" x14ac:dyDescent="0.2">
      <c r="A129" s="35">
        <v>1</v>
      </c>
      <c r="B129" s="22"/>
      <c r="C129" s="22" t="s">
        <v>161</v>
      </c>
      <c r="D129" s="22"/>
      <c r="E129" s="46"/>
      <c r="F129" s="37">
        <v>29655.530110083</v>
      </c>
      <c r="G129" s="38">
        <v>2.356397E-2</v>
      </c>
      <c r="H129" s="29">
        <v>5.51</v>
      </c>
    </row>
    <row r="130" spans="1:8" ht="12.75" customHeight="1" x14ac:dyDescent="0.2">
      <c r="A130" s="39"/>
      <c r="B130" s="39"/>
      <c r="C130" s="40" t="s">
        <v>142</v>
      </c>
      <c r="D130" s="39"/>
      <c r="E130" s="39" t="s">
        <v>143</v>
      </c>
      <c r="F130" s="41">
        <v>29655.530110083</v>
      </c>
      <c r="G130" s="42">
        <v>2.356397E-2</v>
      </c>
      <c r="H130" s="29" t="s">
        <v>143</v>
      </c>
    </row>
    <row r="131" spans="1:8" ht="12.75" customHeight="1" x14ac:dyDescent="0.2">
      <c r="A131" s="39"/>
      <c r="B131" s="39"/>
      <c r="C131" s="43"/>
      <c r="D131" s="39"/>
      <c r="E131" s="39"/>
      <c r="F131" s="44"/>
      <c r="G131" s="44"/>
      <c r="H131" s="29" t="s">
        <v>143</v>
      </c>
    </row>
    <row r="132" spans="1:8" ht="12.75" customHeight="1" x14ac:dyDescent="0.2">
      <c r="A132" s="39"/>
      <c r="B132" s="39"/>
      <c r="C132" s="40" t="s">
        <v>162</v>
      </c>
      <c r="D132" s="39"/>
      <c r="E132" s="39"/>
      <c r="F132" s="41">
        <v>29655.530110083</v>
      </c>
      <c r="G132" s="42">
        <v>2.356397E-2</v>
      </c>
      <c r="H132" s="29" t="s">
        <v>143</v>
      </c>
    </row>
    <row r="133" spans="1:8" ht="12.75" customHeight="1" x14ac:dyDescent="0.2">
      <c r="A133" s="39"/>
      <c r="B133" s="39"/>
      <c r="C133" s="44"/>
      <c r="D133" s="39"/>
      <c r="E133" s="39"/>
      <c r="F133" s="39"/>
      <c r="G133" s="39"/>
      <c r="H133" s="29" t="s">
        <v>143</v>
      </c>
    </row>
    <row r="134" spans="1:8" ht="12.75" customHeight="1" x14ac:dyDescent="0.2">
      <c r="A134" s="39"/>
      <c r="B134" s="39"/>
      <c r="C134" s="40" t="s">
        <v>163</v>
      </c>
      <c r="D134" s="39"/>
      <c r="E134" s="39"/>
      <c r="F134" s="39"/>
      <c r="G134" s="39"/>
      <c r="H134" s="29" t="s">
        <v>143</v>
      </c>
    </row>
    <row r="135" spans="1:8" ht="12.75" customHeight="1" x14ac:dyDescent="0.2">
      <c r="A135" s="39"/>
      <c r="B135" s="39"/>
      <c r="C135" s="40" t="s">
        <v>164</v>
      </c>
      <c r="D135" s="39"/>
      <c r="E135" s="39"/>
      <c r="F135" s="39"/>
      <c r="G135" s="39"/>
      <c r="H135" s="29" t="s">
        <v>143</v>
      </c>
    </row>
    <row r="136" spans="1:8" ht="14.25" customHeight="1" x14ac:dyDescent="0.2">
      <c r="A136" s="30">
        <v>1</v>
      </c>
      <c r="B136" s="31" t="s">
        <v>317</v>
      </c>
      <c r="C136" s="31" t="s">
        <v>956</v>
      </c>
      <c r="D136" s="31"/>
      <c r="E136" s="157">
        <v>654582.21050000004</v>
      </c>
      <c r="F136" s="33">
        <v>15474.113989912999</v>
      </c>
      <c r="G136" s="34">
        <v>1.229557E-2</v>
      </c>
      <c r="H136" s="29" t="s">
        <v>143</v>
      </c>
    </row>
    <row r="137" spans="1:8" ht="12.75" customHeight="1" x14ac:dyDescent="0.2">
      <c r="A137" s="39"/>
      <c r="B137" s="39"/>
      <c r="C137" s="40" t="s">
        <v>142</v>
      </c>
      <c r="D137" s="39"/>
      <c r="E137" s="39" t="s">
        <v>143</v>
      </c>
      <c r="F137" s="41">
        <v>15474.113989912999</v>
      </c>
      <c r="G137" s="42">
        <v>1.229557E-2</v>
      </c>
      <c r="H137" s="29" t="s">
        <v>143</v>
      </c>
    </row>
    <row r="138" spans="1:8" ht="12.75" customHeight="1" x14ac:dyDescent="0.2">
      <c r="A138" s="39"/>
      <c r="B138" s="39"/>
      <c r="C138" s="43"/>
      <c r="D138" s="39"/>
      <c r="E138" s="39"/>
      <c r="F138" s="44"/>
      <c r="G138" s="44"/>
      <c r="H138" s="29" t="s">
        <v>143</v>
      </c>
    </row>
    <row r="139" spans="1:8" ht="12.75" customHeight="1" x14ac:dyDescent="0.2">
      <c r="A139" s="39"/>
      <c r="B139" s="39"/>
      <c r="C139" s="40" t="s">
        <v>165</v>
      </c>
      <c r="D139" s="39"/>
      <c r="E139" s="39"/>
      <c r="F139" s="39"/>
      <c r="G139" s="39"/>
      <c r="H139" s="29" t="s">
        <v>143</v>
      </c>
    </row>
    <row r="140" spans="1:8" ht="12.75" customHeight="1" x14ac:dyDescent="0.2">
      <c r="A140" s="39"/>
      <c r="B140" s="39"/>
      <c r="C140" s="40" t="s">
        <v>166</v>
      </c>
      <c r="D140" s="39"/>
      <c r="E140" s="39"/>
      <c r="F140" s="39"/>
      <c r="G140" s="39"/>
      <c r="H140" s="29" t="s">
        <v>143</v>
      </c>
    </row>
    <row r="141" spans="1:8" ht="12.75" customHeight="1" x14ac:dyDescent="0.2">
      <c r="A141" s="39"/>
      <c r="B141" s="39"/>
      <c r="C141" s="40" t="s">
        <v>142</v>
      </c>
      <c r="D141" s="39"/>
      <c r="E141" s="39" t="s">
        <v>143</v>
      </c>
      <c r="F141" s="45" t="s">
        <v>145</v>
      </c>
      <c r="G141" s="42">
        <v>0</v>
      </c>
      <c r="H141" s="29" t="s">
        <v>143</v>
      </c>
    </row>
    <row r="142" spans="1:8" ht="12.75" customHeight="1" x14ac:dyDescent="0.2">
      <c r="A142" s="39"/>
      <c r="B142" s="39"/>
      <c r="C142" s="43"/>
      <c r="D142" s="39"/>
      <c r="E142" s="39"/>
      <c r="F142" s="44"/>
      <c r="G142" s="44"/>
      <c r="H142" s="29" t="s">
        <v>143</v>
      </c>
    </row>
    <row r="143" spans="1:8" ht="12.75" customHeight="1" x14ac:dyDescent="0.2">
      <c r="A143" s="39"/>
      <c r="B143" s="39"/>
      <c r="C143" s="40" t="s">
        <v>167</v>
      </c>
      <c r="D143" s="39"/>
      <c r="E143" s="39"/>
      <c r="F143" s="44"/>
      <c r="G143" s="44"/>
      <c r="H143" s="29" t="s">
        <v>143</v>
      </c>
    </row>
    <row r="144" spans="1:8" ht="12.75" customHeight="1" x14ac:dyDescent="0.2">
      <c r="A144" s="39"/>
      <c r="B144" s="39"/>
      <c r="C144" s="40" t="s">
        <v>142</v>
      </c>
      <c r="D144" s="39"/>
      <c r="E144" s="39" t="s">
        <v>143</v>
      </c>
      <c r="F144" s="45" t="s">
        <v>145</v>
      </c>
      <c r="G144" s="42">
        <v>0</v>
      </c>
      <c r="H144" s="29" t="s">
        <v>143</v>
      </c>
    </row>
    <row r="145" spans="1:17" ht="12.75" customHeight="1" x14ac:dyDescent="0.2">
      <c r="A145" s="39"/>
      <c r="B145" s="39"/>
      <c r="C145" s="43"/>
      <c r="D145" s="39"/>
      <c r="E145" s="39"/>
      <c r="F145" s="44"/>
      <c r="G145" s="44"/>
      <c r="H145" s="29" t="s">
        <v>143</v>
      </c>
    </row>
    <row r="146" spans="1:17" ht="12.75" customHeight="1" x14ac:dyDescent="0.2">
      <c r="A146" s="46"/>
      <c r="B146" s="22"/>
      <c r="C146" s="22" t="s">
        <v>319</v>
      </c>
      <c r="D146" s="22"/>
      <c r="E146" s="46"/>
      <c r="F146" s="37">
        <v>6524.9985896999997</v>
      </c>
      <c r="G146" s="38">
        <v>5.1847000000000004E-3</v>
      </c>
      <c r="H146" s="29" t="s">
        <v>143</v>
      </c>
    </row>
    <row r="147" spans="1:17" ht="12.75" customHeight="1" x14ac:dyDescent="0.2">
      <c r="A147" s="46"/>
      <c r="B147" s="22"/>
      <c r="C147" s="22" t="s">
        <v>168</v>
      </c>
      <c r="D147" s="22"/>
      <c r="E147" s="46"/>
      <c r="F147" s="37">
        <v>-3111.2961033500001</v>
      </c>
      <c r="G147" s="38">
        <v>-2.4721999999999999E-3</v>
      </c>
      <c r="H147" s="29" t="s">
        <v>143</v>
      </c>
    </row>
    <row r="148" spans="1:17" ht="12.75" customHeight="1" x14ac:dyDescent="0.2">
      <c r="A148" s="43"/>
      <c r="B148" s="43"/>
      <c r="C148" s="40" t="s">
        <v>169</v>
      </c>
      <c r="D148" s="44"/>
      <c r="E148" s="44"/>
      <c r="F148" s="41">
        <v>1258511.4750776859</v>
      </c>
      <c r="G148" s="47">
        <v>1.00000004</v>
      </c>
      <c r="H148" s="29" t="s">
        <v>143</v>
      </c>
    </row>
    <row r="149" spans="1:17" ht="12.75" customHeight="1" x14ac:dyDescent="0.2">
      <c r="A149" s="48"/>
      <c r="B149" s="48"/>
      <c r="C149" s="49"/>
      <c r="D149" s="50"/>
      <c r="E149" s="50"/>
      <c r="F149" s="51"/>
      <c r="G149" s="52"/>
      <c r="H149" s="53"/>
    </row>
    <row r="150" spans="1:17" x14ac:dyDescent="0.2">
      <c r="A150" s="54"/>
      <c r="B150" s="243" t="s">
        <v>945</v>
      </c>
      <c r="C150" s="243"/>
      <c r="D150" s="243"/>
      <c r="E150" s="243"/>
      <c r="F150" s="243"/>
      <c r="G150" s="243"/>
      <c r="H150" s="243"/>
      <c r="J150" s="56"/>
    </row>
    <row r="151" spans="1:17" x14ac:dyDescent="0.2">
      <c r="A151" s="54"/>
      <c r="B151" s="243" t="s">
        <v>946</v>
      </c>
      <c r="C151" s="243"/>
      <c r="D151" s="243"/>
      <c r="E151" s="243"/>
      <c r="F151" s="243"/>
      <c r="G151" s="243"/>
      <c r="H151" s="243"/>
      <c r="J151" s="56"/>
    </row>
    <row r="152" spans="1:17" x14ac:dyDescent="0.2">
      <c r="A152" s="54"/>
      <c r="B152" s="243" t="s">
        <v>947</v>
      </c>
      <c r="C152" s="243"/>
      <c r="D152" s="243"/>
      <c r="E152" s="243"/>
      <c r="F152" s="243"/>
      <c r="G152" s="243"/>
      <c r="H152" s="243"/>
      <c r="J152" s="56"/>
    </row>
    <row r="153" spans="1:17" s="58" customFormat="1" ht="66.75" customHeight="1" x14ac:dyDescent="0.25">
      <c r="A153" s="57"/>
      <c r="B153" s="244" t="s">
        <v>948</v>
      </c>
      <c r="C153" s="244"/>
      <c r="D153" s="244"/>
      <c r="E153" s="244"/>
      <c r="F153" s="244"/>
      <c r="G153" s="244"/>
      <c r="H153" s="244"/>
      <c r="I153"/>
      <c r="J153" s="56"/>
      <c r="K153"/>
      <c r="L153"/>
      <c r="M153"/>
      <c r="N153"/>
      <c r="O153"/>
      <c r="P153"/>
      <c r="Q153"/>
    </row>
    <row r="154" spans="1:17" x14ac:dyDescent="0.2">
      <c r="A154" s="54"/>
      <c r="B154" s="243" t="s">
        <v>949</v>
      </c>
      <c r="C154" s="243"/>
      <c r="D154" s="243"/>
      <c r="E154" s="243"/>
      <c r="F154" s="243"/>
      <c r="G154" s="243"/>
      <c r="H154" s="243"/>
      <c r="J154" s="56"/>
    </row>
    <row r="155" spans="1:17" x14ac:dyDescent="0.2">
      <c r="A155" s="54"/>
      <c r="B155" s="54"/>
      <c r="C155" s="54"/>
      <c r="D155" s="59"/>
      <c r="E155" s="59"/>
      <c r="F155" s="59"/>
      <c r="G155" s="59"/>
    </row>
    <row r="156" spans="1:17" x14ac:dyDescent="0.2">
      <c r="A156" s="54"/>
      <c r="B156" s="247" t="s">
        <v>170</v>
      </c>
      <c r="C156" s="248"/>
      <c r="D156" s="249"/>
      <c r="E156" s="60"/>
      <c r="F156" s="59"/>
      <c r="G156" s="59"/>
    </row>
    <row r="157" spans="1:17" ht="27.75" customHeight="1" x14ac:dyDescent="0.2">
      <c r="A157" s="54"/>
      <c r="B157" s="240" t="s">
        <v>171</v>
      </c>
      <c r="C157" s="241"/>
      <c r="D157" s="28" t="s">
        <v>172</v>
      </c>
      <c r="E157" s="60"/>
      <c r="F157" s="59"/>
      <c r="G157" s="59"/>
    </row>
    <row r="158" spans="1:17" ht="12.75" customHeight="1" x14ac:dyDescent="0.2">
      <c r="A158" s="54"/>
      <c r="B158" s="240" t="s">
        <v>950</v>
      </c>
      <c r="C158" s="241"/>
      <c r="D158" s="28" t="s">
        <v>172</v>
      </c>
      <c r="E158" s="60"/>
      <c r="F158" s="59"/>
      <c r="G158" s="59"/>
    </row>
    <row r="159" spans="1:17" x14ac:dyDescent="0.2">
      <c r="A159" s="54"/>
      <c r="B159" s="240" t="s">
        <v>173</v>
      </c>
      <c r="C159" s="241"/>
      <c r="D159" s="61" t="s">
        <v>143</v>
      </c>
      <c r="E159" s="60"/>
      <c r="F159" s="59"/>
      <c r="G159" s="59"/>
    </row>
    <row r="160" spans="1:17" x14ac:dyDescent="0.2">
      <c r="A160" s="62"/>
      <c r="B160" s="63" t="s">
        <v>143</v>
      </c>
      <c r="C160" s="63" t="s">
        <v>951</v>
      </c>
      <c r="D160" s="63" t="s">
        <v>174</v>
      </c>
      <c r="E160" s="62"/>
      <c r="F160" s="62"/>
      <c r="G160" s="62"/>
      <c r="H160" s="62"/>
      <c r="J160" s="56"/>
    </row>
    <row r="161" spans="1:10" x14ac:dyDescent="0.2">
      <c r="A161" s="62"/>
      <c r="B161" s="64" t="s">
        <v>175</v>
      </c>
      <c r="C161" s="65">
        <v>45900</v>
      </c>
      <c r="D161" s="65">
        <v>45930</v>
      </c>
      <c r="E161" s="62"/>
      <c r="F161" s="62"/>
      <c r="G161" s="62"/>
      <c r="J161" s="56"/>
    </row>
    <row r="162" spans="1:10" ht="12.75" customHeight="1" x14ac:dyDescent="0.2">
      <c r="A162" s="66"/>
      <c r="B162" s="67" t="s">
        <v>176</v>
      </c>
      <c r="C162" s="68">
        <v>1486.0450000000001</v>
      </c>
      <c r="D162" s="68">
        <v>1494.5790999999999</v>
      </c>
      <c r="E162" s="66"/>
      <c r="F162" s="69"/>
      <c r="G162" s="70"/>
    </row>
    <row r="163" spans="1:10" ht="12.75" customHeight="1" x14ac:dyDescent="0.2">
      <c r="A163" s="66"/>
      <c r="B163" s="67" t="s">
        <v>1085</v>
      </c>
      <c r="C163" s="68">
        <v>69.780699999999996</v>
      </c>
      <c r="D163" s="68">
        <v>70.181399999999996</v>
      </c>
      <c r="E163" s="66"/>
      <c r="F163" s="69"/>
      <c r="G163" s="70"/>
    </row>
    <row r="164" spans="1:10" ht="12.75" customHeight="1" x14ac:dyDescent="0.2">
      <c r="A164" s="66"/>
      <c r="B164" s="67" t="s">
        <v>177</v>
      </c>
      <c r="C164" s="68">
        <v>1359.6478999999999</v>
      </c>
      <c r="D164" s="68">
        <v>1366.5328999999999</v>
      </c>
      <c r="E164" s="66"/>
      <c r="F164" s="69"/>
      <c r="G164" s="70"/>
    </row>
    <row r="165" spans="1:10" ht="12.75" customHeight="1" x14ac:dyDescent="0.2">
      <c r="A165" s="66"/>
      <c r="B165" s="67" t="s">
        <v>1086</v>
      </c>
      <c r="C165" s="68">
        <v>62.934199999999997</v>
      </c>
      <c r="D165" s="68">
        <v>63.252899999999997</v>
      </c>
      <c r="E165" s="66"/>
      <c r="F165" s="69"/>
      <c r="G165" s="70"/>
    </row>
    <row r="166" spans="1:10" ht="12.75" customHeight="1" x14ac:dyDescent="0.2">
      <c r="A166" s="66"/>
      <c r="B166" s="66"/>
      <c r="C166" s="66"/>
      <c r="D166" s="66"/>
      <c r="E166" s="66"/>
      <c r="F166" s="66"/>
      <c r="G166" s="66"/>
    </row>
    <row r="167" spans="1:10" ht="14.25" customHeight="1" x14ac:dyDescent="0.2">
      <c r="A167" s="62"/>
      <c r="B167" s="245" t="s">
        <v>952</v>
      </c>
      <c r="C167" s="246"/>
      <c r="D167" s="71" t="s">
        <v>172</v>
      </c>
      <c r="E167" s="62"/>
      <c r="F167" s="62"/>
      <c r="G167" s="62"/>
    </row>
    <row r="168" spans="1:10" x14ac:dyDescent="0.2">
      <c r="A168" s="72"/>
      <c r="B168" s="155"/>
      <c r="C168" s="155"/>
      <c r="D168" s="156"/>
      <c r="E168" s="72"/>
      <c r="F168" s="55"/>
      <c r="G168" s="76"/>
    </row>
    <row r="169" spans="1:10" x14ac:dyDescent="0.2">
      <c r="A169" s="72"/>
      <c r="B169" s="240" t="s">
        <v>178</v>
      </c>
      <c r="C169" s="241"/>
      <c r="D169" s="28" t="s">
        <v>172</v>
      </c>
      <c r="E169" s="73"/>
      <c r="F169" s="73"/>
      <c r="G169" s="73"/>
    </row>
    <row r="170" spans="1:10" x14ac:dyDescent="0.2">
      <c r="A170" s="72"/>
      <c r="B170" s="240" t="s">
        <v>179</v>
      </c>
      <c r="C170" s="241"/>
      <c r="D170" s="28" t="s">
        <v>172</v>
      </c>
      <c r="E170" s="72"/>
      <c r="F170" s="72"/>
      <c r="G170" s="72"/>
    </row>
    <row r="171" spans="1:10" x14ac:dyDescent="0.2">
      <c r="A171" s="72"/>
      <c r="B171" s="240" t="s">
        <v>180</v>
      </c>
      <c r="C171" s="241"/>
      <c r="D171" s="28" t="s">
        <v>172</v>
      </c>
      <c r="E171" s="74"/>
      <c r="F171" s="72"/>
      <c r="G171" s="72"/>
    </row>
    <row r="172" spans="1:10" x14ac:dyDescent="0.2">
      <c r="A172" s="72"/>
      <c r="B172" s="240" t="s">
        <v>181</v>
      </c>
      <c r="C172" s="241"/>
      <c r="D172" s="75">
        <v>0.53875215133366239</v>
      </c>
      <c r="E172" s="74"/>
      <c r="F172" s="72"/>
      <c r="G172" s="72"/>
    </row>
    <row r="173" spans="1:10" x14ac:dyDescent="0.2"/>
    <row r="174" spans="1:10" x14ac:dyDescent="0.2">
      <c r="B174" s="239" t="s">
        <v>953</v>
      </c>
      <c r="C174" s="239"/>
    </row>
    <row r="175" spans="1:10" x14ac:dyDescent="0.2"/>
    <row r="176" spans="1:10" ht="153.75" customHeight="1" x14ac:dyDescent="0.2">
      <c r="B176" s="77"/>
      <c r="C176" s="78"/>
      <c r="D176" s="77"/>
    </row>
    <row r="177" spans="2:4" x14ac:dyDescent="0.2">
      <c r="B177" s="77"/>
      <c r="D177" s="77"/>
    </row>
    <row r="178" spans="2:4" x14ac:dyDescent="0.2">
      <c r="B178" s="77" t="s">
        <v>954</v>
      </c>
      <c r="C178" s="78"/>
      <c r="D178" s="77" t="s">
        <v>957</v>
      </c>
    </row>
    <row r="179" spans="2:4" x14ac:dyDescent="0.2">
      <c r="B179" s="77" t="s">
        <v>958</v>
      </c>
      <c r="D179" s="77" t="s">
        <v>959</v>
      </c>
    </row>
    <row r="180" spans="2:4" x14ac:dyDescent="0.2"/>
    <row r="181" spans="2:4" x14ac:dyDescent="0.2"/>
    <row r="182" spans="2:4" x14ac:dyDescent="0.2"/>
    <row r="183" spans="2:4" x14ac:dyDescent="0.2"/>
    <row r="184" spans="2:4" x14ac:dyDescent="0.2"/>
    <row r="185" spans="2:4" x14ac:dyDescent="0.2"/>
    <row r="186" spans="2:4" x14ac:dyDescent="0.2"/>
    <row r="187" spans="2:4" x14ac:dyDescent="0.2"/>
    <row r="188" spans="2:4" x14ac:dyDescent="0.2"/>
    <row r="189" spans="2:4" x14ac:dyDescent="0.2"/>
    <row r="190" spans="2:4" x14ac:dyDescent="0.2"/>
    <row r="191" spans="2:4" x14ac:dyDescent="0.2"/>
    <row r="192" spans="2:4" x14ac:dyDescent="0.2"/>
    <row r="193" customFormat="1" x14ac:dyDescent="0.2"/>
    <row r="194" customFormat="1" x14ac:dyDescent="0.2"/>
    <row r="195" customFormat="1" x14ac:dyDescent="0.2"/>
  </sheetData>
  <mergeCells count="18">
    <mergeCell ref="B156:D156"/>
    <mergeCell ref="B157:C157"/>
    <mergeCell ref="B174:C174"/>
    <mergeCell ref="B172:C172"/>
    <mergeCell ref="A1:H1"/>
    <mergeCell ref="A2:H2"/>
    <mergeCell ref="A3:H3"/>
    <mergeCell ref="B171:C171"/>
    <mergeCell ref="B150:H150"/>
    <mergeCell ref="B151:H151"/>
    <mergeCell ref="B158:C158"/>
    <mergeCell ref="B159:C159"/>
    <mergeCell ref="B169:C169"/>
    <mergeCell ref="B170:C170"/>
    <mergeCell ref="B152:H152"/>
    <mergeCell ref="B153:H153"/>
    <mergeCell ref="B154:H154"/>
    <mergeCell ref="B167:C167"/>
  </mergeCells>
  <hyperlinks>
    <hyperlink ref="I1" location="Index!B2" display="Index" xr:uid="{6E323482-2311-4A31-A276-4C239D16D0B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C584-2A6E-4B82-9BA5-79CF37918C2C}">
  <sheetPr>
    <outlinePr summaryBelow="0" summaryRight="0"/>
  </sheetPr>
  <dimension ref="A1:Q194"/>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7.7109375" bestFit="1" customWidth="1"/>
    <col min="5" max="5" width="11.42578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320</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3800000</v>
      </c>
      <c r="F7" s="37">
        <v>36138</v>
      </c>
      <c r="G7" s="38">
        <v>5.3617049999999999E-2</v>
      </c>
      <c r="H7" s="29" t="s">
        <v>143</v>
      </c>
    </row>
    <row r="8" spans="1:9" ht="12.75" customHeight="1" x14ac:dyDescent="0.2">
      <c r="A8" s="35">
        <v>2</v>
      </c>
      <c r="B8" s="22" t="s">
        <v>17</v>
      </c>
      <c r="C8" s="22" t="s">
        <v>18</v>
      </c>
      <c r="D8" s="22" t="s">
        <v>19</v>
      </c>
      <c r="E8" s="36">
        <v>2010000</v>
      </c>
      <c r="F8" s="37">
        <v>27416.400000000001</v>
      </c>
      <c r="G8" s="38">
        <v>4.0677030000000003E-2</v>
      </c>
      <c r="H8" s="29" t="s">
        <v>143</v>
      </c>
    </row>
    <row r="9" spans="1:9" ht="12.75" customHeight="1" x14ac:dyDescent="0.2">
      <c r="A9" s="35">
        <v>3</v>
      </c>
      <c r="B9" s="22" t="s">
        <v>31</v>
      </c>
      <c r="C9" s="22" t="s">
        <v>32</v>
      </c>
      <c r="D9" s="22" t="s">
        <v>33</v>
      </c>
      <c r="E9" s="36">
        <v>1800000</v>
      </c>
      <c r="F9" s="37">
        <v>24264</v>
      </c>
      <c r="G9" s="38">
        <v>3.599989E-2</v>
      </c>
      <c r="H9" s="29" t="s">
        <v>143</v>
      </c>
    </row>
    <row r="10" spans="1:9" ht="12.75" customHeight="1" x14ac:dyDescent="0.2">
      <c r="A10" s="35">
        <v>4</v>
      </c>
      <c r="B10" s="22" t="s">
        <v>42</v>
      </c>
      <c r="C10" s="22" t="s">
        <v>43</v>
      </c>
      <c r="D10" s="22" t="s">
        <v>33</v>
      </c>
      <c r="E10" s="36">
        <v>2375000</v>
      </c>
      <c r="F10" s="37">
        <v>20720.6875</v>
      </c>
      <c r="G10" s="38">
        <v>3.0742769999999999E-2</v>
      </c>
      <c r="H10" s="29" t="s">
        <v>143</v>
      </c>
    </row>
    <row r="11" spans="1:9" ht="12.75" customHeight="1" x14ac:dyDescent="0.2">
      <c r="A11" s="35">
        <v>5</v>
      </c>
      <c r="B11" s="22" t="s">
        <v>11</v>
      </c>
      <c r="C11" s="22" t="s">
        <v>12</v>
      </c>
      <c r="D11" s="22" t="s">
        <v>13</v>
      </c>
      <c r="E11" s="36">
        <v>900000</v>
      </c>
      <c r="F11" s="37">
        <v>16905.599999999999</v>
      </c>
      <c r="G11" s="38">
        <v>2.5082420000000001E-2</v>
      </c>
      <c r="H11" s="29" t="s">
        <v>143</v>
      </c>
    </row>
    <row r="12" spans="1:9" ht="12.75" customHeight="1" x14ac:dyDescent="0.2">
      <c r="A12" s="35">
        <v>6</v>
      </c>
      <c r="B12" s="22" t="s">
        <v>44</v>
      </c>
      <c r="C12" s="22" t="s">
        <v>45</v>
      </c>
      <c r="D12" s="22" t="s">
        <v>46</v>
      </c>
      <c r="E12" s="36">
        <v>190000</v>
      </c>
      <c r="F12" s="37">
        <v>15369.1</v>
      </c>
      <c r="G12" s="38">
        <v>2.280275E-2</v>
      </c>
      <c r="H12" s="29" t="s">
        <v>143</v>
      </c>
    </row>
    <row r="13" spans="1:9" ht="12.75" customHeight="1" x14ac:dyDescent="0.2">
      <c r="A13" s="35">
        <v>7</v>
      </c>
      <c r="B13" s="22" t="s">
        <v>255</v>
      </c>
      <c r="C13" s="22" t="s">
        <v>256</v>
      </c>
      <c r="D13" s="22" t="s">
        <v>41</v>
      </c>
      <c r="E13" s="36">
        <v>1140000</v>
      </c>
      <c r="F13" s="37">
        <v>14806.32</v>
      </c>
      <c r="G13" s="38">
        <v>2.1967770000000001E-2</v>
      </c>
      <c r="H13" s="29" t="s">
        <v>143</v>
      </c>
    </row>
    <row r="14" spans="1:9" ht="12.75" customHeight="1" x14ac:dyDescent="0.2">
      <c r="A14" s="35">
        <v>8</v>
      </c>
      <c r="B14" s="22" t="s">
        <v>323</v>
      </c>
      <c r="C14" s="22" t="s">
        <v>324</v>
      </c>
      <c r="D14" s="22" t="s">
        <v>33</v>
      </c>
      <c r="E14" s="36">
        <v>700000</v>
      </c>
      <c r="F14" s="37">
        <v>13948.9</v>
      </c>
      <c r="G14" s="38">
        <v>2.0695640000000001E-2</v>
      </c>
      <c r="H14" s="29" t="s">
        <v>143</v>
      </c>
    </row>
    <row r="15" spans="1:9" ht="12.75" customHeight="1" x14ac:dyDescent="0.2">
      <c r="A15" s="35">
        <v>9</v>
      </c>
      <c r="B15" s="22" t="s">
        <v>325</v>
      </c>
      <c r="C15" s="22" t="s">
        <v>326</v>
      </c>
      <c r="D15" s="22" t="s">
        <v>215</v>
      </c>
      <c r="E15" s="36">
        <v>960000</v>
      </c>
      <c r="F15" s="37">
        <v>13841.28</v>
      </c>
      <c r="G15" s="38">
        <v>2.0535959999999999E-2</v>
      </c>
      <c r="H15" s="29" t="s">
        <v>143</v>
      </c>
    </row>
    <row r="16" spans="1:9" ht="12.75" customHeight="1" x14ac:dyDescent="0.2">
      <c r="A16" s="35">
        <v>10</v>
      </c>
      <c r="B16" s="22" t="s">
        <v>327</v>
      </c>
      <c r="C16" s="22" t="s">
        <v>328</v>
      </c>
      <c r="D16" s="22" t="s">
        <v>33</v>
      </c>
      <c r="E16" s="36">
        <v>1200000</v>
      </c>
      <c r="F16" s="37">
        <v>13579.2</v>
      </c>
      <c r="G16" s="38">
        <v>2.0147120000000001E-2</v>
      </c>
      <c r="H16" s="29" t="s">
        <v>143</v>
      </c>
    </row>
    <row r="17" spans="1:8" ht="12.75" customHeight="1" x14ac:dyDescent="0.2">
      <c r="A17" s="35">
        <v>11</v>
      </c>
      <c r="B17" s="22" t="s">
        <v>14</v>
      </c>
      <c r="C17" s="22" t="s">
        <v>15</v>
      </c>
      <c r="D17" s="22" t="s">
        <v>16</v>
      </c>
      <c r="E17" s="36">
        <v>350000</v>
      </c>
      <c r="F17" s="37">
        <v>12806.5</v>
      </c>
      <c r="G17" s="38">
        <v>1.9000690000000001E-2</v>
      </c>
      <c r="H17" s="29" t="s">
        <v>143</v>
      </c>
    </row>
    <row r="18" spans="1:8" ht="12.75" customHeight="1" x14ac:dyDescent="0.2">
      <c r="A18" s="35">
        <v>12</v>
      </c>
      <c r="B18" s="22" t="s">
        <v>246</v>
      </c>
      <c r="C18" s="22" t="s">
        <v>247</v>
      </c>
      <c r="D18" s="22" t="s">
        <v>194</v>
      </c>
      <c r="E18" s="36">
        <v>232400</v>
      </c>
      <c r="F18" s="37">
        <v>12607.7</v>
      </c>
      <c r="G18" s="38">
        <v>1.870573E-2</v>
      </c>
      <c r="H18" s="29" t="s">
        <v>143</v>
      </c>
    </row>
    <row r="19" spans="1:8" ht="12.75" customHeight="1" x14ac:dyDescent="0.2">
      <c r="A19" s="35">
        <v>13</v>
      </c>
      <c r="B19" s="22" t="s">
        <v>186</v>
      </c>
      <c r="C19" s="22" t="s">
        <v>187</v>
      </c>
      <c r="D19" s="22" t="s">
        <v>188</v>
      </c>
      <c r="E19" s="36">
        <v>1300000</v>
      </c>
      <c r="F19" s="37">
        <v>12607.4</v>
      </c>
      <c r="G19" s="38">
        <v>1.8705289999999999E-2</v>
      </c>
      <c r="H19" s="29" t="s">
        <v>143</v>
      </c>
    </row>
    <row r="20" spans="1:8" ht="12.75" customHeight="1" x14ac:dyDescent="0.2">
      <c r="A20" s="35">
        <v>14</v>
      </c>
      <c r="B20" s="22" t="s">
        <v>62</v>
      </c>
      <c r="C20" s="22" t="s">
        <v>63</v>
      </c>
      <c r="D20" s="22" t="s">
        <v>64</v>
      </c>
      <c r="E20" s="36">
        <v>320000</v>
      </c>
      <c r="F20" s="37">
        <v>12564.8</v>
      </c>
      <c r="G20" s="38">
        <v>1.8642079999999998E-2</v>
      </c>
      <c r="H20" s="29" t="s">
        <v>143</v>
      </c>
    </row>
    <row r="21" spans="1:8" ht="12.75" customHeight="1" x14ac:dyDescent="0.2">
      <c r="A21" s="35">
        <v>15</v>
      </c>
      <c r="B21" s="22" t="s">
        <v>131</v>
      </c>
      <c r="C21" s="22" t="s">
        <v>132</v>
      </c>
      <c r="D21" s="22" t="s">
        <v>133</v>
      </c>
      <c r="E21" s="36">
        <v>1118125</v>
      </c>
      <c r="F21" s="37">
        <v>11894.0546875</v>
      </c>
      <c r="G21" s="38">
        <v>1.7646909999999998E-2</v>
      </c>
      <c r="H21" s="29" t="s">
        <v>143</v>
      </c>
    </row>
    <row r="22" spans="1:8" ht="12.75" customHeight="1" x14ac:dyDescent="0.2">
      <c r="A22" s="35">
        <v>16</v>
      </c>
      <c r="B22" s="22" t="s">
        <v>204</v>
      </c>
      <c r="C22" s="22" t="s">
        <v>205</v>
      </c>
      <c r="D22" s="22" t="s">
        <v>206</v>
      </c>
      <c r="E22" s="36">
        <v>1925000</v>
      </c>
      <c r="F22" s="37">
        <v>11884.95</v>
      </c>
      <c r="G22" s="38">
        <v>1.7633409999999999E-2</v>
      </c>
      <c r="H22" s="29" t="s">
        <v>143</v>
      </c>
    </row>
    <row r="23" spans="1:8" ht="12.75" customHeight="1" x14ac:dyDescent="0.2">
      <c r="A23" s="35">
        <v>17</v>
      </c>
      <c r="B23" s="22" t="s">
        <v>201</v>
      </c>
      <c r="C23" s="22" t="s">
        <v>202</v>
      </c>
      <c r="D23" s="22" t="s">
        <v>203</v>
      </c>
      <c r="E23" s="36">
        <v>1700000</v>
      </c>
      <c r="F23" s="37">
        <v>11855.8</v>
      </c>
      <c r="G23" s="38">
        <v>1.7590160000000001E-2</v>
      </c>
      <c r="H23" s="29" t="s">
        <v>143</v>
      </c>
    </row>
    <row r="24" spans="1:8" ht="12.75" customHeight="1" x14ac:dyDescent="0.2">
      <c r="A24" s="35">
        <v>18</v>
      </c>
      <c r="B24" s="22" t="s">
        <v>23</v>
      </c>
      <c r="C24" s="22" t="s">
        <v>24</v>
      </c>
      <c r="D24" s="22" t="s">
        <v>25</v>
      </c>
      <c r="E24" s="36">
        <v>92500</v>
      </c>
      <c r="F24" s="37">
        <v>11305.35</v>
      </c>
      <c r="G24" s="38">
        <v>1.6773469999999999E-2</v>
      </c>
      <c r="H24" s="29" t="s">
        <v>143</v>
      </c>
    </row>
    <row r="25" spans="1:8" ht="12.75" customHeight="1" x14ac:dyDescent="0.2">
      <c r="A25" s="35">
        <v>19</v>
      </c>
      <c r="B25" s="22" t="s">
        <v>189</v>
      </c>
      <c r="C25" s="22" t="s">
        <v>190</v>
      </c>
      <c r="D25" s="22" t="s">
        <v>191</v>
      </c>
      <c r="E25" s="36">
        <v>4000000</v>
      </c>
      <c r="F25" s="37">
        <v>11012</v>
      </c>
      <c r="G25" s="38">
        <v>1.6338229999999999E-2</v>
      </c>
      <c r="H25" s="29" t="s">
        <v>143</v>
      </c>
    </row>
    <row r="26" spans="1:8" ht="12.75" customHeight="1" x14ac:dyDescent="0.2">
      <c r="A26" s="35">
        <v>20</v>
      </c>
      <c r="B26" s="22" t="s">
        <v>329</v>
      </c>
      <c r="C26" s="22" t="s">
        <v>330</v>
      </c>
      <c r="D26" s="22" t="s">
        <v>191</v>
      </c>
      <c r="E26" s="36">
        <v>1100000</v>
      </c>
      <c r="F26" s="37">
        <v>10987.9</v>
      </c>
      <c r="G26" s="38">
        <v>1.6302469999999999E-2</v>
      </c>
      <c r="H26" s="29" t="s">
        <v>143</v>
      </c>
    </row>
    <row r="27" spans="1:8" ht="12.75" customHeight="1" x14ac:dyDescent="0.2">
      <c r="A27" s="35">
        <v>21</v>
      </c>
      <c r="B27" s="22" t="s">
        <v>331</v>
      </c>
      <c r="C27" s="22" t="s">
        <v>332</v>
      </c>
      <c r="D27" s="22" t="s">
        <v>33</v>
      </c>
      <c r="E27" s="36">
        <v>4100000</v>
      </c>
      <c r="F27" s="37">
        <v>10600.14</v>
      </c>
      <c r="G27" s="38">
        <v>1.572716E-2</v>
      </c>
      <c r="H27" s="29" t="s">
        <v>143</v>
      </c>
    </row>
    <row r="28" spans="1:8" ht="12.75" customHeight="1" x14ac:dyDescent="0.2">
      <c r="A28" s="35">
        <v>22</v>
      </c>
      <c r="B28" s="22" t="s">
        <v>278</v>
      </c>
      <c r="C28" s="22" t="s">
        <v>279</v>
      </c>
      <c r="D28" s="22" t="s">
        <v>90</v>
      </c>
      <c r="E28" s="36">
        <v>690000</v>
      </c>
      <c r="F28" s="37">
        <v>10419.69</v>
      </c>
      <c r="G28" s="38">
        <v>1.545944E-2</v>
      </c>
      <c r="H28" s="29" t="s">
        <v>143</v>
      </c>
    </row>
    <row r="29" spans="1:8" ht="12.75" customHeight="1" x14ac:dyDescent="0.2">
      <c r="A29" s="35">
        <v>23</v>
      </c>
      <c r="B29" s="22" t="s">
        <v>67</v>
      </c>
      <c r="C29" s="22" t="s">
        <v>68</v>
      </c>
      <c r="D29" s="22" t="s">
        <v>25</v>
      </c>
      <c r="E29" s="36">
        <v>165000</v>
      </c>
      <c r="F29" s="37">
        <v>10395</v>
      </c>
      <c r="G29" s="38">
        <v>1.54228E-2</v>
      </c>
      <c r="H29" s="29" t="s">
        <v>143</v>
      </c>
    </row>
    <row r="30" spans="1:8" ht="12.75" customHeight="1" x14ac:dyDescent="0.2">
      <c r="A30" s="35">
        <v>24</v>
      </c>
      <c r="B30" s="22" t="s">
        <v>333</v>
      </c>
      <c r="C30" s="22" t="s">
        <v>334</v>
      </c>
      <c r="D30" s="22" t="s">
        <v>239</v>
      </c>
      <c r="E30" s="36">
        <v>300000</v>
      </c>
      <c r="F30" s="37">
        <v>10281</v>
      </c>
      <c r="G30" s="38">
        <v>1.525366E-2</v>
      </c>
      <c r="H30" s="29" t="s">
        <v>143</v>
      </c>
    </row>
    <row r="31" spans="1:8" ht="12.75" customHeight="1" x14ac:dyDescent="0.2">
      <c r="A31" s="35">
        <v>25</v>
      </c>
      <c r="B31" s="22" t="s">
        <v>195</v>
      </c>
      <c r="C31" s="22" t="s">
        <v>196</v>
      </c>
      <c r="D31" s="22" t="s">
        <v>19</v>
      </c>
      <c r="E31" s="36">
        <v>2302328</v>
      </c>
      <c r="F31" s="37">
        <v>10208.522352</v>
      </c>
      <c r="G31" s="38">
        <v>1.5146130000000001E-2</v>
      </c>
      <c r="H31" s="29" t="s">
        <v>143</v>
      </c>
    </row>
    <row r="32" spans="1:8" ht="12.75" customHeight="1" x14ac:dyDescent="0.2">
      <c r="A32" s="35">
        <v>26</v>
      </c>
      <c r="B32" s="22" t="s">
        <v>86</v>
      </c>
      <c r="C32" s="22" t="s">
        <v>87</v>
      </c>
      <c r="D32" s="22" t="s">
        <v>13</v>
      </c>
      <c r="E32" s="36">
        <v>575000</v>
      </c>
      <c r="F32" s="37">
        <v>9543.85</v>
      </c>
      <c r="G32" s="38">
        <v>1.4159969999999999E-2</v>
      </c>
      <c r="H32" s="29" t="s">
        <v>143</v>
      </c>
    </row>
    <row r="33" spans="1:8" ht="12.75" customHeight="1" x14ac:dyDescent="0.2">
      <c r="A33" s="35">
        <v>27</v>
      </c>
      <c r="B33" s="22" t="s">
        <v>335</v>
      </c>
      <c r="C33" s="22" t="s">
        <v>336</v>
      </c>
      <c r="D33" s="22" t="s">
        <v>28</v>
      </c>
      <c r="E33" s="36">
        <v>200000</v>
      </c>
      <c r="F33" s="37">
        <v>9493</v>
      </c>
      <c r="G33" s="38">
        <v>1.408453E-2</v>
      </c>
      <c r="H33" s="29" t="s">
        <v>143</v>
      </c>
    </row>
    <row r="34" spans="1:8" ht="12.75" customHeight="1" x14ac:dyDescent="0.2">
      <c r="A34" s="35">
        <v>28</v>
      </c>
      <c r="B34" s="22" t="s">
        <v>224</v>
      </c>
      <c r="C34" s="22" t="s">
        <v>225</v>
      </c>
      <c r="D34" s="22" t="s">
        <v>64</v>
      </c>
      <c r="E34" s="36">
        <v>125000</v>
      </c>
      <c r="F34" s="37">
        <v>9107.5</v>
      </c>
      <c r="G34" s="38">
        <v>1.351257E-2</v>
      </c>
      <c r="H34" s="29" t="s">
        <v>143</v>
      </c>
    </row>
    <row r="35" spans="1:8" ht="12.75" customHeight="1" x14ac:dyDescent="0.2">
      <c r="A35" s="35">
        <v>29</v>
      </c>
      <c r="B35" s="22" t="s">
        <v>271</v>
      </c>
      <c r="C35" s="22" t="s">
        <v>272</v>
      </c>
      <c r="D35" s="22" t="s">
        <v>194</v>
      </c>
      <c r="E35" s="36">
        <v>369994</v>
      </c>
      <c r="F35" s="37">
        <v>9011.9438580000005</v>
      </c>
      <c r="G35" s="38">
        <v>1.33708E-2</v>
      </c>
      <c r="H35" s="29" t="s">
        <v>143</v>
      </c>
    </row>
    <row r="36" spans="1:8" ht="12.75" customHeight="1" x14ac:dyDescent="0.2">
      <c r="A36" s="35">
        <v>30</v>
      </c>
      <c r="B36" s="22" t="s">
        <v>228</v>
      </c>
      <c r="C36" s="22" t="s">
        <v>229</v>
      </c>
      <c r="D36" s="22" t="s">
        <v>230</v>
      </c>
      <c r="E36" s="36">
        <v>500000</v>
      </c>
      <c r="F36" s="37">
        <v>9004</v>
      </c>
      <c r="G36" s="38">
        <v>1.3359009999999999E-2</v>
      </c>
      <c r="H36" s="29" t="s">
        <v>143</v>
      </c>
    </row>
    <row r="37" spans="1:8" ht="12.75" customHeight="1" x14ac:dyDescent="0.2">
      <c r="A37" s="35">
        <v>31</v>
      </c>
      <c r="B37" s="22" t="s">
        <v>337</v>
      </c>
      <c r="C37" s="22" t="s">
        <v>338</v>
      </c>
      <c r="D37" s="22" t="s">
        <v>223</v>
      </c>
      <c r="E37" s="36">
        <v>115000</v>
      </c>
      <c r="F37" s="37">
        <v>8965.4</v>
      </c>
      <c r="G37" s="38">
        <v>1.3301739999999999E-2</v>
      </c>
      <c r="H37" s="29" t="s">
        <v>143</v>
      </c>
    </row>
    <row r="38" spans="1:8" ht="12.75" customHeight="1" x14ac:dyDescent="0.2">
      <c r="A38" s="35">
        <v>32</v>
      </c>
      <c r="B38" s="22" t="s">
        <v>240</v>
      </c>
      <c r="C38" s="22" t="s">
        <v>241</v>
      </c>
      <c r="D38" s="22" t="s">
        <v>188</v>
      </c>
      <c r="E38" s="36">
        <v>285000</v>
      </c>
      <c r="F38" s="37">
        <v>8886.5849999999991</v>
      </c>
      <c r="G38" s="38">
        <v>1.318481E-2</v>
      </c>
      <c r="H38" s="29" t="s">
        <v>143</v>
      </c>
    </row>
    <row r="39" spans="1:8" ht="12.75" customHeight="1" x14ac:dyDescent="0.2">
      <c r="A39" s="35">
        <v>33</v>
      </c>
      <c r="B39" s="22" t="s">
        <v>282</v>
      </c>
      <c r="C39" s="22" t="s">
        <v>283</v>
      </c>
      <c r="D39" s="22" t="s">
        <v>284</v>
      </c>
      <c r="E39" s="36">
        <v>3806234</v>
      </c>
      <c r="F39" s="37">
        <v>8844.9265692000008</v>
      </c>
      <c r="G39" s="38">
        <v>1.3122999999999999E-2</v>
      </c>
      <c r="H39" s="29" t="s">
        <v>143</v>
      </c>
    </row>
    <row r="40" spans="1:8" ht="12.75" customHeight="1" x14ac:dyDescent="0.2">
      <c r="A40" s="35">
        <v>34</v>
      </c>
      <c r="B40" s="22" t="s">
        <v>339</v>
      </c>
      <c r="C40" s="22" t="s">
        <v>340</v>
      </c>
      <c r="D40" s="22" t="s">
        <v>25</v>
      </c>
      <c r="E40" s="36">
        <v>320000</v>
      </c>
      <c r="F40" s="37">
        <v>8822.08</v>
      </c>
      <c r="G40" s="38">
        <v>1.3089099999999999E-2</v>
      </c>
      <c r="H40" s="29" t="s">
        <v>143</v>
      </c>
    </row>
    <row r="41" spans="1:8" ht="12.75" customHeight="1" x14ac:dyDescent="0.2">
      <c r="A41" s="35">
        <v>35</v>
      </c>
      <c r="B41" s="22" t="s">
        <v>192</v>
      </c>
      <c r="C41" s="22" t="s">
        <v>193</v>
      </c>
      <c r="D41" s="22" t="s">
        <v>194</v>
      </c>
      <c r="E41" s="36">
        <v>450000</v>
      </c>
      <c r="F41" s="37">
        <v>8600.85</v>
      </c>
      <c r="G41" s="38">
        <v>1.2760870000000001E-2</v>
      </c>
      <c r="H41" s="29" t="s">
        <v>143</v>
      </c>
    </row>
    <row r="42" spans="1:8" ht="12.75" customHeight="1" x14ac:dyDescent="0.2">
      <c r="A42" s="35">
        <v>36</v>
      </c>
      <c r="B42" s="22" t="s">
        <v>209</v>
      </c>
      <c r="C42" s="22" t="s">
        <v>210</v>
      </c>
      <c r="D42" s="22" t="s">
        <v>33</v>
      </c>
      <c r="E42" s="36">
        <v>4443625</v>
      </c>
      <c r="F42" s="37">
        <v>8573.0857125000002</v>
      </c>
      <c r="G42" s="38">
        <v>1.2719670000000001E-2</v>
      </c>
      <c r="H42" s="29" t="s">
        <v>143</v>
      </c>
    </row>
    <row r="43" spans="1:8" ht="12.75" customHeight="1" x14ac:dyDescent="0.2">
      <c r="A43" s="35">
        <v>37</v>
      </c>
      <c r="B43" s="22" t="s">
        <v>341</v>
      </c>
      <c r="C43" s="22" t="s">
        <v>342</v>
      </c>
      <c r="D43" s="22" t="s">
        <v>259</v>
      </c>
      <c r="E43" s="36">
        <v>430000</v>
      </c>
      <c r="F43" s="37">
        <v>8375.11</v>
      </c>
      <c r="G43" s="38">
        <v>1.242594E-2</v>
      </c>
      <c r="H43" s="29" t="s">
        <v>143</v>
      </c>
    </row>
    <row r="44" spans="1:8" ht="12.75" customHeight="1" x14ac:dyDescent="0.2">
      <c r="A44" s="35">
        <v>38</v>
      </c>
      <c r="B44" s="22" t="s">
        <v>273</v>
      </c>
      <c r="C44" s="22" t="s">
        <v>274</v>
      </c>
      <c r="D44" s="22" t="s">
        <v>275</v>
      </c>
      <c r="E44" s="36">
        <v>521344</v>
      </c>
      <c r="F44" s="37">
        <v>8215.8600960000003</v>
      </c>
      <c r="G44" s="38">
        <v>1.218967E-2</v>
      </c>
      <c r="H44" s="29" t="s">
        <v>143</v>
      </c>
    </row>
    <row r="45" spans="1:8" ht="12.75" customHeight="1" x14ac:dyDescent="0.2">
      <c r="A45" s="35">
        <v>39</v>
      </c>
      <c r="B45" s="22" t="s">
        <v>343</v>
      </c>
      <c r="C45" s="22" t="s">
        <v>344</v>
      </c>
      <c r="D45" s="22" t="s">
        <v>284</v>
      </c>
      <c r="E45" s="36">
        <v>2500000</v>
      </c>
      <c r="F45" s="37">
        <v>8137.5</v>
      </c>
      <c r="G45" s="38">
        <v>1.207341E-2</v>
      </c>
      <c r="H45" s="29" t="s">
        <v>143</v>
      </c>
    </row>
    <row r="46" spans="1:8" ht="12.75" customHeight="1" x14ac:dyDescent="0.2">
      <c r="A46" s="35">
        <v>40</v>
      </c>
      <c r="B46" s="22" t="s">
        <v>287</v>
      </c>
      <c r="C46" s="22" t="s">
        <v>288</v>
      </c>
      <c r="D46" s="22" t="s">
        <v>185</v>
      </c>
      <c r="E46" s="36">
        <v>225000</v>
      </c>
      <c r="F46" s="37">
        <v>7905.375</v>
      </c>
      <c r="G46" s="38">
        <v>1.172901E-2</v>
      </c>
      <c r="H46" s="29" t="s">
        <v>143</v>
      </c>
    </row>
    <row r="47" spans="1:8" ht="12.75" customHeight="1" x14ac:dyDescent="0.2">
      <c r="A47" s="35">
        <v>41</v>
      </c>
      <c r="B47" s="22" t="s">
        <v>34</v>
      </c>
      <c r="C47" s="22" t="s">
        <v>35</v>
      </c>
      <c r="D47" s="22" t="s">
        <v>19</v>
      </c>
      <c r="E47" s="36">
        <v>2200000</v>
      </c>
      <c r="F47" s="37">
        <v>7472.3</v>
      </c>
      <c r="G47" s="38">
        <v>1.1086469999999999E-2</v>
      </c>
      <c r="H47" s="29" t="s">
        <v>143</v>
      </c>
    </row>
    <row r="48" spans="1:8" ht="12.75" customHeight="1" x14ac:dyDescent="0.2">
      <c r="A48" s="35">
        <v>42</v>
      </c>
      <c r="B48" s="22" t="s">
        <v>183</v>
      </c>
      <c r="C48" s="22" t="s">
        <v>184</v>
      </c>
      <c r="D48" s="22" t="s">
        <v>185</v>
      </c>
      <c r="E48" s="36">
        <v>330000</v>
      </c>
      <c r="F48" s="37">
        <v>7419.72</v>
      </c>
      <c r="G48" s="38">
        <v>1.1008449999999999E-2</v>
      </c>
      <c r="H48" s="29" t="s">
        <v>143</v>
      </c>
    </row>
    <row r="49" spans="1:8" ht="12.75" customHeight="1" x14ac:dyDescent="0.2">
      <c r="A49" s="35">
        <v>43</v>
      </c>
      <c r="B49" s="22" t="s">
        <v>51</v>
      </c>
      <c r="C49" s="22" t="s">
        <v>52</v>
      </c>
      <c r="D49" s="22" t="s">
        <v>53</v>
      </c>
      <c r="E49" s="36">
        <v>500000</v>
      </c>
      <c r="F49" s="37">
        <v>7017.5</v>
      </c>
      <c r="G49" s="38">
        <v>1.0411689999999999E-2</v>
      </c>
      <c r="H49" s="29" t="s">
        <v>143</v>
      </c>
    </row>
    <row r="50" spans="1:8" ht="12.75" customHeight="1" x14ac:dyDescent="0.2">
      <c r="A50" s="35">
        <v>44</v>
      </c>
      <c r="B50" s="22" t="s">
        <v>211</v>
      </c>
      <c r="C50" s="22" t="s">
        <v>212</v>
      </c>
      <c r="D50" s="22" t="s">
        <v>90</v>
      </c>
      <c r="E50" s="36">
        <v>450000</v>
      </c>
      <c r="F50" s="37">
        <v>6999.75</v>
      </c>
      <c r="G50" s="38">
        <v>1.038536E-2</v>
      </c>
      <c r="H50" s="29" t="s">
        <v>143</v>
      </c>
    </row>
    <row r="51" spans="1:8" ht="12.75" customHeight="1" x14ac:dyDescent="0.2">
      <c r="A51" s="35">
        <v>45</v>
      </c>
      <c r="B51" s="22" t="s">
        <v>213</v>
      </c>
      <c r="C51" s="22" t="s">
        <v>214</v>
      </c>
      <c r="D51" s="22" t="s">
        <v>215</v>
      </c>
      <c r="E51" s="36">
        <v>145000</v>
      </c>
      <c r="F51" s="37">
        <v>6992.625</v>
      </c>
      <c r="G51" s="38">
        <v>1.037478E-2</v>
      </c>
      <c r="H51" s="29" t="s">
        <v>143</v>
      </c>
    </row>
    <row r="52" spans="1:8" ht="12.75" customHeight="1" x14ac:dyDescent="0.2">
      <c r="A52" s="35">
        <v>46</v>
      </c>
      <c r="B52" s="22" t="s">
        <v>95</v>
      </c>
      <c r="C52" s="22" t="s">
        <v>96</v>
      </c>
      <c r="D52" s="22" t="s">
        <v>41</v>
      </c>
      <c r="E52" s="36">
        <v>165000</v>
      </c>
      <c r="F52" s="37">
        <v>6944.52</v>
      </c>
      <c r="G52" s="38">
        <v>1.0303410000000001E-2</v>
      </c>
      <c r="H52" s="29" t="s">
        <v>143</v>
      </c>
    </row>
    <row r="53" spans="1:8" ht="12.75" customHeight="1" x14ac:dyDescent="0.2">
      <c r="A53" s="35">
        <v>47</v>
      </c>
      <c r="B53" s="22" t="s">
        <v>345</v>
      </c>
      <c r="C53" s="22" t="s">
        <v>346</v>
      </c>
      <c r="D53" s="22" t="s">
        <v>191</v>
      </c>
      <c r="E53" s="36">
        <v>425000</v>
      </c>
      <c r="F53" s="37">
        <v>6845.9</v>
      </c>
      <c r="G53" s="38">
        <v>1.0157090000000001E-2</v>
      </c>
      <c r="H53" s="29" t="s">
        <v>143</v>
      </c>
    </row>
    <row r="54" spans="1:8" ht="12.75" customHeight="1" x14ac:dyDescent="0.2">
      <c r="A54" s="35">
        <v>48</v>
      </c>
      <c r="B54" s="22" t="s">
        <v>235</v>
      </c>
      <c r="C54" s="22" t="s">
        <v>236</v>
      </c>
      <c r="D54" s="22" t="s">
        <v>188</v>
      </c>
      <c r="E54" s="36">
        <v>600000</v>
      </c>
      <c r="F54" s="37">
        <v>6688.2</v>
      </c>
      <c r="G54" s="38">
        <v>9.9231200000000006E-3</v>
      </c>
      <c r="H54" s="29" t="s">
        <v>143</v>
      </c>
    </row>
    <row r="55" spans="1:8" ht="12.75" customHeight="1" x14ac:dyDescent="0.2">
      <c r="A55" s="35">
        <v>49</v>
      </c>
      <c r="B55" s="22" t="s">
        <v>347</v>
      </c>
      <c r="C55" s="22" t="s">
        <v>348</v>
      </c>
      <c r="D55" s="22" t="s">
        <v>206</v>
      </c>
      <c r="E55" s="36">
        <v>925000</v>
      </c>
      <c r="F55" s="37">
        <v>6662.7749999999996</v>
      </c>
      <c r="G55" s="38">
        <v>9.8853900000000008E-3</v>
      </c>
      <c r="H55" s="29" t="s">
        <v>143</v>
      </c>
    </row>
    <row r="56" spans="1:8" ht="12.75" customHeight="1" x14ac:dyDescent="0.2">
      <c r="A56" s="35">
        <v>50</v>
      </c>
      <c r="B56" s="22" t="s">
        <v>349</v>
      </c>
      <c r="C56" s="22" t="s">
        <v>350</v>
      </c>
      <c r="D56" s="22" t="s">
        <v>194</v>
      </c>
      <c r="E56" s="36">
        <v>400000</v>
      </c>
      <c r="F56" s="37">
        <v>6377.2</v>
      </c>
      <c r="G56" s="38">
        <v>9.46169E-3</v>
      </c>
      <c r="H56" s="29" t="s">
        <v>143</v>
      </c>
    </row>
    <row r="57" spans="1:8" ht="12.75" customHeight="1" x14ac:dyDescent="0.2">
      <c r="A57" s="35">
        <v>51</v>
      </c>
      <c r="B57" s="22" t="s">
        <v>49</v>
      </c>
      <c r="C57" s="22" t="s">
        <v>50</v>
      </c>
      <c r="D57" s="22" t="s">
        <v>22</v>
      </c>
      <c r="E57" s="36">
        <v>1600000</v>
      </c>
      <c r="F57" s="37">
        <v>6218.4</v>
      </c>
      <c r="G57" s="38">
        <v>9.2260899999999993E-3</v>
      </c>
      <c r="H57" s="29" t="s">
        <v>143</v>
      </c>
    </row>
    <row r="58" spans="1:8" ht="12.75" customHeight="1" x14ac:dyDescent="0.2">
      <c r="A58" s="35">
        <v>52</v>
      </c>
      <c r="B58" s="22" t="s">
        <v>291</v>
      </c>
      <c r="C58" s="22" t="s">
        <v>292</v>
      </c>
      <c r="D58" s="22" t="s">
        <v>254</v>
      </c>
      <c r="E58" s="36">
        <v>1099999</v>
      </c>
      <c r="F58" s="37">
        <v>5920.7446174999995</v>
      </c>
      <c r="G58" s="38">
        <v>8.7844599999999991E-3</v>
      </c>
      <c r="H58" s="29" t="s">
        <v>143</v>
      </c>
    </row>
    <row r="59" spans="1:8" ht="12.75" customHeight="1" x14ac:dyDescent="0.2">
      <c r="A59" s="35">
        <v>53</v>
      </c>
      <c r="B59" s="22" t="s">
        <v>233</v>
      </c>
      <c r="C59" s="22" t="s">
        <v>234</v>
      </c>
      <c r="D59" s="22" t="s">
        <v>41</v>
      </c>
      <c r="E59" s="36">
        <v>1250000</v>
      </c>
      <c r="F59" s="37">
        <v>5911.875</v>
      </c>
      <c r="G59" s="38">
        <v>8.7712999999999992E-3</v>
      </c>
      <c r="H59" s="29" t="s">
        <v>143</v>
      </c>
    </row>
    <row r="60" spans="1:8" ht="12.75" customHeight="1" x14ac:dyDescent="0.2">
      <c r="A60" s="35">
        <v>54</v>
      </c>
      <c r="B60" s="22" t="s">
        <v>260</v>
      </c>
      <c r="C60" s="22" t="s">
        <v>261</v>
      </c>
      <c r="D60" s="22" t="s">
        <v>223</v>
      </c>
      <c r="E60" s="36">
        <v>640000</v>
      </c>
      <c r="F60" s="37">
        <v>5719.04</v>
      </c>
      <c r="G60" s="38">
        <v>8.4852E-3</v>
      </c>
      <c r="H60" s="29" t="s">
        <v>143</v>
      </c>
    </row>
    <row r="61" spans="1:8" ht="12.75" customHeight="1" x14ac:dyDescent="0.2">
      <c r="A61" s="35">
        <v>55</v>
      </c>
      <c r="B61" s="22" t="s">
        <v>101</v>
      </c>
      <c r="C61" s="22" t="s">
        <v>102</v>
      </c>
      <c r="D61" s="22" t="s">
        <v>64</v>
      </c>
      <c r="E61" s="36">
        <v>622232</v>
      </c>
      <c r="F61" s="37">
        <v>5717.0676160000003</v>
      </c>
      <c r="G61" s="38">
        <v>8.4822700000000001E-3</v>
      </c>
      <c r="H61" s="29" t="s">
        <v>143</v>
      </c>
    </row>
    <row r="62" spans="1:8" ht="12.75" customHeight="1" x14ac:dyDescent="0.2">
      <c r="A62" s="35">
        <v>56</v>
      </c>
      <c r="B62" s="22" t="s">
        <v>93</v>
      </c>
      <c r="C62" s="22" t="s">
        <v>94</v>
      </c>
      <c r="D62" s="22" t="s">
        <v>56</v>
      </c>
      <c r="E62" s="36">
        <v>1250000</v>
      </c>
      <c r="F62" s="37">
        <v>5625.625</v>
      </c>
      <c r="G62" s="38">
        <v>8.3465999999999992E-3</v>
      </c>
      <c r="H62" s="29" t="s">
        <v>143</v>
      </c>
    </row>
    <row r="63" spans="1:8" ht="12.75" customHeight="1" x14ac:dyDescent="0.2">
      <c r="A63" s="35">
        <v>57</v>
      </c>
      <c r="B63" s="22" t="s">
        <v>351</v>
      </c>
      <c r="C63" s="22" t="s">
        <v>352</v>
      </c>
      <c r="D63" s="22" t="s">
        <v>53</v>
      </c>
      <c r="E63" s="36">
        <v>1705000</v>
      </c>
      <c r="F63" s="37">
        <v>5375.0124999999998</v>
      </c>
      <c r="G63" s="38">
        <v>7.9747700000000008E-3</v>
      </c>
      <c r="H63" s="29" t="s">
        <v>143</v>
      </c>
    </row>
    <row r="64" spans="1:8" ht="12.75" customHeight="1" x14ac:dyDescent="0.2">
      <c r="A64" s="35">
        <v>58</v>
      </c>
      <c r="B64" s="22" t="s">
        <v>91</v>
      </c>
      <c r="C64" s="22" t="s">
        <v>92</v>
      </c>
      <c r="D64" s="22" t="s">
        <v>22</v>
      </c>
      <c r="E64" s="36">
        <v>425000</v>
      </c>
      <c r="F64" s="37">
        <v>5180.3249999999998</v>
      </c>
      <c r="G64" s="38">
        <v>7.6859199999999997E-3</v>
      </c>
      <c r="H64" s="29" t="s">
        <v>143</v>
      </c>
    </row>
    <row r="65" spans="1:8" ht="12.75" customHeight="1" x14ac:dyDescent="0.2">
      <c r="A65" s="35">
        <v>59</v>
      </c>
      <c r="B65" s="22" t="s">
        <v>276</v>
      </c>
      <c r="C65" s="22" t="s">
        <v>277</v>
      </c>
      <c r="D65" s="22" t="s">
        <v>206</v>
      </c>
      <c r="E65" s="36">
        <v>2900000</v>
      </c>
      <c r="F65" s="37">
        <v>4872.87</v>
      </c>
      <c r="G65" s="38">
        <v>7.22976E-3</v>
      </c>
      <c r="H65" s="29" t="s">
        <v>143</v>
      </c>
    </row>
    <row r="66" spans="1:8" ht="12.75" customHeight="1" x14ac:dyDescent="0.2">
      <c r="A66" s="35">
        <v>60</v>
      </c>
      <c r="B66" s="22" t="s">
        <v>262</v>
      </c>
      <c r="C66" s="22" t="s">
        <v>263</v>
      </c>
      <c r="D66" s="22" t="s">
        <v>254</v>
      </c>
      <c r="E66" s="36">
        <v>34236</v>
      </c>
      <c r="F66" s="37">
        <v>4842.6822000000002</v>
      </c>
      <c r="G66" s="38">
        <v>7.1849699999999997E-3</v>
      </c>
      <c r="H66" s="29" t="s">
        <v>143</v>
      </c>
    </row>
    <row r="67" spans="1:8" ht="12.75" customHeight="1" x14ac:dyDescent="0.2">
      <c r="A67" s="35">
        <v>61</v>
      </c>
      <c r="B67" s="22" t="s">
        <v>301</v>
      </c>
      <c r="C67" s="22" t="s">
        <v>302</v>
      </c>
      <c r="D67" s="22" t="s">
        <v>64</v>
      </c>
      <c r="E67" s="36">
        <v>100000</v>
      </c>
      <c r="F67" s="37">
        <v>4715.6000000000004</v>
      </c>
      <c r="G67" s="38">
        <v>6.9964199999999997E-3</v>
      </c>
      <c r="H67" s="29" t="s">
        <v>143</v>
      </c>
    </row>
    <row r="68" spans="1:8" ht="12.75" customHeight="1" x14ac:dyDescent="0.2">
      <c r="A68" s="35">
        <v>62</v>
      </c>
      <c r="B68" s="22" t="s">
        <v>71</v>
      </c>
      <c r="C68" s="22" t="s">
        <v>72</v>
      </c>
      <c r="D68" s="22" t="s">
        <v>41</v>
      </c>
      <c r="E68" s="36">
        <v>35685</v>
      </c>
      <c r="F68" s="37">
        <v>4605.1492500000004</v>
      </c>
      <c r="G68" s="38">
        <v>6.8325499999999997E-3</v>
      </c>
      <c r="H68" s="29" t="s">
        <v>143</v>
      </c>
    </row>
    <row r="69" spans="1:8" ht="12.75" customHeight="1" x14ac:dyDescent="0.2">
      <c r="A69" s="35">
        <v>63</v>
      </c>
      <c r="B69" s="22" t="s">
        <v>82</v>
      </c>
      <c r="C69" s="22" t="s">
        <v>83</v>
      </c>
      <c r="D69" s="22" t="s">
        <v>13</v>
      </c>
      <c r="E69" s="36">
        <v>1300000</v>
      </c>
      <c r="F69" s="37">
        <v>4457.7</v>
      </c>
      <c r="G69" s="38">
        <v>6.6137799999999997E-3</v>
      </c>
      <c r="H69" s="29" t="s">
        <v>143</v>
      </c>
    </row>
    <row r="70" spans="1:8" ht="12.75" customHeight="1" x14ac:dyDescent="0.2">
      <c r="A70" s="35">
        <v>64</v>
      </c>
      <c r="B70" s="22" t="s">
        <v>311</v>
      </c>
      <c r="C70" s="22" t="s">
        <v>312</v>
      </c>
      <c r="D70" s="22" t="s">
        <v>194</v>
      </c>
      <c r="E70" s="36">
        <v>216916</v>
      </c>
      <c r="F70" s="37">
        <v>4320.099056</v>
      </c>
      <c r="G70" s="38">
        <v>6.4096200000000004E-3</v>
      </c>
      <c r="H70" s="29" t="s">
        <v>143</v>
      </c>
    </row>
    <row r="71" spans="1:8" ht="12.75" customHeight="1" x14ac:dyDescent="0.2">
      <c r="A71" s="35">
        <v>65</v>
      </c>
      <c r="B71" s="22" t="s">
        <v>216</v>
      </c>
      <c r="C71" s="22" t="s">
        <v>217</v>
      </c>
      <c r="D71" s="22" t="s">
        <v>215</v>
      </c>
      <c r="E71" s="36">
        <v>246000</v>
      </c>
      <c r="F71" s="37">
        <v>3913.86</v>
      </c>
      <c r="G71" s="38">
        <v>5.8069000000000003E-3</v>
      </c>
      <c r="H71" s="29" t="s">
        <v>143</v>
      </c>
    </row>
    <row r="72" spans="1:8" ht="12.75" customHeight="1" x14ac:dyDescent="0.2">
      <c r="A72" s="35">
        <v>66</v>
      </c>
      <c r="B72" s="22" t="s">
        <v>207</v>
      </c>
      <c r="C72" s="22" t="s">
        <v>208</v>
      </c>
      <c r="D72" s="22" t="s">
        <v>46</v>
      </c>
      <c r="E72" s="36">
        <v>829572</v>
      </c>
      <c r="F72" s="37">
        <v>3768.7455960000002</v>
      </c>
      <c r="G72" s="38">
        <v>5.5915899999999996E-3</v>
      </c>
      <c r="H72" s="29" t="s">
        <v>143</v>
      </c>
    </row>
    <row r="73" spans="1:8" ht="12.75" customHeight="1" x14ac:dyDescent="0.2">
      <c r="A73" s="35">
        <v>67</v>
      </c>
      <c r="B73" s="22" t="s">
        <v>313</v>
      </c>
      <c r="C73" s="22" t="s">
        <v>314</v>
      </c>
      <c r="D73" s="22" t="s">
        <v>239</v>
      </c>
      <c r="E73" s="36">
        <v>3921203</v>
      </c>
      <c r="F73" s="37">
        <v>2233.1251084999999</v>
      </c>
      <c r="G73" s="38">
        <v>3.3132299999999999E-3</v>
      </c>
      <c r="H73" s="29" t="s">
        <v>143</v>
      </c>
    </row>
    <row r="74" spans="1:8" ht="12.75" customHeight="1" x14ac:dyDescent="0.2">
      <c r="A74" s="39"/>
      <c r="B74" s="39"/>
      <c r="C74" s="40" t="s">
        <v>142</v>
      </c>
      <c r="D74" s="39"/>
      <c r="E74" s="39" t="s">
        <v>143</v>
      </c>
      <c r="F74" s="41">
        <v>652725.77171919995</v>
      </c>
      <c r="G74" s="42">
        <v>0.96843301000000004</v>
      </c>
      <c r="H74" s="29" t="s">
        <v>143</v>
      </c>
    </row>
    <row r="75" spans="1:8" ht="12.75" customHeight="1" x14ac:dyDescent="0.2">
      <c r="A75" s="39"/>
      <c r="B75" s="39"/>
      <c r="C75" s="43"/>
      <c r="D75" s="39"/>
      <c r="E75" s="39"/>
      <c r="F75" s="44"/>
      <c r="G75" s="44"/>
      <c r="H75" s="29" t="s">
        <v>143</v>
      </c>
    </row>
    <row r="76" spans="1:8" ht="12.75" customHeight="1" x14ac:dyDescent="0.2">
      <c r="A76" s="39"/>
      <c r="B76" s="39"/>
      <c r="C76" s="40" t="s">
        <v>144</v>
      </c>
      <c r="D76" s="39"/>
      <c r="E76" s="39"/>
      <c r="F76" s="39"/>
      <c r="G76" s="39"/>
      <c r="H76" s="29" t="s">
        <v>143</v>
      </c>
    </row>
    <row r="77" spans="1:8" ht="12.75" customHeight="1" x14ac:dyDescent="0.2">
      <c r="A77" s="39"/>
      <c r="B77" s="39"/>
      <c r="C77" s="40" t="s">
        <v>142</v>
      </c>
      <c r="D77" s="39"/>
      <c r="E77" s="39" t="s">
        <v>143</v>
      </c>
      <c r="F77" s="45" t="s">
        <v>145</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146</v>
      </c>
      <c r="D79" s="39"/>
      <c r="E79" s="39"/>
      <c r="F79" s="39"/>
      <c r="G79" s="39"/>
      <c r="H79" s="29" t="s">
        <v>143</v>
      </c>
    </row>
    <row r="80" spans="1:8" ht="12.75" customHeight="1" x14ac:dyDescent="0.2">
      <c r="A80" s="39"/>
      <c r="B80" s="39"/>
      <c r="C80" s="40" t="s">
        <v>142</v>
      </c>
      <c r="D80" s="39"/>
      <c r="E80" s="39" t="s">
        <v>143</v>
      </c>
      <c r="F80" s="45" t="s">
        <v>145</v>
      </c>
      <c r="G80" s="42">
        <v>0</v>
      </c>
      <c r="H80" s="29" t="s">
        <v>143</v>
      </c>
    </row>
    <row r="81" spans="1:8" ht="12.75" customHeight="1" x14ac:dyDescent="0.2">
      <c r="A81" s="39"/>
      <c r="B81" s="39"/>
      <c r="C81" s="43"/>
      <c r="D81" s="39"/>
      <c r="E81" s="39"/>
      <c r="F81" s="44"/>
      <c r="G81" s="44"/>
      <c r="H81" s="29" t="s">
        <v>143</v>
      </c>
    </row>
    <row r="82" spans="1:8" ht="12.75" customHeight="1" x14ac:dyDescent="0.2">
      <c r="A82" s="39"/>
      <c r="B82" s="39"/>
      <c r="C82" s="40" t="s">
        <v>147</v>
      </c>
      <c r="D82" s="39"/>
      <c r="E82" s="39"/>
      <c r="F82" s="39"/>
      <c r="G82" s="39"/>
      <c r="H82" s="29" t="s">
        <v>143</v>
      </c>
    </row>
    <row r="83" spans="1:8" ht="12.75" customHeight="1" x14ac:dyDescent="0.2">
      <c r="A83" s="39"/>
      <c r="B83" s="39"/>
      <c r="C83" s="40" t="s">
        <v>142</v>
      </c>
      <c r="D83" s="39"/>
      <c r="E83" s="39" t="s">
        <v>143</v>
      </c>
      <c r="F83" s="45" t="s">
        <v>145</v>
      </c>
      <c r="G83" s="42">
        <v>0</v>
      </c>
      <c r="H83" s="29" t="s">
        <v>143</v>
      </c>
    </row>
    <row r="84" spans="1:8" ht="12.75" customHeight="1" x14ac:dyDescent="0.2">
      <c r="A84" s="39"/>
      <c r="B84" s="39"/>
      <c r="C84" s="43"/>
      <c r="D84" s="39"/>
      <c r="E84" s="39"/>
      <c r="F84" s="44"/>
      <c r="G84" s="44"/>
      <c r="H84" s="29" t="s">
        <v>143</v>
      </c>
    </row>
    <row r="85" spans="1:8" ht="12.75" customHeight="1" x14ac:dyDescent="0.2">
      <c r="A85" s="39"/>
      <c r="B85" s="39"/>
      <c r="C85" s="40" t="s">
        <v>148</v>
      </c>
      <c r="D85" s="39"/>
      <c r="E85" s="39"/>
      <c r="F85" s="44"/>
      <c r="G85" s="44"/>
      <c r="H85" s="29" t="s">
        <v>143</v>
      </c>
    </row>
    <row r="86" spans="1:8" ht="12.75" customHeight="1" x14ac:dyDescent="0.2">
      <c r="A86" s="39"/>
      <c r="B86" s="39"/>
      <c r="C86" s="40" t="s">
        <v>142</v>
      </c>
      <c r="D86" s="39"/>
      <c r="E86" s="39" t="s">
        <v>143</v>
      </c>
      <c r="F86" s="45" t="s">
        <v>145</v>
      </c>
      <c r="G86" s="42">
        <v>0</v>
      </c>
      <c r="H86" s="29" t="s">
        <v>143</v>
      </c>
    </row>
    <row r="87" spans="1:8" ht="12.75" customHeight="1" x14ac:dyDescent="0.2">
      <c r="A87" s="39"/>
      <c r="B87" s="39"/>
      <c r="C87" s="43"/>
      <c r="D87" s="39"/>
      <c r="E87" s="39"/>
      <c r="F87" s="44"/>
      <c r="G87" s="44"/>
      <c r="H87" s="29" t="s">
        <v>143</v>
      </c>
    </row>
    <row r="88" spans="1:8" ht="12.75" customHeight="1" x14ac:dyDescent="0.2">
      <c r="A88" s="39"/>
      <c r="B88" s="39"/>
      <c r="C88" s="40" t="s">
        <v>149</v>
      </c>
      <c r="D88" s="39"/>
      <c r="E88" s="39"/>
      <c r="F88" s="44"/>
      <c r="G88" s="44"/>
      <c r="H88" s="29" t="s">
        <v>143</v>
      </c>
    </row>
    <row r="89" spans="1:8" ht="12.75" customHeight="1" x14ac:dyDescent="0.2">
      <c r="A89" s="39"/>
      <c r="B89" s="39"/>
      <c r="C89" s="40" t="s">
        <v>142</v>
      </c>
      <c r="D89" s="39"/>
      <c r="E89" s="39" t="s">
        <v>143</v>
      </c>
      <c r="F89" s="45" t="s">
        <v>145</v>
      </c>
      <c r="G89" s="42">
        <v>0</v>
      </c>
      <c r="H89" s="29" t="s">
        <v>143</v>
      </c>
    </row>
    <row r="90" spans="1:8" ht="12.75" customHeight="1" x14ac:dyDescent="0.2">
      <c r="A90" s="39"/>
      <c r="B90" s="39"/>
      <c r="C90" s="43"/>
      <c r="D90" s="39"/>
      <c r="E90" s="39"/>
      <c r="F90" s="44"/>
      <c r="G90" s="44"/>
      <c r="H90" s="29" t="s">
        <v>143</v>
      </c>
    </row>
    <row r="91" spans="1:8" ht="12.75" customHeight="1" x14ac:dyDescent="0.2">
      <c r="A91" s="39"/>
      <c r="B91" s="39"/>
      <c r="C91" s="40" t="s">
        <v>150</v>
      </c>
      <c r="D91" s="39"/>
      <c r="E91" s="39"/>
      <c r="F91" s="41">
        <v>652725.77171919995</v>
      </c>
      <c r="G91" s="42">
        <v>0.96843301000000004</v>
      </c>
      <c r="H91" s="29" t="s">
        <v>143</v>
      </c>
    </row>
    <row r="92" spans="1:8" ht="12.75" customHeight="1" x14ac:dyDescent="0.2">
      <c r="A92" s="39"/>
      <c r="B92" s="39"/>
      <c r="C92" s="43"/>
      <c r="D92" s="39"/>
      <c r="E92" s="39"/>
      <c r="F92" s="44"/>
      <c r="G92" s="44"/>
      <c r="H92" s="29" t="s">
        <v>143</v>
      </c>
    </row>
    <row r="93" spans="1:8" ht="12.75" customHeight="1" x14ac:dyDescent="0.2">
      <c r="A93" s="39"/>
      <c r="B93" s="39"/>
      <c r="C93" s="40" t="s">
        <v>151</v>
      </c>
      <c r="D93" s="39"/>
      <c r="E93" s="39"/>
      <c r="F93" s="44"/>
      <c r="G93" s="44"/>
      <c r="H93" s="29" t="s">
        <v>143</v>
      </c>
    </row>
    <row r="94" spans="1:8" ht="12.75" customHeight="1" x14ac:dyDescent="0.2">
      <c r="A94" s="39"/>
      <c r="B94" s="39"/>
      <c r="C94" s="40" t="s">
        <v>10</v>
      </c>
      <c r="D94" s="39"/>
      <c r="E94" s="39"/>
      <c r="F94" s="44"/>
      <c r="G94" s="44"/>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39"/>
      <c r="C96" s="43"/>
      <c r="D96" s="39"/>
      <c r="E96" s="39"/>
      <c r="F96" s="44"/>
      <c r="G96" s="44"/>
      <c r="H96" s="29" t="s">
        <v>143</v>
      </c>
    </row>
    <row r="97" spans="1:8" ht="12.75" customHeight="1" x14ac:dyDescent="0.2">
      <c r="A97" s="39"/>
      <c r="B97" s="39"/>
      <c r="C97" s="40" t="s">
        <v>152</v>
      </c>
      <c r="D97" s="39"/>
      <c r="E97" s="39"/>
      <c r="F97" s="39"/>
      <c r="G97" s="39"/>
      <c r="H97" s="29" t="s">
        <v>143</v>
      </c>
    </row>
    <row r="98" spans="1:8" ht="12.75" customHeight="1" x14ac:dyDescent="0.2">
      <c r="A98" s="39"/>
      <c r="B98" s="39"/>
      <c r="C98" s="40" t="s">
        <v>142</v>
      </c>
      <c r="D98" s="39"/>
      <c r="E98" s="39" t="s">
        <v>143</v>
      </c>
      <c r="F98" s="45" t="s">
        <v>145</v>
      </c>
      <c r="G98" s="42">
        <v>0</v>
      </c>
      <c r="H98" s="29" t="s">
        <v>143</v>
      </c>
    </row>
    <row r="99" spans="1:8" ht="12.75" customHeight="1" x14ac:dyDescent="0.2">
      <c r="A99" s="39"/>
      <c r="B99" s="39"/>
      <c r="C99" s="43"/>
      <c r="D99" s="39"/>
      <c r="E99" s="39"/>
      <c r="F99" s="44"/>
      <c r="G99" s="44"/>
      <c r="H99" s="29" t="s">
        <v>143</v>
      </c>
    </row>
    <row r="100" spans="1:8" ht="12.75" customHeight="1" x14ac:dyDescent="0.2">
      <c r="A100" s="39"/>
      <c r="B100" s="39"/>
      <c r="C100" s="40" t="s">
        <v>153</v>
      </c>
      <c r="D100" s="39"/>
      <c r="E100" s="39"/>
      <c r="F100" s="39"/>
      <c r="G100" s="39"/>
      <c r="H100" s="29" t="s">
        <v>143</v>
      </c>
    </row>
    <row r="101" spans="1:8" ht="12.75" customHeight="1" x14ac:dyDescent="0.2">
      <c r="A101" s="39"/>
      <c r="B101" s="39"/>
      <c r="C101" s="40" t="s">
        <v>142</v>
      </c>
      <c r="D101" s="39"/>
      <c r="E101" s="39" t="s">
        <v>143</v>
      </c>
      <c r="F101" s="45" t="s">
        <v>145</v>
      </c>
      <c r="G101" s="42">
        <v>0</v>
      </c>
      <c r="H101" s="29" t="s">
        <v>143</v>
      </c>
    </row>
    <row r="102" spans="1:8" ht="12.75" customHeight="1" x14ac:dyDescent="0.2">
      <c r="A102" s="39"/>
      <c r="B102" s="39"/>
      <c r="C102" s="43"/>
      <c r="D102" s="39"/>
      <c r="E102" s="39"/>
      <c r="F102" s="44"/>
      <c r="G102" s="44"/>
      <c r="H102" s="29" t="s">
        <v>143</v>
      </c>
    </row>
    <row r="103" spans="1:8" ht="12.75" customHeight="1" x14ac:dyDescent="0.2">
      <c r="A103" s="39"/>
      <c r="B103" s="39"/>
      <c r="C103" s="40" t="s">
        <v>154</v>
      </c>
      <c r="D103" s="39"/>
      <c r="E103" s="39"/>
      <c r="F103" s="44"/>
      <c r="G103" s="44"/>
      <c r="H103" s="29" t="s">
        <v>143</v>
      </c>
    </row>
    <row r="104" spans="1:8" ht="12.75" customHeight="1" x14ac:dyDescent="0.2">
      <c r="A104" s="39"/>
      <c r="B104" s="39"/>
      <c r="C104" s="40" t="s">
        <v>142</v>
      </c>
      <c r="D104" s="39"/>
      <c r="E104" s="39" t="s">
        <v>143</v>
      </c>
      <c r="F104" s="45" t="s">
        <v>145</v>
      </c>
      <c r="G104" s="42">
        <v>0</v>
      </c>
      <c r="H104" s="29" t="s">
        <v>143</v>
      </c>
    </row>
    <row r="105" spans="1:8" ht="12.75" customHeight="1" x14ac:dyDescent="0.2">
      <c r="A105" s="39"/>
      <c r="B105" s="39"/>
      <c r="C105" s="43"/>
      <c r="D105" s="39"/>
      <c r="E105" s="39"/>
      <c r="F105" s="44"/>
      <c r="G105" s="44"/>
      <c r="H105" s="29" t="s">
        <v>143</v>
      </c>
    </row>
    <row r="106" spans="1:8" ht="12.75" customHeight="1" x14ac:dyDescent="0.2">
      <c r="A106" s="39"/>
      <c r="B106" s="39"/>
      <c r="C106" s="40" t="s">
        <v>155</v>
      </c>
      <c r="D106" s="39"/>
      <c r="E106" s="39"/>
      <c r="F106" s="41">
        <v>0</v>
      </c>
      <c r="G106" s="42">
        <v>0</v>
      </c>
      <c r="H106" s="29" t="s">
        <v>143</v>
      </c>
    </row>
    <row r="107" spans="1:8" ht="12.75" customHeight="1" x14ac:dyDescent="0.2">
      <c r="A107" s="39"/>
      <c r="B107" s="39"/>
      <c r="C107" s="43"/>
      <c r="D107" s="39"/>
      <c r="E107" s="39"/>
      <c r="F107" s="44"/>
      <c r="G107" s="44"/>
      <c r="H107" s="29" t="s">
        <v>143</v>
      </c>
    </row>
    <row r="108" spans="1:8" ht="12.75" customHeight="1" x14ac:dyDescent="0.2">
      <c r="A108" s="39"/>
      <c r="B108" s="39"/>
      <c r="C108" s="40" t="s">
        <v>156</v>
      </c>
      <c r="D108" s="39"/>
      <c r="E108" s="39"/>
      <c r="F108" s="44"/>
      <c r="G108" s="44"/>
      <c r="H108" s="29" t="s">
        <v>143</v>
      </c>
    </row>
    <row r="109" spans="1:8" ht="12.75" customHeight="1" x14ac:dyDescent="0.2">
      <c r="A109" s="39"/>
      <c r="B109" s="39"/>
      <c r="C109" s="40" t="s">
        <v>157</v>
      </c>
      <c r="D109" s="39"/>
      <c r="E109" s="39"/>
      <c r="F109" s="44"/>
      <c r="G109" s="44"/>
      <c r="H109" s="29" t="s">
        <v>143</v>
      </c>
    </row>
    <row r="110" spans="1:8" ht="12.75" customHeight="1" x14ac:dyDescent="0.2">
      <c r="A110" s="39"/>
      <c r="B110" s="39"/>
      <c r="C110" s="40" t="s">
        <v>142</v>
      </c>
      <c r="D110" s="39"/>
      <c r="E110" s="39" t="s">
        <v>143</v>
      </c>
      <c r="F110" s="45" t="s">
        <v>145</v>
      </c>
      <c r="G110" s="42">
        <v>0</v>
      </c>
      <c r="H110" s="29" t="s">
        <v>143</v>
      </c>
    </row>
    <row r="111" spans="1:8" ht="12.75" customHeight="1" x14ac:dyDescent="0.2">
      <c r="A111" s="39"/>
      <c r="B111" s="39"/>
      <c r="C111" s="43"/>
      <c r="D111" s="39"/>
      <c r="E111" s="39"/>
      <c r="F111" s="44"/>
      <c r="G111" s="44"/>
      <c r="H111" s="29" t="s">
        <v>143</v>
      </c>
    </row>
    <row r="112" spans="1:8" ht="12.75" customHeight="1" x14ac:dyDescent="0.2">
      <c r="A112" s="39"/>
      <c r="B112" s="39"/>
      <c r="C112" s="40" t="s">
        <v>158</v>
      </c>
      <c r="D112" s="39"/>
      <c r="E112" s="39"/>
      <c r="F112" s="44"/>
      <c r="G112" s="44"/>
      <c r="H112" s="29" t="s">
        <v>143</v>
      </c>
    </row>
    <row r="113" spans="1:8" ht="12.75" customHeight="1" x14ac:dyDescent="0.2">
      <c r="A113" s="39"/>
      <c r="B113" s="39"/>
      <c r="C113" s="40" t="s">
        <v>142</v>
      </c>
      <c r="D113" s="39"/>
      <c r="E113" s="39" t="s">
        <v>143</v>
      </c>
      <c r="F113" s="45" t="s">
        <v>145</v>
      </c>
      <c r="G113" s="42">
        <v>0</v>
      </c>
      <c r="H113" s="29" t="s">
        <v>143</v>
      </c>
    </row>
    <row r="114" spans="1:8" ht="12.75" customHeight="1" x14ac:dyDescent="0.2">
      <c r="A114" s="39"/>
      <c r="B114" s="39"/>
      <c r="C114" s="43"/>
      <c r="D114" s="39"/>
      <c r="E114" s="39"/>
      <c r="F114" s="44"/>
      <c r="G114" s="44"/>
      <c r="H114" s="29" t="s">
        <v>143</v>
      </c>
    </row>
    <row r="115" spans="1:8" ht="12.75" customHeight="1" x14ac:dyDescent="0.2">
      <c r="A115" s="39"/>
      <c r="B115" s="39"/>
      <c r="C115" s="40" t="s">
        <v>159</v>
      </c>
      <c r="D115" s="39"/>
      <c r="E115" s="39"/>
      <c r="F115" s="44"/>
      <c r="G115" s="44"/>
      <c r="H115" s="29" t="s">
        <v>143</v>
      </c>
    </row>
    <row r="116" spans="1:8" ht="12.75" customHeight="1" x14ac:dyDescent="0.2">
      <c r="A116" s="39"/>
      <c r="B116" s="39"/>
      <c r="C116" s="40" t="s">
        <v>142</v>
      </c>
      <c r="D116" s="39"/>
      <c r="E116" s="39" t="s">
        <v>143</v>
      </c>
      <c r="F116" s="45" t="s">
        <v>145</v>
      </c>
      <c r="G116" s="42">
        <v>0</v>
      </c>
      <c r="H116" s="29" t="s">
        <v>143</v>
      </c>
    </row>
    <row r="117" spans="1:8" ht="12.75" customHeight="1" x14ac:dyDescent="0.2">
      <c r="A117" s="39"/>
      <c r="B117" s="39"/>
      <c r="C117" s="43"/>
      <c r="D117" s="39"/>
      <c r="E117" s="39"/>
      <c r="F117" s="44"/>
      <c r="G117" s="44"/>
      <c r="H117" s="29" t="s">
        <v>143</v>
      </c>
    </row>
    <row r="118" spans="1:8" ht="12.75" customHeight="1" x14ac:dyDescent="0.2">
      <c r="A118" s="39"/>
      <c r="B118" s="39"/>
      <c r="C118" s="40" t="s">
        <v>160</v>
      </c>
      <c r="D118" s="39"/>
      <c r="E118" s="39"/>
      <c r="F118" s="44"/>
      <c r="G118" s="44"/>
      <c r="H118" s="29" t="s">
        <v>143</v>
      </c>
    </row>
    <row r="119" spans="1:8" ht="12.75" customHeight="1" x14ac:dyDescent="0.2">
      <c r="A119" s="35">
        <v>1</v>
      </c>
      <c r="B119" s="22"/>
      <c r="C119" s="22" t="s">
        <v>161</v>
      </c>
      <c r="D119" s="22"/>
      <c r="E119" s="46"/>
      <c r="F119" s="37">
        <v>9810.2041730220008</v>
      </c>
      <c r="G119" s="38">
        <v>1.4555159999999999E-2</v>
      </c>
      <c r="H119" s="29">
        <v>5.51</v>
      </c>
    </row>
    <row r="120" spans="1:8" ht="12.75" customHeight="1" x14ac:dyDescent="0.2">
      <c r="A120" s="39"/>
      <c r="B120" s="39"/>
      <c r="C120" s="40" t="s">
        <v>142</v>
      </c>
      <c r="D120" s="39"/>
      <c r="E120" s="39" t="s">
        <v>143</v>
      </c>
      <c r="F120" s="41">
        <v>9810.2041730220008</v>
      </c>
      <c r="G120" s="42">
        <v>1.4555159999999999E-2</v>
      </c>
      <c r="H120" s="29" t="s">
        <v>143</v>
      </c>
    </row>
    <row r="121" spans="1:8" ht="12.75" customHeight="1" x14ac:dyDescent="0.2">
      <c r="A121" s="39"/>
      <c r="B121" s="39"/>
      <c r="C121" s="43"/>
      <c r="D121" s="39"/>
      <c r="E121" s="39"/>
      <c r="F121" s="44"/>
      <c r="G121" s="44"/>
      <c r="H121" s="29" t="s">
        <v>143</v>
      </c>
    </row>
    <row r="122" spans="1:8" ht="12.75" customHeight="1" x14ac:dyDescent="0.2">
      <c r="A122" s="39"/>
      <c r="B122" s="39"/>
      <c r="C122" s="40" t="s">
        <v>162</v>
      </c>
      <c r="D122" s="39"/>
      <c r="E122" s="39"/>
      <c r="F122" s="41">
        <v>9810.2041730220008</v>
      </c>
      <c r="G122" s="42">
        <v>1.4555159999999999E-2</v>
      </c>
      <c r="H122" s="29" t="s">
        <v>143</v>
      </c>
    </row>
    <row r="123" spans="1:8" ht="12.75" customHeight="1" x14ac:dyDescent="0.2">
      <c r="A123" s="39"/>
      <c r="B123" s="39"/>
      <c r="C123" s="44"/>
      <c r="D123" s="39"/>
      <c r="E123" s="39"/>
      <c r="F123" s="39"/>
      <c r="G123" s="39"/>
      <c r="H123" s="29" t="s">
        <v>143</v>
      </c>
    </row>
    <row r="124" spans="1:8" ht="12.75" customHeight="1" x14ac:dyDescent="0.2">
      <c r="A124" s="39"/>
      <c r="B124" s="39"/>
      <c r="C124" s="40" t="s">
        <v>163</v>
      </c>
      <c r="D124" s="39"/>
      <c r="E124" s="39"/>
      <c r="F124" s="39"/>
      <c r="G124" s="39"/>
      <c r="H124" s="29" t="s">
        <v>143</v>
      </c>
    </row>
    <row r="125" spans="1:8" ht="12.75" customHeight="1" x14ac:dyDescent="0.2">
      <c r="A125" s="39"/>
      <c r="B125" s="39"/>
      <c r="C125" s="40" t="s">
        <v>164</v>
      </c>
      <c r="D125" s="39"/>
      <c r="E125" s="39"/>
      <c r="F125" s="39"/>
      <c r="G125" s="39"/>
      <c r="H125" s="29" t="s">
        <v>143</v>
      </c>
    </row>
    <row r="126" spans="1:8" ht="12.75" customHeight="1" x14ac:dyDescent="0.2">
      <c r="A126" s="35">
        <v>1</v>
      </c>
      <c r="B126" s="22" t="s">
        <v>317</v>
      </c>
      <c r="C126" s="22" t="s">
        <v>318</v>
      </c>
      <c r="D126" s="22"/>
      <c r="E126" s="79">
        <v>529260.26300000004</v>
      </c>
      <c r="F126" s="37">
        <v>12511.543254036</v>
      </c>
      <c r="G126" s="38">
        <v>1.8563070000000001E-2</v>
      </c>
      <c r="H126" s="29" t="s">
        <v>143</v>
      </c>
    </row>
    <row r="127" spans="1:8" ht="12.75" customHeight="1" x14ac:dyDescent="0.2">
      <c r="A127" s="39"/>
      <c r="B127" s="39"/>
      <c r="C127" s="40" t="s">
        <v>142</v>
      </c>
      <c r="D127" s="39"/>
      <c r="E127" s="39" t="s">
        <v>143</v>
      </c>
      <c r="F127" s="41">
        <v>12511.543254036</v>
      </c>
      <c r="G127" s="42">
        <v>1.8563070000000001E-2</v>
      </c>
      <c r="H127" s="29" t="s">
        <v>143</v>
      </c>
    </row>
    <row r="128" spans="1:8" ht="12.75" customHeight="1" x14ac:dyDescent="0.2">
      <c r="A128" s="39"/>
      <c r="B128" s="39"/>
      <c r="C128" s="43"/>
      <c r="D128" s="39"/>
      <c r="E128" s="39"/>
      <c r="F128" s="44"/>
      <c r="G128" s="44"/>
      <c r="H128" s="29" t="s">
        <v>143</v>
      </c>
    </row>
    <row r="129" spans="1:17" ht="12.75" customHeight="1" x14ac:dyDescent="0.2">
      <c r="A129" s="39"/>
      <c r="B129" s="39"/>
      <c r="C129" s="40" t="s">
        <v>165</v>
      </c>
      <c r="D129" s="39"/>
      <c r="E129" s="39"/>
      <c r="F129" s="39"/>
      <c r="G129" s="39"/>
      <c r="H129" s="29" t="s">
        <v>143</v>
      </c>
    </row>
    <row r="130" spans="1:17" ht="12.75" customHeight="1" x14ac:dyDescent="0.2">
      <c r="A130" s="39"/>
      <c r="B130" s="39"/>
      <c r="C130" s="40" t="s">
        <v>166</v>
      </c>
      <c r="D130" s="39"/>
      <c r="E130" s="39"/>
      <c r="F130" s="39"/>
      <c r="G130" s="39"/>
      <c r="H130" s="29" t="s">
        <v>143</v>
      </c>
    </row>
    <row r="131" spans="1:17" ht="12.75" customHeight="1" x14ac:dyDescent="0.2">
      <c r="A131" s="39"/>
      <c r="B131" s="39"/>
      <c r="C131" s="40" t="s">
        <v>142</v>
      </c>
      <c r="D131" s="39"/>
      <c r="E131" s="39" t="s">
        <v>143</v>
      </c>
      <c r="F131" s="45" t="s">
        <v>145</v>
      </c>
      <c r="G131" s="42">
        <v>0</v>
      </c>
      <c r="H131" s="29" t="s">
        <v>143</v>
      </c>
    </row>
    <row r="132" spans="1:17" ht="12.75" customHeight="1" x14ac:dyDescent="0.2">
      <c r="A132" s="39"/>
      <c r="B132" s="39"/>
      <c r="C132" s="43"/>
      <c r="D132" s="39"/>
      <c r="E132" s="39"/>
      <c r="F132" s="44"/>
      <c r="G132" s="44"/>
      <c r="H132" s="29" t="s">
        <v>143</v>
      </c>
    </row>
    <row r="133" spans="1:17" ht="12.75" customHeight="1" x14ac:dyDescent="0.2">
      <c r="A133" s="39"/>
      <c r="B133" s="39"/>
      <c r="C133" s="40" t="s">
        <v>167</v>
      </c>
      <c r="D133" s="39"/>
      <c r="E133" s="39"/>
      <c r="F133" s="44"/>
      <c r="G133" s="44"/>
      <c r="H133" s="29" t="s">
        <v>143</v>
      </c>
    </row>
    <row r="134" spans="1:17" ht="12.75" customHeight="1" x14ac:dyDescent="0.2">
      <c r="A134" s="39"/>
      <c r="B134" s="39"/>
      <c r="C134" s="40" t="s">
        <v>142</v>
      </c>
      <c r="D134" s="39"/>
      <c r="E134" s="39" t="s">
        <v>143</v>
      </c>
      <c r="F134" s="45" t="s">
        <v>145</v>
      </c>
      <c r="G134" s="42">
        <v>0</v>
      </c>
      <c r="H134" s="29" t="s">
        <v>143</v>
      </c>
    </row>
    <row r="135" spans="1:17" ht="12.75" customHeight="1" x14ac:dyDescent="0.2">
      <c r="A135" s="39"/>
      <c r="B135" s="39"/>
      <c r="C135" s="43"/>
      <c r="D135" s="39"/>
      <c r="E135" s="39"/>
      <c r="F135" s="44"/>
      <c r="G135" s="44"/>
      <c r="H135" s="29" t="s">
        <v>143</v>
      </c>
    </row>
    <row r="136" spans="1:17" ht="12.75" customHeight="1" x14ac:dyDescent="0.2">
      <c r="A136" s="46"/>
      <c r="B136" s="22"/>
      <c r="C136" s="22" t="s">
        <v>319</v>
      </c>
      <c r="D136" s="22"/>
      <c r="E136" s="46"/>
      <c r="F136" s="37">
        <v>3999.9998298999999</v>
      </c>
      <c r="G136" s="38">
        <v>5.9347000000000002E-3</v>
      </c>
      <c r="H136" s="29" t="s">
        <v>143</v>
      </c>
    </row>
    <row r="137" spans="1:17" ht="12.75" customHeight="1" x14ac:dyDescent="0.2">
      <c r="A137" s="46"/>
      <c r="B137" s="22"/>
      <c r="C137" s="22" t="s">
        <v>168</v>
      </c>
      <c r="D137" s="22"/>
      <c r="E137" s="46"/>
      <c r="F137" s="37">
        <v>-5045.5208886500004</v>
      </c>
      <c r="G137" s="38">
        <v>-7.4859100000000001E-3</v>
      </c>
      <c r="H137" s="29" t="s">
        <v>143</v>
      </c>
    </row>
    <row r="138" spans="1:17" ht="12.75" customHeight="1" x14ac:dyDescent="0.2">
      <c r="A138" s="43"/>
      <c r="B138" s="43"/>
      <c r="C138" s="40" t="s">
        <v>169</v>
      </c>
      <c r="D138" s="44"/>
      <c r="E138" s="44"/>
      <c r="F138" s="41">
        <v>674001.99808750802</v>
      </c>
      <c r="G138" s="47">
        <v>1.00000003</v>
      </c>
      <c r="H138" s="29" t="s">
        <v>143</v>
      </c>
    </row>
    <row r="139" spans="1:17" ht="12.75" customHeight="1" x14ac:dyDescent="0.2">
      <c r="A139" s="48"/>
      <c r="B139" s="48"/>
      <c r="C139" s="49"/>
      <c r="D139" s="50"/>
      <c r="E139" s="50"/>
      <c r="F139" s="51"/>
      <c r="G139" s="52"/>
      <c r="H139" s="53"/>
    </row>
    <row r="140" spans="1:17" x14ac:dyDescent="0.2">
      <c r="A140" s="54"/>
      <c r="B140" s="243" t="s">
        <v>945</v>
      </c>
      <c r="C140" s="243"/>
      <c r="D140" s="243"/>
      <c r="E140" s="243"/>
      <c r="F140" s="243"/>
      <c r="G140" s="243"/>
      <c r="H140" s="243"/>
      <c r="J140" s="56"/>
    </row>
    <row r="141" spans="1:17" x14ac:dyDescent="0.2">
      <c r="A141" s="54"/>
      <c r="B141" s="243" t="s">
        <v>946</v>
      </c>
      <c r="C141" s="243"/>
      <c r="D141" s="243"/>
      <c r="E141" s="243"/>
      <c r="F141" s="243"/>
      <c r="G141" s="243"/>
      <c r="H141" s="243"/>
      <c r="J141" s="56"/>
    </row>
    <row r="142" spans="1:17" x14ac:dyDescent="0.2">
      <c r="A142" s="54"/>
      <c r="B142" s="243" t="s">
        <v>947</v>
      </c>
      <c r="C142" s="243"/>
      <c r="D142" s="243"/>
      <c r="E142" s="243"/>
      <c r="F142" s="243"/>
      <c r="G142" s="243"/>
      <c r="H142" s="243"/>
      <c r="J142" s="56"/>
    </row>
    <row r="143" spans="1:17" s="58" customFormat="1" ht="66.75" customHeight="1" x14ac:dyDescent="0.25">
      <c r="A143" s="57"/>
      <c r="B143" s="244" t="s">
        <v>948</v>
      </c>
      <c r="C143" s="244"/>
      <c r="D143" s="244"/>
      <c r="E143" s="244"/>
      <c r="F143" s="244"/>
      <c r="G143" s="244"/>
      <c r="H143" s="244"/>
      <c r="I143"/>
      <c r="J143" s="56"/>
      <c r="K143"/>
      <c r="L143"/>
      <c r="M143"/>
      <c r="N143"/>
      <c r="O143"/>
      <c r="P143"/>
      <c r="Q143"/>
    </row>
    <row r="144" spans="1:17" x14ac:dyDescent="0.2">
      <c r="A144" s="54"/>
      <c r="B144" s="243" t="s">
        <v>949</v>
      </c>
      <c r="C144" s="243"/>
      <c r="D144" s="243"/>
      <c r="E144" s="243"/>
      <c r="F144" s="243"/>
      <c r="G144" s="243"/>
      <c r="H144" s="243"/>
      <c r="J144" s="56"/>
    </row>
    <row r="145" spans="1:10" x14ac:dyDescent="0.2">
      <c r="A145" s="54"/>
      <c r="B145" s="54"/>
      <c r="C145" s="54"/>
      <c r="D145" s="59"/>
      <c r="E145" s="59"/>
      <c r="F145" s="59"/>
      <c r="G145" s="59"/>
    </row>
    <row r="146" spans="1:10" x14ac:dyDescent="0.2">
      <c r="A146" s="54"/>
      <c r="B146" s="247" t="s">
        <v>170</v>
      </c>
      <c r="C146" s="248"/>
      <c r="D146" s="249"/>
      <c r="E146" s="60"/>
      <c r="F146" s="59"/>
      <c r="G146" s="59"/>
    </row>
    <row r="147" spans="1:10" ht="27.75" customHeight="1" x14ac:dyDescent="0.2">
      <c r="A147" s="54"/>
      <c r="B147" s="240" t="s">
        <v>171</v>
      </c>
      <c r="C147" s="241"/>
      <c r="D147" s="28" t="s">
        <v>172</v>
      </c>
      <c r="E147" s="60"/>
      <c r="F147" s="59"/>
      <c r="G147" s="59"/>
    </row>
    <row r="148" spans="1:10" ht="12.75" customHeight="1" x14ac:dyDescent="0.2">
      <c r="A148" s="54"/>
      <c r="B148" s="240" t="s">
        <v>950</v>
      </c>
      <c r="C148" s="241"/>
      <c r="D148" s="28" t="s">
        <v>172</v>
      </c>
      <c r="E148" s="60"/>
      <c r="F148" s="59"/>
      <c r="G148" s="59"/>
    </row>
    <row r="149" spans="1:10" x14ac:dyDescent="0.2">
      <c r="A149" s="54"/>
      <c r="B149" s="240" t="s">
        <v>173</v>
      </c>
      <c r="C149" s="241"/>
      <c r="D149" s="61" t="s">
        <v>143</v>
      </c>
      <c r="E149" s="60"/>
      <c r="F149" s="59"/>
      <c r="G149" s="59"/>
    </row>
    <row r="150" spans="1:10" x14ac:dyDescent="0.2">
      <c r="A150" s="62"/>
      <c r="B150" s="63" t="s">
        <v>143</v>
      </c>
      <c r="C150" s="63" t="s">
        <v>951</v>
      </c>
      <c r="D150" s="63" t="s">
        <v>174</v>
      </c>
      <c r="E150" s="62"/>
      <c r="F150" s="62"/>
      <c r="G150" s="62"/>
      <c r="H150" s="62"/>
      <c r="J150" s="56"/>
    </row>
    <row r="151" spans="1:10" x14ac:dyDescent="0.2">
      <c r="A151" s="62"/>
      <c r="B151" s="64" t="s">
        <v>175</v>
      </c>
      <c r="C151" s="65">
        <v>45900</v>
      </c>
      <c r="D151" s="65">
        <v>45930</v>
      </c>
      <c r="E151" s="62"/>
      <c r="F151" s="62"/>
      <c r="G151" s="62"/>
      <c r="J151" s="56"/>
    </row>
    <row r="152" spans="1:10" ht="12.75" customHeight="1" x14ac:dyDescent="0.2">
      <c r="A152" s="66"/>
      <c r="B152" s="67" t="s">
        <v>176</v>
      </c>
      <c r="C152" s="68">
        <v>93.732500000000002</v>
      </c>
      <c r="D152" s="68">
        <v>95.143799999999999</v>
      </c>
      <c r="E152" s="66"/>
      <c r="F152" s="69"/>
      <c r="G152" s="70"/>
    </row>
    <row r="153" spans="1:10" ht="12.75" customHeight="1" x14ac:dyDescent="0.2">
      <c r="A153" s="66"/>
      <c r="B153" s="67" t="s">
        <v>1085</v>
      </c>
      <c r="C153" s="68">
        <v>34.648000000000003</v>
      </c>
      <c r="D153" s="68">
        <v>35.169699999999999</v>
      </c>
      <c r="E153" s="66"/>
      <c r="F153" s="69"/>
      <c r="G153" s="70"/>
    </row>
    <row r="154" spans="1:10" ht="12.75" customHeight="1" x14ac:dyDescent="0.2">
      <c r="A154" s="66"/>
      <c r="B154" s="67" t="s">
        <v>177</v>
      </c>
      <c r="C154" s="68">
        <v>83.235100000000003</v>
      </c>
      <c r="D154" s="68">
        <v>84.4161</v>
      </c>
      <c r="E154" s="66"/>
      <c r="F154" s="69"/>
      <c r="G154" s="70"/>
    </row>
    <row r="155" spans="1:10" ht="12.75" customHeight="1" x14ac:dyDescent="0.2">
      <c r="A155" s="66"/>
      <c r="B155" s="67" t="s">
        <v>1086</v>
      </c>
      <c r="C155" s="68">
        <v>30.116599999999998</v>
      </c>
      <c r="D155" s="68">
        <v>30.543900000000001</v>
      </c>
      <c r="E155" s="66"/>
      <c r="F155" s="69"/>
      <c r="G155" s="70"/>
    </row>
    <row r="156" spans="1:10" ht="12.75" customHeight="1" x14ac:dyDescent="0.2">
      <c r="A156" s="66"/>
      <c r="B156" s="66"/>
      <c r="C156" s="66"/>
      <c r="D156" s="66"/>
      <c r="E156" s="66"/>
      <c r="F156" s="66"/>
      <c r="G156" s="66"/>
    </row>
    <row r="157" spans="1:10" x14ac:dyDescent="0.2">
      <c r="A157" s="62"/>
      <c r="B157" s="245" t="s">
        <v>952</v>
      </c>
      <c r="C157" s="246"/>
      <c r="D157" s="71" t="s">
        <v>172</v>
      </c>
      <c r="E157" s="62"/>
      <c r="F157" s="62"/>
      <c r="G157" s="62"/>
    </row>
    <row r="158" spans="1:10" x14ac:dyDescent="0.2">
      <c r="A158" s="72"/>
      <c r="B158" s="55"/>
      <c r="C158" s="55"/>
      <c r="D158" s="72"/>
      <c r="E158" s="72"/>
      <c r="F158" s="72"/>
      <c r="G158" s="72"/>
    </row>
    <row r="159" spans="1:10" x14ac:dyDescent="0.2">
      <c r="A159" s="72"/>
      <c r="B159" s="240" t="s">
        <v>178</v>
      </c>
      <c r="C159" s="241"/>
      <c r="D159" s="28" t="s">
        <v>172</v>
      </c>
      <c r="E159" s="74"/>
      <c r="F159" s="72"/>
      <c r="G159" s="72"/>
    </row>
    <row r="160" spans="1:10" x14ac:dyDescent="0.2">
      <c r="A160" s="72"/>
      <c r="B160" s="240" t="s">
        <v>179</v>
      </c>
      <c r="C160" s="241"/>
      <c r="D160" s="28" t="s">
        <v>172</v>
      </c>
      <c r="E160" s="74"/>
      <c r="F160" s="72"/>
      <c r="G160" s="72"/>
    </row>
    <row r="161" spans="1:7" x14ac:dyDescent="0.2">
      <c r="A161" s="72"/>
      <c r="B161" s="240" t="s">
        <v>180</v>
      </c>
      <c r="C161" s="241"/>
      <c r="D161" s="28" t="s">
        <v>172</v>
      </c>
      <c r="E161" s="74"/>
      <c r="F161" s="72"/>
      <c r="G161" s="72"/>
    </row>
    <row r="162" spans="1:7" x14ac:dyDescent="0.2">
      <c r="A162" s="72"/>
      <c r="B162" s="240" t="s">
        <v>181</v>
      </c>
      <c r="C162" s="241"/>
      <c r="D162" s="75">
        <v>0.54640142360222987</v>
      </c>
      <c r="E162" s="72"/>
      <c r="F162" s="55"/>
      <c r="G162" s="76"/>
    </row>
    <row r="163" spans="1:7" x14ac:dyDescent="0.2"/>
    <row r="164" spans="1:7" x14ac:dyDescent="0.2">
      <c r="B164" s="239" t="s">
        <v>953</v>
      </c>
      <c r="C164" s="239"/>
    </row>
    <row r="165" spans="1:7" x14ac:dyDescent="0.2"/>
    <row r="166" spans="1:7" x14ac:dyDescent="0.2"/>
    <row r="167" spans="1:7" x14ac:dyDescent="0.2"/>
    <row r="168" spans="1:7" x14ac:dyDescent="0.2"/>
    <row r="169" spans="1:7" x14ac:dyDescent="0.2"/>
    <row r="170" spans="1:7" x14ac:dyDescent="0.2"/>
    <row r="171" spans="1:7" x14ac:dyDescent="0.2"/>
    <row r="172" spans="1:7" x14ac:dyDescent="0.2"/>
    <row r="173" spans="1:7" x14ac:dyDescent="0.2"/>
    <row r="174" spans="1:7" x14ac:dyDescent="0.2"/>
    <row r="175" spans="1:7" x14ac:dyDescent="0.2"/>
    <row r="176" spans="1:7" x14ac:dyDescent="0.2"/>
    <row r="177" spans="2:10" x14ac:dyDescent="0.2"/>
    <row r="178" spans="2:10" x14ac:dyDescent="0.2"/>
    <row r="179" spans="2:10" x14ac:dyDescent="0.2">
      <c r="B179" s="77" t="s">
        <v>954</v>
      </c>
      <c r="C179" s="78"/>
      <c r="D179" s="77"/>
    </row>
    <row r="180" spans="2:10" x14ac:dyDescent="0.2">
      <c r="B180" s="77" t="s">
        <v>960</v>
      </c>
      <c r="D180" s="77"/>
    </row>
    <row r="181" spans="2:10" x14ac:dyDescent="0.2"/>
    <row r="182" spans="2:10" x14ac:dyDescent="0.2"/>
    <row r="183" spans="2:10" x14ac:dyDescent="0.2">
      <c r="J183" s="26"/>
    </row>
    <row r="184" spans="2:10" x14ac:dyDescent="0.2"/>
    <row r="185" spans="2:10" x14ac:dyDescent="0.2"/>
    <row r="186" spans="2:10" x14ac:dyDescent="0.2"/>
    <row r="187" spans="2:10" x14ac:dyDescent="0.2"/>
    <row r="188" spans="2:10" x14ac:dyDescent="0.2"/>
    <row r="189" spans="2:10" x14ac:dyDescent="0.2"/>
    <row r="190" spans="2:10" x14ac:dyDescent="0.2"/>
    <row r="191" spans="2:10" x14ac:dyDescent="0.2"/>
    <row r="192" spans="2:10" x14ac:dyDescent="0.2"/>
    <row r="193" customFormat="1" x14ac:dyDescent="0.2"/>
    <row r="194" customFormat="1" x14ac:dyDescent="0.2"/>
  </sheetData>
  <mergeCells count="18">
    <mergeCell ref="B146:D146"/>
    <mergeCell ref="B147:C147"/>
    <mergeCell ref="B164:C164"/>
    <mergeCell ref="B162:C162"/>
    <mergeCell ref="A1:H1"/>
    <mergeCell ref="A2:H2"/>
    <mergeCell ref="A3:H3"/>
    <mergeCell ref="B161:C161"/>
    <mergeCell ref="B140:H140"/>
    <mergeCell ref="B141:H141"/>
    <mergeCell ref="B148:C148"/>
    <mergeCell ref="B149:C149"/>
    <mergeCell ref="B159:C159"/>
    <mergeCell ref="B160:C160"/>
    <mergeCell ref="B142:H142"/>
    <mergeCell ref="B143:H143"/>
    <mergeCell ref="B144:H144"/>
    <mergeCell ref="B157:C157"/>
  </mergeCells>
  <hyperlinks>
    <hyperlink ref="I1" location="Index!B2" display="Index" xr:uid="{69B725CC-5CBB-457E-8B28-93C2085F681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A931-ED0D-48F0-99F8-5C2F8D5EEA4E}">
  <sheetPr>
    <outlinePr summaryBelow="0" summaryRight="0"/>
  </sheetPr>
  <dimension ref="A1:Q151"/>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353</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354</v>
      </c>
      <c r="C7" s="22" t="s">
        <v>355</v>
      </c>
      <c r="D7" s="22" t="s">
        <v>188</v>
      </c>
      <c r="E7" s="36">
        <v>31964</v>
      </c>
      <c r="F7" s="37">
        <v>200.39829800000001</v>
      </c>
      <c r="G7" s="38">
        <v>5.9718300000000002E-2</v>
      </c>
      <c r="H7" s="29" t="s">
        <v>143</v>
      </c>
    </row>
    <row r="8" spans="1:9" ht="12.75" customHeight="1" x14ac:dyDescent="0.2">
      <c r="A8" s="35">
        <v>2</v>
      </c>
      <c r="B8" s="22" t="s">
        <v>341</v>
      </c>
      <c r="C8" s="22" t="s">
        <v>342</v>
      </c>
      <c r="D8" s="22" t="s">
        <v>259</v>
      </c>
      <c r="E8" s="36">
        <v>9566</v>
      </c>
      <c r="F8" s="37">
        <v>186.316982</v>
      </c>
      <c r="G8" s="38">
        <v>5.5522099999999998E-2</v>
      </c>
      <c r="H8" s="29" t="s">
        <v>143</v>
      </c>
    </row>
    <row r="9" spans="1:9" ht="12.75" customHeight="1" x14ac:dyDescent="0.2">
      <c r="A9" s="35">
        <v>3</v>
      </c>
      <c r="B9" s="22" t="s">
        <v>65</v>
      </c>
      <c r="C9" s="22" t="s">
        <v>66</v>
      </c>
      <c r="D9" s="22" t="s">
        <v>64</v>
      </c>
      <c r="E9" s="36">
        <v>18540</v>
      </c>
      <c r="F9" s="37">
        <v>152.32463999999999</v>
      </c>
      <c r="G9" s="38">
        <v>4.5392450000000001E-2</v>
      </c>
      <c r="H9" s="29" t="s">
        <v>143</v>
      </c>
    </row>
    <row r="10" spans="1:9" ht="12.75" customHeight="1" x14ac:dyDescent="0.2">
      <c r="A10" s="35">
        <v>4</v>
      </c>
      <c r="B10" s="22" t="s">
        <v>226</v>
      </c>
      <c r="C10" s="22" t="s">
        <v>227</v>
      </c>
      <c r="D10" s="22" t="s">
        <v>191</v>
      </c>
      <c r="E10" s="36">
        <v>1151</v>
      </c>
      <c r="F10" s="37">
        <v>146.86760000000001</v>
      </c>
      <c r="G10" s="38">
        <v>4.3766260000000001E-2</v>
      </c>
      <c r="H10" s="29" t="s">
        <v>143</v>
      </c>
    </row>
    <row r="11" spans="1:9" ht="12.75" customHeight="1" x14ac:dyDescent="0.2">
      <c r="A11" s="35">
        <v>5</v>
      </c>
      <c r="B11" s="22" t="s">
        <v>356</v>
      </c>
      <c r="C11" s="22" t="s">
        <v>357</v>
      </c>
      <c r="D11" s="22" t="s">
        <v>46</v>
      </c>
      <c r="E11" s="36">
        <v>6144</v>
      </c>
      <c r="F11" s="37">
        <v>134.449152</v>
      </c>
      <c r="G11" s="38">
        <v>4.0065589999999998E-2</v>
      </c>
      <c r="H11" s="29" t="s">
        <v>143</v>
      </c>
    </row>
    <row r="12" spans="1:9" ht="12.75" customHeight="1" x14ac:dyDescent="0.2">
      <c r="A12" s="35">
        <v>6</v>
      </c>
      <c r="B12" s="22" t="s">
        <v>358</v>
      </c>
      <c r="C12" s="22" t="s">
        <v>359</v>
      </c>
      <c r="D12" s="22" t="s">
        <v>206</v>
      </c>
      <c r="E12" s="36">
        <v>44850</v>
      </c>
      <c r="F12" s="37">
        <v>131.76929999999999</v>
      </c>
      <c r="G12" s="38">
        <v>3.9266990000000002E-2</v>
      </c>
      <c r="H12" s="29" t="s">
        <v>143</v>
      </c>
    </row>
    <row r="13" spans="1:9" ht="12.75" customHeight="1" x14ac:dyDescent="0.2">
      <c r="A13" s="35">
        <v>7</v>
      </c>
      <c r="B13" s="22" t="s">
        <v>360</v>
      </c>
      <c r="C13" s="22" t="s">
        <v>361</v>
      </c>
      <c r="D13" s="22" t="s">
        <v>33</v>
      </c>
      <c r="E13" s="36">
        <v>268914</v>
      </c>
      <c r="F13" s="37">
        <v>124.641639</v>
      </c>
      <c r="G13" s="38">
        <v>3.7142969999999997E-2</v>
      </c>
      <c r="H13" s="29" t="s">
        <v>143</v>
      </c>
    </row>
    <row r="14" spans="1:9" ht="12.75" customHeight="1" x14ac:dyDescent="0.2">
      <c r="A14" s="35">
        <v>8</v>
      </c>
      <c r="B14" s="22" t="s">
        <v>362</v>
      </c>
      <c r="C14" s="22" t="s">
        <v>363</v>
      </c>
      <c r="D14" s="22" t="s">
        <v>33</v>
      </c>
      <c r="E14" s="36">
        <v>33313</v>
      </c>
      <c r="F14" s="37">
        <v>123.757795</v>
      </c>
      <c r="G14" s="38">
        <v>3.6879580000000002E-2</v>
      </c>
      <c r="H14" s="29" t="s">
        <v>143</v>
      </c>
    </row>
    <row r="15" spans="1:9" ht="12.75" customHeight="1" x14ac:dyDescent="0.2">
      <c r="A15" s="35">
        <v>9</v>
      </c>
      <c r="B15" s="22" t="s">
        <v>76</v>
      </c>
      <c r="C15" s="22" t="s">
        <v>77</v>
      </c>
      <c r="D15" s="22" t="s">
        <v>64</v>
      </c>
      <c r="E15" s="36">
        <v>3019</v>
      </c>
      <c r="F15" s="37">
        <v>122.640837</v>
      </c>
      <c r="G15" s="38">
        <v>3.6546729999999999E-2</v>
      </c>
      <c r="H15" s="29" t="s">
        <v>143</v>
      </c>
    </row>
    <row r="16" spans="1:9" ht="12.75" customHeight="1" x14ac:dyDescent="0.2">
      <c r="A16" s="35">
        <v>10</v>
      </c>
      <c r="B16" s="22" t="s">
        <v>364</v>
      </c>
      <c r="C16" s="22" t="s">
        <v>365</v>
      </c>
      <c r="D16" s="22" t="s">
        <v>46</v>
      </c>
      <c r="E16" s="36">
        <v>43192</v>
      </c>
      <c r="F16" s="37">
        <v>116.74797599999999</v>
      </c>
      <c r="G16" s="38">
        <v>3.4790670000000003E-2</v>
      </c>
      <c r="H16" s="29" t="s">
        <v>143</v>
      </c>
    </row>
    <row r="17" spans="1:8" ht="12.75" customHeight="1" x14ac:dyDescent="0.2">
      <c r="A17" s="35">
        <v>11</v>
      </c>
      <c r="B17" s="22" t="s">
        <v>366</v>
      </c>
      <c r="C17" s="22" t="s">
        <v>367</v>
      </c>
      <c r="D17" s="22" t="s">
        <v>194</v>
      </c>
      <c r="E17" s="36">
        <v>1748</v>
      </c>
      <c r="F17" s="37">
        <v>110.2551</v>
      </c>
      <c r="G17" s="38">
        <v>3.2855809999999999E-2</v>
      </c>
      <c r="H17" s="29" t="s">
        <v>143</v>
      </c>
    </row>
    <row r="18" spans="1:8" ht="12.75" customHeight="1" x14ac:dyDescent="0.2">
      <c r="A18" s="35">
        <v>12</v>
      </c>
      <c r="B18" s="22" t="s">
        <v>337</v>
      </c>
      <c r="C18" s="22" t="s">
        <v>338</v>
      </c>
      <c r="D18" s="22" t="s">
        <v>223</v>
      </c>
      <c r="E18" s="36">
        <v>1375</v>
      </c>
      <c r="F18" s="37">
        <v>107.19499999999999</v>
      </c>
      <c r="G18" s="38">
        <v>3.1943899999999997E-2</v>
      </c>
      <c r="H18" s="29" t="s">
        <v>143</v>
      </c>
    </row>
    <row r="19" spans="1:8" ht="12.75" customHeight="1" x14ac:dyDescent="0.2">
      <c r="A19" s="35">
        <v>13</v>
      </c>
      <c r="B19" s="22" t="s">
        <v>368</v>
      </c>
      <c r="C19" s="22" t="s">
        <v>369</v>
      </c>
      <c r="D19" s="22" t="s">
        <v>215</v>
      </c>
      <c r="E19" s="36">
        <v>14636</v>
      </c>
      <c r="F19" s="37">
        <v>94.365610000000004</v>
      </c>
      <c r="G19" s="38">
        <v>2.812077E-2</v>
      </c>
      <c r="H19" s="29" t="s">
        <v>143</v>
      </c>
    </row>
    <row r="20" spans="1:8" ht="12.75" customHeight="1" x14ac:dyDescent="0.2">
      <c r="A20" s="35">
        <v>14</v>
      </c>
      <c r="B20" s="22" t="s">
        <v>370</v>
      </c>
      <c r="C20" s="22" t="s">
        <v>371</v>
      </c>
      <c r="D20" s="22" t="s">
        <v>194</v>
      </c>
      <c r="E20" s="36">
        <v>5362</v>
      </c>
      <c r="F20" s="37">
        <v>91.674114000000003</v>
      </c>
      <c r="G20" s="38">
        <v>2.731871E-2</v>
      </c>
      <c r="H20" s="29" t="s">
        <v>143</v>
      </c>
    </row>
    <row r="21" spans="1:8" ht="12.75" customHeight="1" x14ac:dyDescent="0.2">
      <c r="A21" s="35">
        <v>15</v>
      </c>
      <c r="B21" s="22" t="s">
        <v>372</v>
      </c>
      <c r="C21" s="22" t="s">
        <v>373</v>
      </c>
      <c r="D21" s="22" t="s">
        <v>270</v>
      </c>
      <c r="E21" s="36">
        <v>1908</v>
      </c>
      <c r="F21" s="37">
        <v>88.178219999999996</v>
      </c>
      <c r="G21" s="38">
        <v>2.6276939999999999E-2</v>
      </c>
      <c r="H21" s="29" t="s">
        <v>143</v>
      </c>
    </row>
    <row r="22" spans="1:8" ht="12.75" customHeight="1" x14ac:dyDescent="0.2">
      <c r="A22" s="35">
        <v>16</v>
      </c>
      <c r="B22" s="22" t="s">
        <v>374</v>
      </c>
      <c r="C22" s="22" t="s">
        <v>375</v>
      </c>
      <c r="D22" s="22" t="s">
        <v>33</v>
      </c>
      <c r="E22" s="36">
        <v>149355</v>
      </c>
      <c r="F22" s="37">
        <v>85.401189000000002</v>
      </c>
      <c r="G22" s="38">
        <v>2.5449389999999999E-2</v>
      </c>
      <c r="H22" s="29" t="s">
        <v>143</v>
      </c>
    </row>
    <row r="23" spans="1:8" ht="12.75" customHeight="1" x14ac:dyDescent="0.2">
      <c r="A23" s="35">
        <v>17</v>
      </c>
      <c r="B23" s="22" t="s">
        <v>67</v>
      </c>
      <c r="C23" s="22" t="s">
        <v>68</v>
      </c>
      <c r="D23" s="22" t="s">
        <v>25</v>
      </c>
      <c r="E23" s="36">
        <v>1334</v>
      </c>
      <c r="F23" s="37">
        <v>84.042000000000002</v>
      </c>
      <c r="G23" s="38">
        <v>2.504435E-2</v>
      </c>
      <c r="H23" s="29" t="s">
        <v>143</v>
      </c>
    </row>
    <row r="24" spans="1:8" ht="12.75" customHeight="1" x14ac:dyDescent="0.2">
      <c r="A24" s="35">
        <v>18</v>
      </c>
      <c r="B24" s="22" t="s">
        <v>376</v>
      </c>
      <c r="C24" s="22" t="s">
        <v>377</v>
      </c>
      <c r="D24" s="22" t="s">
        <v>194</v>
      </c>
      <c r="E24" s="36">
        <v>9463</v>
      </c>
      <c r="F24" s="37">
        <v>79.659533999999994</v>
      </c>
      <c r="G24" s="38">
        <v>2.3738390000000002E-2</v>
      </c>
      <c r="H24" s="29" t="s">
        <v>143</v>
      </c>
    </row>
    <row r="25" spans="1:8" ht="12.75" customHeight="1" x14ac:dyDescent="0.2">
      <c r="A25" s="35">
        <v>19</v>
      </c>
      <c r="B25" s="22" t="s">
        <v>378</v>
      </c>
      <c r="C25" s="22" t="s">
        <v>379</v>
      </c>
      <c r="D25" s="22" t="s">
        <v>223</v>
      </c>
      <c r="E25" s="36">
        <v>3672</v>
      </c>
      <c r="F25" s="37">
        <v>78.305400000000006</v>
      </c>
      <c r="G25" s="38">
        <v>2.3334859999999999E-2</v>
      </c>
      <c r="H25" s="29" t="s">
        <v>143</v>
      </c>
    </row>
    <row r="26" spans="1:8" ht="12.75" customHeight="1" x14ac:dyDescent="0.2">
      <c r="A26" s="35">
        <v>20</v>
      </c>
      <c r="B26" s="22" t="s">
        <v>380</v>
      </c>
      <c r="C26" s="22" t="s">
        <v>381</v>
      </c>
      <c r="D26" s="22" t="s">
        <v>382</v>
      </c>
      <c r="E26" s="36">
        <v>6861</v>
      </c>
      <c r="F26" s="37">
        <v>73.755750000000006</v>
      </c>
      <c r="G26" s="38">
        <v>2.197907E-2</v>
      </c>
      <c r="H26" s="29" t="s">
        <v>143</v>
      </c>
    </row>
    <row r="27" spans="1:8" ht="12.75" customHeight="1" x14ac:dyDescent="0.2">
      <c r="A27" s="35">
        <v>21</v>
      </c>
      <c r="B27" s="22" t="s">
        <v>383</v>
      </c>
      <c r="C27" s="22" t="s">
        <v>384</v>
      </c>
      <c r="D27" s="22" t="s">
        <v>191</v>
      </c>
      <c r="E27" s="36">
        <v>9319</v>
      </c>
      <c r="F27" s="37">
        <v>71.122608</v>
      </c>
      <c r="G27" s="38">
        <v>2.1194399999999999E-2</v>
      </c>
      <c r="H27" s="29" t="s">
        <v>143</v>
      </c>
    </row>
    <row r="28" spans="1:8" ht="12.75" customHeight="1" x14ac:dyDescent="0.2">
      <c r="A28" s="35">
        <v>22</v>
      </c>
      <c r="B28" s="22" t="s">
        <v>385</v>
      </c>
      <c r="C28" s="22" t="s">
        <v>386</v>
      </c>
      <c r="D28" s="22" t="s">
        <v>191</v>
      </c>
      <c r="E28" s="36">
        <v>3675</v>
      </c>
      <c r="F28" s="37">
        <v>69.273750000000007</v>
      </c>
      <c r="G28" s="38">
        <v>2.0643439999999999E-2</v>
      </c>
      <c r="H28" s="29" t="s">
        <v>143</v>
      </c>
    </row>
    <row r="29" spans="1:8" ht="12.75" customHeight="1" x14ac:dyDescent="0.2">
      <c r="A29" s="35">
        <v>23</v>
      </c>
      <c r="B29" s="22" t="s">
        <v>387</v>
      </c>
      <c r="C29" s="22" t="s">
        <v>388</v>
      </c>
      <c r="D29" s="22" t="s">
        <v>389</v>
      </c>
      <c r="E29" s="36">
        <v>19755</v>
      </c>
      <c r="F29" s="37">
        <v>69.004215000000002</v>
      </c>
      <c r="G29" s="38">
        <v>2.0563120000000001E-2</v>
      </c>
      <c r="H29" s="29" t="s">
        <v>143</v>
      </c>
    </row>
    <row r="30" spans="1:8" ht="12.75" customHeight="1" x14ac:dyDescent="0.2">
      <c r="A30" s="35">
        <v>24</v>
      </c>
      <c r="B30" s="22" t="s">
        <v>390</v>
      </c>
      <c r="C30" s="22" t="s">
        <v>391</v>
      </c>
      <c r="D30" s="22" t="s">
        <v>64</v>
      </c>
      <c r="E30" s="36">
        <v>12724</v>
      </c>
      <c r="F30" s="37">
        <v>56.100116</v>
      </c>
      <c r="G30" s="38">
        <v>1.671773E-2</v>
      </c>
      <c r="H30" s="29" t="s">
        <v>143</v>
      </c>
    </row>
    <row r="31" spans="1:8" ht="12.75" customHeight="1" x14ac:dyDescent="0.2">
      <c r="A31" s="35">
        <v>25</v>
      </c>
      <c r="B31" s="22" t="s">
        <v>392</v>
      </c>
      <c r="C31" s="22" t="s">
        <v>393</v>
      </c>
      <c r="D31" s="22" t="s">
        <v>206</v>
      </c>
      <c r="E31" s="36">
        <v>8151</v>
      </c>
      <c r="F31" s="37">
        <v>56.046275999999999</v>
      </c>
      <c r="G31" s="38">
        <v>1.670168E-2</v>
      </c>
      <c r="H31" s="29" t="s">
        <v>143</v>
      </c>
    </row>
    <row r="32" spans="1:8" ht="12.75" customHeight="1" x14ac:dyDescent="0.2">
      <c r="A32" s="35">
        <v>26</v>
      </c>
      <c r="B32" s="22" t="s">
        <v>394</v>
      </c>
      <c r="C32" s="22" t="s">
        <v>395</v>
      </c>
      <c r="D32" s="22" t="s">
        <v>191</v>
      </c>
      <c r="E32" s="36">
        <v>5806</v>
      </c>
      <c r="F32" s="37">
        <v>50.140616000000001</v>
      </c>
      <c r="G32" s="38">
        <v>1.494181E-2</v>
      </c>
      <c r="H32" s="29" t="s">
        <v>143</v>
      </c>
    </row>
    <row r="33" spans="1:8" ht="12.75" customHeight="1" x14ac:dyDescent="0.2">
      <c r="A33" s="35">
        <v>27</v>
      </c>
      <c r="B33" s="22" t="s">
        <v>396</v>
      </c>
      <c r="C33" s="22" t="s">
        <v>397</v>
      </c>
      <c r="D33" s="22" t="s">
        <v>259</v>
      </c>
      <c r="E33" s="36">
        <v>11897</v>
      </c>
      <c r="F33" s="37">
        <v>47.683176000000003</v>
      </c>
      <c r="G33" s="38">
        <v>1.420949E-2</v>
      </c>
      <c r="H33" s="29" t="s">
        <v>143</v>
      </c>
    </row>
    <row r="34" spans="1:8" ht="12.75" customHeight="1" x14ac:dyDescent="0.2">
      <c r="A34" s="35">
        <v>28</v>
      </c>
      <c r="B34" s="22" t="s">
        <v>398</v>
      </c>
      <c r="C34" s="22" t="s">
        <v>399</v>
      </c>
      <c r="D34" s="22" t="s">
        <v>133</v>
      </c>
      <c r="E34" s="36">
        <v>27808</v>
      </c>
      <c r="F34" s="37">
        <v>46.931561600000002</v>
      </c>
      <c r="G34" s="38">
        <v>1.398551E-2</v>
      </c>
      <c r="H34" s="29" t="s">
        <v>143</v>
      </c>
    </row>
    <row r="35" spans="1:8" ht="12.75" customHeight="1" x14ac:dyDescent="0.2">
      <c r="A35" s="35">
        <v>29</v>
      </c>
      <c r="B35" s="22" t="s">
        <v>400</v>
      </c>
      <c r="C35" s="22" t="s">
        <v>401</v>
      </c>
      <c r="D35" s="22" t="s">
        <v>194</v>
      </c>
      <c r="E35" s="36">
        <v>5676</v>
      </c>
      <c r="F35" s="37">
        <v>45.155417999999997</v>
      </c>
      <c r="G35" s="38">
        <v>1.345623E-2</v>
      </c>
      <c r="H35" s="29" t="s">
        <v>143</v>
      </c>
    </row>
    <row r="36" spans="1:8" ht="12.75" customHeight="1" x14ac:dyDescent="0.2">
      <c r="A36" s="35">
        <v>30</v>
      </c>
      <c r="B36" s="22" t="s">
        <v>402</v>
      </c>
      <c r="C36" s="22" t="s">
        <v>403</v>
      </c>
      <c r="D36" s="22" t="s">
        <v>46</v>
      </c>
      <c r="E36" s="36">
        <v>5239</v>
      </c>
      <c r="F36" s="37">
        <v>42.598309</v>
      </c>
      <c r="G36" s="38">
        <v>1.2694209999999999E-2</v>
      </c>
      <c r="H36" s="29" t="s">
        <v>143</v>
      </c>
    </row>
    <row r="37" spans="1:8" ht="12.75" customHeight="1" x14ac:dyDescent="0.2">
      <c r="A37" s="35">
        <v>31</v>
      </c>
      <c r="B37" s="22" t="s">
        <v>404</v>
      </c>
      <c r="C37" s="22" t="s">
        <v>405</v>
      </c>
      <c r="D37" s="22" t="s">
        <v>215</v>
      </c>
      <c r="E37" s="36">
        <v>11397</v>
      </c>
      <c r="F37" s="37">
        <v>40.225711500000003</v>
      </c>
      <c r="G37" s="38">
        <v>1.198718E-2</v>
      </c>
      <c r="H37" s="29" t="s">
        <v>143</v>
      </c>
    </row>
    <row r="38" spans="1:8" ht="12.75" customHeight="1" x14ac:dyDescent="0.2">
      <c r="A38" s="35">
        <v>32</v>
      </c>
      <c r="B38" s="22" t="s">
        <v>88</v>
      </c>
      <c r="C38" s="22" t="s">
        <v>89</v>
      </c>
      <c r="D38" s="22" t="s">
        <v>90</v>
      </c>
      <c r="E38" s="36">
        <v>4383</v>
      </c>
      <c r="F38" s="37">
        <v>39.273871499999998</v>
      </c>
      <c r="G38" s="38">
        <v>1.170354E-2</v>
      </c>
      <c r="H38" s="29" t="s">
        <v>143</v>
      </c>
    </row>
    <row r="39" spans="1:8" ht="12.75" customHeight="1" x14ac:dyDescent="0.2">
      <c r="A39" s="35">
        <v>33</v>
      </c>
      <c r="B39" s="22" t="s">
        <v>406</v>
      </c>
      <c r="C39" s="22" t="s">
        <v>407</v>
      </c>
      <c r="D39" s="22" t="s">
        <v>408</v>
      </c>
      <c r="E39" s="36">
        <v>3092</v>
      </c>
      <c r="F39" s="37">
        <v>36.429943999999999</v>
      </c>
      <c r="G39" s="38">
        <v>1.0856050000000001E-2</v>
      </c>
      <c r="H39" s="29" t="s">
        <v>143</v>
      </c>
    </row>
    <row r="40" spans="1:8" ht="12.75" customHeight="1" x14ac:dyDescent="0.2">
      <c r="A40" s="35">
        <v>34</v>
      </c>
      <c r="B40" s="22" t="s">
        <v>297</v>
      </c>
      <c r="C40" s="22" t="s">
        <v>298</v>
      </c>
      <c r="D40" s="22" t="s">
        <v>64</v>
      </c>
      <c r="E40" s="36">
        <v>2184</v>
      </c>
      <c r="F40" s="37">
        <v>34.686287999999998</v>
      </c>
      <c r="G40" s="38">
        <v>1.033645E-2</v>
      </c>
      <c r="H40" s="29" t="s">
        <v>143</v>
      </c>
    </row>
    <row r="41" spans="1:8" ht="12.75" customHeight="1" x14ac:dyDescent="0.2">
      <c r="A41" s="35">
        <v>35</v>
      </c>
      <c r="B41" s="22" t="s">
        <v>211</v>
      </c>
      <c r="C41" s="22" t="s">
        <v>212</v>
      </c>
      <c r="D41" s="22" t="s">
        <v>90</v>
      </c>
      <c r="E41" s="36">
        <v>2178</v>
      </c>
      <c r="F41" s="37">
        <v>33.878790000000002</v>
      </c>
      <c r="G41" s="38">
        <v>1.009581E-2</v>
      </c>
      <c r="H41" s="29" t="s">
        <v>143</v>
      </c>
    </row>
    <row r="42" spans="1:8" ht="12.75" customHeight="1" x14ac:dyDescent="0.2">
      <c r="A42" s="35">
        <v>36</v>
      </c>
      <c r="B42" s="22" t="s">
        <v>409</v>
      </c>
      <c r="C42" s="22" t="s">
        <v>410</v>
      </c>
      <c r="D42" s="22" t="s">
        <v>46</v>
      </c>
      <c r="E42" s="36">
        <v>4246</v>
      </c>
      <c r="F42" s="37">
        <v>29.072361999999998</v>
      </c>
      <c r="G42" s="38">
        <v>8.6635099999999993E-3</v>
      </c>
      <c r="H42" s="29" t="s">
        <v>143</v>
      </c>
    </row>
    <row r="43" spans="1:8" ht="12.75" customHeight="1" x14ac:dyDescent="0.2">
      <c r="A43" s="35">
        <v>37</v>
      </c>
      <c r="B43" s="22" t="s">
        <v>411</v>
      </c>
      <c r="C43" s="22" t="s">
        <v>412</v>
      </c>
      <c r="D43" s="22" t="s">
        <v>64</v>
      </c>
      <c r="E43" s="36">
        <v>2283</v>
      </c>
      <c r="F43" s="37">
        <v>21.109759499999999</v>
      </c>
      <c r="G43" s="38">
        <v>6.2906699999999999E-3</v>
      </c>
      <c r="H43" s="29" t="s">
        <v>143</v>
      </c>
    </row>
    <row r="44" spans="1:8" ht="12.75" customHeight="1" x14ac:dyDescent="0.2">
      <c r="A44" s="35">
        <v>38</v>
      </c>
      <c r="B44" s="22" t="s">
        <v>413</v>
      </c>
      <c r="C44" s="22" t="s">
        <v>414</v>
      </c>
      <c r="D44" s="22" t="s">
        <v>41</v>
      </c>
      <c r="E44" s="36">
        <v>4214</v>
      </c>
      <c r="F44" s="37">
        <v>12.987548</v>
      </c>
      <c r="G44" s="38">
        <v>3.8702599999999999E-3</v>
      </c>
      <c r="H44" s="29" t="s">
        <v>143</v>
      </c>
    </row>
    <row r="45" spans="1:8" ht="12.75" customHeight="1" x14ac:dyDescent="0.2">
      <c r="A45" s="39"/>
      <c r="B45" s="39"/>
      <c r="C45" s="40" t="s">
        <v>142</v>
      </c>
      <c r="D45" s="39"/>
      <c r="E45" s="39" t="s">
        <v>143</v>
      </c>
      <c r="F45" s="41">
        <v>3134.4664561</v>
      </c>
      <c r="G45" s="42">
        <v>0.93406491999999997</v>
      </c>
      <c r="H45" s="29" t="s">
        <v>143</v>
      </c>
    </row>
    <row r="46" spans="1:8" ht="12.75" customHeight="1" x14ac:dyDescent="0.2">
      <c r="A46" s="39"/>
      <c r="B46" s="39"/>
      <c r="C46" s="43"/>
      <c r="D46" s="39"/>
      <c r="E46" s="39"/>
      <c r="F46" s="44"/>
      <c r="G46" s="44"/>
      <c r="H46" s="29" t="s">
        <v>143</v>
      </c>
    </row>
    <row r="47" spans="1:8" ht="12.75" customHeight="1" x14ac:dyDescent="0.2">
      <c r="A47" s="39"/>
      <c r="B47" s="39"/>
      <c r="C47" s="40" t="s">
        <v>144</v>
      </c>
      <c r="D47" s="39"/>
      <c r="E47" s="39"/>
      <c r="F47" s="39"/>
      <c r="G47" s="39"/>
      <c r="H47" s="29" t="s">
        <v>143</v>
      </c>
    </row>
    <row r="48" spans="1:8" ht="12.75" customHeight="1" x14ac:dyDescent="0.2">
      <c r="A48" s="39"/>
      <c r="B48" s="39"/>
      <c r="C48" s="40" t="s">
        <v>142</v>
      </c>
      <c r="D48" s="39"/>
      <c r="E48" s="39" t="s">
        <v>143</v>
      </c>
      <c r="F48" s="45" t="s">
        <v>145</v>
      </c>
      <c r="G48" s="42">
        <v>0</v>
      </c>
      <c r="H48" s="29" t="s">
        <v>143</v>
      </c>
    </row>
    <row r="49" spans="1:8" ht="12.75" customHeight="1" x14ac:dyDescent="0.2">
      <c r="A49" s="39"/>
      <c r="B49" s="39"/>
      <c r="C49" s="43"/>
      <c r="D49" s="39"/>
      <c r="E49" s="39"/>
      <c r="F49" s="44"/>
      <c r="G49" s="44"/>
      <c r="H49" s="29" t="s">
        <v>143</v>
      </c>
    </row>
    <row r="50" spans="1:8" ht="12.75" customHeight="1" x14ac:dyDescent="0.2">
      <c r="A50" s="39"/>
      <c r="B50" s="39"/>
      <c r="C50" s="40" t="s">
        <v>146</v>
      </c>
      <c r="D50" s="39"/>
      <c r="E50" s="39"/>
      <c r="F50" s="39"/>
      <c r="G50" s="39"/>
      <c r="H50" s="29" t="s">
        <v>143</v>
      </c>
    </row>
    <row r="51" spans="1:8" ht="12.75" customHeight="1" x14ac:dyDescent="0.2">
      <c r="A51" s="39"/>
      <c r="B51" s="39"/>
      <c r="C51" s="40" t="s">
        <v>142</v>
      </c>
      <c r="D51" s="39"/>
      <c r="E51" s="39" t="s">
        <v>143</v>
      </c>
      <c r="F51" s="45" t="s">
        <v>145</v>
      </c>
      <c r="G51" s="42">
        <v>0</v>
      </c>
      <c r="H51" s="29" t="s">
        <v>143</v>
      </c>
    </row>
    <row r="52" spans="1:8" ht="12.75" customHeight="1" x14ac:dyDescent="0.2">
      <c r="A52" s="39"/>
      <c r="B52" s="39"/>
      <c r="C52" s="43"/>
      <c r="D52" s="39"/>
      <c r="E52" s="39"/>
      <c r="F52" s="44"/>
      <c r="G52" s="44"/>
      <c r="H52" s="29" t="s">
        <v>143</v>
      </c>
    </row>
    <row r="53" spans="1:8" ht="12.75" customHeight="1" x14ac:dyDescent="0.2">
      <c r="A53" s="39"/>
      <c r="B53" s="39"/>
      <c r="C53" s="40" t="s">
        <v>147</v>
      </c>
      <c r="D53" s="39"/>
      <c r="E53" s="39"/>
      <c r="F53" s="39"/>
      <c r="G53" s="39"/>
      <c r="H53" s="29" t="s">
        <v>143</v>
      </c>
    </row>
    <row r="54" spans="1:8" ht="12.75" customHeight="1" x14ac:dyDescent="0.2">
      <c r="A54" s="39"/>
      <c r="B54" s="39"/>
      <c r="C54" s="40" t="s">
        <v>142</v>
      </c>
      <c r="D54" s="39"/>
      <c r="E54" s="39" t="s">
        <v>143</v>
      </c>
      <c r="F54" s="45" t="s">
        <v>145</v>
      </c>
      <c r="G54" s="42">
        <v>0</v>
      </c>
      <c r="H54" s="29" t="s">
        <v>143</v>
      </c>
    </row>
    <row r="55" spans="1:8" ht="12.75" customHeight="1" x14ac:dyDescent="0.2">
      <c r="A55" s="39"/>
      <c r="B55" s="39"/>
      <c r="C55" s="43"/>
      <c r="D55" s="39"/>
      <c r="E55" s="39"/>
      <c r="F55" s="44"/>
      <c r="G55" s="44"/>
      <c r="H55" s="29" t="s">
        <v>143</v>
      </c>
    </row>
    <row r="56" spans="1:8" ht="12.75" customHeight="1" x14ac:dyDescent="0.2">
      <c r="A56" s="39"/>
      <c r="B56" s="39"/>
      <c r="C56" s="40" t="s">
        <v>148</v>
      </c>
      <c r="D56" s="39"/>
      <c r="E56" s="39"/>
      <c r="F56" s="44"/>
      <c r="G56" s="44"/>
      <c r="H56" s="29" t="s">
        <v>143</v>
      </c>
    </row>
    <row r="57" spans="1:8" ht="12.75" customHeight="1" x14ac:dyDescent="0.2">
      <c r="A57" s="39"/>
      <c r="B57" s="39"/>
      <c r="C57" s="40" t="s">
        <v>142</v>
      </c>
      <c r="D57" s="39"/>
      <c r="E57" s="39" t="s">
        <v>143</v>
      </c>
      <c r="F57" s="45" t="s">
        <v>145</v>
      </c>
      <c r="G57" s="42">
        <v>0</v>
      </c>
      <c r="H57" s="29" t="s">
        <v>143</v>
      </c>
    </row>
    <row r="58" spans="1:8" ht="12.75" customHeight="1" x14ac:dyDescent="0.2">
      <c r="A58" s="39"/>
      <c r="B58" s="39"/>
      <c r="C58" s="43"/>
      <c r="D58" s="39"/>
      <c r="E58" s="39"/>
      <c r="F58" s="44"/>
      <c r="G58" s="44"/>
      <c r="H58" s="29" t="s">
        <v>143</v>
      </c>
    </row>
    <row r="59" spans="1:8" ht="12.75" customHeight="1" x14ac:dyDescent="0.2">
      <c r="A59" s="39"/>
      <c r="B59" s="39"/>
      <c r="C59" s="40" t="s">
        <v>149</v>
      </c>
      <c r="D59" s="39"/>
      <c r="E59" s="39"/>
      <c r="F59" s="44"/>
      <c r="G59" s="44"/>
      <c r="H59" s="29" t="s">
        <v>143</v>
      </c>
    </row>
    <row r="60" spans="1:8" ht="12.75" customHeight="1" x14ac:dyDescent="0.2">
      <c r="A60" s="39"/>
      <c r="B60" s="39"/>
      <c r="C60" s="40" t="s">
        <v>142</v>
      </c>
      <c r="D60" s="39"/>
      <c r="E60" s="39" t="s">
        <v>143</v>
      </c>
      <c r="F60" s="45" t="s">
        <v>145</v>
      </c>
      <c r="G60" s="42">
        <v>0</v>
      </c>
      <c r="H60" s="29" t="s">
        <v>143</v>
      </c>
    </row>
    <row r="61" spans="1:8" ht="12.75" customHeight="1" x14ac:dyDescent="0.2">
      <c r="A61" s="39"/>
      <c r="B61" s="39"/>
      <c r="C61" s="43"/>
      <c r="D61" s="39"/>
      <c r="E61" s="39"/>
      <c r="F61" s="44"/>
      <c r="G61" s="44"/>
      <c r="H61" s="29" t="s">
        <v>143</v>
      </c>
    </row>
    <row r="62" spans="1:8" ht="12.75" customHeight="1" x14ac:dyDescent="0.2">
      <c r="A62" s="39"/>
      <c r="B62" s="39"/>
      <c r="C62" s="40" t="s">
        <v>150</v>
      </c>
      <c r="D62" s="39"/>
      <c r="E62" s="39"/>
      <c r="F62" s="41">
        <v>3134.4664561</v>
      </c>
      <c r="G62" s="42">
        <v>0.93406491999999997</v>
      </c>
      <c r="H62" s="29" t="s">
        <v>143</v>
      </c>
    </row>
    <row r="63" spans="1:8" ht="12.75" customHeight="1" x14ac:dyDescent="0.2">
      <c r="A63" s="39"/>
      <c r="B63" s="39"/>
      <c r="C63" s="43"/>
      <c r="D63" s="39"/>
      <c r="E63" s="39"/>
      <c r="F63" s="44"/>
      <c r="G63" s="44"/>
      <c r="H63" s="29" t="s">
        <v>143</v>
      </c>
    </row>
    <row r="64" spans="1:8" ht="12.75" customHeight="1" x14ac:dyDescent="0.2">
      <c r="A64" s="39"/>
      <c r="B64" s="39"/>
      <c r="C64" s="40" t="s">
        <v>151</v>
      </c>
      <c r="D64" s="39"/>
      <c r="E64" s="39"/>
      <c r="F64" s="44"/>
      <c r="G64" s="44"/>
      <c r="H64" s="29" t="s">
        <v>143</v>
      </c>
    </row>
    <row r="65" spans="1:8" ht="12.75" customHeight="1" x14ac:dyDescent="0.2">
      <c r="A65" s="39"/>
      <c r="B65" s="39"/>
      <c r="C65" s="40" t="s">
        <v>10</v>
      </c>
      <c r="D65" s="39"/>
      <c r="E65" s="39"/>
      <c r="F65" s="44"/>
      <c r="G65" s="44"/>
      <c r="H65" s="29" t="s">
        <v>143</v>
      </c>
    </row>
    <row r="66" spans="1:8" ht="12.75" customHeight="1" x14ac:dyDescent="0.2">
      <c r="A66" s="39"/>
      <c r="B66" s="39"/>
      <c r="C66" s="40" t="s">
        <v>142</v>
      </c>
      <c r="D66" s="39"/>
      <c r="E66" s="39" t="s">
        <v>143</v>
      </c>
      <c r="F66" s="45" t="s">
        <v>145</v>
      </c>
      <c r="G66" s="42">
        <v>0</v>
      </c>
      <c r="H66" s="29" t="s">
        <v>143</v>
      </c>
    </row>
    <row r="67" spans="1:8" ht="12.75" customHeight="1" x14ac:dyDescent="0.2">
      <c r="A67" s="39"/>
      <c r="B67" s="39"/>
      <c r="C67" s="43"/>
      <c r="D67" s="39"/>
      <c r="E67" s="39"/>
      <c r="F67" s="44"/>
      <c r="G67" s="44"/>
      <c r="H67" s="29" t="s">
        <v>143</v>
      </c>
    </row>
    <row r="68" spans="1:8" ht="12.75" customHeight="1" x14ac:dyDescent="0.2">
      <c r="A68" s="39"/>
      <c r="B68" s="39"/>
      <c r="C68" s="40" t="s">
        <v>152</v>
      </c>
      <c r="D68" s="39"/>
      <c r="E68" s="39"/>
      <c r="F68" s="39"/>
      <c r="G68" s="39"/>
      <c r="H68" s="29" t="s">
        <v>143</v>
      </c>
    </row>
    <row r="69" spans="1:8" ht="12.75" customHeight="1" x14ac:dyDescent="0.2">
      <c r="A69" s="39"/>
      <c r="B69" s="39"/>
      <c r="C69" s="40" t="s">
        <v>142</v>
      </c>
      <c r="D69" s="39"/>
      <c r="E69" s="39" t="s">
        <v>143</v>
      </c>
      <c r="F69" s="45" t="s">
        <v>145</v>
      </c>
      <c r="G69" s="42">
        <v>0</v>
      </c>
      <c r="H69" s="29" t="s">
        <v>143</v>
      </c>
    </row>
    <row r="70" spans="1:8" ht="12.75" customHeight="1" x14ac:dyDescent="0.2">
      <c r="A70" s="39"/>
      <c r="B70" s="39"/>
      <c r="C70" s="43"/>
      <c r="D70" s="39"/>
      <c r="E70" s="39"/>
      <c r="F70" s="44"/>
      <c r="G70" s="44"/>
      <c r="H70" s="29" t="s">
        <v>143</v>
      </c>
    </row>
    <row r="71" spans="1:8" ht="12.75" customHeight="1" x14ac:dyDescent="0.2">
      <c r="A71" s="39"/>
      <c r="B71" s="39"/>
      <c r="C71" s="40" t="s">
        <v>153</v>
      </c>
      <c r="D71" s="39"/>
      <c r="E71" s="39"/>
      <c r="F71" s="39"/>
      <c r="G71" s="39"/>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154</v>
      </c>
      <c r="D74" s="39"/>
      <c r="E74" s="39"/>
      <c r="F74" s="44"/>
      <c r="G74" s="44"/>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155</v>
      </c>
      <c r="D77" s="39"/>
      <c r="E77" s="39"/>
      <c r="F77" s="41">
        <v>0</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156</v>
      </c>
      <c r="D79" s="39"/>
      <c r="E79" s="39"/>
      <c r="F79" s="44"/>
      <c r="G79" s="44"/>
      <c r="H79" s="29" t="s">
        <v>143</v>
      </c>
    </row>
    <row r="80" spans="1:8" ht="12.75" customHeight="1" x14ac:dyDescent="0.2">
      <c r="A80" s="39"/>
      <c r="B80" s="39"/>
      <c r="C80" s="40" t="s">
        <v>157</v>
      </c>
      <c r="D80" s="39"/>
      <c r="E80" s="39"/>
      <c r="F80" s="44"/>
      <c r="G80" s="44"/>
      <c r="H80" s="29" t="s">
        <v>143</v>
      </c>
    </row>
    <row r="81" spans="1:8" ht="12.75" customHeight="1" x14ac:dyDescent="0.2">
      <c r="A81" s="39"/>
      <c r="B81" s="39"/>
      <c r="C81" s="40" t="s">
        <v>142</v>
      </c>
      <c r="D81" s="39"/>
      <c r="E81" s="39" t="s">
        <v>143</v>
      </c>
      <c r="F81" s="45" t="s">
        <v>145</v>
      </c>
      <c r="G81" s="42">
        <v>0</v>
      </c>
      <c r="H81" s="29" t="s">
        <v>143</v>
      </c>
    </row>
    <row r="82" spans="1:8" ht="12.75" customHeight="1" x14ac:dyDescent="0.2">
      <c r="A82" s="39"/>
      <c r="B82" s="39"/>
      <c r="C82" s="43"/>
      <c r="D82" s="39"/>
      <c r="E82" s="39"/>
      <c r="F82" s="44"/>
      <c r="G82" s="44"/>
      <c r="H82" s="29" t="s">
        <v>143</v>
      </c>
    </row>
    <row r="83" spans="1:8" ht="12.75" customHeight="1" x14ac:dyDescent="0.2">
      <c r="A83" s="39"/>
      <c r="B83" s="39"/>
      <c r="C83" s="40" t="s">
        <v>158</v>
      </c>
      <c r="D83" s="39"/>
      <c r="E83" s="39"/>
      <c r="F83" s="44"/>
      <c r="G83" s="44"/>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159</v>
      </c>
      <c r="D86" s="39"/>
      <c r="E86" s="39"/>
      <c r="F86" s="44"/>
      <c r="G86" s="44"/>
      <c r="H86" s="29" t="s">
        <v>143</v>
      </c>
    </row>
    <row r="87" spans="1:8" ht="12.75" customHeight="1" x14ac:dyDescent="0.2">
      <c r="A87" s="39"/>
      <c r="B87" s="39"/>
      <c r="C87" s="40" t="s">
        <v>142</v>
      </c>
      <c r="D87" s="39"/>
      <c r="E87" s="39" t="s">
        <v>143</v>
      </c>
      <c r="F87" s="45" t="s">
        <v>145</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160</v>
      </c>
      <c r="D89" s="39"/>
      <c r="E89" s="39"/>
      <c r="F89" s="44"/>
      <c r="G89" s="44"/>
      <c r="H89" s="29" t="s">
        <v>143</v>
      </c>
    </row>
    <row r="90" spans="1:8" ht="12.75" customHeight="1" x14ac:dyDescent="0.2">
      <c r="A90" s="35">
        <v>1</v>
      </c>
      <c r="B90" s="22"/>
      <c r="C90" s="22" t="s">
        <v>161</v>
      </c>
      <c r="D90" s="22"/>
      <c r="E90" s="46"/>
      <c r="F90" s="37">
        <v>222.03140599899999</v>
      </c>
      <c r="G90" s="38">
        <v>6.6164929999999997E-2</v>
      </c>
      <c r="H90" s="29">
        <v>5.51</v>
      </c>
    </row>
    <row r="91" spans="1:8" ht="12.75" customHeight="1" x14ac:dyDescent="0.2">
      <c r="A91" s="39"/>
      <c r="B91" s="39"/>
      <c r="C91" s="40" t="s">
        <v>142</v>
      </c>
      <c r="D91" s="39"/>
      <c r="E91" s="39" t="s">
        <v>143</v>
      </c>
      <c r="F91" s="41">
        <v>222.03140599899999</v>
      </c>
      <c r="G91" s="42">
        <v>6.6164929999999997E-2</v>
      </c>
      <c r="H91" s="29" t="s">
        <v>143</v>
      </c>
    </row>
    <row r="92" spans="1:8" ht="12.75" customHeight="1" x14ac:dyDescent="0.2">
      <c r="A92" s="39"/>
      <c r="B92" s="39"/>
      <c r="C92" s="43"/>
      <c r="D92" s="39"/>
      <c r="E92" s="39"/>
      <c r="F92" s="44"/>
      <c r="G92" s="44"/>
      <c r="H92" s="29" t="s">
        <v>143</v>
      </c>
    </row>
    <row r="93" spans="1:8" ht="12.75" customHeight="1" x14ac:dyDescent="0.2">
      <c r="A93" s="39"/>
      <c r="B93" s="39"/>
      <c r="C93" s="40" t="s">
        <v>162</v>
      </c>
      <c r="D93" s="39"/>
      <c r="E93" s="39"/>
      <c r="F93" s="41">
        <v>222.03140599899999</v>
      </c>
      <c r="G93" s="42">
        <v>6.6164929999999997E-2</v>
      </c>
      <c r="H93" s="29" t="s">
        <v>143</v>
      </c>
    </row>
    <row r="94" spans="1:8" ht="12.75" customHeight="1" x14ac:dyDescent="0.2">
      <c r="A94" s="39"/>
      <c r="B94" s="39"/>
      <c r="C94" s="44"/>
      <c r="D94" s="39"/>
      <c r="E94" s="39"/>
      <c r="F94" s="39"/>
      <c r="G94" s="39"/>
      <c r="H94" s="29" t="s">
        <v>143</v>
      </c>
    </row>
    <row r="95" spans="1:8" ht="12.75" customHeight="1" x14ac:dyDescent="0.2">
      <c r="A95" s="39"/>
      <c r="B95" s="39"/>
      <c r="C95" s="40" t="s">
        <v>163</v>
      </c>
      <c r="D95" s="39"/>
      <c r="E95" s="39"/>
      <c r="F95" s="39"/>
      <c r="G95" s="39"/>
      <c r="H95" s="29" t="s">
        <v>143</v>
      </c>
    </row>
    <row r="96" spans="1:8" ht="12.75" customHeight="1" x14ac:dyDescent="0.2">
      <c r="A96" s="39"/>
      <c r="B96" s="39"/>
      <c r="C96" s="40" t="s">
        <v>164</v>
      </c>
      <c r="D96" s="39"/>
      <c r="E96" s="39"/>
      <c r="F96" s="39"/>
      <c r="G96" s="39"/>
      <c r="H96" s="29" t="s">
        <v>143</v>
      </c>
    </row>
    <row r="97" spans="1:17" ht="12.75" customHeight="1" x14ac:dyDescent="0.2">
      <c r="A97" s="39"/>
      <c r="B97" s="39"/>
      <c r="C97" s="40" t="s">
        <v>142</v>
      </c>
      <c r="D97" s="39"/>
      <c r="E97" s="39" t="s">
        <v>143</v>
      </c>
      <c r="F97" s="45" t="s">
        <v>145</v>
      </c>
      <c r="G97" s="42">
        <v>0</v>
      </c>
      <c r="H97" s="29" t="s">
        <v>143</v>
      </c>
    </row>
    <row r="98" spans="1:17" ht="12.75" customHeight="1" x14ac:dyDescent="0.2">
      <c r="A98" s="39"/>
      <c r="B98" s="39"/>
      <c r="C98" s="43"/>
      <c r="D98" s="39"/>
      <c r="E98" s="39"/>
      <c r="F98" s="44"/>
      <c r="G98" s="44"/>
      <c r="H98" s="29" t="s">
        <v>143</v>
      </c>
    </row>
    <row r="99" spans="1:17" ht="12.75" customHeight="1" x14ac:dyDescent="0.2">
      <c r="A99" s="39"/>
      <c r="B99" s="39"/>
      <c r="C99" s="40" t="s">
        <v>165</v>
      </c>
      <c r="D99" s="39"/>
      <c r="E99" s="39"/>
      <c r="F99" s="39"/>
      <c r="G99" s="39"/>
      <c r="H99" s="29" t="s">
        <v>143</v>
      </c>
    </row>
    <row r="100" spans="1:17" ht="12.75" customHeight="1" x14ac:dyDescent="0.2">
      <c r="A100" s="39"/>
      <c r="B100" s="39"/>
      <c r="C100" s="40" t="s">
        <v>166</v>
      </c>
      <c r="D100" s="39"/>
      <c r="E100" s="39"/>
      <c r="F100" s="39"/>
      <c r="G100" s="39"/>
      <c r="H100" s="29" t="s">
        <v>143</v>
      </c>
    </row>
    <row r="101" spans="1:17" ht="12.75" customHeight="1" x14ac:dyDescent="0.2">
      <c r="A101" s="39"/>
      <c r="B101" s="39"/>
      <c r="C101" s="40" t="s">
        <v>142</v>
      </c>
      <c r="D101" s="39"/>
      <c r="E101" s="39" t="s">
        <v>143</v>
      </c>
      <c r="F101" s="45" t="s">
        <v>145</v>
      </c>
      <c r="G101" s="42">
        <v>0</v>
      </c>
      <c r="H101" s="29" t="s">
        <v>143</v>
      </c>
    </row>
    <row r="102" spans="1:17" ht="12.75" customHeight="1" x14ac:dyDescent="0.2">
      <c r="A102" s="39"/>
      <c r="B102" s="39"/>
      <c r="C102" s="43"/>
      <c r="D102" s="39"/>
      <c r="E102" s="39"/>
      <c r="F102" s="44"/>
      <c r="G102" s="44"/>
      <c r="H102" s="29" t="s">
        <v>143</v>
      </c>
    </row>
    <row r="103" spans="1:17" ht="12.75" customHeight="1" x14ac:dyDescent="0.2">
      <c r="A103" s="39"/>
      <c r="B103" s="39"/>
      <c r="C103" s="40" t="s">
        <v>167</v>
      </c>
      <c r="D103" s="39"/>
      <c r="E103" s="39"/>
      <c r="F103" s="44"/>
      <c r="G103" s="44"/>
      <c r="H103" s="29" t="s">
        <v>143</v>
      </c>
    </row>
    <row r="104" spans="1:17" ht="12.75" customHeight="1" x14ac:dyDescent="0.2">
      <c r="A104" s="39"/>
      <c r="B104" s="39"/>
      <c r="C104" s="40" t="s">
        <v>142</v>
      </c>
      <c r="D104" s="39"/>
      <c r="E104" s="39" t="s">
        <v>143</v>
      </c>
      <c r="F104" s="45" t="s">
        <v>145</v>
      </c>
      <c r="G104" s="42">
        <v>0</v>
      </c>
      <c r="H104" s="29" t="s">
        <v>143</v>
      </c>
    </row>
    <row r="105" spans="1:17" ht="12.75" customHeight="1" x14ac:dyDescent="0.2">
      <c r="A105" s="39"/>
      <c r="B105" s="39"/>
      <c r="C105" s="43"/>
      <c r="D105" s="39"/>
      <c r="E105" s="39"/>
      <c r="F105" s="44"/>
      <c r="G105" s="44"/>
      <c r="H105" s="29" t="s">
        <v>143</v>
      </c>
    </row>
    <row r="106" spans="1:17" ht="12.75" customHeight="1" x14ac:dyDescent="0.2">
      <c r="A106" s="46"/>
      <c r="B106" s="22"/>
      <c r="C106" s="22" t="s">
        <v>168</v>
      </c>
      <c r="D106" s="22"/>
      <c r="E106" s="46"/>
      <c r="F106" s="37">
        <v>-0.77117628000000005</v>
      </c>
      <c r="G106" s="38">
        <v>-2.2981E-4</v>
      </c>
      <c r="H106" s="29" t="s">
        <v>143</v>
      </c>
    </row>
    <row r="107" spans="1:17" ht="12.75" customHeight="1" x14ac:dyDescent="0.2">
      <c r="A107" s="43"/>
      <c r="B107" s="43"/>
      <c r="C107" s="40" t="s">
        <v>169</v>
      </c>
      <c r="D107" s="44"/>
      <c r="E107" s="44"/>
      <c r="F107" s="41">
        <v>3355.7266858190001</v>
      </c>
      <c r="G107" s="47">
        <v>1.00000004</v>
      </c>
      <c r="H107" s="29" t="s">
        <v>143</v>
      </c>
    </row>
    <row r="108" spans="1:17" ht="12.75" customHeight="1" x14ac:dyDescent="0.2">
      <c r="A108" s="48"/>
      <c r="B108" s="48"/>
      <c r="C108" s="49"/>
      <c r="D108" s="50"/>
      <c r="E108" s="50"/>
      <c r="F108" s="51"/>
      <c r="G108" s="52"/>
      <c r="H108" s="53"/>
    </row>
    <row r="109" spans="1:17" x14ac:dyDescent="0.2">
      <c r="A109" s="54"/>
      <c r="B109" s="243" t="s">
        <v>945</v>
      </c>
      <c r="C109" s="243"/>
      <c r="D109" s="243"/>
      <c r="E109" s="243"/>
      <c r="F109" s="243"/>
      <c r="G109" s="243"/>
      <c r="H109" s="243"/>
      <c r="J109" s="56"/>
    </row>
    <row r="110" spans="1:17" x14ac:dyDescent="0.2">
      <c r="A110" s="54"/>
      <c r="B110" s="243" t="s">
        <v>946</v>
      </c>
      <c r="C110" s="243"/>
      <c r="D110" s="243"/>
      <c r="E110" s="243"/>
      <c r="F110" s="243"/>
      <c r="G110" s="243"/>
      <c r="H110" s="243"/>
      <c r="J110" s="56"/>
    </row>
    <row r="111" spans="1:17" x14ac:dyDescent="0.2">
      <c r="A111" s="54"/>
      <c r="B111" s="243" t="s">
        <v>947</v>
      </c>
      <c r="C111" s="243"/>
      <c r="D111" s="243"/>
      <c r="E111" s="243"/>
      <c r="F111" s="243"/>
      <c r="G111" s="243"/>
      <c r="H111" s="243"/>
      <c r="J111" s="56"/>
    </row>
    <row r="112" spans="1:17" s="58" customFormat="1" ht="66.75" customHeight="1" x14ac:dyDescent="0.25">
      <c r="A112" s="57"/>
      <c r="B112" s="244" t="s">
        <v>948</v>
      </c>
      <c r="C112" s="244"/>
      <c r="D112" s="244"/>
      <c r="E112" s="244"/>
      <c r="F112" s="244"/>
      <c r="G112" s="244"/>
      <c r="H112" s="244"/>
      <c r="I112"/>
      <c r="J112" s="56"/>
      <c r="K112"/>
      <c r="L112"/>
      <c r="M112"/>
      <c r="N112"/>
      <c r="O112"/>
      <c r="P112"/>
      <c r="Q112"/>
    </row>
    <row r="113" spans="1:10" x14ac:dyDescent="0.2">
      <c r="A113" s="54"/>
      <c r="B113" s="243" t="s">
        <v>949</v>
      </c>
      <c r="C113" s="243"/>
      <c r="D113" s="243"/>
      <c r="E113" s="243"/>
      <c r="F113" s="243"/>
      <c r="G113" s="243"/>
      <c r="H113" s="243"/>
      <c r="J113" s="56"/>
    </row>
    <row r="114" spans="1:10" x14ac:dyDescent="0.2">
      <c r="A114" s="54"/>
      <c r="B114" s="54"/>
      <c r="C114" s="54"/>
      <c r="D114" s="59"/>
      <c r="E114" s="59"/>
      <c r="F114" s="59"/>
      <c r="G114" s="59"/>
    </row>
    <row r="115" spans="1:10" x14ac:dyDescent="0.2">
      <c r="A115" s="54"/>
      <c r="B115" s="247" t="s">
        <v>170</v>
      </c>
      <c r="C115" s="248"/>
      <c r="D115" s="249"/>
      <c r="E115" s="60"/>
      <c r="F115" s="59"/>
      <c r="G115" s="59"/>
    </row>
    <row r="116" spans="1:10" ht="27.75" customHeight="1" x14ac:dyDescent="0.2">
      <c r="A116" s="54"/>
      <c r="B116" s="240" t="s">
        <v>171</v>
      </c>
      <c r="C116" s="241"/>
      <c r="D116" s="28" t="s">
        <v>172</v>
      </c>
      <c r="E116" s="60"/>
      <c r="F116" s="59"/>
      <c r="G116" s="59"/>
    </row>
    <row r="117" spans="1:10" ht="12.75" customHeight="1" x14ac:dyDescent="0.2">
      <c r="A117" s="54"/>
      <c r="B117" s="240" t="s">
        <v>950</v>
      </c>
      <c r="C117" s="241"/>
      <c r="D117" s="28" t="s">
        <v>172</v>
      </c>
      <c r="E117" s="60"/>
      <c r="F117" s="59"/>
      <c r="G117" s="59"/>
    </row>
    <row r="118" spans="1:10" x14ac:dyDescent="0.2">
      <c r="A118" s="54"/>
      <c r="B118" s="240" t="s">
        <v>173</v>
      </c>
      <c r="C118" s="241"/>
      <c r="D118" s="61" t="s">
        <v>143</v>
      </c>
      <c r="E118" s="60"/>
      <c r="F118" s="59"/>
      <c r="G118" s="59"/>
    </row>
    <row r="119" spans="1:10" x14ac:dyDescent="0.2">
      <c r="A119" s="62"/>
      <c r="B119" s="63" t="s">
        <v>143</v>
      </c>
      <c r="C119" s="63" t="s">
        <v>951</v>
      </c>
      <c r="D119" s="63" t="s">
        <v>174</v>
      </c>
      <c r="E119" s="62"/>
      <c r="F119" s="62"/>
      <c r="G119" s="62"/>
      <c r="H119" s="62"/>
      <c r="J119" s="56"/>
    </row>
    <row r="120" spans="1:10" x14ac:dyDescent="0.2">
      <c r="A120" s="62"/>
      <c r="B120" s="64" t="s">
        <v>175</v>
      </c>
      <c r="C120" s="65">
        <v>45900</v>
      </c>
      <c r="D120" s="65">
        <v>45930</v>
      </c>
      <c r="E120" s="62"/>
      <c r="F120" s="62"/>
      <c r="G120" s="62"/>
      <c r="J120" s="56"/>
    </row>
    <row r="121" spans="1:10" ht="12.75" customHeight="1" x14ac:dyDescent="0.2">
      <c r="A121" s="66"/>
      <c r="B121" s="67" t="s">
        <v>176</v>
      </c>
      <c r="C121" s="68">
        <v>28.559799999999999</v>
      </c>
      <c r="D121" s="68">
        <v>28.8934</v>
      </c>
      <c r="E121" s="66"/>
      <c r="F121" s="69"/>
      <c r="G121" s="70"/>
    </row>
    <row r="122" spans="1:10" ht="12.75" customHeight="1" x14ac:dyDescent="0.2">
      <c r="A122" s="66"/>
      <c r="B122" s="67" t="s">
        <v>1085</v>
      </c>
      <c r="C122" s="68">
        <v>27.1889</v>
      </c>
      <c r="D122" s="68">
        <v>27.506499999999999</v>
      </c>
      <c r="E122" s="66"/>
      <c r="F122" s="69"/>
      <c r="G122" s="70"/>
    </row>
    <row r="123" spans="1:10" ht="12.75" customHeight="1" x14ac:dyDescent="0.2">
      <c r="A123" s="66"/>
      <c r="B123" s="67" t="s">
        <v>177</v>
      </c>
      <c r="C123" s="68">
        <v>27.661899999999999</v>
      </c>
      <c r="D123" s="68">
        <v>27.979800000000001</v>
      </c>
      <c r="E123" s="66"/>
      <c r="F123" s="69"/>
      <c r="G123" s="70"/>
    </row>
    <row r="124" spans="1:10" ht="12.75" customHeight="1" x14ac:dyDescent="0.2">
      <c r="A124" s="66"/>
      <c r="B124" s="67" t="s">
        <v>1086</v>
      </c>
      <c r="C124" s="68">
        <v>26.296500000000002</v>
      </c>
      <c r="D124" s="68">
        <v>26.598600000000001</v>
      </c>
      <c r="E124" s="66"/>
      <c r="F124" s="69"/>
      <c r="G124" s="70"/>
    </row>
    <row r="125" spans="1:10" ht="12.75" customHeight="1" x14ac:dyDescent="0.2">
      <c r="A125" s="66"/>
      <c r="B125" s="66"/>
      <c r="C125" s="66"/>
      <c r="D125" s="66"/>
      <c r="E125" s="66"/>
      <c r="F125" s="66"/>
      <c r="G125" s="66"/>
    </row>
    <row r="126" spans="1:10" x14ac:dyDescent="0.2">
      <c r="A126" s="62"/>
      <c r="B126" s="245" t="s">
        <v>952</v>
      </c>
      <c r="C126" s="246"/>
      <c r="D126" s="71" t="s">
        <v>172</v>
      </c>
      <c r="E126" s="62"/>
      <c r="F126" s="62"/>
      <c r="G126" s="62"/>
    </row>
    <row r="127" spans="1:10" x14ac:dyDescent="0.2">
      <c r="A127" s="72"/>
      <c r="B127" s="73"/>
      <c r="C127" s="73"/>
      <c r="D127" s="73"/>
      <c r="E127" s="72"/>
      <c r="F127" s="72"/>
      <c r="G127" s="72"/>
    </row>
    <row r="128" spans="1:10" x14ac:dyDescent="0.2">
      <c r="A128" s="72"/>
      <c r="B128" s="240" t="s">
        <v>178</v>
      </c>
      <c r="C128" s="241"/>
      <c r="D128" s="28" t="s">
        <v>172</v>
      </c>
      <c r="E128" s="74"/>
      <c r="F128" s="72"/>
      <c r="G128" s="72"/>
    </row>
    <row r="129" spans="1:10" x14ac:dyDescent="0.2">
      <c r="A129" s="72"/>
      <c r="B129" s="240" t="s">
        <v>179</v>
      </c>
      <c r="C129" s="241"/>
      <c r="D129" s="28" t="s">
        <v>172</v>
      </c>
      <c r="E129" s="74"/>
      <c r="F129" s="72"/>
      <c r="G129" s="72"/>
    </row>
    <row r="130" spans="1:10" x14ac:dyDescent="0.2">
      <c r="A130" s="72"/>
      <c r="B130" s="240" t="s">
        <v>180</v>
      </c>
      <c r="C130" s="241"/>
      <c r="D130" s="28" t="s">
        <v>172</v>
      </c>
      <c r="E130" s="74"/>
      <c r="F130" s="72"/>
      <c r="G130" s="72"/>
    </row>
    <row r="131" spans="1:10" x14ac:dyDescent="0.2">
      <c r="A131" s="72"/>
      <c r="B131" s="240" t="s">
        <v>181</v>
      </c>
      <c r="C131" s="241"/>
      <c r="D131" s="75">
        <v>6.4955041308268166E-2</v>
      </c>
      <c r="E131" s="72"/>
      <c r="F131" s="55"/>
      <c r="G131" s="76"/>
    </row>
    <row r="132" spans="1:10" x14ac:dyDescent="0.2"/>
    <row r="133" spans="1:10" x14ac:dyDescent="0.2">
      <c r="B133" s="239" t="s">
        <v>953</v>
      </c>
      <c r="C133" s="239"/>
    </row>
    <row r="134" spans="1:10" x14ac:dyDescent="0.2"/>
    <row r="135" spans="1:10" ht="153.75" customHeight="1" x14ac:dyDescent="0.2"/>
    <row r="136" spans="1:10" x14ac:dyDescent="0.2"/>
    <row r="137" spans="1:10" x14ac:dyDescent="0.2"/>
    <row r="138" spans="1:10" x14ac:dyDescent="0.2">
      <c r="B138" s="77" t="s">
        <v>954</v>
      </c>
      <c r="C138" s="78"/>
      <c r="D138" s="77"/>
    </row>
    <row r="139" spans="1:10" x14ac:dyDescent="0.2">
      <c r="B139" s="77" t="s">
        <v>961</v>
      </c>
      <c r="D139" s="77"/>
    </row>
    <row r="140" spans="1:10" ht="165" customHeight="1" x14ac:dyDescent="0.2"/>
    <row r="141" spans="1:10" x14ac:dyDescent="0.2"/>
    <row r="142" spans="1:10" x14ac:dyDescent="0.2">
      <c r="J142" s="26"/>
    </row>
    <row r="143" spans="1:10" x14ac:dyDescent="0.2"/>
    <row r="144" spans="1:10"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sheetData>
  <mergeCells count="18">
    <mergeCell ref="B115:D115"/>
    <mergeCell ref="B116:C116"/>
    <mergeCell ref="B133:C133"/>
    <mergeCell ref="B131:C131"/>
    <mergeCell ref="A1:H1"/>
    <mergeCell ref="A2:H2"/>
    <mergeCell ref="A3:H3"/>
    <mergeCell ref="B130:C130"/>
    <mergeCell ref="B109:H109"/>
    <mergeCell ref="B110:H110"/>
    <mergeCell ref="B117:C117"/>
    <mergeCell ref="B118:C118"/>
    <mergeCell ref="B128:C128"/>
    <mergeCell ref="B129:C129"/>
    <mergeCell ref="B111:H111"/>
    <mergeCell ref="B112:H112"/>
    <mergeCell ref="B113:H113"/>
    <mergeCell ref="B126:C126"/>
  </mergeCells>
  <hyperlinks>
    <hyperlink ref="I1" location="Index!B2" display="Index" xr:uid="{595DFE96-7E11-4DBE-A08B-39037F2D295E}"/>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0861-AB03-4D95-B5FC-7D70AF0CF348}">
  <sheetPr>
    <outlinePr summaryBelow="0" summaryRight="0"/>
  </sheetPr>
  <dimension ref="A1:Q152"/>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415</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354</v>
      </c>
      <c r="C7" s="22" t="s">
        <v>355</v>
      </c>
      <c r="D7" s="22" t="s">
        <v>188</v>
      </c>
      <c r="E7" s="36">
        <v>21323</v>
      </c>
      <c r="F7" s="37">
        <v>133.68454850000001</v>
      </c>
      <c r="G7" s="38">
        <v>5.944576E-2</v>
      </c>
      <c r="H7" s="29" t="s">
        <v>143</v>
      </c>
    </row>
    <row r="8" spans="1:9" ht="12.75" customHeight="1" x14ac:dyDescent="0.2">
      <c r="A8" s="35">
        <v>2</v>
      </c>
      <c r="B8" s="22" t="s">
        <v>341</v>
      </c>
      <c r="C8" s="22" t="s">
        <v>342</v>
      </c>
      <c r="D8" s="22" t="s">
        <v>259</v>
      </c>
      <c r="E8" s="36">
        <v>6568</v>
      </c>
      <c r="F8" s="37">
        <v>127.924936</v>
      </c>
      <c r="G8" s="38">
        <v>5.6884619999999997E-2</v>
      </c>
      <c r="H8" s="29" t="s">
        <v>143</v>
      </c>
    </row>
    <row r="9" spans="1:9" ht="12.75" customHeight="1" x14ac:dyDescent="0.2">
      <c r="A9" s="35">
        <v>3</v>
      </c>
      <c r="B9" s="22" t="s">
        <v>356</v>
      </c>
      <c r="C9" s="22" t="s">
        <v>357</v>
      </c>
      <c r="D9" s="22" t="s">
        <v>46</v>
      </c>
      <c r="E9" s="36">
        <v>5638</v>
      </c>
      <c r="F9" s="37">
        <v>123.37635400000001</v>
      </c>
      <c r="G9" s="38">
        <v>5.4861989999999999E-2</v>
      </c>
      <c r="H9" s="29" t="s">
        <v>143</v>
      </c>
    </row>
    <row r="10" spans="1:9" ht="12.75" customHeight="1" x14ac:dyDescent="0.2">
      <c r="A10" s="35">
        <v>4</v>
      </c>
      <c r="B10" s="22" t="s">
        <v>65</v>
      </c>
      <c r="C10" s="22" t="s">
        <v>66</v>
      </c>
      <c r="D10" s="22" t="s">
        <v>64</v>
      </c>
      <c r="E10" s="36">
        <v>10955</v>
      </c>
      <c r="F10" s="37">
        <v>90.006280000000004</v>
      </c>
      <c r="G10" s="38">
        <v>4.0023259999999998E-2</v>
      </c>
      <c r="H10" s="29" t="s">
        <v>143</v>
      </c>
    </row>
    <row r="11" spans="1:9" ht="12.75" customHeight="1" x14ac:dyDescent="0.2">
      <c r="A11" s="35">
        <v>5</v>
      </c>
      <c r="B11" s="22" t="s">
        <v>226</v>
      </c>
      <c r="C11" s="22" t="s">
        <v>227</v>
      </c>
      <c r="D11" s="22" t="s">
        <v>191</v>
      </c>
      <c r="E11" s="36">
        <v>700</v>
      </c>
      <c r="F11" s="37">
        <v>89.32</v>
      </c>
      <c r="G11" s="38">
        <v>3.9718089999999998E-2</v>
      </c>
      <c r="H11" s="29" t="s">
        <v>143</v>
      </c>
    </row>
    <row r="12" spans="1:9" ht="12.75" customHeight="1" x14ac:dyDescent="0.2">
      <c r="A12" s="35">
        <v>6</v>
      </c>
      <c r="B12" s="22" t="s">
        <v>358</v>
      </c>
      <c r="C12" s="22" t="s">
        <v>359</v>
      </c>
      <c r="D12" s="22" t="s">
        <v>206</v>
      </c>
      <c r="E12" s="36">
        <v>30085</v>
      </c>
      <c r="F12" s="37">
        <v>88.38973</v>
      </c>
      <c r="G12" s="38">
        <v>3.9304430000000001E-2</v>
      </c>
      <c r="H12" s="29" t="s">
        <v>143</v>
      </c>
    </row>
    <row r="13" spans="1:9" ht="12.75" customHeight="1" x14ac:dyDescent="0.2">
      <c r="A13" s="35">
        <v>7</v>
      </c>
      <c r="B13" s="22" t="s">
        <v>360</v>
      </c>
      <c r="C13" s="22" t="s">
        <v>361</v>
      </c>
      <c r="D13" s="22" t="s">
        <v>33</v>
      </c>
      <c r="E13" s="36">
        <v>178820</v>
      </c>
      <c r="F13" s="37">
        <v>82.883070000000004</v>
      </c>
      <c r="G13" s="38">
        <v>3.6855770000000003E-2</v>
      </c>
      <c r="H13" s="29" t="s">
        <v>143</v>
      </c>
    </row>
    <row r="14" spans="1:9" ht="12.75" customHeight="1" x14ac:dyDescent="0.2">
      <c r="A14" s="35">
        <v>8</v>
      </c>
      <c r="B14" s="22" t="s">
        <v>362</v>
      </c>
      <c r="C14" s="22" t="s">
        <v>363</v>
      </c>
      <c r="D14" s="22" t="s">
        <v>33</v>
      </c>
      <c r="E14" s="36">
        <v>22305</v>
      </c>
      <c r="F14" s="37">
        <v>82.863074999999995</v>
      </c>
      <c r="G14" s="38">
        <v>3.6846879999999999E-2</v>
      </c>
      <c r="H14" s="29" t="s">
        <v>143</v>
      </c>
    </row>
    <row r="15" spans="1:9" ht="12.75" customHeight="1" x14ac:dyDescent="0.2">
      <c r="A15" s="35">
        <v>9</v>
      </c>
      <c r="B15" s="22" t="s">
        <v>372</v>
      </c>
      <c r="C15" s="22" t="s">
        <v>373</v>
      </c>
      <c r="D15" s="22" t="s">
        <v>270</v>
      </c>
      <c r="E15" s="36">
        <v>1756</v>
      </c>
      <c r="F15" s="37">
        <v>81.153540000000007</v>
      </c>
      <c r="G15" s="38">
        <v>3.6086699999999999E-2</v>
      </c>
      <c r="H15" s="29" t="s">
        <v>143</v>
      </c>
    </row>
    <row r="16" spans="1:9" ht="12.75" customHeight="1" x14ac:dyDescent="0.2">
      <c r="A16" s="35">
        <v>10</v>
      </c>
      <c r="B16" s="22" t="s">
        <v>76</v>
      </c>
      <c r="C16" s="22" t="s">
        <v>77</v>
      </c>
      <c r="D16" s="22" t="s">
        <v>64</v>
      </c>
      <c r="E16" s="36">
        <v>1987</v>
      </c>
      <c r="F16" s="37">
        <v>80.717900999999998</v>
      </c>
      <c r="G16" s="38">
        <v>3.5892979999999998E-2</v>
      </c>
      <c r="H16" s="29" t="s">
        <v>143</v>
      </c>
    </row>
    <row r="17" spans="1:8" ht="12.75" customHeight="1" x14ac:dyDescent="0.2">
      <c r="A17" s="35">
        <v>11</v>
      </c>
      <c r="B17" s="22" t="s">
        <v>376</v>
      </c>
      <c r="C17" s="22" t="s">
        <v>377</v>
      </c>
      <c r="D17" s="22" t="s">
        <v>194</v>
      </c>
      <c r="E17" s="36">
        <v>9440</v>
      </c>
      <c r="F17" s="37">
        <v>79.465919999999997</v>
      </c>
      <c r="G17" s="38">
        <v>3.5336260000000001E-2</v>
      </c>
      <c r="H17" s="29" t="s">
        <v>143</v>
      </c>
    </row>
    <row r="18" spans="1:8" ht="12.75" customHeight="1" x14ac:dyDescent="0.2">
      <c r="A18" s="35">
        <v>12</v>
      </c>
      <c r="B18" s="22" t="s">
        <v>366</v>
      </c>
      <c r="C18" s="22" t="s">
        <v>367</v>
      </c>
      <c r="D18" s="22" t="s">
        <v>194</v>
      </c>
      <c r="E18" s="36">
        <v>1238</v>
      </c>
      <c r="F18" s="37">
        <v>78.086849999999998</v>
      </c>
      <c r="G18" s="38">
        <v>3.472302E-2</v>
      </c>
      <c r="H18" s="29" t="s">
        <v>143</v>
      </c>
    </row>
    <row r="19" spans="1:8" ht="12.75" customHeight="1" x14ac:dyDescent="0.2">
      <c r="A19" s="35">
        <v>13</v>
      </c>
      <c r="B19" s="22" t="s">
        <v>364</v>
      </c>
      <c r="C19" s="22" t="s">
        <v>365</v>
      </c>
      <c r="D19" s="22" t="s">
        <v>46</v>
      </c>
      <c r="E19" s="36">
        <v>27896</v>
      </c>
      <c r="F19" s="37">
        <v>75.402888000000004</v>
      </c>
      <c r="G19" s="38">
        <v>3.3529539999999997E-2</v>
      </c>
      <c r="H19" s="29" t="s">
        <v>143</v>
      </c>
    </row>
    <row r="20" spans="1:8" ht="12.75" customHeight="1" x14ac:dyDescent="0.2">
      <c r="A20" s="35">
        <v>14</v>
      </c>
      <c r="B20" s="22" t="s">
        <v>337</v>
      </c>
      <c r="C20" s="22" t="s">
        <v>338</v>
      </c>
      <c r="D20" s="22" t="s">
        <v>223</v>
      </c>
      <c r="E20" s="36">
        <v>958</v>
      </c>
      <c r="F20" s="37">
        <v>74.685680000000005</v>
      </c>
      <c r="G20" s="38">
        <v>3.3210620000000003E-2</v>
      </c>
      <c r="H20" s="29" t="s">
        <v>143</v>
      </c>
    </row>
    <row r="21" spans="1:8" ht="12.75" customHeight="1" x14ac:dyDescent="0.2">
      <c r="A21" s="35">
        <v>15</v>
      </c>
      <c r="B21" s="22" t="s">
        <v>368</v>
      </c>
      <c r="C21" s="22" t="s">
        <v>369</v>
      </c>
      <c r="D21" s="22" t="s">
        <v>215</v>
      </c>
      <c r="E21" s="36">
        <v>9732</v>
      </c>
      <c r="F21" s="37">
        <v>62.747070000000001</v>
      </c>
      <c r="G21" s="38">
        <v>2.7901860000000001E-2</v>
      </c>
      <c r="H21" s="29" t="s">
        <v>143</v>
      </c>
    </row>
    <row r="22" spans="1:8" ht="12.75" customHeight="1" x14ac:dyDescent="0.2">
      <c r="A22" s="35">
        <v>16</v>
      </c>
      <c r="B22" s="22" t="s">
        <v>67</v>
      </c>
      <c r="C22" s="22" t="s">
        <v>68</v>
      </c>
      <c r="D22" s="22" t="s">
        <v>25</v>
      </c>
      <c r="E22" s="36">
        <v>936</v>
      </c>
      <c r="F22" s="37">
        <v>58.968000000000004</v>
      </c>
      <c r="G22" s="38">
        <v>2.6221410000000001E-2</v>
      </c>
      <c r="H22" s="29" t="s">
        <v>143</v>
      </c>
    </row>
    <row r="23" spans="1:8" ht="12.75" customHeight="1" x14ac:dyDescent="0.2">
      <c r="A23" s="35">
        <v>17</v>
      </c>
      <c r="B23" s="22" t="s">
        <v>374</v>
      </c>
      <c r="C23" s="22" t="s">
        <v>375</v>
      </c>
      <c r="D23" s="22" t="s">
        <v>33</v>
      </c>
      <c r="E23" s="36">
        <v>101192</v>
      </c>
      <c r="F23" s="37">
        <v>57.861585599999998</v>
      </c>
      <c r="G23" s="38">
        <v>2.5729419999999999E-2</v>
      </c>
      <c r="H23" s="29" t="s">
        <v>143</v>
      </c>
    </row>
    <row r="24" spans="1:8" ht="12.75" customHeight="1" x14ac:dyDescent="0.2">
      <c r="A24" s="35">
        <v>18</v>
      </c>
      <c r="B24" s="22" t="s">
        <v>380</v>
      </c>
      <c r="C24" s="22" t="s">
        <v>381</v>
      </c>
      <c r="D24" s="22" t="s">
        <v>382</v>
      </c>
      <c r="E24" s="36">
        <v>4462</v>
      </c>
      <c r="F24" s="37">
        <v>47.966500000000003</v>
      </c>
      <c r="G24" s="38">
        <v>2.132935E-2</v>
      </c>
      <c r="H24" s="29" t="s">
        <v>143</v>
      </c>
    </row>
    <row r="25" spans="1:8" ht="12.75" customHeight="1" x14ac:dyDescent="0.2">
      <c r="A25" s="35">
        <v>19</v>
      </c>
      <c r="B25" s="22" t="s">
        <v>385</v>
      </c>
      <c r="C25" s="22" t="s">
        <v>386</v>
      </c>
      <c r="D25" s="22" t="s">
        <v>191</v>
      </c>
      <c r="E25" s="36">
        <v>2453</v>
      </c>
      <c r="F25" s="37">
        <v>46.239049999999999</v>
      </c>
      <c r="G25" s="38">
        <v>2.0561200000000002E-2</v>
      </c>
      <c r="H25" s="29" t="s">
        <v>143</v>
      </c>
    </row>
    <row r="26" spans="1:8" ht="12.75" customHeight="1" x14ac:dyDescent="0.2">
      <c r="A26" s="35">
        <v>20</v>
      </c>
      <c r="B26" s="22" t="s">
        <v>387</v>
      </c>
      <c r="C26" s="22" t="s">
        <v>388</v>
      </c>
      <c r="D26" s="22" t="s">
        <v>389</v>
      </c>
      <c r="E26" s="36">
        <v>13188</v>
      </c>
      <c r="F26" s="37">
        <v>46.065683999999997</v>
      </c>
      <c r="G26" s="38">
        <v>2.048411E-2</v>
      </c>
      <c r="H26" s="29" t="s">
        <v>143</v>
      </c>
    </row>
    <row r="27" spans="1:8" ht="12.75" customHeight="1" x14ac:dyDescent="0.2">
      <c r="A27" s="35">
        <v>21</v>
      </c>
      <c r="B27" s="22" t="s">
        <v>378</v>
      </c>
      <c r="C27" s="22" t="s">
        <v>379</v>
      </c>
      <c r="D27" s="22" t="s">
        <v>223</v>
      </c>
      <c r="E27" s="36">
        <v>1988</v>
      </c>
      <c r="F27" s="37">
        <v>42.394100000000002</v>
      </c>
      <c r="G27" s="38">
        <v>1.885146E-2</v>
      </c>
      <c r="H27" s="29" t="s">
        <v>143</v>
      </c>
    </row>
    <row r="28" spans="1:8" ht="12.75" customHeight="1" x14ac:dyDescent="0.2">
      <c r="A28" s="35">
        <v>22</v>
      </c>
      <c r="B28" s="22" t="s">
        <v>370</v>
      </c>
      <c r="C28" s="22" t="s">
        <v>371</v>
      </c>
      <c r="D28" s="22" t="s">
        <v>194</v>
      </c>
      <c r="E28" s="36">
        <v>2376</v>
      </c>
      <c r="F28" s="37">
        <v>40.622472000000002</v>
      </c>
      <c r="G28" s="38">
        <v>1.806367E-2</v>
      </c>
      <c r="H28" s="29" t="s">
        <v>143</v>
      </c>
    </row>
    <row r="29" spans="1:8" ht="12.75" customHeight="1" x14ac:dyDescent="0.2">
      <c r="A29" s="35">
        <v>23</v>
      </c>
      <c r="B29" s="22" t="s">
        <v>390</v>
      </c>
      <c r="C29" s="22" t="s">
        <v>391</v>
      </c>
      <c r="D29" s="22" t="s">
        <v>64</v>
      </c>
      <c r="E29" s="36">
        <v>8416</v>
      </c>
      <c r="F29" s="37">
        <v>37.106144</v>
      </c>
      <c r="G29" s="38">
        <v>1.650006E-2</v>
      </c>
      <c r="H29" s="29" t="s">
        <v>143</v>
      </c>
    </row>
    <row r="30" spans="1:8" ht="12.75" customHeight="1" x14ac:dyDescent="0.2">
      <c r="A30" s="35">
        <v>24</v>
      </c>
      <c r="B30" s="22" t="s">
        <v>392</v>
      </c>
      <c r="C30" s="22" t="s">
        <v>393</v>
      </c>
      <c r="D30" s="22" t="s">
        <v>206</v>
      </c>
      <c r="E30" s="36">
        <v>5099</v>
      </c>
      <c r="F30" s="37">
        <v>35.060724</v>
      </c>
      <c r="G30" s="38">
        <v>1.559052E-2</v>
      </c>
      <c r="H30" s="29" t="s">
        <v>143</v>
      </c>
    </row>
    <row r="31" spans="1:8" ht="12.75" customHeight="1" x14ac:dyDescent="0.2">
      <c r="A31" s="35">
        <v>25</v>
      </c>
      <c r="B31" s="22" t="s">
        <v>394</v>
      </c>
      <c r="C31" s="22" t="s">
        <v>395</v>
      </c>
      <c r="D31" s="22" t="s">
        <v>191</v>
      </c>
      <c r="E31" s="36">
        <v>3800</v>
      </c>
      <c r="F31" s="37">
        <v>32.816800000000001</v>
      </c>
      <c r="G31" s="38">
        <v>1.459271E-2</v>
      </c>
      <c r="H31" s="29" t="s">
        <v>143</v>
      </c>
    </row>
    <row r="32" spans="1:8" ht="12.75" customHeight="1" x14ac:dyDescent="0.2">
      <c r="A32" s="35">
        <v>26</v>
      </c>
      <c r="B32" s="22" t="s">
        <v>398</v>
      </c>
      <c r="C32" s="22" t="s">
        <v>399</v>
      </c>
      <c r="D32" s="22" t="s">
        <v>133</v>
      </c>
      <c r="E32" s="36">
        <v>18454</v>
      </c>
      <c r="F32" s="37">
        <v>31.1448158</v>
      </c>
      <c r="G32" s="38">
        <v>1.3849220000000001E-2</v>
      </c>
      <c r="H32" s="29" t="s">
        <v>143</v>
      </c>
    </row>
    <row r="33" spans="1:8" ht="12.75" customHeight="1" x14ac:dyDescent="0.2">
      <c r="A33" s="35">
        <v>27</v>
      </c>
      <c r="B33" s="22" t="s">
        <v>400</v>
      </c>
      <c r="C33" s="22" t="s">
        <v>401</v>
      </c>
      <c r="D33" s="22" t="s">
        <v>194</v>
      </c>
      <c r="E33" s="36">
        <v>3747</v>
      </c>
      <c r="F33" s="37">
        <v>29.809258499999999</v>
      </c>
      <c r="G33" s="38">
        <v>1.3255339999999999E-2</v>
      </c>
      <c r="H33" s="29" t="s">
        <v>143</v>
      </c>
    </row>
    <row r="34" spans="1:8" ht="12.75" customHeight="1" x14ac:dyDescent="0.2">
      <c r="A34" s="35">
        <v>28</v>
      </c>
      <c r="B34" s="22" t="s">
        <v>396</v>
      </c>
      <c r="C34" s="22" t="s">
        <v>397</v>
      </c>
      <c r="D34" s="22" t="s">
        <v>259</v>
      </c>
      <c r="E34" s="36">
        <v>7431</v>
      </c>
      <c r="F34" s="37">
        <v>29.783448</v>
      </c>
      <c r="G34" s="38">
        <v>1.324386E-2</v>
      </c>
      <c r="H34" s="29" t="s">
        <v>143</v>
      </c>
    </row>
    <row r="35" spans="1:8" ht="12.75" customHeight="1" x14ac:dyDescent="0.2">
      <c r="A35" s="35">
        <v>29</v>
      </c>
      <c r="B35" s="22" t="s">
        <v>297</v>
      </c>
      <c r="C35" s="22" t="s">
        <v>298</v>
      </c>
      <c r="D35" s="22" t="s">
        <v>64</v>
      </c>
      <c r="E35" s="36">
        <v>1691</v>
      </c>
      <c r="F35" s="37">
        <v>26.856462000000001</v>
      </c>
      <c r="G35" s="38">
        <v>1.1942309999999999E-2</v>
      </c>
      <c r="H35" s="29" t="s">
        <v>143</v>
      </c>
    </row>
    <row r="36" spans="1:8" ht="12.75" customHeight="1" x14ac:dyDescent="0.2">
      <c r="A36" s="35">
        <v>30</v>
      </c>
      <c r="B36" s="22" t="s">
        <v>404</v>
      </c>
      <c r="C36" s="22" t="s">
        <v>405</v>
      </c>
      <c r="D36" s="22" t="s">
        <v>215</v>
      </c>
      <c r="E36" s="36">
        <v>7579</v>
      </c>
      <c r="F36" s="37">
        <v>26.750080499999999</v>
      </c>
      <c r="G36" s="38">
        <v>1.1895009999999999E-2</v>
      </c>
      <c r="H36" s="29" t="s">
        <v>143</v>
      </c>
    </row>
    <row r="37" spans="1:8" ht="12.75" customHeight="1" x14ac:dyDescent="0.2">
      <c r="A37" s="35">
        <v>31</v>
      </c>
      <c r="B37" s="22" t="s">
        <v>406</v>
      </c>
      <c r="C37" s="22" t="s">
        <v>407</v>
      </c>
      <c r="D37" s="22" t="s">
        <v>408</v>
      </c>
      <c r="E37" s="36">
        <v>2030</v>
      </c>
      <c r="F37" s="37">
        <v>23.917459999999998</v>
      </c>
      <c r="G37" s="38">
        <v>1.063542E-2</v>
      </c>
      <c r="H37" s="29" t="s">
        <v>143</v>
      </c>
    </row>
    <row r="38" spans="1:8" ht="12.75" customHeight="1" x14ac:dyDescent="0.2">
      <c r="A38" s="35">
        <v>32</v>
      </c>
      <c r="B38" s="22" t="s">
        <v>402</v>
      </c>
      <c r="C38" s="22" t="s">
        <v>403</v>
      </c>
      <c r="D38" s="22" t="s">
        <v>46</v>
      </c>
      <c r="E38" s="36">
        <v>2745</v>
      </c>
      <c r="F38" s="37">
        <v>22.319595</v>
      </c>
      <c r="G38" s="38">
        <v>9.9249000000000004E-3</v>
      </c>
      <c r="H38" s="29" t="s">
        <v>143</v>
      </c>
    </row>
    <row r="39" spans="1:8" ht="12.75" customHeight="1" x14ac:dyDescent="0.2">
      <c r="A39" s="35">
        <v>33</v>
      </c>
      <c r="B39" s="22" t="s">
        <v>211</v>
      </c>
      <c r="C39" s="22" t="s">
        <v>212</v>
      </c>
      <c r="D39" s="22" t="s">
        <v>90</v>
      </c>
      <c r="E39" s="36">
        <v>1390</v>
      </c>
      <c r="F39" s="37">
        <v>21.621449999999999</v>
      </c>
      <c r="G39" s="38">
        <v>9.6144500000000001E-3</v>
      </c>
      <c r="H39" s="29" t="s">
        <v>143</v>
      </c>
    </row>
    <row r="40" spans="1:8" ht="12.75" customHeight="1" x14ac:dyDescent="0.2">
      <c r="A40" s="35">
        <v>34</v>
      </c>
      <c r="B40" s="22" t="s">
        <v>409</v>
      </c>
      <c r="C40" s="22" t="s">
        <v>410</v>
      </c>
      <c r="D40" s="22" t="s">
        <v>46</v>
      </c>
      <c r="E40" s="36">
        <v>2810</v>
      </c>
      <c r="F40" s="37">
        <v>19.240069999999999</v>
      </c>
      <c r="G40" s="38">
        <v>8.5555200000000005E-3</v>
      </c>
      <c r="H40" s="29" t="s">
        <v>143</v>
      </c>
    </row>
    <row r="41" spans="1:8" ht="12.75" customHeight="1" x14ac:dyDescent="0.2">
      <c r="A41" s="35">
        <v>35</v>
      </c>
      <c r="B41" s="22" t="s">
        <v>383</v>
      </c>
      <c r="C41" s="22" t="s">
        <v>384</v>
      </c>
      <c r="D41" s="22" t="s">
        <v>191</v>
      </c>
      <c r="E41" s="36">
        <v>2512</v>
      </c>
      <c r="F41" s="37">
        <v>19.171583999999999</v>
      </c>
      <c r="G41" s="38">
        <v>8.5250599999999992E-3</v>
      </c>
      <c r="H41" s="29" t="s">
        <v>143</v>
      </c>
    </row>
    <row r="42" spans="1:8" ht="12.75" customHeight="1" x14ac:dyDescent="0.2">
      <c r="A42" s="35">
        <v>36</v>
      </c>
      <c r="B42" s="22" t="s">
        <v>411</v>
      </c>
      <c r="C42" s="22" t="s">
        <v>412</v>
      </c>
      <c r="D42" s="22" t="s">
        <v>64</v>
      </c>
      <c r="E42" s="36">
        <v>1475</v>
      </c>
      <c r="F42" s="37">
        <v>13.6385875</v>
      </c>
      <c r="G42" s="38">
        <v>6.0647000000000001E-3</v>
      </c>
      <c r="H42" s="29" t="s">
        <v>143</v>
      </c>
    </row>
    <row r="43" spans="1:8" ht="12.75" customHeight="1" x14ac:dyDescent="0.2">
      <c r="A43" s="35">
        <v>37</v>
      </c>
      <c r="B43" s="22" t="s">
        <v>88</v>
      </c>
      <c r="C43" s="22" t="s">
        <v>89</v>
      </c>
      <c r="D43" s="22" t="s">
        <v>90</v>
      </c>
      <c r="E43" s="36">
        <v>1521</v>
      </c>
      <c r="F43" s="37">
        <v>13.6289205</v>
      </c>
      <c r="G43" s="38">
        <v>6.0603999999999996E-3</v>
      </c>
      <c r="H43" s="29" t="s">
        <v>143</v>
      </c>
    </row>
    <row r="44" spans="1:8" ht="12.75" customHeight="1" x14ac:dyDescent="0.2">
      <c r="A44" s="35">
        <v>38</v>
      </c>
      <c r="B44" s="22" t="s">
        <v>413</v>
      </c>
      <c r="C44" s="22" t="s">
        <v>414</v>
      </c>
      <c r="D44" s="22" t="s">
        <v>41</v>
      </c>
      <c r="E44" s="36">
        <v>2606</v>
      </c>
      <c r="F44" s="37">
        <v>8.0316919999999996</v>
      </c>
      <c r="G44" s="38">
        <v>3.5714700000000002E-3</v>
      </c>
      <c r="H44" s="29" t="s">
        <v>143</v>
      </c>
    </row>
    <row r="45" spans="1:8" ht="12.75" customHeight="1" x14ac:dyDescent="0.2">
      <c r="A45" s="39"/>
      <c r="B45" s="39"/>
      <c r="C45" s="40" t="s">
        <v>142</v>
      </c>
      <c r="D45" s="39"/>
      <c r="E45" s="39" t="s">
        <v>143</v>
      </c>
      <c r="F45" s="41">
        <v>2081.7223259000002</v>
      </c>
      <c r="G45" s="42">
        <v>0.92568335000000002</v>
      </c>
      <c r="H45" s="29" t="s">
        <v>143</v>
      </c>
    </row>
    <row r="46" spans="1:8" ht="12.75" customHeight="1" x14ac:dyDescent="0.2">
      <c r="A46" s="39"/>
      <c r="B46" s="39"/>
      <c r="C46" s="43"/>
      <c r="D46" s="39"/>
      <c r="E46" s="39"/>
      <c r="F46" s="44"/>
      <c r="G46" s="44"/>
      <c r="H46" s="29" t="s">
        <v>143</v>
      </c>
    </row>
    <row r="47" spans="1:8" ht="12.75" customHeight="1" x14ac:dyDescent="0.2">
      <c r="A47" s="39"/>
      <c r="B47" s="39"/>
      <c r="C47" s="40" t="s">
        <v>144</v>
      </c>
      <c r="D47" s="39"/>
      <c r="E47" s="39"/>
      <c r="F47" s="39"/>
      <c r="G47" s="39"/>
      <c r="H47" s="29" t="s">
        <v>143</v>
      </c>
    </row>
    <row r="48" spans="1:8" ht="12.75" customHeight="1" x14ac:dyDescent="0.2">
      <c r="A48" s="39"/>
      <c r="B48" s="39"/>
      <c r="C48" s="40" t="s">
        <v>142</v>
      </c>
      <c r="D48" s="39"/>
      <c r="E48" s="39" t="s">
        <v>143</v>
      </c>
      <c r="F48" s="45" t="s">
        <v>145</v>
      </c>
      <c r="G48" s="42">
        <v>0</v>
      </c>
      <c r="H48" s="29" t="s">
        <v>143</v>
      </c>
    </row>
    <row r="49" spans="1:8" ht="12.75" customHeight="1" x14ac:dyDescent="0.2">
      <c r="A49" s="39"/>
      <c r="B49" s="39"/>
      <c r="C49" s="43"/>
      <c r="D49" s="39"/>
      <c r="E49" s="39"/>
      <c r="F49" s="44"/>
      <c r="G49" s="44"/>
      <c r="H49" s="29" t="s">
        <v>143</v>
      </c>
    </row>
    <row r="50" spans="1:8" ht="12.75" customHeight="1" x14ac:dyDescent="0.2">
      <c r="A50" s="39"/>
      <c r="B50" s="39"/>
      <c r="C50" s="40" t="s">
        <v>146</v>
      </c>
      <c r="D50" s="39"/>
      <c r="E50" s="39"/>
      <c r="F50" s="39"/>
      <c r="G50" s="39"/>
      <c r="H50" s="29" t="s">
        <v>143</v>
      </c>
    </row>
    <row r="51" spans="1:8" ht="12.75" customHeight="1" x14ac:dyDescent="0.2">
      <c r="A51" s="39"/>
      <c r="B51" s="39"/>
      <c r="C51" s="40" t="s">
        <v>142</v>
      </c>
      <c r="D51" s="39"/>
      <c r="E51" s="39" t="s">
        <v>143</v>
      </c>
      <c r="F51" s="45" t="s">
        <v>145</v>
      </c>
      <c r="G51" s="42">
        <v>0</v>
      </c>
      <c r="H51" s="29" t="s">
        <v>143</v>
      </c>
    </row>
    <row r="52" spans="1:8" ht="12.75" customHeight="1" x14ac:dyDescent="0.2">
      <c r="A52" s="39"/>
      <c r="B52" s="39"/>
      <c r="C52" s="43"/>
      <c r="D52" s="39"/>
      <c r="E52" s="39"/>
      <c r="F52" s="44"/>
      <c r="G52" s="44"/>
      <c r="H52" s="29" t="s">
        <v>143</v>
      </c>
    </row>
    <row r="53" spans="1:8" ht="12.75" customHeight="1" x14ac:dyDescent="0.2">
      <c r="A53" s="39"/>
      <c r="B53" s="39"/>
      <c r="C53" s="40" t="s">
        <v>147</v>
      </c>
      <c r="D53" s="39"/>
      <c r="E53" s="39"/>
      <c r="F53" s="39"/>
      <c r="G53" s="39"/>
      <c r="H53" s="29" t="s">
        <v>143</v>
      </c>
    </row>
    <row r="54" spans="1:8" ht="12.75" customHeight="1" x14ac:dyDescent="0.2">
      <c r="A54" s="39"/>
      <c r="B54" s="39"/>
      <c r="C54" s="40" t="s">
        <v>142</v>
      </c>
      <c r="D54" s="39"/>
      <c r="E54" s="39" t="s">
        <v>143</v>
      </c>
      <c r="F54" s="45" t="s">
        <v>145</v>
      </c>
      <c r="G54" s="42">
        <v>0</v>
      </c>
      <c r="H54" s="29" t="s">
        <v>143</v>
      </c>
    </row>
    <row r="55" spans="1:8" ht="12.75" customHeight="1" x14ac:dyDescent="0.2">
      <c r="A55" s="39"/>
      <c r="B55" s="39"/>
      <c r="C55" s="43"/>
      <c r="D55" s="39"/>
      <c r="E55" s="39"/>
      <c r="F55" s="44"/>
      <c r="G55" s="44"/>
      <c r="H55" s="29" t="s">
        <v>143</v>
      </c>
    </row>
    <row r="56" spans="1:8" ht="12.75" customHeight="1" x14ac:dyDescent="0.2">
      <c r="A56" s="39"/>
      <c r="B56" s="39"/>
      <c r="C56" s="40" t="s">
        <v>148</v>
      </c>
      <c r="D56" s="39"/>
      <c r="E56" s="39"/>
      <c r="F56" s="44"/>
      <c r="G56" s="44"/>
      <c r="H56" s="29" t="s">
        <v>143</v>
      </c>
    </row>
    <row r="57" spans="1:8" ht="12.75" customHeight="1" x14ac:dyDescent="0.2">
      <c r="A57" s="39"/>
      <c r="B57" s="39"/>
      <c r="C57" s="40" t="s">
        <v>142</v>
      </c>
      <c r="D57" s="39"/>
      <c r="E57" s="39" t="s">
        <v>143</v>
      </c>
      <c r="F57" s="45" t="s">
        <v>145</v>
      </c>
      <c r="G57" s="42">
        <v>0</v>
      </c>
      <c r="H57" s="29" t="s">
        <v>143</v>
      </c>
    </row>
    <row r="58" spans="1:8" ht="12.75" customHeight="1" x14ac:dyDescent="0.2">
      <c r="A58" s="39"/>
      <c r="B58" s="39"/>
      <c r="C58" s="43"/>
      <c r="D58" s="39"/>
      <c r="E58" s="39"/>
      <c r="F58" s="44"/>
      <c r="G58" s="44"/>
      <c r="H58" s="29" t="s">
        <v>143</v>
      </c>
    </row>
    <row r="59" spans="1:8" ht="12.75" customHeight="1" x14ac:dyDescent="0.2">
      <c r="A59" s="39"/>
      <c r="B59" s="39"/>
      <c r="C59" s="40" t="s">
        <v>149</v>
      </c>
      <c r="D59" s="39"/>
      <c r="E59" s="39"/>
      <c r="F59" s="44"/>
      <c r="G59" s="44"/>
      <c r="H59" s="29" t="s">
        <v>143</v>
      </c>
    </row>
    <row r="60" spans="1:8" ht="12.75" customHeight="1" x14ac:dyDescent="0.2">
      <c r="A60" s="39"/>
      <c r="B60" s="39"/>
      <c r="C60" s="40" t="s">
        <v>142</v>
      </c>
      <c r="D60" s="39"/>
      <c r="E60" s="39" t="s">
        <v>143</v>
      </c>
      <c r="F60" s="45" t="s">
        <v>145</v>
      </c>
      <c r="G60" s="42">
        <v>0</v>
      </c>
      <c r="H60" s="29" t="s">
        <v>143</v>
      </c>
    </row>
    <row r="61" spans="1:8" ht="12.75" customHeight="1" x14ac:dyDescent="0.2">
      <c r="A61" s="39"/>
      <c r="B61" s="39"/>
      <c r="C61" s="43"/>
      <c r="D61" s="39"/>
      <c r="E61" s="39"/>
      <c r="F61" s="44"/>
      <c r="G61" s="44"/>
      <c r="H61" s="29" t="s">
        <v>143</v>
      </c>
    </row>
    <row r="62" spans="1:8" ht="12.75" customHeight="1" x14ac:dyDescent="0.2">
      <c r="A62" s="39"/>
      <c r="B62" s="39"/>
      <c r="C62" s="40" t="s">
        <v>150</v>
      </c>
      <c r="D62" s="39"/>
      <c r="E62" s="39"/>
      <c r="F62" s="41">
        <v>2081.7223259000002</v>
      </c>
      <c r="G62" s="42">
        <v>0.92568335000000002</v>
      </c>
      <c r="H62" s="29" t="s">
        <v>143</v>
      </c>
    </row>
    <row r="63" spans="1:8" ht="12.75" customHeight="1" x14ac:dyDescent="0.2">
      <c r="A63" s="39"/>
      <c r="B63" s="39"/>
      <c r="C63" s="43"/>
      <c r="D63" s="39"/>
      <c r="E63" s="39"/>
      <c r="F63" s="44"/>
      <c r="G63" s="44"/>
      <c r="H63" s="29" t="s">
        <v>143</v>
      </c>
    </row>
    <row r="64" spans="1:8" ht="12.75" customHeight="1" x14ac:dyDescent="0.2">
      <c r="A64" s="39"/>
      <c r="B64" s="39"/>
      <c r="C64" s="40" t="s">
        <v>151</v>
      </c>
      <c r="D64" s="39"/>
      <c r="E64" s="39"/>
      <c r="F64" s="44"/>
      <c r="G64" s="44"/>
      <c r="H64" s="29" t="s">
        <v>143</v>
      </c>
    </row>
    <row r="65" spans="1:8" ht="12.75" customHeight="1" x14ac:dyDescent="0.2">
      <c r="A65" s="39"/>
      <c r="B65" s="39"/>
      <c r="C65" s="40" t="s">
        <v>10</v>
      </c>
      <c r="D65" s="39"/>
      <c r="E65" s="39"/>
      <c r="F65" s="44"/>
      <c r="G65" s="44"/>
      <c r="H65" s="29" t="s">
        <v>143</v>
      </c>
    </row>
    <row r="66" spans="1:8" ht="12.75" customHeight="1" x14ac:dyDescent="0.2">
      <c r="A66" s="39"/>
      <c r="B66" s="39"/>
      <c r="C66" s="40" t="s">
        <v>142</v>
      </c>
      <c r="D66" s="39"/>
      <c r="E66" s="39" t="s">
        <v>143</v>
      </c>
      <c r="F66" s="45" t="s">
        <v>145</v>
      </c>
      <c r="G66" s="42">
        <v>0</v>
      </c>
      <c r="H66" s="29" t="s">
        <v>143</v>
      </c>
    </row>
    <row r="67" spans="1:8" ht="12.75" customHeight="1" x14ac:dyDescent="0.2">
      <c r="A67" s="39"/>
      <c r="B67" s="39"/>
      <c r="C67" s="43"/>
      <c r="D67" s="39"/>
      <c r="E67" s="39"/>
      <c r="F67" s="44"/>
      <c r="G67" s="44"/>
      <c r="H67" s="29" t="s">
        <v>143</v>
      </c>
    </row>
    <row r="68" spans="1:8" ht="12.75" customHeight="1" x14ac:dyDescent="0.2">
      <c r="A68" s="39"/>
      <c r="B68" s="39"/>
      <c r="C68" s="40" t="s">
        <v>152</v>
      </c>
      <c r="D68" s="39"/>
      <c r="E68" s="39"/>
      <c r="F68" s="39"/>
      <c r="G68" s="39"/>
      <c r="H68" s="29" t="s">
        <v>143</v>
      </c>
    </row>
    <row r="69" spans="1:8" ht="12.75" customHeight="1" x14ac:dyDescent="0.2">
      <c r="A69" s="39"/>
      <c r="B69" s="39"/>
      <c r="C69" s="40" t="s">
        <v>142</v>
      </c>
      <c r="D69" s="39"/>
      <c r="E69" s="39" t="s">
        <v>143</v>
      </c>
      <c r="F69" s="45" t="s">
        <v>145</v>
      </c>
      <c r="G69" s="42">
        <v>0</v>
      </c>
      <c r="H69" s="29" t="s">
        <v>143</v>
      </c>
    </row>
    <row r="70" spans="1:8" ht="12.75" customHeight="1" x14ac:dyDescent="0.2">
      <c r="A70" s="39"/>
      <c r="B70" s="39"/>
      <c r="C70" s="43"/>
      <c r="D70" s="39"/>
      <c r="E70" s="39"/>
      <c r="F70" s="44"/>
      <c r="G70" s="44"/>
      <c r="H70" s="29" t="s">
        <v>143</v>
      </c>
    </row>
    <row r="71" spans="1:8" ht="12.75" customHeight="1" x14ac:dyDescent="0.2">
      <c r="A71" s="39"/>
      <c r="B71" s="39"/>
      <c r="C71" s="40" t="s">
        <v>153</v>
      </c>
      <c r="D71" s="39"/>
      <c r="E71" s="39"/>
      <c r="F71" s="39"/>
      <c r="G71" s="39"/>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154</v>
      </c>
      <c r="D74" s="39"/>
      <c r="E74" s="39"/>
      <c r="F74" s="44"/>
      <c r="G74" s="44"/>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155</v>
      </c>
      <c r="D77" s="39"/>
      <c r="E77" s="39"/>
      <c r="F77" s="41">
        <v>0</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156</v>
      </c>
      <c r="D79" s="39"/>
      <c r="E79" s="39"/>
      <c r="F79" s="44"/>
      <c r="G79" s="44"/>
      <c r="H79" s="29" t="s">
        <v>143</v>
      </c>
    </row>
    <row r="80" spans="1:8" ht="12.75" customHeight="1" x14ac:dyDescent="0.2">
      <c r="A80" s="39"/>
      <c r="B80" s="39"/>
      <c r="C80" s="40" t="s">
        <v>157</v>
      </c>
      <c r="D80" s="39"/>
      <c r="E80" s="39"/>
      <c r="F80" s="44"/>
      <c r="G80" s="44"/>
      <c r="H80" s="29" t="s">
        <v>143</v>
      </c>
    </row>
    <row r="81" spans="1:8" ht="12.75" customHeight="1" x14ac:dyDescent="0.2">
      <c r="A81" s="39"/>
      <c r="B81" s="39"/>
      <c r="C81" s="40" t="s">
        <v>142</v>
      </c>
      <c r="D81" s="39"/>
      <c r="E81" s="39" t="s">
        <v>143</v>
      </c>
      <c r="F81" s="45" t="s">
        <v>145</v>
      </c>
      <c r="G81" s="42">
        <v>0</v>
      </c>
      <c r="H81" s="29" t="s">
        <v>143</v>
      </c>
    </row>
    <row r="82" spans="1:8" ht="12.75" customHeight="1" x14ac:dyDescent="0.2">
      <c r="A82" s="39"/>
      <c r="B82" s="39"/>
      <c r="C82" s="43"/>
      <c r="D82" s="39"/>
      <c r="E82" s="39"/>
      <c r="F82" s="44"/>
      <c r="G82" s="44"/>
      <c r="H82" s="29" t="s">
        <v>143</v>
      </c>
    </row>
    <row r="83" spans="1:8" ht="12.75" customHeight="1" x14ac:dyDescent="0.2">
      <c r="A83" s="39"/>
      <c r="B83" s="39"/>
      <c r="C83" s="40" t="s">
        <v>158</v>
      </c>
      <c r="D83" s="39"/>
      <c r="E83" s="39"/>
      <c r="F83" s="44"/>
      <c r="G83" s="44"/>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159</v>
      </c>
      <c r="D86" s="39"/>
      <c r="E86" s="39"/>
      <c r="F86" s="44"/>
      <c r="G86" s="44"/>
      <c r="H86" s="29" t="s">
        <v>143</v>
      </c>
    </row>
    <row r="87" spans="1:8" ht="12.75" customHeight="1" x14ac:dyDescent="0.2">
      <c r="A87" s="39"/>
      <c r="B87" s="39"/>
      <c r="C87" s="40" t="s">
        <v>142</v>
      </c>
      <c r="D87" s="39"/>
      <c r="E87" s="39" t="s">
        <v>143</v>
      </c>
      <c r="F87" s="45" t="s">
        <v>145</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160</v>
      </c>
      <c r="D89" s="39"/>
      <c r="E89" s="39"/>
      <c r="F89" s="44"/>
      <c r="G89" s="44"/>
      <c r="H89" s="29" t="s">
        <v>143</v>
      </c>
    </row>
    <row r="90" spans="1:8" ht="12.75" customHeight="1" x14ac:dyDescent="0.2">
      <c r="A90" s="35">
        <v>1</v>
      </c>
      <c r="B90" s="22"/>
      <c r="C90" s="22" t="s">
        <v>161</v>
      </c>
      <c r="D90" s="22"/>
      <c r="E90" s="46"/>
      <c r="F90" s="37">
        <v>166.763735999</v>
      </c>
      <c r="G90" s="38">
        <v>7.4155139999999994E-2</v>
      </c>
      <c r="H90" s="29">
        <v>5.51</v>
      </c>
    </row>
    <row r="91" spans="1:8" ht="12.75" customHeight="1" x14ac:dyDescent="0.2">
      <c r="A91" s="39"/>
      <c r="B91" s="39"/>
      <c r="C91" s="40" t="s">
        <v>142</v>
      </c>
      <c r="D91" s="39"/>
      <c r="E91" s="39" t="s">
        <v>143</v>
      </c>
      <c r="F91" s="41">
        <v>166.763735999</v>
      </c>
      <c r="G91" s="42">
        <v>7.4155139999999994E-2</v>
      </c>
      <c r="H91" s="29" t="s">
        <v>143</v>
      </c>
    </row>
    <row r="92" spans="1:8" ht="12.75" customHeight="1" x14ac:dyDescent="0.2">
      <c r="A92" s="39"/>
      <c r="B92" s="39"/>
      <c r="C92" s="43"/>
      <c r="D92" s="39"/>
      <c r="E92" s="39"/>
      <c r="F92" s="44"/>
      <c r="G92" s="44"/>
      <c r="H92" s="29" t="s">
        <v>143</v>
      </c>
    </row>
    <row r="93" spans="1:8" ht="12.75" customHeight="1" x14ac:dyDescent="0.2">
      <c r="A93" s="39"/>
      <c r="B93" s="39"/>
      <c r="C93" s="40" t="s">
        <v>162</v>
      </c>
      <c r="D93" s="39"/>
      <c r="E93" s="39"/>
      <c r="F93" s="41">
        <v>166.763735999</v>
      </c>
      <c r="G93" s="42">
        <v>7.4155139999999994E-2</v>
      </c>
      <c r="H93" s="29" t="s">
        <v>143</v>
      </c>
    </row>
    <row r="94" spans="1:8" ht="12.75" customHeight="1" x14ac:dyDescent="0.2">
      <c r="A94" s="39"/>
      <c r="B94" s="39"/>
      <c r="C94" s="44"/>
      <c r="D94" s="39"/>
      <c r="E94" s="39"/>
      <c r="F94" s="39"/>
      <c r="G94" s="39"/>
      <c r="H94" s="29" t="s">
        <v>143</v>
      </c>
    </row>
    <row r="95" spans="1:8" ht="12.75" customHeight="1" x14ac:dyDescent="0.2">
      <c r="A95" s="39"/>
      <c r="B95" s="39"/>
      <c r="C95" s="40" t="s">
        <v>163</v>
      </c>
      <c r="D95" s="39"/>
      <c r="E95" s="39"/>
      <c r="F95" s="39"/>
      <c r="G95" s="39"/>
      <c r="H95" s="29" t="s">
        <v>143</v>
      </c>
    </row>
    <row r="96" spans="1:8" ht="12.75" customHeight="1" x14ac:dyDescent="0.2">
      <c r="A96" s="39"/>
      <c r="B96" s="39"/>
      <c r="C96" s="40" t="s">
        <v>164</v>
      </c>
      <c r="D96" s="39"/>
      <c r="E96" s="39"/>
      <c r="F96" s="39"/>
      <c r="G96" s="39"/>
      <c r="H96" s="29" t="s">
        <v>143</v>
      </c>
    </row>
    <row r="97" spans="1:17" ht="12.75" customHeight="1" x14ac:dyDescent="0.2">
      <c r="A97" s="39"/>
      <c r="B97" s="39"/>
      <c r="C97" s="40" t="s">
        <v>142</v>
      </c>
      <c r="D97" s="39"/>
      <c r="E97" s="39" t="s">
        <v>143</v>
      </c>
      <c r="F97" s="45" t="s">
        <v>145</v>
      </c>
      <c r="G97" s="42">
        <v>0</v>
      </c>
      <c r="H97" s="29" t="s">
        <v>143</v>
      </c>
    </row>
    <row r="98" spans="1:17" ht="12.75" customHeight="1" x14ac:dyDescent="0.2">
      <c r="A98" s="39"/>
      <c r="B98" s="39"/>
      <c r="C98" s="43"/>
      <c r="D98" s="39"/>
      <c r="E98" s="39"/>
      <c r="F98" s="44"/>
      <c r="G98" s="44"/>
      <c r="H98" s="29" t="s">
        <v>143</v>
      </c>
    </row>
    <row r="99" spans="1:17" ht="12.75" customHeight="1" x14ac:dyDescent="0.2">
      <c r="A99" s="39"/>
      <c r="B99" s="39"/>
      <c r="C99" s="40" t="s">
        <v>165</v>
      </c>
      <c r="D99" s="39"/>
      <c r="E99" s="39"/>
      <c r="F99" s="39"/>
      <c r="G99" s="39"/>
      <c r="H99" s="29" t="s">
        <v>143</v>
      </c>
    </row>
    <row r="100" spans="1:17" ht="12.75" customHeight="1" x14ac:dyDescent="0.2">
      <c r="A100" s="39"/>
      <c r="B100" s="39"/>
      <c r="C100" s="40" t="s">
        <v>166</v>
      </c>
      <c r="D100" s="39"/>
      <c r="E100" s="39"/>
      <c r="F100" s="39"/>
      <c r="G100" s="39"/>
      <c r="H100" s="29" t="s">
        <v>143</v>
      </c>
    </row>
    <row r="101" spans="1:17" ht="12.75" customHeight="1" x14ac:dyDescent="0.2">
      <c r="A101" s="39"/>
      <c r="B101" s="39"/>
      <c r="C101" s="40" t="s">
        <v>142</v>
      </c>
      <c r="D101" s="39"/>
      <c r="E101" s="39" t="s">
        <v>143</v>
      </c>
      <c r="F101" s="45" t="s">
        <v>145</v>
      </c>
      <c r="G101" s="42">
        <v>0</v>
      </c>
      <c r="H101" s="29" t="s">
        <v>143</v>
      </c>
    </row>
    <row r="102" spans="1:17" ht="12.75" customHeight="1" x14ac:dyDescent="0.2">
      <c r="A102" s="39"/>
      <c r="B102" s="39"/>
      <c r="C102" s="43"/>
      <c r="D102" s="39"/>
      <c r="E102" s="39"/>
      <c r="F102" s="44"/>
      <c r="G102" s="44"/>
      <c r="H102" s="29" t="s">
        <v>143</v>
      </c>
    </row>
    <row r="103" spans="1:17" ht="12.75" customHeight="1" x14ac:dyDescent="0.2">
      <c r="A103" s="39"/>
      <c r="B103" s="39"/>
      <c r="C103" s="40" t="s">
        <v>167</v>
      </c>
      <c r="D103" s="39"/>
      <c r="E103" s="39"/>
      <c r="F103" s="44"/>
      <c r="G103" s="44"/>
      <c r="H103" s="29" t="s">
        <v>143</v>
      </c>
    </row>
    <row r="104" spans="1:17" ht="12.75" customHeight="1" x14ac:dyDescent="0.2">
      <c r="A104" s="39"/>
      <c r="B104" s="39"/>
      <c r="C104" s="40" t="s">
        <v>142</v>
      </c>
      <c r="D104" s="39"/>
      <c r="E104" s="39" t="s">
        <v>143</v>
      </c>
      <c r="F104" s="45" t="s">
        <v>145</v>
      </c>
      <c r="G104" s="42">
        <v>0</v>
      </c>
      <c r="H104" s="29" t="s">
        <v>143</v>
      </c>
    </row>
    <row r="105" spans="1:17" ht="12.75" customHeight="1" x14ac:dyDescent="0.2">
      <c r="A105" s="39"/>
      <c r="B105" s="39"/>
      <c r="C105" s="43"/>
      <c r="D105" s="39"/>
      <c r="E105" s="39"/>
      <c r="F105" s="44"/>
      <c r="G105" s="44"/>
      <c r="H105" s="29" t="s">
        <v>143</v>
      </c>
    </row>
    <row r="106" spans="1:17" ht="12.75" customHeight="1" x14ac:dyDescent="0.2">
      <c r="A106" s="46"/>
      <c r="B106" s="22"/>
      <c r="C106" s="22" t="s">
        <v>168</v>
      </c>
      <c r="D106" s="22"/>
      <c r="E106" s="46"/>
      <c r="F106" s="37">
        <v>0.36328642999999999</v>
      </c>
      <c r="G106" s="38">
        <v>1.6154E-4</v>
      </c>
      <c r="H106" s="29" t="s">
        <v>143</v>
      </c>
    </row>
    <row r="107" spans="1:17" ht="12.75" customHeight="1" x14ac:dyDescent="0.2">
      <c r="A107" s="43"/>
      <c r="B107" s="43"/>
      <c r="C107" s="40" t="s">
        <v>169</v>
      </c>
      <c r="D107" s="44"/>
      <c r="E107" s="44"/>
      <c r="F107" s="41">
        <v>2248.8493483289999</v>
      </c>
      <c r="G107" s="47">
        <v>1.00000003</v>
      </c>
      <c r="H107" s="29" t="s">
        <v>143</v>
      </c>
    </row>
    <row r="108" spans="1:17" ht="12.75" customHeight="1" x14ac:dyDescent="0.2">
      <c r="A108" s="48"/>
      <c r="B108" s="48"/>
      <c r="C108" s="49"/>
      <c r="D108" s="50"/>
      <c r="E108" s="50"/>
      <c r="F108" s="51"/>
      <c r="G108" s="52"/>
      <c r="H108" s="53"/>
    </row>
    <row r="109" spans="1:17" x14ac:dyDescent="0.2">
      <c r="A109" s="54"/>
      <c r="B109" s="243" t="s">
        <v>945</v>
      </c>
      <c r="C109" s="243"/>
      <c r="D109" s="243"/>
      <c r="E109" s="243"/>
      <c r="F109" s="243"/>
      <c r="G109" s="243"/>
      <c r="H109" s="243"/>
      <c r="J109" s="56"/>
    </row>
    <row r="110" spans="1:17" x14ac:dyDescent="0.2">
      <c r="A110" s="54"/>
      <c r="B110" s="243" t="s">
        <v>946</v>
      </c>
      <c r="C110" s="243"/>
      <c r="D110" s="243"/>
      <c r="E110" s="243"/>
      <c r="F110" s="243"/>
      <c r="G110" s="243"/>
      <c r="H110" s="243"/>
      <c r="J110" s="56"/>
    </row>
    <row r="111" spans="1:17" x14ac:dyDescent="0.2">
      <c r="A111" s="54"/>
      <c r="B111" s="243" t="s">
        <v>947</v>
      </c>
      <c r="C111" s="243"/>
      <c r="D111" s="243"/>
      <c r="E111" s="243"/>
      <c r="F111" s="243"/>
      <c r="G111" s="243"/>
      <c r="H111" s="243"/>
      <c r="J111" s="56"/>
    </row>
    <row r="112" spans="1:17" s="58" customFormat="1" ht="66.75" customHeight="1" x14ac:dyDescent="0.25">
      <c r="A112" s="57"/>
      <c r="B112" s="244" t="s">
        <v>948</v>
      </c>
      <c r="C112" s="244"/>
      <c r="D112" s="244"/>
      <c r="E112" s="244"/>
      <c r="F112" s="244"/>
      <c r="G112" s="244"/>
      <c r="H112" s="244"/>
      <c r="I112"/>
      <c r="J112" s="56"/>
      <c r="K112"/>
      <c r="L112"/>
      <c r="M112"/>
      <c r="N112"/>
      <c r="O112"/>
      <c r="P112"/>
      <c r="Q112"/>
    </row>
    <row r="113" spans="1:10" x14ac:dyDescent="0.2">
      <c r="A113" s="54"/>
      <c r="B113" s="243" t="s">
        <v>949</v>
      </c>
      <c r="C113" s="243"/>
      <c r="D113" s="243"/>
      <c r="E113" s="243"/>
      <c r="F113" s="243"/>
      <c r="G113" s="243"/>
      <c r="H113" s="243"/>
      <c r="J113" s="56"/>
    </row>
    <row r="114" spans="1:10" x14ac:dyDescent="0.2">
      <c r="A114" s="54"/>
      <c r="B114" s="54"/>
      <c r="C114" s="54"/>
      <c r="D114" s="59"/>
      <c r="E114" s="59"/>
      <c r="F114" s="59"/>
      <c r="G114" s="59"/>
    </row>
    <row r="115" spans="1:10" x14ac:dyDescent="0.2">
      <c r="A115" s="54"/>
      <c r="B115" s="247" t="s">
        <v>170</v>
      </c>
      <c r="C115" s="248"/>
      <c r="D115" s="249"/>
      <c r="E115" s="60"/>
      <c r="F115" s="59"/>
      <c r="G115" s="59"/>
    </row>
    <row r="116" spans="1:10" ht="27.75" customHeight="1" x14ac:dyDescent="0.2">
      <c r="A116" s="54"/>
      <c r="B116" s="240" t="s">
        <v>171</v>
      </c>
      <c r="C116" s="241"/>
      <c r="D116" s="28" t="s">
        <v>172</v>
      </c>
      <c r="E116" s="60"/>
      <c r="F116" s="59"/>
      <c r="G116" s="59"/>
    </row>
    <row r="117" spans="1:10" ht="12.75" customHeight="1" x14ac:dyDescent="0.2">
      <c r="A117" s="54"/>
      <c r="B117" s="240" t="s">
        <v>950</v>
      </c>
      <c r="C117" s="241"/>
      <c r="D117" s="28" t="s">
        <v>172</v>
      </c>
      <c r="E117" s="60"/>
      <c r="F117" s="59"/>
      <c r="G117" s="59"/>
    </row>
    <row r="118" spans="1:10" x14ac:dyDescent="0.2">
      <c r="A118" s="54"/>
      <c r="B118" s="240" t="s">
        <v>173</v>
      </c>
      <c r="C118" s="241"/>
      <c r="D118" s="61" t="s">
        <v>143</v>
      </c>
      <c r="E118" s="60"/>
      <c r="F118" s="59"/>
      <c r="G118" s="59"/>
    </row>
    <row r="119" spans="1:10" x14ac:dyDescent="0.2">
      <c r="A119" s="62"/>
      <c r="B119" s="63" t="s">
        <v>143</v>
      </c>
      <c r="C119" s="63" t="s">
        <v>951</v>
      </c>
      <c r="D119" s="63" t="s">
        <v>174</v>
      </c>
      <c r="E119" s="62"/>
      <c r="F119" s="62"/>
      <c r="G119" s="62"/>
      <c r="H119" s="62"/>
      <c r="J119" s="56"/>
    </row>
    <row r="120" spans="1:10" x14ac:dyDescent="0.2">
      <c r="A120" s="62"/>
      <c r="B120" s="64" t="s">
        <v>175</v>
      </c>
      <c r="C120" s="65">
        <v>45900</v>
      </c>
      <c r="D120" s="65">
        <v>45930</v>
      </c>
      <c r="E120" s="62"/>
      <c r="F120" s="62"/>
      <c r="G120" s="62"/>
      <c r="J120" s="56"/>
    </row>
    <row r="121" spans="1:10" ht="12.75" customHeight="1" x14ac:dyDescent="0.2">
      <c r="A121" s="66"/>
      <c r="B121" s="67" t="s">
        <v>176</v>
      </c>
      <c r="C121" s="68">
        <v>32.955399999999997</v>
      </c>
      <c r="D121" s="68">
        <v>33.322600000000001</v>
      </c>
      <c r="E121" s="66"/>
      <c r="F121" s="69"/>
      <c r="G121" s="70"/>
    </row>
    <row r="122" spans="1:10" ht="12.75" customHeight="1" x14ac:dyDescent="0.2">
      <c r="A122" s="66"/>
      <c r="B122" s="67" t="s">
        <v>1085</v>
      </c>
      <c r="C122" s="68">
        <v>30.278700000000001</v>
      </c>
      <c r="D122" s="68">
        <v>30.616099999999999</v>
      </c>
      <c r="E122" s="66"/>
      <c r="F122" s="69"/>
      <c r="G122" s="70"/>
    </row>
    <row r="123" spans="1:10" ht="12.75" customHeight="1" x14ac:dyDescent="0.2">
      <c r="A123" s="66"/>
      <c r="B123" s="67" t="s">
        <v>177</v>
      </c>
      <c r="C123" s="68">
        <v>32.306899999999999</v>
      </c>
      <c r="D123" s="68">
        <v>32.661000000000001</v>
      </c>
      <c r="E123" s="66"/>
      <c r="F123" s="69"/>
      <c r="G123" s="70"/>
    </row>
    <row r="124" spans="1:10" ht="12.75" customHeight="1" x14ac:dyDescent="0.2">
      <c r="A124" s="66"/>
      <c r="B124" s="67" t="s">
        <v>1086</v>
      </c>
      <c r="C124" s="68">
        <v>29.646799999999999</v>
      </c>
      <c r="D124" s="68">
        <v>29.971699999999998</v>
      </c>
      <c r="E124" s="66"/>
      <c r="F124" s="69"/>
      <c r="G124" s="70"/>
    </row>
    <row r="125" spans="1:10" ht="12.75" customHeight="1" x14ac:dyDescent="0.2">
      <c r="A125" s="66"/>
      <c r="B125" s="66"/>
      <c r="C125" s="66"/>
      <c r="D125" s="66"/>
      <c r="E125" s="66"/>
      <c r="F125" s="66"/>
      <c r="G125" s="66"/>
    </row>
    <row r="126" spans="1:10" x14ac:dyDescent="0.2">
      <c r="A126" s="62"/>
      <c r="B126" s="245" t="s">
        <v>952</v>
      </c>
      <c r="C126" s="246"/>
      <c r="D126" s="71" t="s">
        <v>172</v>
      </c>
      <c r="E126" s="62"/>
      <c r="F126" s="62"/>
      <c r="G126" s="62"/>
    </row>
    <row r="127" spans="1:10" x14ac:dyDescent="0.2">
      <c r="A127" s="72"/>
      <c r="B127" s="73"/>
      <c r="C127" s="73"/>
      <c r="D127" s="73"/>
      <c r="E127" s="72"/>
      <c r="F127" s="72"/>
      <c r="G127" s="72"/>
    </row>
    <row r="128" spans="1:10" x14ac:dyDescent="0.2">
      <c r="A128" s="72"/>
      <c r="B128" s="240" t="s">
        <v>178</v>
      </c>
      <c r="C128" s="241"/>
      <c r="D128" s="28" t="s">
        <v>172</v>
      </c>
      <c r="E128" s="73"/>
      <c r="F128" s="73"/>
      <c r="G128" s="73"/>
    </row>
    <row r="129" spans="1:10" x14ac:dyDescent="0.2">
      <c r="A129" s="72"/>
      <c r="B129" s="240" t="s">
        <v>179</v>
      </c>
      <c r="C129" s="241"/>
      <c r="D129" s="28" t="s">
        <v>172</v>
      </c>
      <c r="E129" s="72"/>
      <c r="F129" s="72"/>
      <c r="G129" s="72"/>
    </row>
    <row r="130" spans="1:10" ht="12.75" customHeight="1" x14ac:dyDescent="0.2">
      <c r="A130" s="72"/>
      <c r="B130" s="240" t="s">
        <v>180</v>
      </c>
      <c r="C130" s="241"/>
      <c r="D130" s="28" t="s">
        <v>172</v>
      </c>
      <c r="E130" s="74"/>
      <c r="F130" s="72"/>
      <c r="G130" s="72"/>
    </row>
    <row r="131" spans="1:10" ht="12.75" customHeight="1" x14ac:dyDescent="0.2">
      <c r="A131" s="72"/>
      <c r="B131" s="240" t="s">
        <v>181</v>
      </c>
      <c r="C131" s="241"/>
      <c r="D131" s="75">
        <v>6.4778205244566109E-2</v>
      </c>
      <c r="E131" s="74"/>
      <c r="F131" s="72"/>
      <c r="G131" s="72"/>
    </row>
    <row r="132" spans="1:10" x14ac:dyDescent="0.2"/>
    <row r="133" spans="1:10" x14ac:dyDescent="0.2"/>
    <row r="134" spans="1:10" x14ac:dyDescent="0.2">
      <c r="B134" s="239" t="s">
        <v>953</v>
      </c>
      <c r="C134" s="239"/>
    </row>
    <row r="135" spans="1:10" x14ac:dyDescent="0.2"/>
    <row r="136" spans="1:10" ht="153.75" customHeight="1" x14ac:dyDescent="0.2"/>
    <row r="137" spans="1:10" x14ac:dyDescent="0.2"/>
    <row r="138" spans="1:10" x14ac:dyDescent="0.2"/>
    <row r="139" spans="1:10" x14ac:dyDescent="0.2">
      <c r="B139" s="77" t="s">
        <v>954</v>
      </c>
      <c r="C139" s="78"/>
      <c r="D139" s="77"/>
    </row>
    <row r="140" spans="1:10" x14ac:dyDescent="0.2">
      <c r="B140" s="77" t="s">
        <v>962</v>
      </c>
      <c r="D140" s="77"/>
    </row>
    <row r="141" spans="1:10" ht="165" customHeight="1" x14ac:dyDescent="0.2"/>
    <row r="142" spans="1:10" x14ac:dyDescent="0.2"/>
    <row r="143" spans="1:10" x14ac:dyDescent="0.2">
      <c r="J143" s="26"/>
    </row>
    <row r="144" spans="1:10"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ht="14.25" customHeight="1" x14ac:dyDescent="0.2"/>
  </sheetData>
  <mergeCells count="18">
    <mergeCell ref="B115:D115"/>
    <mergeCell ref="B116:C116"/>
    <mergeCell ref="B134:C134"/>
    <mergeCell ref="B131:C131"/>
    <mergeCell ref="A1:H1"/>
    <mergeCell ref="A2:H2"/>
    <mergeCell ref="A3:H3"/>
    <mergeCell ref="B130:C130"/>
    <mergeCell ref="B109:H109"/>
    <mergeCell ref="B110:H110"/>
    <mergeCell ref="B117:C117"/>
    <mergeCell ref="B118:C118"/>
    <mergeCell ref="B128:C128"/>
    <mergeCell ref="B129:C129"/>
    <mergeCell ref="B111:H111"/>
    <mergeCell ref="B112:H112"/>
    <mergeCell ref="B113:H113"/>
    <mergeCell ref="B126:C126"/>
  </mergeCells>
  <hyperlinks>
    <hyperlink ref="I1" location="Index!B2" display="Index" xr:uid="{A830D030-A845-4F1D-888D-0D37FF93A6D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B02D-5C72-4825-9F06-B4579831B545}">
  <sheetPr>
    <outlinePr summaryBelow="0" summaryRight="0"/>
  </sheetPr>
  <dimension ref="A1:Q143"/>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416</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12610</v>
      </c>
      <c r="F7" s="37">
        <v>119.9211</v>
      </c>
      <c r="G7" s="38">
        <v>9.3942629999999999E-2</v>
      </c>
      <c r="H7" s="29" t="s">
        <v>143</v>
      </c>
    </row>
    <row r="8" spans="1:9" ht="12.75" customHeight="1" x14ac:dyDescent="0.2">
      <c r="A8" s="35">
        <v>2</v>
      </c>
      <c r="B8" s="22" t="s">
        <v>31</v>
      </c>
      <c r="C8" s="22" t="s">
        <v>32</v>
      </c>
      <c r="D8" s="22" t="s">
        <v>33</v>
      </c>
      <c r="E8" s="36">
        <v>8734</v>
      </c>
      <c r="F8" s="37">
        <v>117.73432</v>
      </c>
      <c r="G8" s="38">
        <v>9.2229569999999997E-2</v>
      </c>
      <c r="H8" s="29" t="s">
        <v>143</v>
      </c>
    </row>
    <row r="9" spans="1:9" ht="12.75" customHeight="1" x14ac:dyDescent="0.2">
      <c r="A9" s="35">
        <v>3</v>
      </c>
      <c r="B9" s="22" t="s">
        <v>42</v>
      </c>
      <c r="C9" s="22" t="s">
        <v>43</v>
      </c>
      <c r="D9" s="22" t="s">
        <v>33</v>
      </c>
      <c r="E9" s="36">
        <v>11730</v>
      </c>
      <c r="F9" s="37">
        <v>102.338385</v>
      </c>
      <c r="G9" s="38">
        <v>8.016885E-2</v>
      </c>
      <c r="H9" s="29" t="s">
        <v>143</v>
      </c>
    </row>
    <row r="10" spans="1:9" ht="12.75" customHeight="1" x14ac:dyDescent="0.2">
      <c r="A10" s="35">
        <v>4</v>
      </c>
      <c r="B10" s="22" t="s">
        <v>17</v>
      </c>
      <c r="C10" s="22" t="s">
        <v>18</v>
      </c>
      <c r="D10" s="22" t="s">
        <v>19</v>
      </c>
      <c r="E10" s="36">
        <v>6978</v>
      </c>
      <c r="F10" s="37">
        <v>95.179919999999996</v>
      </c>
      <c r="G10" s="38">
        <v>7.4561119999999995E-2</v>
      </c>
      <c r="H10" s="29" t="s">
        <v>143</v>
      </c>
    </row>
    <row r="11" spans="1:9" ht="12.75" customHeight="1" x14ac:dyDescent="0.2">
      <c r="A11" s="35">
        <v>5</v>
      </c>
      <c r="B11" s="22" t="s">
        <v>11</v>
      </c>
      <c r="C11" s="22" t="s">
        <v>12</v>
      </c>
      <c r="D11" s="22" t="s">
        <v>13</v>
      </c>
      <c r="E11" s="36">
        <v>4294</v>
      </c>
      <c r="F11" s="37">
        <v>80.658496</v>
      </c>
      <c r="G11" s="38">
        <v>6.3185469999999994E-2</v>
      </c>
      <c r="H11" s="29" t="s">
        <v>143</v>
      </c>
    </row>
    <row r="12" spans="1:9" ht="12.75" customHeight="1" x14ac:dyDescent="0.2">
      <c r="A12" s="35">
        <v>6</v>
      </c>
      <c r="B12" s="22" t="s">
        <v>325</v>
      </c>
      <c r="C12" s="22" t="s">
        <v>326</v>
      </c>
      <c r="D12" s="22" t="s">
        <v>215</v>
      </c>
      <c r="E12" s="36">
        <v>5430</v>
      </c>
      <c r="F12" s="37">
        <v>78.289739999999995</v>
      </c>
      <c r="G12" s="38">
        <v>6.132986E-2</v>
      </c>
      <c r="H12" s="29" t="s">
        <v>143</v>
      </c>
    </row>
    <row r="13" spans="1:9" ht="12.75" customHeight="1" x14ac:dyDescent="0.2">
      <c r="A13" s="35">
        <v>7</v>
      </c>
      <c r="B13" s="22" t="s">
        <v>14</v>
      </c>
      <c r="C13" s="22" t="s">
        <v>15</v>
      </c>
      <c r="D13" s="22" t="s">
        <v>16</v>
      </c>
      <c r="E13" s="36">
        <v>1772</v>
      </c>
      <c r="F13" s="37">
        <v>64.837479999999999</v>
      </c>
      <c r="G13" s="38">
        <v>5.0791759999999998E-2</v>
      </c>
      <c r="H13" s="29" t="s">
        <v>143</v>
      </c>
    </row>
    <row r="14" spans="1:9" ht="12.75" customHeight="1" x14ac:dyDescent="0.2">
      <c r="A14" s="35">
        <v>8</v>
      </c>
      <c r="B14" s="22" t="s">
        <v>23</v>
      </c>
      <c r="C14" s="22" t="s">
        <v>24</v>
      </c>
      <c r="D14" s="22" t="s">
        <v>25</v>
      </c>
      <c r="E14" s="36">
        <v>424</v>
      </c>
      <c r="F14" s="37">
        <v>51.821280000000002</v>
      </c>
      <c r="G14" s="38">
        <v>4.0595249999999999E-2</v>
      </c>
      <c r="H14" s="29" t="s">
        <v>143</v>
      </c>
    </row>
    <row r="15" spans="1:9" ht="12.75" customHeight="1" x14ac:dyDescent="0.2">
      <c r="A15" s="35">
        <v>9</v>
      </c>
      <c r="B15" s="22" t="s">
        <v>327</v>
      </c>
      <c r="C15" s="22" t="s">
        <v>328</v>
      </c>
      <c r="D15" s="22" t="s">
        <v>33</v>
      </c>
      <c r="E15" s="36">
        <v>3621</v>
      </c>
      <c r="F15" s="37">
        <v>40.975236000000002</v>
      </c>
      <c r="G15" s="38">
        <v>3.209878E-2</v>
      </c>
      <c r="H15" s="29" t="s">
        <v>143</v>
      </c>
    </row>
    <row r="16" spans="1:9" ht="12.75" customHeight="1" x14ac:dyDescent="0.2">
      <c r="A16" s="35">
        <v>10</v>
      </c>
      <c r="B16" s="22" t="s">
        <v>195</v>
      </c>
      <c r="C16" s="22" t="s">
        <v>196</v>
      </c>
      <c r="D16" s="22" t="s">
        <v>19</v>
      </c>
      <c r="E16" s="36">
        <v>9124</v>
      </c>
      <c r="F16" s="37">
        <v>40.455815999999999</v>
      </c>
      <c r="G16" s="38">
        <v>3.169189E-2</v>
      </c>
      <c r="H16" s="29" t="s">
        <v>143</v>
      </c>
    </row>
    <row r="17" spans="1:8" ht="12.75" customHeight="1" x14ac:dyDescent="0.2">
      <c r="A17" s="35">
        <v>11</v>
      </c>
      <c r="B17" s="22" t="s">
        <v>131</v>
      </c>
      <c r="C17" s="22" t="s">
        <v>132</v>
      </c>
      <c r="D17" s="22" t="s">
        <v>133</v>
      </c>
      <c r="E17" s="36">
        <v>3580</v>
      </c>
      <c r="F17" s="37">
        <v>38.082250000000002</v>
      </c>
      <c r="G17" s="38">
        <v>2.9832500000000001E-2</v>
      </c>
      <c r="H17" s="29" t="s">
        <v>143</v>
      </c>
    </row>
    <row r="18" spans="1:8" ht="12.75" customHeight="1" x14ac:dyDescent="0.2">
      <c r="A18" s="35">
        <v>12</v>
      </c>
      <c r="B18" s="22" t="s">
        <v>183</v>
      </c>
      <c r="C18" s="22" t="s">
        <v>184</v>
      </c>
      <c r="D18" s="22" t="s">
        <v>185</v>
      </c>
      <c r="E18" s="36">
        <v>1637</v>
      </c>
      <c r="F18" s="37">
        <v>36.806308000000001</v>
      </c>
      <c r="G18" s="38">
        <v>2.8832969999999999E-2</v>
      </c>
      <c r="H18" s="29" t="s">
        <v>143</v>
      </c>
    </row>
    <row r="19" spans="1:8" ht="12.75" customHeight="1" x14ac:dyDescent="0.2">
      <c r="A19" s="35">
        <v>13</v>
      </c>
      <c r="B19" s="22" t="s">
        <v>417</v>
      </c>
      <c r="C19" s="22" t="s">
        <v>418</v>
      </c>
      <c r="D19" s="22" t="s">
        <v>239</v>
      </c>
      <c r="E19" s="36">
        <v>4883</v>
      </c>
      <c r="F19" s="37">
        <v>33.214165999999999</v>
      </c>
      <c r="G19" s="38">
        <v>2.6018989999999999E-2</v>
      </c>
      <c r="H19" s="29" t="s">
        <v>143</v>
      </c>
    </row>
    <row r="20" spans="1:8" ht="12.75" customHeight="1" x14ac:dyDescent="0.2">
      <c r="A20" s="35">
        <v>14</v>
      </c>
      <c r="B20" s="22" t="s">
        <v>419</v>
      </c>
      <c r="C20" s="22" t="s">
        <v>420</v>
      </c>
      <c r="D20" s="22" t="s">
        <v>46</v>
      </c>
      <c r="E20" s="36">
        <v>901</v>
      </c>
      <c r="F20" s="37">
        <v>30.336670000000002</v>
      </c>
      <c r="G20" s="38">
        <v>2.3764850000000001E-2</v>
      </c>
      <c r="H20" s="29" t="s">
        <v>143</v>
      </c>
    </row>
    <row r="21" spans="1:8" ht="12.75" customHeight="1" x14ac:dyDescent="0.2">
      <c r="A21" s="35">
        <v>15</v>
      </c>
      <c r="B21" s="22" t="s">
        <v>421</v>
      </c>
      <c r="C21" s="22" t="s">
        <v>422</v>
      </c>
      <c r="D21" s="22" t="s">
        <v>423</v>
      </c>
      <c r="E21" s="36">
        <v>7286</v>
      </c>
      <c r="F21" s="37">
        <v>29.256933</v>
      </c>
      <c r="G21" s="38">
        <v>2.291901E-2</v>
      </c>
      <c r="H21" s="29" t="s">
        <v>143</v>
      </c>
    </row>
    <row r="22" spans="1:8" ht="12.75" customHeight="1" x14ac:dyDescent="0.2">
      <c r="A22" s="35">
        <v>16</v>
      </c>
      <c r="B22" s="22" t="s">
        <v>34</v>
      </c>
      <c r="C22" s="22" t="s">
        <v>35</v>
      </c>
      <c r="D22" s="22" t="s">
        <v>19</v>
      </c>
      <c r="E22" s="36">
        <v>7496</v>
      </c>
      <c r="F22" s="37">
        <v>25.460163999999999</v>
      </c>
      <c r="G22" s="38">
        <v>1.9944739999999999E-2</v>
      </c>
      <c r="H22" s="29" t="s">
        <v>143</v>
      </c>
    </row>
    <row r="23" spans="1:8" ht="12.75" customHeight="1" x14ac:dyDescent="0.2">
      <c r="A23" s="35">
        <v>17</v>
      </c>
      <c r="B23" s="22" t="s">
        <v>95</v>
      </c>
      <c r="C23" s="22" t="s">
        <v>96</v>
      </c>
      <c r="D23" s="22" t="s">
        <v>41</v>
      </c>
      <c r="E23" s="36">
        <v>587</v>
      </c>
      <c r="F23" s="37">
        <v>24.705656000000001</v>
      </c>
      <c r="G23" s="38">
        <v>1.9353680000000002E-2</v>
      </c>
      <c r="H23" s="29" t="s">
        <v>143</v>
      </c>
    </row>
    <row r="24" spans="1:8" ht="12.75" customHeight="1" x14ac:dyDescent="0.2">
      <c r="A24" s="35">
        <v>18</v>
      </c>
      <c r="B24" s="22" t="s">
        <v>331</v>
      </c>
      <c r="C24" s="22" t="s">
        <v>332</v>
      </c>
      <c r="D24" s="22" t="s">
        <v>33</v>
      </c>
      <c r="E24" s="36">
        <v>9495</v>
      </c>
      <c r="F24" s="37">
        <v>24.548373000000002</v>
      </c>
      <c r="G24" s="38">
        <v>1.923047E-2</v>
      </c>
      <c r="H24" s="29" t="s">
        <v>143</v>
      </c>
    </row>
    <row r="25" spans="1:8" ht="12.75" customHeight="1" x14ac:dyDescent="0.2">
      <c r="A25" s="35">
        <v>19</v>
      </c>
      <c r="B25" s="22" t="s">
        <v>424</v>
      </c>
      <c r="C25" s="22" t="s">
        <v>425</v>
      </c>
      <c r="D25" s="22" t="s">
        <v>215</v>
      </c>
      <c r="E25" s="36">
        <v>1555</v>
      </c>
      <c r="F25" s="37">
        <v>21.538305000000001</v>
      </c>
      <c r="G25" s="38">
        <v>1.6872470000000001E-2</v>
      </c>
      <c r="H25" s="29" t="s">
        <v>143</v>
      </c>
    </row>
    <row r="26" spans="1:8" ht="12.75" customHeight="1" x14ac:dyDescent="0.2">
      <c r="A26" s="35">
        <v>20</v>
      </c>
      <c r="B26" s="22" t="s">
        <v>426</v>
      </c>
      <c r="C26" s="22" t="s">
        <v>427</v>
      </c>
      <c r="D26" s="22" t="s">
        <v>428</v>
      </c>
      <c r="E26" s="36">
        <v>2810</v>
      </c>
      <c r="F26" s="37">
        <v>21.410795</v>
      </c>
      <c r="G26" s="38">
        <v>1.6772579999999999E-2</v>
      </c>
      <c r="H26" s="29" t="s">
        <v>143</v>
      </c>
    </row>
    <row r="27" spans="1:8" ht="12.75" customHeight="1" x14ac:dyDescent="0.2">
      <c r="A27" s="35">
        <v>21</v>
      </c>
      <c r="B27" s="22" t="s">
        <v>429</v>
      </c>
      <c r="C27" s="22" t="s">
        <v>430</v>
      </c>
      <c r="D27" s="22" t="s">
        <v>275</v>
      </c>
      <c r="E27" s="36">
        <v>1169</v>
      </c>
      <c r="F27" s="37">
        <v>20.932113999999999</v>
      </c>
      <c r="G27" s="38">
        <v>1.6397599999999998E-2</v>
      </c>
      <c r="H27" s="29" t="s">
        <v>143</v>
      </c>
    </row>
    <row r="28" spans="1:8" ht="12.75" customHeight="1" x14ac:dyDescent="0.2">
      <c r="A28" s="35">
        <v>22</v>
      </c>
      <c r="B28" s="22" t="s">
        <v>372</v>
      </c>
      <c r="C28" s="22" t="s">
        <v>373</v>
      </c>
      <c r="D28" s="22" t="s">
        <v>270</v>
      </c>
      <c r="E28" s="36">
        <v>397</v>
      </c>
      <c r="F28" s="37">
        <v>18.347355</v>
      </c>
      <c r="G28" s="38">
        <v>1.437277E-2</v>
      </c>
      <c r="H28" s="29" t="s">
        <v>143</v>
      </c>
    </row>
    <row r="29" spans="1:8" ht="12.75" customHeight="1" x14ac:dyDescent="0.2">
      <c r="A29" s="35">
        <v>23</v>
      </c>
      <c r="B29" s="22" t="s">
        <v>431</v>
      </c>
      <c r="C29" s="22" t="s">
        <v>432</v>
      </c>
      <c r="D29" s="22" t="s">
        <v>203</v>
      </c>
      <c r="E29" s="36">
        <v>1612</v>
      </c>
      <c r="F29" s="37">
        <v>18.204315999999999</v>
      </c>
      <c r="G29" s="38">
        <v>1.4260719999999999E-2</v>
      </c>
      <c r="H29" s="29" t="s">
        <v>143</v>
      </c>
    </row>
    <row r="30" spans="1:8" ht="12.75" customHeight="1" x14ac:dyDescent="0.2">
      <c r="A30" s="35">
        <v>24</v>
      </c>
      <c r="B30" s="22" t="s">
        <v>433</v>
      </c>
      <c r="C30" s="22" t="s">
        <v>434</v>
      </c>
      <c r="D30" s="22" t="s">
        <v>215</v>
      </c>
      <c r="E30" s="36">
        <v>617</v>
      </c>
      <c r="F30" s="37">
        <v>17.821428000000001</v>
      </c>
      <c r="G30" s="38">
        <v>1.3960780000000001E-2</v>
      </c>
      <c r="H30" s="29" t="s">
        <v>143</v>
      </c>
    </row>
    <row r="31" spans="1:8" ht="12.75" customHeight="1" x14ac:dyDescent="0.2">
      <c r="A31" s="35">
        <v>25</v>
      </c>
      <c r="B31" s="22" t="s">
        <v>435</v>
      </c>
      <c r="C31" s="22" t="s">
        <v>436</v>
      </c>
      <c r="D31" s="22" t="s">
        <v>194</v>
      </c>
      <c r="E31" s="36">
        <v>1140</v>
      </c>
      <c r="F31" s="37">
        <v>17.137619999999998</v>
      </c>
      <c r="G31" s="38">
        <v>1.3425100000000001E-2</v>
      </c>
      <c r="H31" s="29" t="s">
        <v>143</v>
      </c>
    </row>
    <row r="32" spans="1:8" ht="12.75" customHeight="1" x14ac:dyDescent="0.2">
      <c r="A32" s="35">
        <v>26</v>
      </c>
      <c r="B32" s="22" t="s">
        <v>323</v>
      </c>
      <c r="C32" s="22" t="s">
        <v>324</v>
      </c>
      <c r="D32" s="22" t="s">
        <v>33</v>
      </c>
      <c r="E32" s="36">
        <v>731</v>
      </c>
      <c r="F32" s="37">
        <v>14.566637</v>
      </c>
      <c r="G32" s="38">
        <v>1.1411070000000001E-2</v>
      </c>
      <c r="H32" s="29" t="s">
        <v>143</v>
      </c>
    </row>
    <row r="33" spans="1:8" ht="12.75" customHeight="1" x14ac:dyDescent="0.2">
      <c r="A33" s="35">
        <v>27</v>
      </c>
      <c r="B33" s="22" t="s">
        <v>437</v>
      </c>
      <c r="C33" s="22" t="s">
        <v>438</v>
      </c>
      <c r="D33" s="22" t="s">
        <v>25</v>
      </c>
      <c r="E33" s="36">
        <v>1190</v>
      </c>
      <c r="F33" s="37">
        <v>14.510859999999999</v>
      </c>
      <c r="G33" s="38">
        <v>1.136738E-2</v>
      </c>
      <c r="H33" s="29" t="s">
        <v>143</v>
      </c>
    </row>
    <row r="34" spans="1:8" ht="12.75" customHeight="1" x14ac:dyDescent="0.2">
      <c r="A34" s="35">
        <v>28</v>
      </c>
      <c r="B34" s="22" t="s">
        <v>439</v>
      </c>
      <c r="C34" s="22" t="s">
        <v>440</v>
      </c>
      <c r="D34" s="22" t="s">
        <v>423</v>
      </c>
      <c r="E34" s="36">
        <v>517</v>
      </c>
      <c r="F34" s="37">
        <v>12.999447999999999</v>
      </c>
      <c r="G34" s="38">
        <v>1.0183380000000001E-2</v>
      </c>
      <c r="H34" s="29" t="s">
        <v>143</v>
      </c>
    </row>
    <row r="35" spans="1:8" ht="12.75" customHeight="1" x14ac:dyDescent="0.2">
      <c r="A35" s="35">
        <v>29</v>
      </c>
      <c r="B35" s="22" t="s">
        <v>127</v>
      </c>
      <c r="C35" s="22" t="s">
        <v>128</v>
      </c>
      <c r="D35" s="22" t="s">
        <v>56</v>
      </c>
      <c r="E35" s="36">
        <v>1871</v>
      </c>
      <c r="F35" s="37">
        <v>9.8377180000000006</v>
      </c>
      <c r="G35" s="38">
        <v>7.7065800000000002E-3</v>
      </c>
      <c r="H35" s="29" t="s">
        <v>143</v>
      </c>
    </row>
    <row r="36" spans="1:8" ht="12.75" customHeight="1" x14ac:dyDescent="0.2">
      <c r="A36" s="35">
        <v>30</v>
      </c>
      <c r="B36" s="22" t="s">
        <v>441</v>
      </c>
      <c r="C36" s="22" t="s">
        <v>442</v>
      </c>
      <c r="D36" s="22" t="s">
        <v>215</v>
      </c>
      <c r="E36" s="36">
        <v>3116</v>
      </c>
      <c r="F36" s="37">
        <v>7.4587691999999999</v>
      </c>
      <c r="G36" s="38">
        <v>5.8429800000000002E-3</v>
      </c>
      <c r="H36" s="29" t="s">
        <v>143</v>
      </c>
    </row>
    <row r="37" spans="1:8" ht="12.75" customHeight="1" x14ac:dyDescent="0.2">
      <c r="A37" s="35">
        <v>31</v>
      </c>
      <c r="B37" s="22" t="s">
        <v>443</v>
      </c>
      <c r="C37" s="22" t="s">
        <v>444</v>
      </c>
      <c r="D37" s="22" t="s">
        <v>33</v>
      </c>
      <c r="E37" s="36">
        <v>989</v>
      </c>
      <c r="F37" s="37">
        <v>7.2745895000000003</v>
      </c>
      <c r="G37" s="38">
        <v>5.6987000000000001E-3</v>
      </c>
      <c r="H37" s="29" t="s">
        <v>143</v>
      </c>
    </row>
    <row r="38" spans="1:8" ht="12.75" customHeight="1" x14ac:dyDescent="0.2">
      <c r="A38" s="39"/>
      <c r="B38" s="39"/>
      <c r="C38" s="40" t="s">
        <v>142</v>
      </c>
      <c r="D38" s="39"/>
      <c r="E38" s="39" t="s">
        <v>143</v>
      </c>
      <c r="F38" s="41">
        <v>1236.6622477000001</v>
      </c>
      <c r="G38" s="42">
        <v>0.96876450000000003</v>
      </c>
      <c r="H38" s="29" t="s">
        <v>143</v>
      </c>
    </row>
    <row r="39" spans="1:8" ht="12.75" customHeight="1" x14ac:dyDescent="0.2">
      <c r="A39" s="39"/>
      <c r="B39" s="39"/>
      <c r="C39" s="43"/>
      <c r="D39" s="39"/>
      <c r="E39" s="39"/>
      <c r="F39" s="44"/>
      <c r="G39" s="44"/>
      <c r="H39" s="29" t="s">
        <v>143</v>
      </c>
    </row>
    <row r="40" spans="1:8" ht="12.75" customHeight="1" x14ac:dyDescent="0.2">
      <c r="A40" s="39"/>
      <c r="B40" s="39"/>
      <c r="C40" s="40" t="s">
        <v>144</v>
      </c>
      <c r="D40" s="39"/>
      <c r="E40" s="39"/>
      <c r="F40" s="39"/>
      <c r="G40" s="39"/>
      <c r="H40" s="29" t="s">
        <v>143</v>
      </c>
    </row>
    <row r="41" spans="1:8" ht="12.75" customHeight="1" x14ac:dyDescent="0.2">
      <c r="A41" s="39"/>
      <c r="B41" s="39"/>
      <c r="C41" s="40" t="s">
        <v>142</v>
      </c>
      <c r="D41" s="39"/>
      <c r="E41" s="39" t="s">
        <v>143</v>
      </c>
      <c r="F41" s="45" t="s">
        <v>145</v>
      </c>
      <c r="G41" s="42">
        <v>0</v>
      </c>
      <c r="H41" s="29" t="s">
        <v>143</v>
      </c>
    </row>
    <row r="42" spans="1:8" ht="12.75" customHeight="1" x14ac:dyDescent="0.2">
      <c r="A42" s="39"/>
      <c r="B42" s="39"/>
      <c r="C42" s="43"/>
      <c r="D42" s="39"/>
      <c r="E42" s="39"/>
      <c r="F42" s="44"/>
      <c r="G42" s="44"/>
      <c r="H42" s="29" t="s">
        <v>143</v>
      </c>
    </row>
    <row r="43" spans="1:8" ht="12.75" customHeight="1" x14ac:dyDescent="0.2">
      <c r="A43" s="39"/>
      <c r="B43" s="39"/>
      <c r="C43" s="40" t="s">
        <v>146</v>
      </c>
      <c r="D43" s="39"/>
      <c r="E43" s="39"/>
      <c r="F43" s="39"/>
      <c r="G43" s="39"/>
      <c r="H43" s="29" t="s">
        <v>143</v>
      </c>
    </row>
    <row r="44" spans="1:8" ht="12.75" customHeight="1" x14ac:dyDescent="0.2">
      <c r="A44" s="39"/>
      <c r="B44" s="39"/>
      <c r="C44" s="40" t="s">
        <v>142</v>
      </c>
      <c r="D44" s="39"/>
      <c r="E44" s="39" t="s">
        <v>143</v>
      </c>
      <c r="F44" s="45" t="s">
        <v>145</v>
      </c>
      <c r="G44" s="42">
        <v>0</v>
      </c>
      <c r="H44" s="29" t="s">
        <v>143</v>
      </c>
    </row>
    <row r="45" spans="1:8" ht="12.75" customHeight="1" x14ac:dyDescent="0.2">
      <c r="A45" s="39"/>
      <c r="B45" s="39"/>
      <c r="C45" s="43"/>
      <c r="D45" s="39"/>
      <c r="E45" s="39"/>
      <c r="F45" s="44"/>
      <c r="G45" s="44"/>
      <c r="H45" s="29" t="s">
        <v>143</v>
      </c>
    </row>
    <row r="46" spans="1:8" ht="12.75" customHeight="1" x14ac:dyDescent="0.2">
      <c r="A46" s="39"/>
      <c r="B46" s="39"/>
      <c r="C46" s="40" t="s">
        <v>147</v>
      </c>
      <c r="D46" s="39"/>
      <c r="E46" s="39"/>
      <c r="F46" s="39"/>
      <c r="G46" s="39"/>
      <c r="H46" s="29" t="s">
        <v>143</v>
      </c>
    </row>
    <row r="47" spans="1:8" ht="12.75" customHeight="1" x14ac:dyDescent="0.2">
      <c r="A47" s="39"/>
      <c r="B47" s="39"/>
      <c r="C47" s="40" t="s">
        <v>142</v>
      </c>
      <c r="D47" s="39"/>
      <c r="E47" s="39" t="s">
        <v>143</v>
      </c>
      <c r="F47" s="45" t="s">
        <v>145</v>
      </c>
      <c r="G47" s="42">
        <v>0</v>
      </c>
      <c r="H47" s="29" t="s">
        <v>143</v>
      </c>
    </row>
    <row r="48" spans="1:8" ht="12.75" customHeight="1" x14ac:dyDescent="0.2">
      <c r="A48" s="39"/>
      <c r="B48" s="39"/>
      <c r="C48" s="43"/>
      <c r="D48" s="39"/>
      <c r="E48" s="39"/>
      <c r="F48" s="44"/>
      <c r="G48" s="44"/>
      <c r="H48" s="29" t="s">
        <v>143</v>
      </c>
    </row>
    <row r="49" spans="1:8" ht="12.75" customHeight="1" x14ac:dyDescent="0.2">
      <c r="A49" s="39"/>
      <c r="B49" s="39"/>
      <c r="C49" s="40" t="s">
        <v>148</v>
      </c>
      <c r="D49" s="39"/>
      <c r="E49" s="39"/>
      <c r="F49" s="44"/>
      <c r="G49" s="44"/>
      <c r="H49" s="29" t="s">
        <v>143</v>
      </c>
    </row>
    <row r="50" spans="1:8" ht="12.75" customHeight="1" x14ac:dyDescent="0.2">
      <c r="A50" s="39"/>
      <c r="B50" s="39"/>
      <c r="C50" s="40" t="s">
        <v>142</v>
      </c>
      <c r="D50" s="39"/>
      <c r="E50" s="39" t="s">
        <v>143</v>
      </c>
      <c r="F50" s="45" t="s">
        <v>145</v>
      </c>
      <c r="G50" s="42">
        <v>0</v>
      </c>
      <c r="H50" s="29" t="s">
        <v>143</v>
      </c>
    </row>
    <row r="51" spans="1:8" ht="12.75" customHeight="1" x14ac:dyDescent="0.2">
      <c r="A51" s="39"/>
      <c r="B51" s="39"/>
      <c r="C51" s="43"/>
      <c r="D51" s="39"/>
      <c r="E51" s="39"/>
      <c r="F51" s="44"/>
      <c r="G51" s="44"/>
      <c r="H51" s="29" t="s">
        <v>143</v>
      </c>
    </row>
    <row r="52" spans="1:8" ht="12.75" customHeight="1" x14ac:dyDescent="0.2">
      <c r="A52" s="39"/>
      <c r="B52" s="39"/>
      <c r="C52" s="40" t="s">
        <v>149</v>
      </c>
      <c r="D52" s="39"/>
      <c r="E52" s="39"/>
      <c r="F52" s="44"/>
      <c r="G52" s="44"/>
      <c r="H52" s="29" t="s">
        <v>143</v>
      </c>
    </row>
    <row r="53" spans="1:8" ht="12.75" customHeight="1" x14ac:dyDescent="0.2">
      <c r="A53" s="39"/>
      <c r="B53" s="39"/>
      <c r="C53" s="40" t="s">
        <v>142</v>
      </c>
      <c r="D53" s="39"/>
      <c r="E53" s="39" t="s">
        <v>143</v>
      </c>
      <c r="F53" s="45" t="s">
        <v>145</v>
      </c>
      <c r="G53" s="42">
        <v>0</v>
      </c>
      <c r="H53" s="29" t="s">
        <v>143</v>
      </c>
    </row>
    <row r="54" spans="1:8" ht="12.75" customHeight="1" x14ac:dyDescent="0.2">
      <c r="A54" s="39"/>
      <c r="B54" s="39"/>
      <c r="C54" s="43"/>
      <c r="D54" s="39"/>
      <c r="E54" s="39"/>
      <c r="F54" s="44"/>
      <c r="G54" s="44"/>
      <c r="H54" s="29" t="s">
        <v>143</v>
      </c>
    </row>
    <row r="55" spans="1:8" ht="12.75" customHeight="1" x14ac:dyDescent="0.2">
      <c r="A55" s="39"/>
      <c r="B55" s="39"/>
      <c r="C55" s="40" t="s">
        <v>150</v>
      </c>
      <c r="D55" s="39"/>
      <c r="E55" s="39"/>
      <c r="F55" s="41">
        <v>1236.6622477000001</v>
      </c>
      <c r="G55" s="42">
        <v>0.96876450000000003</v>
      </c>
      <c r="H55" s="29" t="s">
        <v>143</v>
      </c>
    </row>
    <row r="56" spans="1:8" ht="12.75" customHeight="1" x14ac:dyDescent="0.2">
      <c r="A56" s="39"/>
      <c r="B56" s="39"/>
      <c r="C56" s="43"/>
      <c r="D56" s="39"/>
      <c r="E56" s="39"/>
      <c r="F56" s="44"/>
      <c r="G56" s="44"/>
      <c r="H56" s="29" t="s">
        <v>143</v>
      </c>
    </row>
    <row r="57" spans="1:8" ht="12.75" customHeight="1" x14ac:dyDescent="0.2">
      <c r="A57" s="39"/>
      <c r="B57" s="39"/>
      <c r="C57" s="40" t="s">
        <v>151</v>
      </c>
      <c r="D57" s="39"/>
      <c r="E57" s="39"/>
      <c r="F57" s="44"/>
      <c r="G57" s="44"/>
      <c r="H57" s="29" t="s">
        <v>143</v>
      </c>
    </row>
    <row r="58" spans="1:8" ht="12.75" customHeight="1" x14ac:dyDescent="0.2">
      <c r="A58" s="39"/>
      <c r="B58" s="39"/>
      <c r="C58" s="40" t="s">
        <v>10</v>
      </c>
      <c r="D58" s="39"/>
      <c r="E58" s="39"/>
      <c r="F58" s="44"/>
      <c r="G58" s="44"/>
      <c r="H58" s="29" t="s">
        <v>143</v>
      </c>
    </row>
    <row r="59" spans="1:8" ht="12.75" customHeight="1" x14ac:dyDescent="0.2">
      <c r="A59" s="39"/>
      <c r="B59" s="39"/>
      <c r="C59" s="40" t="s">
        <v>142</v>
      </c>
      <c r="D59" s="39"/>
      <c r="E59" s="39" t="s">
        <v>143</v>
      </c>
      <c r="F59" s="45" t="s">
        <v>145</v>
      </c>
      <c r="G59" s="42">
        <v>0</v>
      </c>
      <c r="H59" s="29" t="s">
        <v>143</v>
      </c>
    </row>
    <row r="60" spans="1:8" ht="12.75" customHeight="1" x14ac:dyDescent="0.2">
      <c r="A60" s="39"/>
      <c r="B60" s="39"/>
      <c r="C60" s="43"/>
      <c r="D60" s="39"/>
      <c r="E60" s="39"/>
      <c r="F60" s="44"/>
      <c r="G60" s="44"/>
      <c r="H60" s="29" t="s">
        <v>143</v>
      </c>
    </row>
    <row r="61" spans="1:8" ht="12.75" customHeight="1" x14ac:dyDescent="0.2">
      <c r="A61" s="39"/>
      <c r="B61" s="39"/>
      <c r="C61" s="40" t="s">
        <v>152</v>
      </c>
      <c r="D61" s="39"/>
      <c r="E61" s="39"/>
      <c r="F61" s="39"/>
      <c r="G61" s="39"/>
      <c r="H61" s="29" t="s">
        <v>143</v>
      </c>
    </row>
    <row r="62" spans="1:8" ht="12.75" customHeight="1" x14ac:dyDescent="0.2">
      <c r="A62" s="39"/>
      <c r="B62" s="39"/>
      <c r="C62" s="40" t="s">
        <v>142</v>
      </c>
      <c r="D62" s="39"/>
      <c r="E62" s="39" t="s">
        <v>143</v>
      </c>
      <c r="F62" s="45" t="s">
        <v>145</v>
      </c>
      <c r="G62" s="42">
        <v>0</v>
      </c>
      <c r="H62" s="29" t="s">
        <v>143</v>
      </c>
    </row>
    <row r="63" spans="1:8" ht="12.75" customHeight="1" x14ac:dyDescent="0.2">
      <c r="A63" s="39"/>
      <c r="B63" s="39"/>
      <c r="C63" s="43"/>
      <c r="D63" s="39"/>
      <c r="E63" s="39"/>
      <c r="F63" s="44"/>
      <c r="G63" s="44"/>
      <c r="H63" s="29" t="s">
        <v>143</v>
      </c>
    </row>
    <row r="64" spans="1:8" ht="12.75" customHeight="1" x14ac:dyDescent="0.2">
      <c r="A64" s="39"/>
      <c r="B64" s="39"/>
      <c r="C64" s="40" t="s">
        <v>153</v>
      </c>
      <c r="D64" s="39"/>
      <c r="E64" s="39"/>
      <c r="F64" s="39"/>
      <c r="G64" s="39"/>
      <c r="H64" s="29" t="s">
        <v>143</v>
      </c>
    </row>
    <row r="65" spans="1:8" ht="12.75" customHeight="1" x14ac:dyDescent="0.2">
      <c r="A65" s="39"/>
      <c r="B65" s="39"/>
      <c r="C65" s="40" t="s">
        <v>142</v>
      </c>
      <c r="D65" s="39"/>
      <c r="E65" s="39" t="s">
        <v>143</v>
      </c>
      <c r="F65" s="45" t="s">
        <v>145</v>
      </c>
      <c r="G65" s="42">
        <v>0</v>
      </c>
      <c r="H65" s="29" t="s">
        <v>143</v>
      </c>
    </row>
    <row r="66" spans="1:8" ht="12.75" customHeight="1" x14ac:dyDescent="0.2">
      <c r="A66" s="39"/>
      <c r="B66" s="39"/>
      <c r="C66" s="43"/>
      <c r="D66" s="39"/>
      <c r="E66" s="39"/>
      <c r="F66" s="44"/>
      <c r="G66" s="44"/>
      <c r="H66" s="29" t="s">
        <v>143</v>
      </c>
    </row>
    <row r="67" spans="1:8" ht="12.75" customHeight="1" x14ac:dyDescent="0.2">
      <c r="A67" s="39"/>
      <c r="B67" s="39"/>
      <c r="C67" s="40" t="s">
        <v>154</v>
      </c>
      <c r="D67" s="39"/>
      <c r="E67" s="39"/>
      <c r="F67" s="44"/>
      <c r="G67" s="44"/>
      <c r="H67" s="29" t="s">
        <v>143</v>
      </c>
    </row>
    <row r="68" spans="1:8" ht="12.75" customHeight="1" x14ac:dyDescent="0.2">
      <c r="A68" s="39"/>
      <c r="B68" s="39"/>
      <c r="C68" s="40" t="s">
        <v>142</v>
      </c>
      <c r="D68" s="39"/>
      <c r="E68" s="39" t="s">
        <v>143</v>
      </c>
      <c r="F68" s="45" t="s">
        <v>145</v>
      </c>
      <c r="G68" s="42">
        <v>0</v>
      </c>
      <c r="H68" s="29" t="s">
        <v>143</v>
      </c>
    </row>
    <row r="69" spans="1:8" ht="12.75" customHeight="1" x14ac:dyDescent="0.2">
      <c r="A69" s="39"/>
      <c r="B69" s="39"/>
      <c r="C69" s="43"/>
      <c r="D69" s="39"/>
      <c r="E69" s="39"/>
      <c r="F69" s="44"/>
      <c r="G69" s="44"/>
      <c r="H69" s="29" t="s">
        <v>143</v>
      </c>
    </row>
    <row r="70" spans="1:8" ht="12.75" customHeight="1" x14ac:dyDescent="0.2">
      <c r="A70" s="39"/>
      <c r="B70" s="39"/>
      <c r="C70" s="40" t="s">
        <v>155</v>
      </c>
      <c r="D70" s="39"/>
      <c r="E70" s="39"/>
      <c r="F70" s="41">
        <v>0</v>
      </c>
      <c r="G70" s="42">
        <v>0</v>
      </c>
      <c r="H70" s="29" t="s">
        <v>143</v>
      </c>
    </row>
    <row r="71" spans="1:8" ht="12.75" customHeight="1" x14ac:dyDescent="0.2">
      <c r="A71" s="39"/>
      <c r="B71" s="39"/>
      <c r="C71" s="43"/>
      <c r="D71" s="39"/>
      <c r="E71" s="39"/>
      <c r="F71" s="44"/>
      <c r="G71" s="44"/>
      <c r="H71" s="29" t="s">
        <v>143</v>
      </c>
    </row>
    <row r="72" spans="1:8" ht="12.75" customHeight="1" x14ac:dyDescent="0.2">
      <c r="A72" s="39"/>
      <c r="B72" s="39"/>
      <c r="C72" s="40" t="s">
        <v>156</v>
      </c>
      <c r="D72" s="39"/>
      <c r="E72" s="39"/>
      <c r="F72" s="44"/>
      <c r="G72" s="44"/>
      <c r="H72" s="29" t="s">
        <v>143</v>
      </c>
    </row>
    <row r="73" spans="1:8" ht="12.75" customHeight="1" x14ac:dyDescent="0.2">
      <c r="A73" s="39"/>
      <c r="B73" s="39"/>
      <c r="C73" s="40" t="s">
        <v>157</v>
      </c>
      <c r="D73" s="39"/>
      <c r="E73" s="39"/>
      <c r="F73" s="44"/>
      <c r="G73" s="44"/>
      <c r="H73" s="29" t="s">
        <v>143</v>
      </c>
    </row>
    <row r="74" spans="1:8" ht="12.75" customHeight="1" x14ac:dyDescent="0.2">
      <c r="A74" s="39"/>
      <c r="B74" s="39"/>
      <c r="C74" s="40" t="s">
        <v>142</v>
      </c>
      <c r="D74" s="39"/>
      <c r="E74" s="39" t="s">
        <v>143</v>
      </c>
      <c r="F74" s="45" t="s">
        <v>145</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158</v>
      </c>
      <c r="D76" s="39"/>
      <c r="E76" s="39"/>
      <c r="F76" s="44"/>
      <c r="G76" s="44"/>
      <c r="H76" s="29" t="s">
        <v>143</v>
      </c>
    </row>
    <row r="77" spans="1:8" ht="12.75" customHeight="1" x14ac:dyDescent="0.2">
      <c r="A77" s="39"/>
      <c r="B77" s="39"/>
      <c r="C77" s="40" t="s">
        <v>142</v>
      </c>
      <c r="D77" s="39"/>
      <c r="E77" s="39" t="s">
        <v>143</v>
      </c>
      <c r="F77" s="45" t="s">
        <v>145</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159</v>
      </c>
      <c r="D79" s="39"/>
      <c r="E79" s="39"/>
      <c r="F79" s="44"/>
      <c r="G79" s="44"/>
      <c r="H79" s="29" t="s">
        <v>143</v>
      </c>
    </row>
    <row r="80" spans="1:8" ht="12.75" customHeight="1" x14ac:dyDescent="0.2">
      <c r="A80" s="39"/>
      <c r="B80" s="39"/>
      <c r="C80" s="40" t="s">
        <v>142</v>
      </c>
      <c r="D80" s="39"/>
      <c r="E80" s="39" t="s">
        <v>143</v>
      </c>
      <c r="F80" s="45" t="s">
        <v>145</v>
      </c>
      <c r="G80" s="42">
        <v>0</v>
      </c>
      <c r="H80" s="29" t="s">
        <v>143</v>
      </c>
    </row>
    <row r="81" spans="1:8" ht="12.75" customHeight="1" x14ac:dyDescent="0.2">
      <c r="A81" s="39"/>
      <c r="B81" s="39"/>
      <c r="C81" s="43"/>
      <c r="D81" s="39"/>
      <c r="E81" s="39"/>
      <c r="F81" s="44"/>
      <c r="G81" s="44"/>
      <c r="H81" s="29" t="s">
        <v>143</v>
      </c>
    </row>
    <row r="82" spans="1:8" ht="12.75" customHeight="1" x14ac:dyDescent="0.2">
      <c r="A82" s="39"/>
      <c r="B82" s="39"/>
      <c r="C82" s="40" t="s">
        <v>160</v>
      </c>
      <c r="D82" s="39"/>
      <c r="E82" s="39"/>
      <c r="F82" s="44"/>
      <c r="G82" s="44"/>
      <c r="H82" s="29" t="s">
        <v>143</v>
      </c>
    </row>
    <row r="83" spans="1:8" ht="12.75" customHeight="1" x14ac:dyDescent="0.2">
      <c r="A83" s="35">
        <v>1</v>
      </c>
      <c r="B83" s="22"/>
      <c r="C83" s="22" t="s">
        <v>161</v>
      </c>
      <c r="D83" s="22"/>
      <c r="E83" s="46"/>
      <c r="F83" s="37">
        <v>39.701569999999997</v>
      </c>
      <c r="G83" s="38">
        <v>3.1101030000000002E-2</v>
      </c>
      <c r="H83" s="29">
        <v>5.51</v>
      </c>
    </row>
    <row r="84" spans="1:8" ht="12.75" customHeight="1" x14ac:dyDescent="0.2">
      <c r="A84" s="39"/>
      <c r="B84" s="39"/>
      <c r="C84" s="40" t="s">
        <v>142</v>
      </c>
      <c r="D84" s="39"/>
      <c r="E84" s="39" t="s">
        <v>143</v>
      </c>
      <c r="F84" s="41">
        <v>39.701569999999997</v>
      </c>
      <c r="G84" s="42">
        <v>3.1101030000000002E-2</v>
      </c>
      <c r="H84" s="29" t="s">
        <v>143</v>
      </c>
    </row>
    <row r="85" spans="1:8" ht="12.75" customHeight="1" x14ac:dyDescent="0.2">
      <c r="A85" s="39"/>
      <c r="B85" s="39"/>
      <c r="C85" s="43"/>
      <c r="D85" s="39"/>
      <c r="E85" s="39"/>
      <c r="F85" s="44"/>
      <c r="G85" s="44"/>
      <c r="H85" s="29" t="s">
        <v>143</v>
      </c>
    </row>
    <row r="86" spans="1:8" ht="12.75" customHeight="1" x14ac:dyDescent="0.2">
      <c r="A86" s="39"/>
      <c r="B86" s="39"/>
      <c r="C86" s="40" t="s">
        <v>162</v>
      </c>
      <c r="D86" s="39"/>
      <c r="E86" s="39"/>
      <c r="F86" s="41">
        <v>39.701569999999997</v>
      </c>
      <c r="G86" s="42">
        <v>3.1101030000000002E-2</v>
      </c>
      <c r="H86" s="29" t="s">
        <v>143</v>
      </c>
    </row>
    <row r="87" spans="1:8" ht="12.75" customHeight="1" x14ac:dyDescent="0.2">
      <c r="A87" s="39"/>
      <c r="B87" s="39"/>
      <c r="C87" s="44"/>
      <c r="D87" s="39"/>
      <c r="E87" s="39"/>
      <c r="F87" s="39"/>
      <c r="G87" s="39"/>
      <c r="H87" s="29" t="s">
        <v>143</v>
      </c>
    </row>
    <row r="88" spans="1:8" ht="12.75" customHeight="1" x14ac:dyDescent="0.2">
      <c r="A88" s="39"/>
      <c r="B88" s="39"/>
      <c r="C88" s="40" t="s">
        <v>163</v>
      </c>
      <c r="D88" s="39"/>
      <c r="E88" s="39"/>
      <c r="F88" s="39"/>
      <c r="G88" s="39"/>
      <c r="H88" s="29" t="s">
        <v>143</v>
      </c>
    </row>
    <row r="89" spans="1:8" ht="12.75" customHeight="1" x14ac:dyDescent="0.2">
      <c r="A89" s="39"/>
      <c r="B89" s="39"/>
      <c r="C89" s="40" t="s">
        <v>164</v>
      </c>
      <c r="D89" s="39"/>
      <c r="E89" s="39"/>
      <c r="F89" s="39"/>
      <c r="G89" s="39"/>
      <c r="H89" s="29" t="s">
        <v>143</v>
      </c>
    </row>
    <row r="90" spans="1:8" ht="12.75" customHeight="1" x14ac:dyDescent="0.2">
      <c r="A90" s="39"/>
      <c r="B90" s="39"/>
      <c r="C90" s="40" t="s">
        <v>142</v>
      </c>
      <c r="D90" s="39"/>
      <c r="E90" s="39" t="s">
        <v>143</v>
      </c>
      <c r="F90" s="45" t="s">
        <v>145</v>
      </c>
      <c r="G90" s="42">
        <v>0</v>
      </c>
      <c r="H90" s="29" t="s">
        <v>143</v>
      </c>
    </row>
    <row r="91" spans="1:8" ht="12.75" customHeight="1" x14ac:dyDescent="0.2">
      <c r="A91" s="39"/>
      <c r="B91" s="39"/>
      <c r="C91" s="43"/>
      <c r="D91" s="39"/>
      <c r="E91" s="39"/>
      <c r="F91" s="44"/>
      <c r="G91" s="44"/>
      <c r="H91" s="29" t="s">
        <v>143</v>
      </c>
    </row>
    <row r="92" spans="1:8" ht="12.75" customHeight="1" x14ac:dyDescent="0.2">
      <c r="A92" s="39"/>
      <c r="B92" s="39"/>
      <c r="C92" s="40" t="s">
        <v>165</v>
      </c>
      <c r="D92" s="39"/>
      <c r="E92" s="39"/>
      <c r="F92" s="39"/>
      <c r="G92" s="39"/>
      <c r="H92" s="29" t="s">
        <v>143</v>
      </c>
    </row>
    <row r="93" spans="1:8" ht="12.75" customHeight="1" x14ac:dyDescent="0.2">
      <c r="A93" s="39"/>
      <c r="B93" s="39"/>
      <c r="C93" s="40" t="s">
        <v>166</v>
      </c>
      <c r="D93" s="39"/>
      <c r="E93" s="39"/>
      <c r="F93" s="39"/>
      <c r="G93" s="39"/>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167</v>
      </c>
      <c r="D96" s="39"/>
      <c r="E96" s="39"/>
      <c r="F96" s="44"/>
      <c r="G96" s="44"/>
      <c r="H96" s="29" t="s">
        <v>143</v>
      </c>
    </row>
    <row r="97" spans="1:17" ht="12.75" customHeight="1" x14ac:dyDescent="0.2">
      <c r="A97" s="39"/>
      <c r="B97" s="39"/>
      <c r="C97" s="40" t="s">
        <v>142</v>
      </c>
      <c r="D97" s="39"/>
      <c r="E97" s="39" t="s">
        <v>143</v>
      </c>
      <c r="F97" s="45" t="s">
        <v>145</v>
      </c>
      <c r="G97" s="42">
        <v>0</v>
      </c>
      <c r="H97" s="29" t="s">
        <v>143</v>
      </c>
    </row>
    <row r="98" spans="1:17" ht="12.75" customHeight="1" x14ac:dyDescent="0.2">
      <c r="A98" s="39"/>
      <c r="B98" s="22"/>
      <c r="C98" s="22"/>
      <c r="D98" s="40"/>
      <c r="E98" s="39"/>
      <c r="F98" s="22"/>
      <c r="G98" s="46"/>
      <c r="H98" s="29" t="s">
        <v>143</v>
      </c>
    </row>
    <row r="99" spans="1:17" ht="12.75" customHeight="1" x14ac:dyDescent="0.2">
      <c r="A99" s="46"/>
      <c r="B99" s="22"/>
      <c r="C99" s="22" t="s">
        <v>168</v>
      </c>
      <c r="D99" s="22"/>
      <c r="E99" s="46"/>
      <c r="F99" s="37">
        <v>0.17165852000000001</v>
      </c>
      <c r="G99" s="38">
        <v>1.3447000000000001E-4</v>
      </c>
      <c r="H99" s="29" t="s">
        <v>143</v>
      </c>
    </row>
    <row r="100" spans="1:17" ht="12.75" customHeight="1" x14ac:dyDescent="0.2">
      <c r="A100" s="43"/>
      <c r="B100" s="43"/>
      <c r="C100" s="40" t="s">
        <v>169</v>
      </c>
      <c r="D100" s="44"/>
      <c r="E100" s="44"/>
      <c r="F100" s="41">
        <v>1276.53547622</v>
      </c>
      <c r="G100" s="47">
        <v>1</v>
      </c>
      <c r="H100" s="29" t="s">
        <v>143</v>
      </c>
    </row>
    <row r="101" spans="1:17" ht="12.75" customHeight="1" x14ac:dyDescent="0.2">
      <c r="A101" s="48"/>
      <c r="B101" s="48"/>
      <c r="C101" s="49"/>
      <c r="D101" s="50"/>
      <c r="E101" s="50"/>
      <c r="F101" s="51"/>
      <c r="G101" s="52"/>
      <c r="H101" s="53"/>
    </row>
    <row r="102" spans="1:17" x14ac:dyDescent="0.2">
      <c r="A102" s="54"/>
      <c r="B102" s="243" t="s">
        <v>945</v>
      </c>
      <c r="C102" s="243"/>
      <c r="D102" s="243"/>
      <c r="E102" s="243"/>
      <c r="F102" s="243"/>
      <c r="G102" s="243"/>
      <c r="H102" s="243"/>
      <c r="J102" s="56"/>
    </row>
    <row r="103" spans="1:17" x14ac:dyDescent="0.2">
      <c r="A103" s="54"/>
      <c r="B103" s="243" t="s">
        <v>946</v>
      </c>
      <c r="C103" s="243"/>
      <c r="D103" s="243"/>
      <c r="E103" s="243"/>
      <c r="F103" s="243"/>
      <c r="G103" s="243"/>
      <c r="H103" s="243"/>
      <c r="J103" s="56"/>
    </row>
    <row r="104" spans="1:17" x14ac:dyDescent="0.2">
      <c r="A104" s="54"/>
      <c r="B104" s="243" t="s">
        <v>947</v>
      </c>
      <c r="C104" s="243"/>
      <c r="D104" s="243"/>
      <c r="E104" s="243"/>
      <c r="F104" s="243"/>
      <c r="G104" s="243"/>
      <c r="H104" s="243"/>
      <c r="J104" s="56"/>
    </row>
    <row r="105" spans="1:17" s="58" customFormat="1" ht="66.75" customHeight="1" x14ac:dyDescent="0.25">
      <c r="A105" s="57"/>
      <c r="B105" s="244" t="s">
        <v>948</v>
      </c>
      <c r="C105" s="244"/>
      <c r="D105" s="244"/>
      <c r="E105" s="244"/>
      <c r="F105" s="244"/>
      <c r="G105" s="244"/>
      <c r="H105" s="244"/>
      <c r="I105"/>
      <c r="J105" s="56"/>
      <c r="K105"/>
      <c r="L105"/>
      <c r="M105"/>
      <c r="N105"/>
      <c r="O105"/>
      <c r="P105"/>
      <c r="Q105"/>
    </row>
    <row r="106" spans="1:17" x14ac:dyDescent="0.2">
      <c r="A106" s="54"/>
      <c r="B106" s="243" t="s">
        <v>949</v>
      </c>
      <c r="C106" s="243"/>
      <c r="D106" s="243"/>
      <c r="E106" s="243"/>
      <c r="F106" s="243"/>
      <c r="G106" s="243"/>
      <c r="H106" s="243"/>
      <c r="J106" s="56"/>
    </row>
    <row r="107" spans="1:17" x14ac:dyDescent="0.2">
      <c r="A107" s="54"/>
      <c r="B107" s="54"/>
      <c r="C107" s="54"/>
      <c r="D107" s="59"/>
      <c r="E107" s="59"/>
      <c r="F107" s="59"/>
      <c r="G107" s="59"/>
    </row>
    <row r="108" spans="1:17" x14ac:dyDescent="0.2">
      <c r="A108" s="54"/>
      <c r="B108" s="247" t="s">
        <v>170</v>
      </c>
      <c r="C108" s="248"/>
      <c r="D108" s="249"/>
      <c r="E108" s="60"/>
      <c r="F108" s="59"/>
      <c r="G108" s="59"/>
    </row>
    <row r="109" spans="1:17" ht="27.75" customHeight="1" x14ac:dyDescent="0.2">
      <c r="A109" s="54"/>
      <c r="B109" s="240" t="s">
        <v>171</v>
      </c>
      <c r="C109" s="241"/>
      <c r="D109" s="28" t="s">
        <v>172</v>
      </c>
      <c r="E109" s="60"/>
      <c r="F109" s="59"/>
      <c r="G109" s="59"/>
    </row>
    <row r="110" spans="1:17" ht="12.75" customHeight="1" x14ac:dyDescent="0.2">
      <c r="A110" s="54"/>
      <c r="B110" s="240" t="s">
        <v>950</v>
      </c>
      <c r="C110" s="241"/>
      <c r="D110" s="28" t="s">
        <v>172</v>
      </c>
      <c r="E110" s="60"/>
      <c r="F110" s="59"/>
      <c r="G110" s="59"/>
    </row>
    <row r="111" spans="1:17" x14ac:dyDescent="0.2">
      <c r="A111" s="54"/>
      <c r="B111" s="240" t="s">
        <v>173</v>
      </c>
      <c r="C111" s="241"/>
      <c r="D111" s="61" t="s">
        <v>143</v>
      </c>
      <c r="E111" s="60"/>
      <c r="F111" s="59"/>
      <c r="G111" s="59"/>
    </row>
    <row r="112" spans="1:17" x14ac:dyDescent="0.2">
      <c r="A112" s="62"/>
      <c r="B112" s="63" t="s">
        <v>143</v>
      </c>
      <c r="C112" s="63" t="s">
        <v>951</v>
      </c>
      <c r="D112" s="63" t="s">
        <v>174</v>
      </c>
      <c r="E112" s="62"/>
      <c r="F112" s="62"/>
      <c r="G112" s="62"/>
      <c r="H112" s="62"/>
      <c r="J112" s="56"/>
    </row>
    <row r="113" spans="1:10" x14ac:dyDescent="0.2">
      <c r="A113" s="62"/>
      <c r="B113" s="64" t="s">
        <v>175</v>
      </c>
      <c r="C113" s="65">
        <v>45900</v>
      </c>
      <c r="D113" s="65">
        <v>45930</v>
      </c>
      <c r="E113" s="62"/>
      <c r="F113" s="62"/>
      <c r="G113" s="62"/>
      <c r="J113" s="56"/>
    </row>
    <row r="114" spans="1:10" ht="12.75" customHeight="1" x14ac:dyDescent="0.2">
      <c r="A114" s="66"/>
      <c r="B114" s="67" t="s">
        <v>176</v>
      </c>
      <c r="C114" s="68">
        <v>36.128100000000003</v>
      </c>
      <c r="D114" s="68">
        <v>36.562199999999997</v>
      </c>
      <c r="E114" s="66"/>
      <c r="F114" s="69"/>
      <c r="G114" s="70"/>
    </row>
    <row r="115" spans="1:10" ht="12.75" customHeight="1" x14ac:dyDescent="0.2">
      <c r="A115" s="66"/>
      <c r="B115" s="67" t="s">
        <v>1085</v>
      </c>
      <c r="C115" s="68">
        <v>27.912099999999999</v>
      </c>
      <c r="D115" s="68">
        <v>28.247499999999999</v>
      </c>
      <c r="E115" s="66"/>
      <c r="F115" s="69"/>
      <c r="G115" s="70"/>
    </row>
    <row r="116" spans="1:10" ht="12.75" customHeight="1" x14ac:dyDescent="0.2">
      <c r="A116" s="66"/>
      <c r="B116" s="67" t="s">
        <v>177</v>
      </c>
      <c r="C116" s="68">
        <v>35.031300000000002</v>
      </c>
      <c r="D116" s="68">
        <v>35.446199999999997</v>
      </c>
      <c r="E116" s="66"/>
      <c r="F116" s="69"/>
      <c r="G116" s="70"/>
    </row>
    <row r="117" spans="1:10" ht="12.75" customHeight="1" x14ac:dyDescent="0.2">
      <c r="A117" s="66"/>
      <c r="B117" s="67" t="s">
        <v>1086</v>
      </c>
      <c r="C117" s="68">
        <v>26.919599999999999</v>
      </c>
      <c r="D117" s="68">
        <v>27.238399999999999</v>
      </c>
      <c r="E117" s="66"/>
      <c r="F117" s="69"/>
      <c r="G117" s="70"/>
    </row>
    <row r="118" spans="1:10" ht="12.75" customHeight="1" x14ac:dyDescent="0.2">
      <c r="A118" s="66"/>
      <c r="B118" s="66"/>
      <c r="C118" s="66"/>
      <c r="D118" s="66"/>
      <c r="E118" s="66"/>
      <c r="F118" s="66"/>
      <c r="G118" s="66"/>
    </row>
    <row r="119" spans="1:10" x14ac:dyDescent="0.2">
      <c r="A119" s="62"/>
      <c r="B119" s="245" t="s">
        <v>952</v>
      </c>
      <c r="C119" s="246"/>
      <c r="D119" s="71" t="s">
        <v>172</v>
      </c>
      <c r="E119" s="62"/>
      <c r="F119" s="62"/>
      <c r="G119" s="62"/>
    </row>
    <row r="120" spans="1:10" x14ac:dyDescent="0.2">
      <c r="A120" s="72"/>
      <c r="B120" s="73"/>
      <c r="C120" s="73"/>
      <c r="D120" s="73"/>
      <c r="E120" s="72"/>
      <c r="F120" s="72"/>
      <c r="G120" s="72"/>
    </row>
    <row r="121" spans="1:10" x14ac:dyDescent="0.2">
      <c r="A121" s="72"/>
      <c r="B121" s="240" t="s">
        <v>178</v>
      </c>
      <c r="C121" s="241"/>
      <c r="D121" s="28" t="s">
        <v>172</v>
      </c>
      <c r="E121" s="74"/>
      <c r="F121" s="72"/>
      <c r="G121" s="72"/>
    </row>
    <row r="122" spans="1:10" x14ac:dyDescent="0.2">
      <c r="A122" s="72"/>
      <c r="B122" s="240" t="s">
        <v>179</v>
      </c>
      <c r="C122" s="241"/>
      <c r="D122" s="28" t="s">
        <v>172</v>
      </c>
      <c r="E122" s="74"/>
      <c r="F122" s="72"/>
      <c r="G122" s="72"/>
    </row>
    <row r="123" spans="1:10" x14ac:dyDescent="0.2">
      <c r="A123" s="72"/>
      <c r="B123" s="240" t="s">
        <v>180</v>
      </c>
      <c r="C123" s="241"/>
      <c r="D123" s="28" t="s">
        <v>172</v>
      </c>
      <c r="E123" s="74"/>
      <c r="F123" s="72"/>
      <c r="G123" s="72"/>
    </row>
    <row r="124" spans="1:10" x14ac:dyDescent="0.2">
      <c r="A124" s="72"/>
      <c r="B124" s="240" t="s">
        <v>181</v>
      </c>
      <c r="C124" s="241"/>
      <c r="D124" s="75">
        <v>0</v>
      </c>
      <c r="E124" s="72"/>
      <c r="F124" s="55"/>
      <c r="G124" s="76"/>
    </row>
    <row r="125" spans="1:10" x14ac:dyDescent="0.2"/>
    <row r="126" spans="1:10" x14ac:dyDescent="0.2">
      <c r="B126" s="239" t="s">
        <v>953</v>
      </c>
      <c r="C126" s="239"/>
    </row>
    <row r="127" spans="1:10" x14ac:dyDescent="0.2"/>
    <row r="128" spans="1:10" ht="153.75" customHeight="1" x14ac:dyDescent="0.2"/>
    <row r="129" spans="2:10" x14ac:dyDescent="0.2"/>
    <row r="130" spans="2:10" x14ac:dyDescent="0.2"/>
    <row r="131" spans="2:10" x14ac:dyDescent="0.2">
      <c r="B131" s="77" t="s">
        <v>954</v>
      </c>
      <c r="C131" s="78"/>
      <c r="D131" s="77"/>
    </row>
    <row r="132" spans="2:10" x14ac:dyDescent="0.2">
      <c r="B132" s="77" t="s">
        <v>963</v>
      </c>
      <c r="D132" s="77"/>
    </row>
    <row r="133" spans="2:10" ht="165" customHeight="1" x14ac:dyDescent="0.2"/>
    <row r="134" spans="2:10" x14ac:dyDescent="0.2">
      <c r="J134" s="26"/>
    </row>
    <row r="135" spans="2:10" x14ac:dyDescent="0.2"/>
    <row r="136" spans="2:10" x14ac:dyDescent="0.2"/>
    <row r="137" spans="2:10" x14ac:dyDescent="0.2"/>
    <row r="138" spans="2:10" x14ac:dyDescent="0.2"/>
    <row r="139" spans="2:10" x14ac:dyDescent="0.2"/>
    <row r="140" spans="2:10" x14ac:dyDescent="0.2"/>
    <row r="141" spans="2:10" x14ac:dyDescent="0.2"/>
    <row r="142" spans="2:10" x14ac:dyDescent="0.2"/>
    <row r="143" spans="2:10" x14ac:dyDescent="0.2"/>
  </sheetData>
  <mergeCells count="18">
    <mergeCell ref="B108:D108"/>
    <mergeCell ref="B109:C109"/>
    <mergeCell ref="B126:C126"/>
    <mergeCell ref="B124:C124"/>
    <mergeCell ref="A1:H1"/>
    <mergeCell ref="A2:H2"/>
    <mergeCell ref="A3:H3"/>
    <mergeCell ref="B123:C123"/>
    <mergeCell ref="B102:H102"/>
    <mergeCell ref="B103:H103"/>
    <mergeCell ref="B110:C110"/>
    <mergeCell ref="B111:C111"/>
    <mergeCell ref="B121:C121"/>
    <mergeCell ref="B122:C122"/>
    <mergeCell ref="B104:H104"/>
    <mergeCell ref="B105:H105"/>
    <mergeCell ref="B106:H106"/>
    <mergeCell ref="B119:C119"/>
  </mergeCells>
  <hyperlinks>
    <hyperlink ref="I1" location="Index!B2" display="Index" xr:uid="{FC30EC65-269C-4E2B-BBF9-4D2434692D7D}"/>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2A71-CFDD-4C95-81D8-E2F843A34508}">
  <sheetPr>
    <outlinePr summaryBelow="0" summaryRight="0"/>
  </sheetPr>
  <dimension ref="A1:Q146"/>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445</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354</v>
      </c>
      <c r="C7" s="22" t="s">
        <v>355</v>
      </c>
      <c r="D7" s="22" t="s">
        <v>188</v>
      </c>
      <c r="E7" s="36">
        <v>71973</v>
      </c>
      <c r="F7" s="37">
        <v>451.23472349999997</v>
      </c>
      <c r="G7" s="38">
        <v>6.0480230000000003E-2</v>
      </c>
      <c r="H7" s="29" t="s">
        <v>143</v>
      </c>
    </row>
    <row r="8" spans="1:9" ht="12.75" customHeight="1" x14ac:dyDescent="0.2">
      <c r="A8" s="35">
        <v>2</v>
      </c>
      <c r="B8" s="22" t="s">
        <v>356</v>
      </c>
      <c r="C8" s="22" t="s">
        <v>357</v>
      </c>
      <c r="D8" s="22" t="s">
        <v>46</v>
      </c>
      <c r="E8" s="36">
        <v>19836</v>
      </c>
      <c r="F8" s="37">
        <v>434.07118800000001</v>
      </c>
      <c r="G8" s="38">
        <v>5.8179750000000002E-2</v>
      </c>
      <c r="H8" s="29" t="s">
        <v>143</v>
      </c>
    </row>
    <row r="9" spans="1:9" ht="12.75" customHeight="1" x14ac:dyDescent="0.2">
      <c r="A9" s="35">
        <v>3</v>
      </c>
      <c r="B9" s="22" t="s">
        <v>341</v>
      </c>
      <c r="C9" s="22" t="s">
        <v>342</v>
      </c>
      <c r="D9" s="22" t="s">
        <v>259</v>
      </c>
      <c r="E9" s="36">
        <v>21388</v>
      </c>
      <c r="F9" s="37">
        <v>416.57407599999999</v>
      </c>
      <c r="G9" s="38">
        <v>5.583457E-2</v>
      </c>
      <c r="H9" s="29" t="s">
        <v>143</v>
      </c>
    </row>
    <row r="10" spans="1:9" ht="12.75" customHeight="1" x14ac:dyDescent="0.2">
      <c r="A10" s="35">
        <v>4</v>
      </c>
      <c r="B10" s="22" t="s">
        <v>76</v>
      </c>
      <c r="C10" s="22" t="s">
        <v>77</v>
      </c>
      <c r="D10" s="22" t="s">
        <v>64</v>
      </c>
      <c r="E10" s="36">
        <v>8402</v>
      </c>
      <c r="F10" s="37">
        <v>341.31444599999998</v>
      </c>
      <c r="G10" s="38">
        <v>4.5747309999999999E-2</v>
      </c>
      <c r="H10" s="29" t="s">
        <v>143</v>
      </c>
    </row>
    <row r="11" spans="1:9" ht="12.75" customHeight="1" x14ac:dyDescent="0.2">
      <c r="A11" s="35">
        <v>5</v>
      </c>
      <c r="B11" s="22" t="s">
        <v>65</v>
      </c>
      <c r="C11" s="22" t="s">
        <v>66</v>
      </c>
      <c r="D11" s="22" t="s">
        <v>64</v>
      </c>
      <c r="E11" s="36">
        <v>38992</v>
      </c>
      <c r="F11" s="37">
        <v>320.358272</v>
      </c>
      <c r="G11" s="38">
        <v>4.2938499999999998E-2</v>
      </c>
      <c r="H11" s="29" t="s">
        <v>143</v>
      </c>
    </row>
    <row r="12" spans="1:9" ht="12.75" customHeight="1" x14ac:dyDescent="0.2">
      <c r="A12" s="35">
        <v>6</v>
      </c>
      <c r="B12" s="22" t="s">
        <v>358</v>
      </c>
      <c r="C12" s="22" t="s">
        <v>359</v>
      </c>
      <c r="D12" s="22" t="s">
        <v>206</v>
      </c>
      <c r="E12" s="36">
        <v>106345</v>
      </c>
      <c r="F12" s="37">
        <v>312.44161000000003</v>
      </c>
      <c r="G12" s="38">
        <v>4.1877409999999997E-2</v>
      </c>
      <c r="H12" s="29" t="s">
        <v>143</v>
      </c>
    </row>
    <row r="13" spans="1:9" ht="12.75" customHeight="1" x14ac:dyDescent="0.2">
      <c r="A13" s="35">
        <v>7</v>
      </c>
      <c r="B13" s="22" t="s">
        <v>362</v>
      </c>
      <c r="C13" s="22" t="s">
        <v>363</v>
      </c>
      <c r="D13" s="22" t="s">
        <v>33</v>
      </c>
      <c r="E13" s="36">
        <v>76163</v>
      </c>
      <c r="F13" s="37">
        <v>282.94554499999998</v>
      </c>
      <c r="G13" s="38">
        <v>3.7923970000000001E-2</v>
      </c>
      <c r="H13" s="29" t="s">
        <v>143</v>
      </c>
    </row>
    <row r="14" spans="1:9" ht="12.75" customHeight="1" x14ac:dyDescent="0.2">
      <c r="A14" s="35">
        <v>8</v>
      </c>
      <c r="B14" s="22" t="s">
        <v>337</v>
      </c>
      <c r="C14" s="22" t="s">
        <v>338</v>
      </c>
      <c r="D14" s="22" t="s">
        <v>223</v>
      </c>
      <c r="E14" s="36">
        <v>3621</v>
      </c>
      <c r="F14" s="37">
        <v>282.29316</v>
      </c>
      <c r="G14" s="38">
        <v>3.783653E-2</v>
      </c>
      <c r="H14" s="29" t="s">
        <v>143</v>
      </c>
    </row>
    <row r="15" spans="1:9" ht="12.75" customHeight="1" x14ac:dyDescent="0.2">
      <c r="A15" s="35">
        <v>9</v>
      </c>
      <c r="B15" s="22" t="s">
        <v>360</v>
      </c>
      <c r="C15" s="22" t="s">
        <v>361</v>
      </c>
      <c r="D15" s="22" t="s">
        <v>33</v>
      </c>
      <c r="E15" s="36">
        <v>604881</v>
      </c>
      <c r="F15" s="37">
        <v>280.36234350000001</v>
      </c>
      <c r="G15" s="38">
        <v>3.7577729999999997E-2</v>
      </c>
      <c r="H15" s="29" t="s">
        <v>143</v>
      </c>
    </row>
    <row r="16" spans="1:9" ht="12.75" customHeight="1" x14ac:dyDescent="0.2">
      <c r="A16" s="35">
        <v>10</v>
      </c>
      <c r="B16" s="22" t="s">
        <v>378</v>
      </c>
      <c r="C16" s="22" t="s">
        <v>379</v>
      </c>
      <c r="D16" s="22" t="s">
        <v>223</v>
      </c>
      <c r="E16" s="36">
        <v>13073</v>
      </c>
      <c r="F16" s="37">
        <v>278.78172499999999</v>
      </c>
      <c r="G16" s="38">
        <v>3.7365879999999997E-2</v>
      </c>
      <c r="H16" s="29" t="s">
        <v>143</v>
      </c>
    </row>
    <row r="17" spans="1:8" ht="12.75" customHeight="1" x14ac:dyDescent="0.2">
      <c r="A17" s="35">
        <v>11</v>
      </c>
      <c r="B17" s="22" t="s">
        <v>364</v>
      </c>
      <c r="C17" s="22" t="s">
        <v>365</v>
      </c>
      <c r="D17" s="22" t="s">
        <v>46</v>
      </c>
      <c r="E17" s="36">
        <v>96717</v>
      </c>
      <c r="F17" s="37">
        <v>261.42605099999997</v>
      </c>
      <c r="G17" s="38">
        <v>3.5039649999999999E-2</v>
      </c>
      <c r="H17" s="29" t="s">
        <v>143</v>
      </c>
    </row>
    <row r="18" spans="1:8" ht="12.75" customHeight="1" x14ac:dyDescent="0.2">
      <c r="A18" s="35">
        <v>12</v>
      </c>
      <c r="B18" s="22" t="s">
        <v>366</v>
      </c>
      <c r="C18" s="22" t="s">
        <v>367</v>
      </c>
      <c r="D18" s="22" t="s">
        <v>194</v>
      </c>
      <c r="E18" s="36">
        <v>3653</v>
      </c>
      <c r="F18" s="37">
        <v>230.41297499999999</v>
      </c>
      <c r="G18" s="38">
        <v>3.0882880000000001E-2</v>
      </c>
      <c r="H18" s="29" t="s">
        <v>143</v>
      </c>
    </row>
    <row r="19" spans="1:8" ht="12.75" customHeight="1" x14ac:dyDescent="0.2">
      <c r="A19" s="35">
        <v>13</v>
      </c>
      <c r="B19" s="22" t="s">
        <v>374</v>
      </c>
      <c r="C19" s="22" t="s">
        <v>375</v>
      </c>
      <c r="D19" s="22" t="s">
        <v>33</v>
      </c>
      <c r="E19" s="36">
        <v>382570</v>
      </c>
      <c r="F19" s="37">
        <v>218.75352599999999</v>
      </c>
      <c r="G19" s="38">
        <v>2.932013E-2</v>
      </c>
      <c r="H19" s="29" t="s">
        <v>143</v>
      </c>
    </row>
    <row r="20" spans="1:8" ht="12.75" customHeight="1" x14ac:dyDescent="0.2">
      <c r="A20" s="35">
        <v>14</v>
      </c>
      <c r="B20" s="22" t="s">
        <v>368</v>
      </c>
      <c r="C20" s="22" t="s">
        <v>369</v>
      </c>
      <c r="D20" s="22" t="s">
        <v>215</v>
      </c>
      <c r="E20" s="36">
        <v>33039</v>
      </c>
      <c r="F20" s="37">
        <v>213.01895250000001</v>
      </c>
      <c r="G20" s="38">
        <v>2.8551509999999999E-2</v>
      </c>
      <c r="H20" s="29" t="s">
        <v>143</v>
      </c>
    </row>
    <row r="21" spans="1:8" ht="12.75" customHeight="1" x14ac:dyDescent="0.2">
      <c r="A21" s="35">
        <v>15</v>
      </c>
      <c r="B21" s="22" t="s">
        <v>372</v>
      </c>
      <c r="C21" s="22" t="s">
        <v>373</v>
      </c>
      <c r="D21" s="22" t="s">
        <v>270</v>
      </c>
      <c r="E21" s="36">
        <v>4183</v>
      </c>
      <c r="F21" s="37">
        <v>193.31734499999999</v>
      </c>
      <c r="G21" s="38">
        <v>2.5910849999999999E-2</v>
      </c>
      <c r="H21" s="29" t="s">
        <v>143</v>
      </c>
    </row>
    <row r="22" spans="1:8" ht="12.75" customHeight="1" x14ac:dyDescent="0.2">
      <c r="A22" s="35">
        <v>16</v>
      </c>
      <c r="B22" s="22" t="s">
        <v>47</v>
      </c>
      <c r="C22" s="22" t="s">
        <v>48</v>
      </c>
      <c r="D22" s="22" t="s">
        <v>16</v>
      </c>
      <c r="E22" s="36">
        <v>15091</v>
      </c>
      <c r="F22" s="37">
        <v>189.36186799999999</v>
      </c>
      <c r="G22" s="38">
        <v>2.5380690000000001E-2</v>
      </c>
      <c r="H22" s="29" t="s">
        <v>143</v>
      </c>
    </row>
    <row r="23" spans="1:8" ht="12.75" customHeight="1" x14ac:dyDescent="0.2">
      <c r="A23" s="35">
        <v>17</v>
      </c>
      <c r="B23" s="22" t="s">
        <v>226</v>
      </c>
      <c r="C23" s="22" t="s">
        <v>227</v>
      </c>
      <c r="D23" s="22" t="s">
        <v>191</v>
      </c>
      <c r="E23" s="36">
        <v>1412</v>
      </c>
      <c r="F23" s="37">
        <v>180.1712</v>
      </c>
      <c r="G23" s="38">
        <v>2.4148840000000001E-2</v>
      </c>
      <c r="H23" s="29" t="s">
        <v>143</v>
      </c>
    </row>
    <row r="24" spans="1:8" ht="12.75" customHeight="1" x14ac:dyDescent="0.2">
      <c r="A24" s="35">
        <v>18</v>
      </c>
      <c r="B24" s="22" t="s">
        <v>383</v>
      </c>
      <c r="C24" s="22" t="s">
        <v>384</v>
      </c>
      <c r="D24" s="22" t="s">
        <v>191</v>
      </c>
      <c r="E24" s="36">
        <v>22434</v>
      </c>
      <c r="F24" s="37">
        <v>171.21628799999999</v>
      </c>
      <c r="G24" s="38">
        <v>2.2948590000000001E-2</v>
      </c>
      <c r="H24" s="29" t="s">
        <v>143</v>
      </c>
    </row>
    <row r="25" spans="1:8" ht="12.75" customHeight="1" x14ac:dyDescent="0.2">
      <c r="A25" s="35">
        <v>19</v>
      </c>
      <c r="B25" s="22" t="s">
        <v>387</v>
      </c>
      <c r="C25" s="22" t="s">
        <v>388</v>
      </c>
      <c r="D25" s="22" t="s">
        <v>389</v>
      </c>
      <c r="E25" s="36">
        <v>48701</v>
      </c>
      <c r="F25" s="37">
        <v>170.112593</v>
      </c>
      <c r="G25" s="38">
        <v>2.280066E-2</v>
      </c>
      <c r="H25" s="29" t="s">
        <v>143</v>
      </c>
    </row>
    <row r="26" spans="1:8" ht="12.75" customHeight="1" x14ac:dyDescent="0.2">
      <c r="A26" s="35">
        <v>20</v>
      </c>
      <c r="B26" s="22" t="s">
        <v>67</v>
      </c>
      <c r="C26" s="22" t="s">
        <v>68</v>
      </c>
      <c r="D26" s="22" t="s">
        <v>25</v>
      </c>
      <c r="E26" s="36">
        <v>2622</v>
      </c>
      <c r="F26" s="37">
        <v>165.18600000000001</v>
      </c>
      <c r="G26" s="38">
        <v>2.214033E-2</v>
      </c>
      <c r="H26" s="29" t="s">
        <v>143</v>
      </c>
    </row>
    <row r="27" spans="1:8" ht="12.75" customHeight="1" x14ac:dyDescent="0.2">
      <c r="A27" s="35">
        <v>21</v>
      </c>
      <c r="B27" s="22" t="s">
        <v>297</v>
      </c>
      <c r="C27" s="22" t="s">
        <v>298</v>
      </c>
      <c r="D27" s="22" t="s">
        <v>64</v>
      </c>
      <c r="E27" s="36">
        <v>10116</v>
      </c>
      <c r="F27" s="37">
        <v>160.66231199999999</v>
      </c>
      <c r="G27" s="38">
        <v>2.1534009999999999E-2</v>
      </c>
      <c r="H27" s="29" t="s">
        <v>143</v>
      </c>
    </row>
    <row r="28" spans="1:8" ht="12.75" customHeight="1" x14ac:dyDescent="0.2">
      <c r="A28" s="35">
        <v>22</v>
      </c>
      <c r="B28" s="22" t="s">
        <v>385</v>
      </c>
      <c r="C28" s="22" t="s">
        <v>386</v>
      </c>
      <c r="D28" s="22" t="s">
        <v>191</v>
      </c>
      <c r="E28" s="36">
        <v>8289</v>
      </c>
      <c r="F28" s="37">
        <v>156.24764999999999</v>
      </c>
      <c r="G28" s="38">
        <v>2.09423E-2</v>
      </c>
      <c r="H28" s="29" t="s">
        <v>143</v>
      </c>
    </row>
    <row r="29" spans="1:8" ht="12.75" customHeight="1" x14ac:dyDescent="0.2">
      <c r="A29" s="35">
        <v>23</v>
      </c>
      <c r="B29" s="22" t="s">
        <v>69</v>
      </c>
      <c r="C29" s="22" t="s">
        <v>70</v>
      </c>
      <c r="D29" s="22" t="s">
        <v>64</v>
      </c>
      <c r="E29" s="36">
        <v>3065</v>
      </c>
      <c r="F29" s="37">
        <v>151.150475</v>
      </c>
      <c r="G29" s="38">
        <v>2.025911E-2</v>
      </c>
      <c r="H29" s="29" t="s">
        <v>143</v>
      </c>
    </row>
    <row r="30" spans="1:8" ht="12.75" customHeight="1" x14ac:dyDescent="0.2">
      <c r="A30" s="35">
        <v>24</v>
      </c>
      <c r="B30" s="22" t="s">
        <v>88</v>
      </c>
      <c r="C30" s="22" t="s">
        <v>89</v>
      </c>
      <c r="D30" s="22" t="s">
        <v>90</v>
      </c>
      <c r="E30" s="36">
        <v>16288</v>
      </c>
      <c r="F30" s="37">
        <v>145.948624</v>
      </c>
      <c r="G30" s="38">
        <v>1.9561889999999998E-2</v>
      </c>
      <c r="H30" s="29" t="s">
        <v>143</v>
      </c>
    </row>
    <row r="31" spans="1:8" ht="12.75" customHeight="1" x14ac:dyDescent="0.2">
      <c r="A31" s="35">
        <v>25</v>
      </c>
      <c r="B31" s="22" t="s">
        <v>380</v>
      </c>
      <c r="C31" s="22" t="s">
        <v>381</v>
      </c>
      <c r="D31" s="22" t="s">
        <v>382</v>
      </c>
      <c r="E31" s="36">
        <v>12930</v>
      </c>
      <c r="F31" s="37">
        <v>138.9975</v>
      </c>
      <c r="G31" s="38">
        <v>1.8630219999999999E-2</v>
      </c>
      <c r="H31" s="29" t="s">
        <v>143</v>
      </c>
    </row>
    <row r="32" spans="1:8" ht="12.75" customHeight="1" x14ac:dyDescent="0.2">
      <c r="A32" s="35">
        <v>26</v>
      </c>
      <c r="B32" s="22" t="s">
        <v>404</v>
      </c>
      <c r="C32" s="22" t="s">
        <v>405</v>
      </c>
      <c r="D32" s="22" t="s">
        <v>215</v>
      </c>
      <c r="E32" s="36">
        <v>38673</v>
      </c>
      <c r="F32" s="37">
        <v>136.4963535</v>
      </c>
      <c r="G32" s="38">
        <v>1.8294979999999999E-2</v>
      </c>
      <c r="H32" s="29" t="s">
        <v>143</v>
      </c>
    </row>
    <row r="33" spans="1:8" ht="12.75" customHeight="1" x14ac:dyDescent="0.2">
      <c r="A33" s="35">
        <v>27</v>
      </c>
      <c r="B33" s="22" t="s">
        <v>392</v>
      </c>
      <c r="C33" s="22" t="s">
        <v>393</v>
      </c>
      <c r="D33" s="22" t="s">
        <v>206</v>
      </c>
      <c r="E33" s="36">
        <v>18794</v>
      </c>
      <c r="F33" s="37">
        <v>129.22754399999999</v>
      </c>
      <c r="G33" s="38">
        <v>1.7320720000000001E-2</v>
      </c>
      <c r="H33" s="29" t="s">
        <v>143</v>
      </c>
    </row>
    <row r="34" spans="1:8" ht="12.75" customHeight="1" x14ac:dyDescent="0.2">
      <c r="A34" s="35">
        <v>28</v>
      </c>
      <c r="B34" s="22" t="s">
        <v>390</v>
      </c>
      <c r="C34" s="22" t="s">
        <v>391</v>
      </c>
      <c r="D34" s="22" t="s">
        <v>64</v>
      </c>
      <c r="E34" s="36">
        <v>28519</v>
      </c>
      <c r="F34" s="37">
        <v>125.74027100000001</v>
      </c>
      <c r="G34" s="38">
        <v>1.685331E-2</v>
      </c>
      <c r="H34" s="29" t="s">
        <v>143</v>
      </c>
    </row>
    <row r="35" spans="1:8" ht="12.75" customHeight="1" x14ac:dyDescent="0.2">
      <c r="A35" s="35">
        <v>29</v>
      </c>
      <c r="B35" s="22" t="s">
        <v>396</v>
      </c>
      <c r="C35" s="22" t="s">
        <v>397</v>
      </c>
      <c r="D35" s="22" t="s">
        <v>259</v>
      </c>
      <c r="E35" s="36">
        <v>26290</v>
      </c>
      <c r="F35" s="37">
        <v>105.37032000000001</v>
      </c>
      <c r="G35" s="38">
        <v>1.412307E-2</v>
      </c>
      <c r="H35" s="29" t="s">
        <v>143</v>
      </c>
    </row>
    <row r="36" spans="1:8" ht="12.75" customHeight="1" x14ac:dyDescent="0.2">
      <c r="A36" s="35">
        <v>30</v>
      </c>
      <c r="B36" s="22" t="s">
        <v>446</v>
      </c>
      <c r="C36" s="22" t="s">
        <v>447</v>
      </c>
      <c r="D36" s="22" t="s">
        <v>64</v>
      </c>
      <c r="E36" s="36">
        <v>20968</v>
      </c>
      <c r="F36" s="37">
        <v>104.84</v>
      </c>
      <c r="G36" s="38">
        <v>1.405199E-2</v>
      </c>
      <c r="H36" s="29" t="s">
        <v>143</v>
      </c>
    </row>
    <row r="37" spans="1:8" ht="12.75" customHeight="1" x14ac:dyDescent="0.2">
      <c r="A37" s="35">
        <v>31</v>
      </c>
      <c r="B37" s="22" t="s">
        <v>400</v>
      </c>
      <c r="C37" s="22" t="s">
        <v>401</v>
      </c>
      <c r="D37" s="22" t="s">
        <v>194</v>
      </c>
      <c r="E37" s="36">
        <v>12965</v>
      </c>
      <c r="F37" s="37">
        <v>103.1430575</v>
      </c>
      <c r="G37" s="38">
        <v>1.382455E-2</v>
      </c>
      <c r="H37" s="29" t="s">
        <v>143</v>
      </c>
    </row>
    <row r="38" spans="1:8" ht="12.75" customHeight="1" x14ac:dyDescent="0.2">
      <c r="A38" s="35">
        <v>32</v>
      </c>
      <c r="B38" s="22" t="s">
        <v>398</v>
      </c>
      <c r="C38" s="22" t="s">
        <v>399</v>
      </c>
      <c r="D38" s="22" t="s">
        <v>133</v>
      </c>
      <c r="E38" s="36">
        <v>56603</v>
      </c>
      <c r="F38" s="37">
        <v>95.528883100000002</v>
      </c>
      <c r="G38" s="38">
        <v>1.2803999999999999E-2</v>
      </c>
      <c r="H38" s="29" t="s">
        <v>143</v>
      </c>
    </row>
    <row r="39" spans="1:8" ht="12.75" customHeight="1" x14ac:dyDescent="0.2">
      <c r="A39" s="35">
        <v>33</v>
      </c>
      <c r="B39" s="22" t="s">
        <v>406</v>
      </c>
      <c r="C39" s="22" t="s">
        <v>407</v>
      </c>
      <c r="D39" s="22" t="s">
        <v>408</v>
      </c>
      <c r="E39" s="36">
        <v>7010</v>
      </c>
      <c r="F39" s="37">
        <v>82.591819999999998</v>
      </c>
      <c r="G39" s="38">
        <v>1.107001E-2</v>
      </c>
      <c r="H39" s="29" t="s">
        <v>143</v>
      </c>
    </row>
    <row r="40" spans="1:8" ht="12.75" customHeight="1" x14ac:dyDescent="0.2">
      <c r="A40" s="35">
        <v>34</v>
      </c>
      <c r="B40" s="22" t="s">
        <v>402</v>
      </c>
      <c r="C40" s="22" t="s">
        <v>403</v>
      </c>
      <c r="D40" s="22" t="s">
        <v>46</v>
      </c>
      <c r="E40" s="36">
        <v>7334</v>
      </c>
      <c r="F40" s="37">
        <v>59.632753999999998</v>
      </c>
      <c r="G40" s="38">
        <v>7.9927399999999999E-3</v>
      </c>
      <c r="H40" s="29" t="s">
        <v>143</v>
      </c>
    </row>
    <row r="41" spans="1:8" ht="12.75" customHeight="1" x14ac:dyDescent="0.2">
      <c r="A41" s="35">
        <v>35</v>
      </c>
      <c r="B41" s="22" t="s">
        <v>409</v>
      </c>
      <c r="C41" s="22" t="s">
        <v>410</v>
      </c>
      <c r="D41" s="22" t="s">
        <v>46</v>
      </c>
      <c r="E41" s="36">
        <v>7757</v>
      </c>
      <c r="F41" s="37">
        <v>53.112178999999998</v>
      </c>
      <c r="G41" s="38">
        <v>7.11877E-3</v>
      </c>
      <c r="H41" s="29" t="s">
        <v>143</v>
      </c>
    </row>
    <row r="42" spans="1:8" ht="12.75" customHeight="1" x14ac:dyDescent="0.2">
      <c r="A42" s="35">
        <v>36</v>
      </c>
      <c r="B42" s="22" t="s">
        <v>413</v>
      </c>
      <c r="C42" s="22" t="s">
        <v>414</v>
      </c>
      <c r="D42" s="22" t="s">
        <v>41</v>
      </c>
      <c r="E42" s="36">
        <v>8886</v>
      </c>
      <c r="F42" s="37">
        <v>27.386652000000002</v>
      </c>
      <c r="G42" s="38">
        <v>3.6707100000000002E-3</v>
      </c>
      <c r="H42" s="29" t="s">
        <v>143</v>
      </c>
    </row>
    <row r="43" spans="1:8" ht="12.75" customHeight="1" x14ac:dyDescent="0.2">
      <c r="A43" s="39"/>
      <c r="B43" s="39"/>
      <c r="C43" s="40" t="s">
        <v>142</v>
      </c>
      <c r="D43" s="39"/>
      <c r="E43" s="39" t="s">
        <v>143</v>
      </c>
      <c r="F43" s="41">
        <v>7169.4302826000003</v>
      </c>
      <c r="G43" s="42">
        <v>0.96093839000000003</v>
      </c>
      <c r="H43" s="29" t="s">
        <v>143</v>
      </c>
    </row>
    <row r="44" spans="1:8" ht="12.75" customHeight="1" x14ac:dyDescent="0.2">
      <c r="A44" s="39"/>
      <c r="B44" s="39"/>
      <c r="C44" s="43"/>
      <c r="D44" s="39"/>
      <c r="E44" s="39"/>
      <c r="F44" s="44"/>
      <c r="G44" s="44"/>
      <c r="H44" s="29" t="s">
        <v>143</v>
      </c>
    </row>
    <row r="45" spans="1:8" ht="12.75" customHeight="1" x14ac:dyDescent="0.2">
      <c r="A45" s="39"/>
      <c r="B45" s="39"/>
      <c r="C45" s="40" t="s">
        <v>144</v>
      </c>
      <c r="D45" s="39"/>
      <c r="E45" s="39"/>
      <c r="F45" s="39"/>
      <c r="G45" s="39"/>
      <c r="H45" s="29" t="s">
        <v>143</v>
      </c>
    </row>
    <row r="46" spans="1:8" ht="12.75" customHeight="1" x14ac:dyDescent="0.2">
      <c r="A46" s="39"/>
      <c r="B46" s="39"/>
      <c r="C46" s="40" t="s">
        <v>142</v>
      </c>
      <c r="D46" s="39"/>
      <c r="E46" s="39" t="s">
        <v>143</v>
      </c>
      <c r="F46" s="45" t="s">
        <v>145</v>
      </c>
      <c r="G46" s="42">
        <v>0</v>
      </c>
      <c r="H46" s="29" t="s">
        <v>143</v>
      </c>
    </row>
    <row r="47" spans="1:8" ht="12.75" customHeight="1" x14ac:dyDescent="0.2">
      <c r="A47" s="39"/>
      <c r="B47" s="39"/>
      <c r="C47" s="43"/>
      <c r="D47" s="39"/>
      <c r="E47" s="39"/>
      <c r="F47" s="44"/>
      <c r="G47" s="44"/>
      <c r="H47" s="29" t="s">
        <v>143</v>
      </c>
    </row>
    <row r="48" spans="1:8" ht="12.75" customHeight="1" x14ac:dyDescent="0.2">
      <c r="A48" s="39"/>
      <c r="B48" s="39"/>
      <c r="C48" s="40" t="s">
        <v>146</v>
      </c>
      <c r="D48" s="39"/>
      <c r="E48" s="39"/>
      <c r="F48" s="39"/>
      <c r="G48" s="39"/>
      <c r="H48" s="29" t="s">
        <v>143</v>
      </c>
    </row>
    <row r="49" spans="1:8" ht="12.75" customHeight="1" x14ac:dyDescent="0.2">
      <c r="A49" s="39"/>
      <c r="B49" s="39"/>
      <c r="C49" s="40" t="s">
        <v>142</v>
      </c>
      <c r="D49" s="39"/>
      <c r="E49" s="39" t="s">
        <v>143</v>
      </c>
      <c r="F49" s="45" t="s">
        <v>145</v>
      </c>
      <c r="G49" s="42">
        <v>0</v>
      </c>
      <c r="H49" s="29" t="s">
        <v>143</v>
      </c>
    </row>
    <row r="50" spans="1:8" ht="12.75" customHeight="1" x14ac:dyDescent="0.2">
      <c r="A50" s="39"/>
      <c r="B50" s="39"/>
      <c r="C50" s="43"/>
      <c r="D50" s="39"/>
      <c r="E50" s="39"/>
      <c r="F50" s="44"/>
      <c r="G50" s="44"/>
      <c r="H50" s="29" t="s">
        <v>143</v>
      </c>
    </row>
    <row r="51" spans="1:8" ht="12.75" customHeight="1" x14ac:dyDescent="0.2">
      <c r="A51" s="39"/>
      <c r="B51" s="39"/>
      <c r="C51" s="40" t="s">
        <v>147</v>
      </c>
      <c r="D51" s="39"/>
      <c r="E51" s="39"/>
      <c r="F51" s="39"/>
      <c r="G51" s="39"/>
      <c r="H51" s="29" t="s">
        <v>143</v>
      </c>
    </row>
    <row r="52" spans="1:8" ht="12.75" customHeight="1" x14ac:dyDescent="0.2">
      <c r="A52" s="39"/>
      <c r="B52" s="39"/>
      <c r="C52" s="40" t="s">
        <v>142</v>
      </c>
      <c r="D52" s="39"/>
      <c r="E52" s="39" t="s">
        <v>143</v>
      </c>
      <c r="F52" s="45" t="s">
        <v>145</v>
      </c>
      <c r="G52" s="42">
        <v>0</v>
      </c>
      <c r="H52" s="29" t="s">
        <v>143</v>
      </c>
    </row>
    <row r="53" spans="1:8" ht="12.75" customHeight="1" x14ac:dyDescent="0.2">
      <c r="A53" s="39"/>
      <c r="B53" s="39"/>
      <c r="C53" s="43"/>
      <c r="D53" s="39"/>
      <c r="E53" s="39"/>
      <c r="F53" s="44"/>
      <c r="G53" s="44"/>
      <c r="H53" s="29" t="s">
        <v>143</v>
      </c>
    </row>
    <row r="54" spans="1:8" ht="12.75" customHeight="1" x14ac:dyDescent="0.2">
      <c r="A54" s="39"/>
      <c r="B54" s="39"/>
      <c r="C54" s="40" t="s">
        <v>148</v>
      </c>
      <c r="D54" s="39"/>
      <c r="E54" s="39"/>
      <c r="F54" s="44"/>
      <c r="G54" s="44"/>
      <c r="H54" s="29" t="s">
        <v>143</v>
      </c>
    </row>
    <row r="55" spans="1:8" ht="12.75" customHeight="1" x14ac:dyDescent="0.2">
      <c r="A55" s="39"/>
      <c r="B55" s="39"/>
      <c r="C55" s="40" t="s">
        <v>142</v>
      </c>
      <c r="D55" s="39"/>
      <c r="E55" s="39" t="s">
        <v>143</v>
      </c>
      <c r="F55" s="45" t="s">
        <v>145</v>
      </c>
      <c r="G55" s="42">
        <v>0</v>
      </c>
      <c r="H55" s="29" t="s">
        <v>143</v>
      </c>
    </row>
    <row r="56" spans="1:8" ht="12.75" customHeight="1" x14ac:dyDescent="0.2">
      <c r="A56" s="39"/>
      <c r="B56" s="39"/>
      <c r="C56" s="43"/>
      <c r="D56" s="39"/>
      <c r="E56" s="39"/>
      <c r="F56" s="44"/>
      <c r="G56" s="44"/>
      <c r="H56" s="29" t="s">
        <v>143</v>
      </c>
    </row>
    <row r="57" spans="1:8" ht="12.75" customHeight="1" x14ac:dyDescent="0.2">
      <c r="A57" s="39"/>
      <c r="B57" s="39"/>
      <c r="C57" s="40" t="s">
        <v>149</v>
      </c>
      <c r="D57" s="39"/>
      <c r="E57" s="39"/>
      <c r="F57" s="44"/>
      <c r="G57" s="44"/>
      <c r="H57" s="29" t="s">
        <v>143</v>
      </c>
    </row>
    <row r="58" spans="1:8" ht="12.75" customHeight="1" x14ac:dyDescent="0.2">
      <c r="A58" s="39"/>
      <c r="B58" s="39"/>
      <c r="C58" s="40" t="s">
        <v>142</v>
      </c>
      <c r="D58" s="39"/>
      <c r="E58" s="39" t="s">
        <v>143</v>
      </c>
      <c r="F58" s="45" t="s">
        <v>145</v>
      </c>
      <c r="G58" s="42">
        <v>0</v>
      </c>
      <c r="H58" s="29" t="s">
        <v>143</v>
      </c>
    </row>
    <row r="59" spans="1:8" ht="12.75" customHeight="1" x14ac:dyDescent="0.2">
      <c r="A59" s="39"/>
      <c r="B59" s="39"/>
      <c r="C59" s="43"/>
      <c r="D59" s="39"/>
      <c r="E59" s="39"/>
      <c r="F59" s="44"/>
      <c r="G59" s="44"/>
      <c r="H59" s="29" t="s">
        <v>143</v>
      </c>
    </row>
    <row r="60" spans="1:8" ht="12.75" customHeight="1" x14ac:dyDescent="0.2">
      <c r="A60" s="39"/>
      <c r="B60" s="39"/>
      <c r="C60" s="40" t="s">
        <v>150</v>
      </c>
      <c r="D60" s="39"/>
      <c r="E60" s="39"/>
      <c r="F60" s="41">
        <v>7169.4302826000003</v>
      </c>
      <c r="G60" s="42">
        <v>0.96093839000000003</v>
      </c>
      <c r="H60" s="29" t="s">
        <v>143</v>
      </c>
    </row>
    <row r="61" spans="1:8" ht="12.75" customHeight="1" x14ac:dyDescent="0.2">
      <c r="A61" s="39"/>
      <c r="B61" s="39"/>
      <c r="C61" s="43"/>
      <c r="D61" s="39"/>
      <c r="E61" s="39"/>
      <c r="F61" s="44"/>
      <c r="G61" s="44"/>
      <c r="H61" s="29" t="s">
        <v>143</v>
      </c>
    </row>
    <row r="62" spans="1:8" ht="12.75" customHeight="1" x14ac:dyDescent="0.2">
      <c r="A62" s="39"/>
      <c r="B62" s="39"/>
      <c r="C62" s="40" t="s">
        <v>151</v>
      </c>
      <c r="D62" s="39"/>
      <c r="E62" s="39"/>
      <c r="F62" s="44"/>
      <c r="G62" s="44"/>
      <c r="H62" s="29" t="s">
        <v>143</v>
      </c>
    </row>
    <row r="63" spans="1:8" ht="12.75" customHeight="1" x14ac:dyDescent="0.2">
      <c r="A63" s="39"/>
      <c r="B63" s="39"/>
      <c r="C63" s="40" t="s">
        <v>10</v>
      </c>
      <c r="D63" s="39"/>
      <c r="E63" s="39"/>
      <c r="F63" s="44"/>
      <c r="G63" s="44"/>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152</v>
      </c>
      <c r="D66" s="39"/>
      <c r="E66" s="39"/>
      <c r="F66" s="39"/>
      <c r="G66" s="39"/>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153</v>
      </c>
      <c r="D69" s="39"/>
      <c r="E69" s="39"/>
      <c r="F69" s="39"/>
      <c r="G69" s="39"/>
      <c r="H69" s="29" t="s">
        <v>143</v>
      </c>
    </row>
    <row r="70" spans="1:8" ht="12.75" customHeight="1" x14ac:dyDescent="0.2">
      <c r="A70" s="39"/>
      <c r="B70" s="39"/>
      <c r="C70" s="40" t="s">
        <v>142</v>
      </c>
      <c r="D70" s="39"/>
      <c r="E70" s="39" t="s">
        <v>143</v>
      </c>
      <c r="F70" s="45" t="s">
        <v>145</v>
      </c>
      <c r="G70" s="42">
        <v>0</v>
      </c>
      <c r="H70" s="29" t="s">
        <v>143</v>
      </c>
    </row>
    <row r="71" spans="1:8" ht="12.75" customHeight="1" x14ac:dyDescent="0.2">
      <c r="A71" s="39"/>
      <c r="B71" s="39"/>
      <c r="C71" s="43"/>
      <c r="D71" s="39"/>
      <c r="E71" s="39"/>
      <c r="F71" s="44"/>
      <c r="G71" s="44"/>
      <c r="H71" s="29" t="s">
        <v>143</v>
      </c>
    </row>
    <row r="72" spans="1:8" ht="12.75" customHeight="1" x14ac:dyDescent="0.2">
      <c r="A72" s="39"/>
      <c r="B72" s="39"/>
      <c r="C72" s="40" t="s">
        <v>154</v>
      </c>
      <c r="D72" s="39"/>
      <c r="E72" s="39"/>
      <c r="F72" s="44"/>
      <c r="G72" s="44"/>
      <c r="H72" s="29" t="s">
        <v>143</v>
      </c>
    </row>
    <row r="73" spans="1:8" ht="12.75" customHeight="1" x14ac:dyDescent="0.2">
      <c r="A73" s="39"/>
      <c r="B73" s="39"/>
      <c r="C73" s="40" t="s">
        <v>142</v>
      </c>
      <c r="D73" s="39"/>
      <c r="E73" s="39" t="s">
        <v>143</v>
      </c>
      <c r="F73" s="45" t="s">
        <v>145</v>
      </c>
      <c r="G73" s="42">
        <v>0</v>
      </c>
      <c r="H73" s="29" t="s">
        <v>143</v>
      </c>
    </row>
    <row r="74" spans="1:8" ht="12.75" customHeight="1" x14ac:dyDescent="0.2">
      <c r="A74" s="39"/>
      <c r="B74" s="39"/>
      <c r="C74" s="43"/>
      <c r="D74" s="39"/>
      <c r="E74" s="39"/>
      <c r="F74" s="44"/>
      <c r="G74" s="44"/>
      <c r="H74" s="29" t="s">
        <v>143</v>
      </c>
    </row>
    <row r="75" spans="1:8" ht="12.75" customHeight="1" x14ac:dyDescent="0.2">
      <c r="A75" s="39"/>
      <c r="B75" s="39"/>
      <c r="C75" s="40" t="s">
        <v>155</v>
      </c>
      <c r="D75" s="39"/>
      <c r="E75" s="39"/>
      <c r="F75" s="41">
        <v>0</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156</v>
      </c>
      <c r="D77" s="39"/>
      <c r="E77" s="39"/>
      <c r="F77" s="44"/>
      <c r="G77" s="44"/>
      <c r="H77" s="29" t="s">
        <v>143</v>
      </c>
    </row>
    <row r="78" spans="1:8" ht="12.75" customHeight="1" x14ac:dyDescent="0.2">
      <c r="A78" s="39"/>
      <c r="B78" s="39"/>
      <c r="C78" s="40" t="s">
        <v>157</v>
      </c>
      <c r="D78" s="39"/>
      <c r="E78" s="39"/>
      <c r="F78" s="44"/>
      <c r="G78" s="44"/>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158</v>
      </c>
      <c r="D81" s="39"/>
      <c r="E81" s="39"/>
      <c r="F81" s="44"/>
      <c r="G81" s="44"/>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159</v>
      </c>
      <c r="D84" s="39"/>
      <c r="E84" s="39"/>
      <c r="F84" s="44"/>
      <c r="G84" s="44"/>
      <c r="H84" s="29" t="s">
        <v>143</v>
      </c>
    </row>
    <row r="85" spans="1:8" ht="12.75" customHeight="1" x14ac:dyDescent="0.2">
      <c r="A85" s="39"/>
      <c r="B85" s="39"/>
      <c r="C85" s="40" t="s">
        <v>142</v>
      </c>
      <c r="D85" s="39"/>
      <c r="E85" s="39" t="s">
        <v>143</v>
      </c>
      <c r="F85" s="45" t="s">
        <v>145</v>
      </c>
      <c r="G85" s="42">
        <v>0</v>
      </c>
      <c r="H85" s="29" t="s">
        <v>143</v>
      </c>
    </row>
    <row r="86" spans="1:8" ht="12.75" customHeight="1" x14ac:dyDescent="0.2">
      <c r="A86" s="39"/>
      <c r="B86" s="39"/>
      <c r="C86" s="43"/>
      <c r="D86" s="39"/>
      <c r="E86" s="39"/>
      <c r="F86" s="44"/>
      <c r="G86" s="44"/>
      <c r="H86" s="29" t="s">
        <v>143</v>
      </c>
    </row>
    <row r="87" spans="1:8" ht="12.75" customHeight="1" x14ac:dyDescent="0.2">
      <c r="A87" s="39"/>
      <c r="B87" s="39"/>
      <c r="C87" s="40" t="s">
        <v>160</v>
      </c>
      <c r="D87" s="39"/>
      <c r="E87" s="39"/>
      <c r="F87" s="44"/>
      <c r="G87" s="44"/>
      <c r="H87" s="29" t="s">
        <v>143</v>
      </c>
    </row>
    <row r="88" spans="1:8" ht="12.75" customHeight="1" x14ac:dyDescent="0.2">
      <c r="A88" s="35">
        <v>1</v>
      </c>
      <c r="B88" s="22"/>
      <c r="C88" s="22" t="s">
        <v>161</v>
      </c>
      <c r="D88" s="22"/>
      <c r="E88" s="46"/>
      <c r="F88" s="37">
        <v>295.041422001</v>
      </c>
      <c r="G88" s="38">
        <v>3.9545209999999997E-2</v>
      </c>
      <c r="H88" s="29">
        <v>5.51</v>
      </c>
    </row>
    <row r="89" spans="1:8" ht="12.75" customHeight="1" x14ac:dyDescent="0.2">
      <c r="A89" s="39"/>
      <c r="B89" s="39"/>
      <c r="C89" s="40" t="s">
        <v>142</v>
      </c>
      <c r="D89" s="39"/>
      <c r="E89" s="39" t="s">
        <v>143</v>
      </c>
      <c r="F89" s="41">
        <v>295.041422001</v>
      </c>
      <c r="G89" s="42">
        <v>3.9545209999999997E-2</v>
      </c>
      <c r="H89" s="29" t="s">
        <v>143</v>
      </c>
    </row>
    <row r="90" spans="1:8" ht="12.75" customHeight="1" x14ac:dyDescent="0.2">
      <c r="A90" s="39"/>
      <c r="B90" s="39"/>
      <c r="C90" s="43"/>
      <c r="D90" s="39"/>
      <c r="E90" s="39"/>
      <c r="F90" s="44"/>
      <c r="G90" s="44"/>
      <c r="H90" s="29" t="s">
        <v>143</v>
      </c>
    </row>
    <row r="91" spans="1:8" ht="12.75" customHeight="1" x14ac:dyDescent="0.2">
      <c r="A91" s="39"/>
      <c r="B91" s="39"/>
      <c r="C91" s="40" t="s">
        <v>162</v>
      </c>
      <c r="D91" s="39"/>
      <c r="E91" s="39"/>
      <c r="F91" s="41">
        <v>295.041422001</v>
      </c>
      <c r="G91" s="42">
        <v>3.9545209999999997E-2</v>
      </c>
      <c r="H91" s="29" t="s">
        <v>143</v>
      </c>
    </row>
    <row r="92" spans="1:8" ht="12.75" customHeight="1" x14ac:dyDescent="0.2">
      <c r="A92" s="39"/>
      <c r="B92" s="39"/>
      <c r="C92" s="44"/>
      <c r="D92" s="39"/>
      <c r="E92" s="39"/>
      <c r="F92" s="39"/>
      <c r="G92" s="39"/>
      <c r="H92" s="29" t="s">
        <v>143</v>
      </c>
    </row>
    <row r="93" spans="1:8" ht="12.75" customHeight="1" x14ac:dyDescent="0.2">
      <c r="A93" s="39"/>
      <c r="B93" s="39"/>
      <c r="C93" s="40" t="s">
        <v>163</v>
      </c>
      <c r="D93" s="39"/>
      <c r="E93" s="39"/>
      <c r="F93" s="39"/>
      <c r="G93" s="39"/>
      <c r="H93" s="29" t="s">
        <v>143</v>
      </c>
    </row>
    <row r="94" spans="1:8" ht="12.75" customHeight="1" x14ac:dyDescent="0.2">
      <c r="A94" s="39"/>
      <c r="B94" s="39"/>
      <c r="C94" s="40" t="s">
        <v>164</v>
      </c>
      <c r="D94" s="39"/>
      <c r="E94" s="39"/>
      <c r="F94" s="39"/>
      <c r="G94" s="39"/>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39"/>
      <c r="C96" s="43"/>
      <c r="D96" s="39"/>
      <c r="E96" s="39"/>
      <c r="F96" s="44"/>
      <c r="G96" s="44"/>
      <c r="H96" s="29" t="s">
        <v>143</v>
      </c>
    </row>
    <row r="97" spans="1:17" ht="12.75" customHeight="1" x14ac:dyDescent="0.2">
      <c r="A97" s="39"/>
      <c r="B97" s="39"/>
      <c r="C97" s="40" t="s">
        <v>165</v>
      </c>
      <c r="D97" s="39"/>
      <c r="E97" s="39"/>
      <c r="F97" s="39"/>
      <c r="G97" s="39"/>
      <c r="H97" s="29" t="s">
        <v>143</v>
      </c>
    </row>
    <row r="98" spans="1:17" ht="12.75" customHeight="1" x14ac:dyDescent="0.2">
      <c r="A98" s="39"/>
      <c r="B98" s="39"/>
      <c r="C98" s="40" t="s">
        <v>166</v>
      </c>
      <c r="D98" s="39"/>
      <c r="E98" s="39"/>
      <c r="F98" s="39"/>
      <c r="G98" s="39"/>
      <c r="H98" s="29" t="s">
        <v>143</v>
      </c>
    </row>
    <row r="99" spans="1:17" ht="12.75" customHeight="1" x14ac:dyDescent="0.2">
      <c r="A99" s="39"/>
      <c r="B99" s="39"/>
      <c r="C99" s="40" t="s">
        <v>142</v>
      </c>
      <c r="D99" s="39"/>
      <c r="E99" s="39" t="s">
        <v>143</v>
      </c>
      <c r="F99" s="45" t="s">
        <v>145</v>
      </c>
      <c r="G99" s="42">
        <v>0</v>
      </c>
      <c r="H99" s="29" t="s">
        <v>143</v>
      </c>
    </row>
    <row r="100" spans="1:17" ht="12.75" customHeight="1" x14ac:dyDescent="0.2">
      <c r="A100" s="39"/>
      <c r="B100" s="39"/>
      <c r="C100" s="43"/>
      <c r="D100" s="39"/>
      <c r="E100" s="39"/>
      <c r="F100" s="44"/>
      <c r="G100" s="44"/>
      <c r="H100" s="29" t="s">
        <v>143</v>
      </c>
    </row>
    <row r="101" spans="1:17" ht="12.75" customHeight="1" x14ac:dyDescent="0.2">
      <c r="A101" s="39"/>
      <c r="B101" s="39"/>
      <c r="C101" s="40" t="s">
        <v>167</v>
      </c>
      <c r="D101" s="39"/>
      <c r="E101" s="39"/>
      <c r="F101" s="44"/>
      <c r="G101" s="44"/>
      <c r="H101" s="29" t="s">
        <v>143</v>
      </c>
    </row>
    <row r="102" spans="1:17" ht="12.75" customHeight="1" x14ac:dyDescent="0.2">
      <c r="A102" s="39"/>
      <c r="B102" s="39"/>
      <c r="C102" s="40" t="s">
        <v>142</v>
      </c>
      <c r="D102" s="39"/>
      <c r="E102" s="39" t="s">
        <v>143</v>
      </c>
      <c r="F102" s="45" t="s">
        <v>145</v>
      </c>
      <c r="G102" s="42">
        <v>0</v>
      </c>
      <c r="H102" s="29" t="s">
        <v>143</v>
      </c>
    </row>
    <row r="103" spans="1:17" ht="12.75" customHeight="1" x14ac:dyDescent="0.2">
      <c r="A103" s="39"/>
      <c r="B103" s="39"/>
      <c r="C103" s="43"/>
      <c r="D103" s="39"/>
      <c r="E103" s="39"/>
      <c r="F103" s="44"/>
      <c r="G103" s="44"/>
      <c r="H103" s="29" t="s">
        <v>143</v>
      </c>
    </row>
    <row r="104" spans="1:17" ht="12.75" customHeight="1" x14ac:dyDescent="0.2">
      <c r="A104" s="46"/>
      <c r="B104" s="22"/>
      <c r="C104" s="22" t="s">
        <v>168</v>
      </c>
      <c r="D104" s="22"/>
      <c r="E104" s="46"/>
      <c r="F104" s="37">
        <v>-3.6080078800000002</v>
      </c>
      <c r="G104" s="38">
        <v>-4.8359E-4</v>
      </c>
      <c r="H104" s="29" t="s">
        <v>143</v>
      </c>
    </row>
    <row r="105" spans="1:17" ht="12.75" customHeight="1" x14ac:dyDescent="0.2">
      <c r="A105" s="43"/>
      <c r="B105" s="43"/>
      <c r="C105" s="40" t="s">
        <v>169</v>
      </c>
      <c r="D105" s="44"/>
      <c r="E105" s="44"/>
      <c r="F105" s="41">
        <v>7460.8636967210005</v>
      </c>
      <c r="G105" s="47">
        <v>1.0000000099999999</v>
      </c>
      <c r="H105" s="29" t="s">
        <v>143</v>
      </c>
    </row>
    <row r="106" spans="1:17" ht="12.75" customHeight="1" x14ac:dyDescent="0.2">
      <c r="A106" s="48"/>
      <c r="B106" s="48"/>
      <c r="C106" s="49"/>
      <c r="D106" s="50"/>
      <c r="E106" s="50"/>
      <c r="F106" s="51"/>
      <c r="G106" s="52"/>
      <c r="H106" s="53"/>
    </row>
    <row r="107" spans="1:17" x14ac:dyDescent="0.2">
      <c r="A107" s="54"/>
      <c r="B107" s="243" t="s">
        <v>945</v>
      </c>
      <c r="C107" s="243"/>
      <c r="D107" s="243"/>
      <c r="E107" s="243"/>
      <c r="F107" s="243"/>
      <c r="G107" s="243"/>
      <c r="H107" s="243"/>
      <c r="J107" s="56"/>
    </row>
    <row r="108" spans="1:17" x14ac:dyDescent="0.2">
      <c r="A108" s="54"/>
      <c r="B108" s="243" t="s">
        <v>946</v>
      </c>
      <c r="C108" s="243"/>
      <c r="D108" s="243"/>
      <c r="E108" s="243"/>
      <c r="F108" s="243"/>
      <c r="G108" s="243"/>
      <c r="H108" s="243"/>
      <c r="J108" s="56"/>
    </row>
    <row r="109" spans="1:17" x14ac:dyDescent="0.2">
      <c r="A109" s="54"/>
      <c r="B109" s="243" t="s">
        <v>947</v>
      </c>
      <c r="C109" s="243"/>
      <c r="D109" s="243"/>
      <c r="E109" s="243"/>
      <c r="F109" s="243"/>
      <c r="G109" s="243"/>
      <c r="H109" s="243"/>
      <c r="J109" s="56"/>
    </row>
    <row r="110" spans="1:17" s="58" customFormat="1" ht="66.75" customHeight="1" x14ac:dyDescent="0.25">
      <c r="A110" s="57"/>
      <c r="B110" s="244" t="s">
        <v>948</v>
      </c>
      <c r="C110" s="244"/>
      <c r="D110" s="244"/>
      <c r="E110" s="244"/>
      <c r="F110" s="244"/>
      <c r="G110" s="244"/>
      <c r="H110" s="244"/>
      <c r="I110"/>
      <c r="J110" s="56"/>
      <c r="K110"/>
      <c r="L110"/>
      <c r="M110"/>
      <c r="N110"/>
      <c r="O110"/>
      <c r="P110"/>
      <c r="Q110"/>
    </row>
    <row r="111" spans="1:17" x14ac:dyDescent="0.2">
      <c r="A111" s="54"/>
      <c r="B111" s="243" t="s">
        <v>949</v>
      </c>
      <c r="C111" s="243"/>
      <c r="D111" s="243"/>
      <c r="E111" s="243"/>
      <c r="F111" s="243"/>
      <c r="G111" s="243"/>
      <c r="H111" s="243"/>
      <c r="J111" s="56"/>
    </row>
    <row r="112" spans="1:17" x14ac:dyDescent="0.2">
      <c r="A112" s="54"/>
      <c r="B112" s="54"/>
      <c r="C112" s="54"/>
      <c r="D112" s="59"/>
      <c r="E112" s="59"/>
      <c r="F112" s="59"/>
      <c r="G112" s="59"/>
    </row>
    <row r="113" spans="1:10" x14ac:dyDescent="0.2">
      <c r="A113" s="54"/>
      <c r="B113" s="247" t="s">
        <v>170</v>
      </c>
      <c r="C113" s="248"/>
      <c r="D113" s="249"/>
      <c r="E113" s="60"/>
      <c r="F113" s="59"/>
      <c r="G113" s="59"/>
    </row>
    <row r="114" spans="1:10" ht="27.75" customHeight="1" x14ac:dyDescent="0.2">
      <c r="A114" s="54"/>
      <c r="B114" s="240" t="s">
        <v>171</v>
      </c>
      <c r="C114" s="241"/>
      <c r="D114" s="28" t="s">
        <v>172</v>
      </c>
      <c r="E114" s="60"/>
      <c r="F114" s="59"/>
      <c r="G114" s="59"/>
    </row>
    <row r="115" spans="1:10" ht="12.75" customHeight="1" x14ac:dyDescent="0.2">
      <c r="A115" s="54"/>
      <c r="B115" s="240" t="s">
        <v>950</v>
      </c>
      <c r="C115" s="241"/>
      <c r="D115" s="28" t="s">
        <v>172</v>
      </c>
      <c r="E115" s="60"/>
      <c r="F115" s="59"/>
      <c r="G115" s="59"/>
    </row>
    <row r="116" spans="1:10" x14ac:dyDescent="0.2">
      <c r="A116" s="54"/>
      <c r="B116" s="240" t="s">
        <v>173</v>
      </c>
      <c r="C116" s="241"/>
      <c r="D116" s="61" t="s">
        <v>143</v>
      </c>
      <c r="E116" s="60"/>
      <c r="F116" s="59"/>
      <c r="G116" s="59"/>
    </row>
    <row r="117" spans="1:10" x14ac:dyDescent="0.2">
      <c r="A117" s="62"/>
      <c r="B117" s="63" t="s">
        <v>143</v>
      </c>
      <c r="C117" s="63" t="s">
        <v>951</v>
      </c>
      <c r="D117" s="63" t="s">
        <v>174</v>
      </c>
      <c r="E117" s="62"/>
      <c r="F117" s="62"/>
      <c r="G117" s="62"/>
      <c r="H117" s="62"/>
      <c r="J117" s="56"/>
    </row>
    <row r="118" spans="1:10" x14ac:dyDescent="0.2">
      <c r="A118" s="62"/>
      <c r="B118" s="64" t="s">
        <v>175</v>
      </c>
      <c r="C118" s="65">
        <v>45900</v>
      </c>
      <c r="D118" s="65">
        <v>45930</v>
      </c>
      <c r="E118" s="62"/>
      <c r="F118" s="62"/>
      <c r="G118" s="62"/>
      <c r="J118" s="56"/>
    </row>
    <row r="119" spans="1:10" ht="12.75" customHeight="1" x14ac:dyDescent="0.2">
      <c r="A119" s="66"/>
      <c r="B119" s="67" t="s">
        <v>176</v>
      </c>
      <c r="C119" s="68">
        <v>33.185899999999997</v>
      </c>
      <c r="D119" s="68">
        <v>33.480600000000003</v>
      </c>
      <c r="E119" s="66"/>
      <c r="F119" s="69"/>
      <c r="G119" s="70"/>
    </row>
    <row r="120" spans="1:10" ht="12.75" customHeight="1" x14ac:dyDescent="0.2">
      <c r="A120" s="66"/>
      <c r="B120" s="67" t="s">
        <v>1085</v>
      </c>
      <c r="C120" s="68">
        <v>29.102699999999999</v>
      </c>
      <c r="D120" s="68">
        <v>29.3612</v>
      </c>
      <c r="E120" s="66"/>
      <c r="F120" s="69"/>
      <c r="G120" s="70"/>
    </row>
    <row r="121" spans="1:10" ht="12.75" customHeight="1" x14ac:dyDescent="0.2">
      <c r="A121" s="66"/>
      <c r="B121" s="67" t="s">
        <v>177</v>
      </c>
      <c r="C121" s="68">
        <v>32.215899999999998</v>
      </c>
      <c r="D121" s="68">
        <v>32.497199999999999</v>
      </c>
      <c r="E121" s="66"/>
      <c r="F121" s="69"/>
      <c r="G121" s="70"/>
    </row>
    <row r="122" spans="1:10" ht="12.75" customHeight="1" x14ac:dyDescent="0.2">
      <c r="A122" s="66"/>
      <c r="B122" s="67" t="s">
        <v>1086</v>
      </c>
      <c r="C122" s="68">
        <v>28.186499999999999</v>
      </c>
      <c r="D122" s="68">
        <v>28.432600000000001</v>
      </c>
      <c r="E122" s="66"/>
      <c r="F122" s="69"/>
      <c r="G122" s="70"/>
    </row>
    <row r="123" spans="1:10" ht="12.75" customHeight="1" x14ac:dyDescent="0.2">
      <c r="A123" s="66"/>
      <c r="B123" s="66"/>
      <c r="C123" s="66"/>
      <c r="D123" s="66"/>
      <c r="E123" s="66"/>
      <c r="F123" s="66"/>
      <c r="G123" s="66"/>
    </row>
    <row r="124" spans="1:10" x14ac:dyDescent="0.2">
      <c r="A124" s="62"/>
      <c r="B124" s="245" t="s">
        <v>952</v>
      </c>
      <c r="C124" s="246"/>
      <c r="D124" s="71" t="s">
        <v>172</v>
      </c>
      <c r="E124" s="62"/>
      <c r="F124" s="62"/>
      <c r="G124" s="62"/>
    </row>
    <row r="125" spans="1:10" x14ac:dyDescent="0.2">
      <c r="A125" s="72"/>
      <c r="B125" s="73"/>
      <c r="C125" s="73"/>
      <c r="D125" s="73"/>
      <c r="E125" s="72"/>
      <c r="F125" s="72"/>
      <c r="G125" s="72"/>
    </row>
    <row r="126" spans="1:10" x14ac:dyDescent="0.2">
      <c r="A126" s="72"/>
      <c r="B126" s="240" t="s">
        <v>178</v>
      </c>
      <c r="C126" s="241"/>
      <c r="D126" s="28" t="s">
        <v>172</v>
      </c>
      <c r="E126" s="74"/>
      <c r="F126" s="72"/>
      <c r="G126" s="72"/>
    </row>
    <row r="127" spans="1:10" x14ac:dyDescent="0.2">
      <c r="A127" s="72"/>
      <c r="B127" s="240" t="s">
        <v>179</v>
      </c>
      <c r="C127" s="241"/>
      <c r="D127" s="28" t="s">
        <v>172</v>
      </c>
      <c r="E127" s="74"/>
      <c r="F127" s="72"/>
      <c r="G127" s="72"/>
    </row>
    <row r="128" spans="1:10" x14ac:dyDescent="0.2">
      <c r="A128" s="72"/>
      <c r="B128" s="240" t="s">
        <v>180</v>
      </c>
      <c r="C128" s="241"/>
      <c r="D128" s="28" t="s">
        <v>172</v>
      </c>
      <c r="E128" s="74"/>
      <c r="F128" s="72"/>
      <c r="G128" s="72"/>
    </row>
    <row r="129" spans="1:10" x14ac:dyDescent="0.2">
      <c r="A129" s="72"/>
      <c r="B129" s="240" t="s">
        <v>181</v>
      </c>
      <c r="C129" s="241"/>
      <c r="D129" s="75">
        <v>4.7658629977037605E-2</v>
      </c>
      <c r="E129" s="72"/>
      <c r="F129" s="55"/>
      <c r="G129" s="76"/>
    </row>
    <row r="130" spans="1:10" x14ac:dyDescent="0.2"/>
    <row r="131" spans="1:10" x14ac:dyDescent="0.2">
      <c r="B131" s="239" t="s">
        <v>953</v>
      </c>
      <c r="C131" s="239"/>
    </row>
    <row r="132" spans="1:10" x14ac:dyDescent="0.2"/>
    <row r="133" spans="1:10" ht="153.75" customHeight="1" x14ac:dyDescent="0.2"/>
    <row r="134" spans="1:10" x14ac:dyDescent="0.2"/>
    <row r="135" spans="1:10" x14ac:dyDescent="0.2"/>
    <row r="136" spans="1:10" x14ac:dyDescent="0.2">
      <c r="B136" s="77" t="s">
        <v>954</v>
      </c>
      <c r="C136" s="78"/>
      <c r="D136" s="77"/>
    </row>
    <row r="137" spans="1:10" x14ac:dyDescent="0.2">
      <c r="B137" s="77" t="s">
        <v>1168</v>
      </c>
      <c r="D137" s="77"/>
    </row>
    <row r="138" spans="1:10" ht="165" customHeight="1" x14ac:dyDescent="0.2"/>
    <row r="139" spans="1:10" x14ac:dyDescent="0.2">
      <c r="B139" s="77"/>
      <c r="D139" s="77"/>
    </row>
    <row r="140" spans="1:10" x14ac:dyDescent="0.2">
      <c r="J140" s="26"/>
    </row>
    <row r="141" spans="1:10" x14ac:dyDescent="0.2"/>
    <row r="142" spans="1:10" x14ac:dyDescent="0.2"/>
    <row r="143" spans="1:10" x14ac:dyDescent="0.2"/>
    <row r="144" spans="1:10" x14ac:dyDescent="0.2"/>
    <row r="145" customFormat="1" x14ac:dyDescent="0.2"/>
    <row r="146" customFormat="1" x14ac:dyDescent="0.2"/>
  </sheetData>
  <mergeCells count="18">
    <mergeCell ref="B113:D113"/>
    <mergeCell ref="B114:C114"/>
    <mergeCell ref="B131:C131"/>
    <mergeCell ref="B129:C129"/>
    <mergeCell ref="A1:H1"/>
    <mergeCell ref="A2:H2"/>
    <mergeCell ref="A3:H3"/>
    <mergeCell ref="B128:C128"/>
    <mergeCell ref="B107:H107"/>
    <mergeCell ref="B108:H108"/>
    <mergeCell ref="B115:C115"/>
    <mergeCell ref="B116:C116"/>
    <mergeCell ref="B126:C126"/>
    <mergeCell ref="B127:C127"/>
    <mergeCell ref="B109:H109"/>
    <mergeCell ref="B110:H110"/>
    <mergeCell ref="B111:H111"/>
    <mergeCell ref="B124:C124"/>
  </mergeCells>
  <hyperlinks>
    <hyperlink ref="I1" location="Index!B2" display="Index" xr:uid="{61D08559-70E7-4852-8872-BD253A0D4186}"/>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B34C-92D6-4514-9333-BAD57CC016F3}">
  <sheetPr>
    <outlinePr summaryBelow="0" summaryRight="0"/>
  </sheetPr>
  <dimension ref="A1:Q146"/>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448</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356</v>
      </c>
      <c r="C7" s="22" t="s">
        <v>357</v>
      </c>
      <c r="D7" s="22" t="s">
        <v>46</v>
      </c>
      <c r="E7" s="36">
        <v>9824</v>
      </c>
      <c r="F7" s="37">
        <v>214.97859199999999</v>
      </c>
      <c r="G7" s="38">
        <v>6.1034100000000001E-2</v>
      </c>
      <c r="H7" s="29" t="s">
        <v>143</v>
      </c>
    </row>
    <row r="8" spans="1:9" ht="12.75" customHeight="1" x14ac:dyDescent="0.2">
      <c r="A8" s="35">
        <v>2</v>
      </c>
      <c r="B8" s="22" t="s">
        <v>354</v>
      </c>
      <c r="C8" s="22" t="s">
        <v>355</v>
      </c>
      <c r="D8" s="22" t="s">
        <v>188</v>
      </c>
      <c r="E8" s="36">
        <v>33900</v>
      </c>
      <c r="F8" s="37">
        <v>212.53604999999999</v>
      </c>
      <c r="G8" s="38">
        <v>6.0340640000000001E-2</v>
      </c>
      <c r="H8" s="29" t="s">
        <v>143</v>
      </c>
    </row>
    <row r="9" spans="1:9" ht="12.75" customHeight="1" x14ac:dyDescent="0.2">
      <c r="A9" s="35">
        <v>3</v>
      </c>
      <c r="B9" s="22" t="s">
        <v>341</v>
      </c>
      <c r="C9" s="22" t="s">
        <v>342</v>
      </c>
      <c r="D9" s="22" t="s">
        <v>259</v>
      </c>
      <c r="E9" s="36">
        <v>9043</v>
      </c>
      <c r="F9" s="37">
        <v>176.13051100000001</v>
      </c>
      <c r="G9" s="38">
        <v>5.000483E-2</v>
      </c>
      <c r="H9" s="29" t="s">
        <v>143</v>
      </c>
    </row>
    <row r="10" spans="1:9" ht="12.75" customHeight="1" x14ac:dyDescent="0.2">
      <c r="A10" s="35">
        <v>4</v>
      </c>
      <c r="B10" s="22" t="s">
        <v>358</v>
      </c>
      <c r="C10" s="22" t="s">
        <v>359</v>
      </c>
      <c r="D10" s="22" t="s">
        <v>206</v>
      </c>
      <c r="E10" s="36">
        <v>48585</v>
      </c>
      <c r="F10" s="37">
        <v>142.74272999999999</v>
      </c>
      <c r="G10" s="38">
        <v>4.0525770000000003E-2</v>
      </c>
      <c r="H10" s="29" t="s">
        <v>143</v>
      </c>
    </row>
    <row r="11" spans="1:9" ht="12.75" customHeight="1" x14ac:dyDescent="0.2">
      <c r="A11" s="35">
        <v>5</v>
      </c>
      <c r="B11" s="22" t="s">
        <v>337</v>
      </c>
      <c r="C11" s="22" t="s">
        <v>338</v>
      </c>
      <c r="D11" s="22" t="s">
        <v>223</v>
      </c>
      <c r="E11" s="36">
        <v>1739</v>
      </c>
      <c r="F11" s="37">
        <v>135.57244</v>
      </c>
      <c r="G11" s="38">
        <v>3.8490070000000001E-2</v>
      </c>
      <c r="H11" s="29" t="s">
        <v>143</v>
      </c>
    </row>
    <row r="12" spans="1:9" ht="12.75" customHeight="1" x14ac:dyDescent="0.2">
      <c r="A12" s="35">
        <v>6</v>
      </c>
      <c r="B12" s="22" t="s">
        <v>362</v>
      </c>
      <c r="C12" s="22" t="s">
        <v>363</v>
      </c>
      <c r="D12" s="22" t="s">
        <v>33</v>
      </c>
      <c r="E12" s="36">
        <v>36437</v>
      </c>
      <c r="F12" s="37">
        <v>135.36345499999999</v>
      </c>
      <c r="G12" s="38">
        <v>3.8430739999999998E-2</v>
      </c>
      <c r="H12" s="29" t="s">
        <v>143</v>
      </c>
    </row>
    <row r="13" spans="1:9" ht="12.75" customHeight="1" x14ac:dyDescent="0.2">
      <c r="A13" s="35">
        <v>7</v>
      </c>
      <c r="B13" s="22" t="s">
        <v>378</v>
      </c>
      <c r="C13" s="22" t="s">
        <v>379</v>
      </c>
      <c r="D13" s="22" t="s">
        <v>223</v>
      </c>
      <c r="E13" s="36">
        <v>6306</v>
      </c>
      <c r="F13" s="37">
        <v>134.47545</v>
      </c>
      <c r="G13" s="38">
        <v>3.8178629999999998E-2</v>
      </c>
      <c r="H13" s="29" t="s">
        <v>143</v>
      </c>
    </row>
    <row r="14" spans="1:9" ht="12.75" customHeight="1" x14ac:dyDescent="0.2">
      <c r="A14" s="35">
        <v>8</v>
      </c>
      <c r="B14" s="22" t="s">
        <v>360</v>
      </c>
      <c r="C14" s="22" t="s">
        <v>361</v>
      </c>
      <c r="D14" s="22" t="s">
        <v>33</v>
      </c>
      <c r="E14" s="36">
        <v>290098</v>
      </c>
      <c r="F14" s="37">
        <v>134.46042299999999</v>
      </c>
      <c r="G14" s="38">
        <v>3.8174359999999997E-2</v>
      </c>
      <c r="H14" s="29" t="s">
        <v>143</v>
      </c>
    </row>
    <row r="15" spans="1:9" ht="12.75" customHeight="1" x14ac:dyDescent="0.2">
      <c r="A15" s="35">
        <v>9</v>
      </c>
      <c r="B15" s="22" t="s">
        <v>65</v>
      </c>
      <c r="C15" s="22" t="s">
        <v>66</v>
      </c>
      <c r="D15" s="22" t="s">
        <v>64</v>
      </c>
      <c r="E15" s="36">
        <v>16174</v>
      </c>
      <c r="F15" s="37">
        <v>132.88558399999999</v>
      </c>
      <c r="G15" s="38">
        <v>3.7727249999999997E-2</v>
      </c>
      <c r="H15" s="29" t="s">
        <v>143</v>
      </c>
    </row>
    <row r="16" spans="1:9" ht="12.75" customHeight="1" x14ac:dyDescent="0.2">
      <c r="A16" s="35">
        <v>10</v>
      </c>
      <c r="B16" s="22" t="s">
        <v>364</v>
      </c>
      <c r="C16" s="22" t="s">
        <v>365</v>
      </c>
      <c r="D16" s="22" t="s">
        <v>46</v>
      </c>
      <c r="E16" s="36">
        <v>47004</v>
      </c>
      <c r="F16" s="37">
        <v>127.051812</v>
      </c>
      <c r="G16" s="38">
        <v>3.6070999999999999E-2</v>
      </c>
      <c r="H16" s="29" t="s">
        <v>143</v>
      </c>
    </row>
    <row r="17" spans="1:8" ht="12.75" customHeight="1" x14ac:dyDescent="0.2">
      <c r="A17" s="35">
        <v>11</v>
      </c>
      <c r="B17" s="22" t="s">
        <v>76</v>
      </c>
      <c r="C17" s="22" t="s">
        <v>77</v>
      </c>
      <c r="D17" s="22" t="s">
        <v>64</v>
      </c>
      <c r="E17" s="36">
        <v>2964</v>
      </c>
      <c r="F17" s="37">
        <v>120.406572</v>
      </c>
      <c r="G17" s="38">
        <v>3.4184359999999997E-2</v>
      </c>
      <c r="H17" s="29" t="s">
        <v>143</v>
      </c>
    </row>
    <row r="18" spans="1:8" ht="12.75" customHeight="1" x14ac:dyDescent="0.2">
      <c r="A18" s="35">
        <v>12</v>
      </c>
      <c r="B18" s="22" t="s">
        <v>372</v>
      </c>
      <c r="C18" s="22" t="s">
        <v>373</v>
      </c>
      <c r="D18" s="22" t="s">
        <v>270</v>
      </c>
      <c r="E18" s="36">
        <v>2426</v>
      </c>
      <c r="F18" s="37">
        <v>112.11759000000001</v>
      </c>
      <c r="G18" s="38">
        <v>3.1831060000000001E-2</v>
      </c>
      <c r="H18" s="29" t="s">
        <v>143</v>
      </c>
    </row>
    <row r="19" spans="1:8" ht="12.75" customHeight="1" x14ac:dyDescent="0.2">
      <c r="A19" s="35">
        <v>13</v>
      </c>
      <c r="B19" s="22" t="s">
        <v>366</v>
      </c>
      <c r="C19" s="22" t="s">
        <v>367</v>
      </c>
      <c r="D19" s="22" t="s">
        <v>194</v>
      </c>
      <c r="E19" s="36">
        <v>1708</v>
      </c>
      <c r="F19" s="37">
        <v>107.7321</v>
      </c>
      <c r="G19" s="38">
        <v>3.0585979999999999E-2</v>
      </c>
      <c r="H19" s="29" t="s">
        <v>143</v>
      </c>
    </row>
    <row r="20" spans="1:8" ht="12.75" customHeight="1" x14ac:dyDescent="0.2">
      <c r="A20" s="35">
        <v>14</v>
      </c>
      <c r="B20" s="22" t="s">
        <v>374</v>
      </c>
      <c r="C20" s="22" t="s">
        <v>375</v>
      </c>
      <c r="D20" s="22" t="s">
        <v>33</v>
      </c>
      <c r="E20" s="36">
        <v>187038</v>
      </c>
      <c r="F20" s="37">
        <v>106.94832839999999</v>
      </c>
      <c r="G20" s="38">
        <v>3.0363459999999998E-2</v>
      </c>
      <c r="H20" s="29" t="s">
        <v>143</v>
      </c>
    </row>
    <row r="21" spans="1:8" ht="12.75" customHeight="1" x14ac:dyDescent="0.2">
      <c r="A21" s="35">
        <v>15</v>
      </c>
      <c r="B21" s="22" t="s">
        <v>368</v>
      </c>
      <c r="C21" s="22" t="s">
        <v>369</v>
      </c>
      <c r="D21" s="22" t="s">
        <v>215</v>
      </c>
      <c r="E21" s="36">
        <v>15581</v>
      </c>
      <c r="F21" s="37">
        <v>100.45849749999999</v>
      </c>
      <c r="G21" s="38">
        <v>2.852095E-2</v>
      </c>
      <c r="H21" s="29" t="s">
        <v>143</v>
      </c>
    </row>
    <row r="22" spans="1:8" ht="12.75" customHeight="1" x14ac:dyDescent="0.2">
      <c r="A22" s="35">
        <v>16</v>
      </c>
      <c r="B22" s="22" t="s">
        <v>67</v>
      </c>
      <c r="C22" s="22" t="s">
        <v>68</v>
      </c>
      <c r="D22" s="22" t="s">
        <v>25</v>
      </c>
      <c r="E22" s="36">
        <v>1562</v>
      </c>
      <c r="F22" s="37">
        <v>98.406000000000006</v>
      </c>
      <c r="G22" s="38">
        <v>2.7938230000000001E-2</v>
      </c>
      <c r="H22" s="29" t="s">
        <v>143</v>
      </c>
    </row>
    <row r="23" spans="1:8" ht="12.75" customHeight="1" x14ac:dyDescent="0.2">
      <c r="A23" s="35">
        <v>17</v>
      </c>
      <c r="B23" s="22" t="s">
        <v>47</v>
      </c>
      <c r="C23" s="22" t="s">
        <v>48</v>
      </c>
      <c r="D23" s="22" t="s">
        <v>16</v>
      </c>
      <c r="E23" s="36">
        <v>7151</v>
      </c>
      <c r="F23" s="37">
        <v>89.730748000000006</v>
      </c>
      <c r="G23" s="38">
        <v>2.547526E-2</v>
      </c>
      <c r="H23" s="29" t="s">
        <v>143</v>
      </c>
    </row>
    <row r="24" spans="1:8" ht="12.75" customHeight="1" x14ac:dyDescent="0.2">
      <c r="A24" s="35">
        <v>18</v>
      </c>
      <c r="B24" s="22" t="s">
        <v>226</v>
      </c>
      <c r="C24" s="22" t="s">
        <v>227</v>
      </c>
      <c r="D24" s="22" t="s">
        <v>191</v>
      </c>
      <c r="E24" s="36">
        <v>692</v>
      </c>
      <c r="F24" s="37">
        <v>88.299199999999999</v>
      </c>
      <c r="G24" s="38">
        <v>2.506883E-2</v>
      </c>
      <c r="H24" s="29" t="s">
        <v>143</v>
      </c>
    </row>
    <row r="25" spans="1:8" ht="12.75" customHeight="1" x14ac:dyDescent="0.2">
      <c r="A25" s="35">
        <v>19</v>
      </c>
      <c r="B25" s="22" t="s">
        <v>383</v>
      </c>
      <c r="C25" s="22" t="s">
        <v>384</v>
      </c>
      <c r="D25" s="22" t="s">
        <v>191</v>
      </c>
      <c r="E25" s="36">
        <v>10638</v>
      </c>
      <c r="F25" s="37">
        <v>81.189216000000002</v>
      </c>
      <c r="G25" s="38">
        <v>2.3050250000000001E-2</v>
      </c>
      <c r="H25" s="29" t="s">
        <v>143</v>
      </c>
    </row>
    <row r="26" spans="1:8" ht="12.75" customHeight="1" x14ac:dyDescent="0.2">
      <c r="A26" s="35">
        <v>20</v>
      </c>
      <c r="B26" s="22" t="s">
        <v>387</v>
      </c>
      <c r="C26" s="22" t="s">
        <v>388</v>
      </c>
      <c r="D26" s="22" t="s">
        <v>389</v>
      </c>
      <c r="E26" s="36">
        <v>22746</v>
      </c>
      <c r="F26" s="37">
        <v>79.451778000000004</v>
      </c>
      <c r="G26" s="38">
        <v>2.2556980000000001E-2</v>
      </c>
      <c r="H26" s="29" t="s">
        <v>143</v>
      </c>
    </row>
    <row r="27" spans="1:8" ht="12.75" customHeight="1" x14ac:dyDescent="0.2">
      <c r="A27" s="35">
        <v>21</v>
      </c>
      <c r="B27" s="22" t="s">
        <v>385</v>
      </c>
      <c r="C27" s="22" t="s">
        <v>386</v>
      </c>
      <c r="D27" s="22" t="s">
        <v>191</v>
      </c>
      <c r="E27" s="36">
        <v>4021</v>
      </c>
      <c r="F27" s="37">
        <v>75.795850000000002</v>
      </c>
      <c r="G27" s="38">
        <v>2.1519030000000001E-2</v>
      </c>
      <c r="H27" s="29" t="s">
        <v>143</v>
      </c>
    </row>
    <row r="28" spans="1:8" ht="12.75" customHeight="1" x14ac:dyDescent="0.2">
      <c r="A28" s="35">
        <v>22</v>
      </c>
      <c r="B28" s="22" t="s">
        <v>69</v>
      </c>
      <c r="C28" s="22" t="s">
        <v>70</v>
      </c>
      <c r="D28" s="22" t="s">
        <v>64</v>
      </c>
      <c r="E28" s="36">
        <v>1446</v>
      </c>
      <c r="F28" s="37">
        <v>71.309489999999997</v>
      </c>
      <c r="G28" s="38">
        <v>2.0245320000000001E-2</v>
      </c>
      <c r="H28" s="29" t="s">
        <v>143</v>
      </c>
    </row>
    <row r="29" spans="1:8" ht="12.75" customHeight="1" x14ac:dyDescent="0.2">
      <c r="A29" s="35">
        <v>23</v>
      </c>
      <c r="B29" s="22" t="s">
        <v>297</v>
      </c>
      <c r="C29" s="22" t="s">
        <v>298</v>
      </c>
      <c r="D29" s="22" t="s">
        <v>64</v>
      </c>
      <c r="E29" s="36">
        <v>4465</v>
      </c>
      <c r="F29" s="37">
        <v>70.913129999999995</v>
      </c>
      <c r="G29" s="38">
        <v>2.0132790000000001E-2</v>
      </c>
      <c r="H29" s="29" t="s">
        <v>143</v>
      </c>
    </row>
    <row r="30" spans="1:8" ht="12.75" customHeight="1" x14ac:dyDescent="0.2">
      <c r="A30" s="35">
        <v>24</v>
      </c>
      <c r="B30" s="22" t="s">
        <v>380</v>
      </c>
      <c r="C30" s="22" t="s">
        <v>381</v>
      </c>
      <c r="D30" s="22" t="s">
        <v>382</v>
      </c>
      <c r="E30" s="36">
        <v>6011</v>
      </c>
      <c r="F30" s="37">
        <v>64.618250000000003</v>
      </c>
      <c r="G30" s="38">
        <v>1.8345630000000002E-2</v>
      </c>
      <c r="H30" s="29" t="s">
        <v>143</v>
      </c>
    </row>
    <row r="31" spans="1:8" ht="12.75" customHeight="1" x14ac:dyDescent="0.2">
      <c r="A31" s="35">
        <v>25</v>
      </c>
      <c r="B31" s="22" t="s">
        <v>404</v>
      </c>
      <c r="C31" s="22" t="s">
        <v>405</v>
      </c>
      <c r="D31" s="22" t="s">
        <v>215</v>
      </c>
      <c r="E31" s="36">
        <v>18242</v>
      </c>
      <c r="F31" s="37">
        <v>64.385138999999995</v>
      </c>
      <c r="G31" s="38">
        <v>1.8279440000000001E-2</v>
      </c>
      <c r="H31" s="29" t="s">
        <v>143</v>
      </c>
    </row>
    <row r="32" spans="1:8" ht="12.75" customHeight="1" x14ac:dyDescent="0.2">
      <c r="A32" s="35">
        <v>26</v>
      </c>
      <c r="B32" s="22" t="s">
        <v>392</v>
      </c>
      <c r="C32" s="22" t="s">
        <v>393</v>
      </c>
      <c r="D32" s="22" t="s">
        <v>206</v>
      </c>
      <c r="E32" s="36">
        <v>9165</v>
      </c>
      <c r="F32" s="37">
        <v>63.018540000000002</v>
      </c>
      <c r="G32" s="38">
        <v>1.7891460000000001E-2</v>
      </c>
      <c r="H32" s="29" t="s">
        <v>143</v>
      </c>
    </row>
    <row r="33" spans="1:8" ht="12.75" customHeight="1" x14ac:dyDescent="0.2">
      <c r="A33" s="35">
        <v>27</v>
      </c>
      <c r="B33" s="22" t="s">
        <v>88</v>
      </c>
      <c r="C33" s="22" t="s">
        <v>89</v>
      </c>
      <c r="D33" s="22" t="s">
        <v>90</v>
      </c>
      <c r="E33" s="36">
        <v>6875</v>
      </c>
      <c r="F33" s="37">
        <v>61.603437499999998</v>
      </c>
      <c r="G33" s="38">
        <v>1.74897E-2</v>
      </c>
      <c r="H33" s="29" t="s">
        <v>143</v>
      </c>
    </row>
    <row r="34" spans="1:8" ht="12.75" customHeight="1" x14ac:dyDescent="0.2">
      <c r="A34" s="35">
        <v>28</v>
      </c>
      <c r="B34" s="22" t="s">
        <v>390</v>
      </c>
      <c r="C34" s="22" t="s">
        <v>391</v>
      </c>
      <c r="D34" s="22" t="s">
        <v>64</v>
      </c>
      <c r="E34" s="36">
        <v>13623</v>
      </c>
      <c r="F34" s="37">
        <v>60.063806999999997</v>
      </c>
      <c r="G34" s="38">
        <v>1.7052580000000001E-2</v>
      </c>
      <c r="H34" s="29" t="s">
        <v>143</v>
      </c>
    </row>
    <row r="35" spans="1:8" ht="12.75" customHeight="1" x14ac:dyDescent="0.2">
      <c r="A35" s="35">
        <v>29</v>
      </c>
      <c r="B35" s="22" t="s">
        <v>396</v>
      </c>
      <c r="C35" s="22" t="s">
        <v>397</v>
      </c>
      <c r="D35" s="22" t="s">
        <v>259</v>
      </c>
      <c r="E35" s="36">
        <v>12245</v>
      </c>
      <c r="F35" s="37">
        <v>49.077959999999997</v>
      </c>
      <c r="G35" s="38">
        <v>1.3933620000000001E-2</v>
      </c>
      <c r="H35" s="29" t="s">
        <v>143</v>
      </c>
    </row>
    <row r="36" spans="1:8" ht="12.75" customHeight="1" x14ac:dyDescent="0.2">
      <c r="A36" s="35">
        <v>30</v>
      </c>
      <c r="B36" s="22" t="s">
        <v>446</v>
      </c>
      <c r="C36" s="22" t="s">
        <v>447</v>
      </c>
      <c r="D36" s="22" t="s">
        <v>64</v>
      </c>
      <c r="E36" s="36">
        <v>9769</v>
      </c>
      <c r="F36" s="37">
        <v>48.844999999999999</v>
      </c>
      <c r="G36" s="38">
        <v>1.386748E-2</v>
      </c>
      <c r="H36" s="29" t="s">
        <v>143</v>
      </c>
    </row>
    <row r="37" spans="1:8" ht="12.75" customHeight="1" x14ac:dyDescent="0.2">
      <c r="A37" s="35">
        <v>31</v>
      </c>
      <c r="B37" s="22" t="s">
        <v>400</v>
      </c>
      <c r="C37" s="22" t="s">
        <v>401</v>
      </c>
      <c r="D37" s="22" t="s">
        <v>194</v>
      </c>
      <c r="E37" s="36">
        <v>6109</v>
      </c>
      <c r="F37" s="37">
        <v>48.600149500000001</v>
      </c>
      <c r="G37" s="38">
        <v>1.379796E-2</v>
      </c>
      <c r="H37" s="29" t="s">
        <v>143</v>
      </c>
    </row>
    <row r="38" spans="1:8" ht="12.75" customHeight="1" x14ac:dyDescent="0.2">
      <c r="A38" s="35">
        <v>32</v>
      </c>
      <c r="B38" s="22" t="s">
        <v>398</v>
      </c>
      <c r="C38" s="22" t="s">
        <v>399</v>
      </c>
      <c r="D38" s="22" t="s">
        <v>133</v>
      </c>
      <c r="E38" s="36">
        <v>25659</v>
      </c>
      <c r="F38" s="37">
        <v>43.304694300000001</v>
      </c>
      <c r="G38" s="38">
        <v>1.229454E-2</v>
      </c>
      <c r="H38" s="29" t="s">
        <v>143</v>
      </c>
    </row>
    <row r="39" spans="1:8" ht="12.75" customHeight="1" x14ac:dyDescent="0.2">
      <c r="A39" s="35">
        <v>33</v>
      </c>
      <c r="B39" s="22" t="s">
        <v>406</v>
      </c>
      <c r="C39" s="22" t="s">
        <v>407</v>
      </c>
      <c r="D39" s="22" t="s">
        <v>408</v>
      </c>
      <c r="E39" s="36">
        <v>3317</v>
      </c>
      <c r="F39" s="37">
        <v>39.080894000000001</v>
      </c>
      <c r="G39" s="38">
        <v>1.109537E-2</v>
      </c>
      <c r="H39" s="29" t="s">
        <v>143</v>
      </c>
    </row>
    <row r="40" spans="1:8" ht="12.75" customHeight="1" x14ac:dyDescent="0.2">
      <c r="A40" s="35">
        <v>34</v>
      </c>
      <c r="B40" s="22" t="s">
        <v>402</v>
      </c>
      <c r="C40" s="22" t="s">
        <v>403</v>
      </c>
      <c r="D40" s="22" t="s">
        <v>46</v>
      </c>
      <c r="E40" s="36">
        <v>3447</v>
      </c>
      <c r="F40" s="37">
        <v>28.027557000000002</v>
      </c>
      <c r="G40" s="38">
        <v>7.9572400000000008E-3</v>
      </c>
      <c r="H40" s="29" t="s">
        <v>143</v>
      </c>
    </row>
    <row r="41" spans="1:8" ht="12.75" customHeight="1" x14ac:dyDescent="0.2">
      <c r="A41" s="35">
        <v>35</v>
      </c>
      <c r="B41" s="22" t="s">
        <v>409</v>
      </c>
      <c r="C41" s="22" t="s">
        <v>410</v>
      </c>
      <c r="D41" s="22" t="s">
        <v>46</v>
      </c>
      <c r="E41" s="36">
        <v>3832</v>
      </c>
      <c r="F41" s="37">
        <v>26.237704000000001</v>
      </c>
      <c r="G41" s="38">
        <v>7.4490900000000002E-3</v>
      </c>
      <c r="H41" s="29" t="s">
        <v>143</v>
      </c>
    </row>
    <row r="42" spans="1:8" ht="12.75" customHeight="1" x14ac:dyDescent="0.2">
      <c r="A42" s="35">
        <v>36</v>
      </c>
      <c r="B42" s="22" t="s">
        <v>413</v>
      </c>
      <c r="C42" s="22" t="s">
        <v>414</v>
      </c>
      <c r="D42" s="22" t="s">
        <v>41</v>
      </c>
      <c r="E42" s="36">
        <v>4314</v>
      </c>
      <c r="F42" s="37">
        <v>13.295748</v>
      </c>
      <c r="G42" s="38">
        <v>3.7747700000000002E-3</v>
      </c>
      <c r="H42" s="29" t="s">
        <v>143</v>
      </c>
    </row>
    <row r="43" spans="1:8" ht="12.75" customHeight="1" x14ac:dyDescent="0.2">
      <c r="A43" s="39"/>
      <c r="B43" s="39"/>
      <c r="C43" s="40" t="s">
        <v>142</v>
      </c>
      <c r="D43" s="39"/>
      <c r="E43" s="39" t="s">
        <v>143</v>
      </c>
      <c r="F43" s="41">
        <v>3359.1144272000001</v>
      </c>
      <c r="G43" s="42">
        <v>0.95367877000000001</v>
      </c>
      <c r="H43" s="29" t="s">
        <v>143</v>
      </c>
    </row>
    <row r="44" spans="1:8" ht="12.75" customHeight="1" x14ac:dyDescent="0.2">
      <c r="A44" s="39"/>
      <c r="B44" s="39"/>
      <c r="C44" s="43"/>
      <c r="D44" s="39"/>
      <c r="E44" s="39"/>
      <c r="F44" s="44"/>
      <c r="G44" s="44"/>
      <c r="H44" s="29" t="s">
        <v>143</v>
      </c>
    </row>
    <row r="45" spans="1:8" ht="12.75" customHeight="1" x14ac:dyDescent="0.2">
      <c r="A45" s="39"/>
      <c r="B45" s="39"/>
      <c r="C45" s="40" t="s">
        <v>144</v>
      </c>
      <c r="D45" s="39"/>
      <c r="E45" s="39"/>
      <c r="F45" s="39"/>
      <c r="G45" s="39"/>
      <c r="H45" s="29" t="s">
        <v>143</v>
      </c>
    </row>
    <row r="46" spans="1:8" ht="12.75" customHeight="1" x14ac:dyDescent="0.2">
      <c r="A46" s="39"/>
      <c r="B46" s="39"/>
      <c r="C46" s="40" t="s">
        <v>142</v>
      </c>
      <c r="D46" s="39"/>
      <c r="E46" s="39" t="s">
        <v>143</v>
      </c>
      <c r="F46" s="45" t="s">
        <v>145</v>
      </c>
      <c r="G46" s="42">
        <v>0</v>
      </c>
      <c r="H46" s="29" t="s">
        <v>143</v>
      </c>
    </row>
    <row r="47" spans="1:8" ht="12.75" customHeight="1" x14ac:dyDescent="0.2">
      <c r="A47" s="39"/>
      <c r="B47" s="39"/>
      <c r="C47" s="43"/>
      <c r="D47" s="39"/>
      <c r="E47" s="39"/>
      <c r="F47" s="44"/>
      <c r="G47" s="44"/>
      <c r="H47" s="29" t="s">
        <v>143</v>
      </c>
    </row>
    <row r="48" spans="1:8" ht="12.75" customHeight="1" x14ac:dyDescent="0.2">
      <c r="A48" s="39"/>
      <c r="B48" s="39"/>
      <c r="C48" s="40" t="s">
        <v>146</v>
      </c>
      <c r="D48" s="39"/>
      <c r="E48" s="39"/>
      <c r="F48" s="39"/>
      <c r="G48" s="39"/>
      <c r="H48" s="29" t="s">
        <v>143</v>
      </c>
    </row>
    <row r="49" spans="1:8" ht="12.75" customHeight="1" x14ac:dyDescent="0.2">
      <c r="A49" s="39"/>
      <c r="B49" s="39"/>
      <c r="C49" s="40" t="s">
        <v>142</v>
      </c>
      <c r="D49" s="39"/>
      <c r="E49" s="39" t="s">
        <v>143</v>
      </c>
      <c r="F49" s="45" t="s">
        <v>145</v>
      </c>
      <c r="G49" s="42">
        <v>0</v>
      </c>
      <c r="H49" s="29" t="s">
        <v>143</v>
      </c>
    </row>
    <row r="50" spans="1:8" ht="12.75" customHeight="1" x14ac:dyDescent="0.2">
      <c r="A50" s="39"/>
      <c r="B50" s="39"/>
      <c r="C50" s="43"/>
      <c r="D50" s="39"/>
      <c r="E50" s="39"/>
      <c r="F50" s="44"/>
      <c r="G50" s="44"/>
      <c r="H50" s="29" t="s">
        <v>143</v>
      </c>
    </row>
    <row r="51" spans="1:8" ht="12.75" customHeight="1" x14ac:dyDescent="0.2">
      <c r="A51" s="39"/>
      <c r="B51" s="39"/>
      <c r="C51" s="40" t="s">
        <v>147</v>
      </c>
      <c r="D51" s="39"/>
      <c r="E51" s="39"/>
      <c r="F51" s="39"/>
      <c r="G51" s="39"/>
      <c r="H51" s="29" t="s">
        <v>143</v>
      </c>
    </row>
    <row r="52" spans="1:8" ht="12.75" customHeight="1" x14ac:dyDescent="0.2">
      <c r="A52" s="39"/>
      <c r="B52" s="39"/>
      <c r="C52" s="40" t="s">
        <v>142</v>
      </c>
      <c r="D52" s="39"/>
      <c r="E52" s="39" t="s">
        <v>143</v>
      </c>
      <c r="F52" s="45" t="s">
        <v>145</v>
      </c>
      <c r="G52" s="42">
        <v>0</v>
      </c>
      <c r="H52" s="29" t="s">
        <v>143</v>
      </c>
    </row>
    <row r="53" spans="1:8" ht="12.75" customHeight="1" x14ac:dyDescent="0.2">
      <c r="A53" s="39"/>
      <c r="B53" s="39"/>
      <c r="C53" s="43"/>
      <c r="D53" s="39"/>
      <c r="E53" s="39"/>
      <c r="F53" s="44"/>
      <c r="G53" s="44"/>
      <c r="H53" s="29" t="s">
        <v>143</v>
      </c>
    </row>
    <row r="54" spans="1:8" ht="12.75" customHeight="1" x14ac:dyDescent="0.2">
      <c r="A54" s="39"/>
      <c r="B54" s="39"/>
      <c r="C54" s="40" t="s">
        <v>148</v>
      </c>
      <c r="D54" s="39"/>
      <c r="E54" s="39"/>
      <c r="F54" s="44"/>
      <c r="G54" s="44"/>
      <c r="H54" s="29" t="s">
        <v>143</v>
      </c>
    </row>
    <row r="55" spans="1:8" ht="12.75" customHeight="1" x14ac:dyDescent="0.2">
      <c r="A55" s="39"/>
      <c r="B55" s="39"/>
      <c r="C55" s="40" t="s">
        <v>142</v>
      </c>
      <c r="D55" s="39"/>
      <c r="E55" s="39" t="s">
        <v>143</v>
      </c>
      <c r="F55" s="45" t="s">
        <v>145</v>
      </c>
      <c r="G55" s="42">
        <v>0</v>
      </c>
      <c r="H55" s="29" t="s">
        <v>143</v>
      </c>
    </row>
    <row r="56" spans="1:8" ht="12.75" customHeight="1" x14ac:dyDescent="0.2">
      <c r="A56" s="39"/>
      <c r="B56" s="39"/>
      <c r="C56" s="43"/>
      <c r="D56" s="39"/>
      <c r="E56" s="39"/>
      <c r="F56" s="44"/>
      <c r="G56" s="44"/>
      <c r="H56" s="29" t="s">
        <v>143</v>
      </c>
    </row>
    <row r="57" spans="1:8" ht="12.75" customHeight="1" x14ac:dyDescent="0.2">
      <c r="A57" s="39"/>
      <c r="B57" s="39"/>
      <c r="C57" s="40" t="s">
        <v>149</v>
      </c>
      <c r="D57" s="39"/>
      <c r="E57" s="39"/>
      <c r="F57" s="44"/>
      <c r="G57" s="44"/>
      <c r="H57" s="29" t="s">
        <v>143</v>
      </c>
    </row>
    <row r="58" spans="1:8" ht="12.75" customHeight="1" x14ac:dyDescent="0.2">
      <c r="A58" s="39"/>
      <c r="B58" s="39"/>
      <c r="C58" s="40" t="s">
        <v>142</v>
      </c>
      <c r="D58" s="39"/>
      <c r="E58" s="39" t="s">
        <v>143</v>
      </c>
      <c r="F58" s="45" t="s">
        <v>145</v>
      </c>
      <c r="G58" s="42">
        <v>0</v>
      </c>
      <c r="H58" s="29" t="s">
        <v>143</v>
      </c>
    </row>
    <row r="59" spans="1:8" ht="12.75" customHeight="1" x14ac:dyDescent="0.2">
      <c r="A59" s="39"/>
      <c r="B59" s="39"/>
      <c r="C59" s="43"/>
      <c r="D59" s="39"/>
      <c r="E59" s="39"/>
      <c r="F59" s="44"/>
      <c r="G59" s="44"/>
      <c r="H59" s="29" t="s">
        <v>143</v>
      </c>
    </row>
    <row r="60" spans="1:8" ht="12.75" customHeight="1" x14ac:dyDescent="0.2">
      <c r="A60" s="39"/>
      <c r="B60" s="39"/>
      <c r="C60" s="40" t="s">
        <v>150</v>
      </c>
      <c r="D60" s="39"/>
      <c r="E60" s="39"/>
      <c r="F60" s="41">
        <v>3359.1144272000001</v>
      </c>
      <c r="G60" s="42">
        <v>0.95367877000000001</v>
      </c>
      <c r="H60" s="29" t="s">
        <v>143</v>
      </c>
    </row>
    <row r="61" spans="1:8" ht="12.75" customHeight="1" x14ac:dyDescent="0.2">
      <c r="A61" s="39"/>
      <c r="B61" s="39"/>
      <c r="C61" s="43"/>
      <c r="D61" s="39"/>
      <c r="E61" s="39"/>
      <c r="F61" s="44"/>
      <c r="G61" s="44"/>
      <c r="H61" s="29" t="s">
        <v>143</v>
      </c>
    </row>
    <row r="62" spans="1:8" ht="12.75" customHeight="1" x14ac:dyDescent="0.2">
      <c r="A62" s="39"/>
      <c r="B62" s="39"/>
      <c r="C62" s="40" t="s">
        <v>151</v>
      </c>
      <c r="D62" s="39"/>
      <c r="E62" s="39"/>
      <c r="F62" s="44"/>
      <c r="G62" s="44"/>
      <c r="H62" s="29" t="s">
        <v>143</v>
      </c>
    </row>
    <row r="63" spans="1:8" ht="12.75" customHeight="1" x14ac:dyDescent="0.2">
      <c r="A63" s="39"/>
      <c r="B63" s="39"/>
      <c r="C63" s="40" t="s">
        <v>10</v>
      </c>
      <c r="D63" s="39"/>
      <c r="E63" s="39"/>
      <c r="F63" s="44"/>
      <c r="G63" s="44"/>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152</v>
      </c>
      <c r="D66" s="39"/>
      <c r="E66" s="39"/>
      <c r="F66" s="39"/>
      <c r="G66" s="39"/>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153</v>
      </c>
      <c r="D69" s="39"/>
      <c r="E69" s="39"/>
      <c r="F69" s="39"/>
      <c r="G69" s="39"/>
      <c r="H69" s="29" t="s">
        <v>143</v>
      </c>
    </row>
    <row r="70" spans="1:8" ht="12.75" customHeight="1" x14ac:dyDescent="0.2">
      <c r="A70" s="39"/>
      <c r="B70" s="39"/>
      <c r="C70" s="40" t="s">
        <v>142</v>
      </c>
      <c r="D70" s="39"/>
      <c r="E70" s="39" t="s">
        <v>143</v>
      </c>
      <c r="F70" s="45" t="s">
        <v>145</v>
      </c>
      <c r="G70" s="42">
        <v>0</v>
      </c>
      <c r="H70" s="29" t="s">
        <v>143</v>
      </c>
    </row>
    <row r="71" spans="1:8" ht="12.75" customHeight="1" x14ac:dyDescent="0.2">
      <c r="A71" s="39"/>
      <c r="B71" s="39"/>
      <c r="C71" s="43"/>
      <c r="D71" s="39"/>
      <c r="E71" s="39"/>
      <c r="F71" s="44"/>
      <c r="G71" s="44"/>
      <c r="H71" s="29" t="s">
        <v>143</v>
      </c>
    </row>
    <row r="72" spans="1:8" ht="12.75" customHeight="1" x14ac:dyDescent="0.2">
      <c r="A72" s="39"/>
      <c r="B72" s="39"/>
      <c r="C72" s="40" t="s">
        <v>154</v>
      </c>
      <c r="D72" s="39"/>
      <c r="E72" s="39"/>
      <c r="F72" s="44"/>
      <c r="G72" s="44"/>
      <c r="H72" s="29" t="s">
        <v>143</v>
      </c>
    </row>
    <row r="73" spans="1:8" ht="12.75" customHeight="1" x14ac:dyDescent="0.2">
      <c r="A73" s="39"/>
      <c r="B73" s="39"/>
      <c r="C73" s="40" t="s">
        <v>142</v>
      </c>
      <c r="D73" s="39"/>
      <c r="E73" s="39" t="s">
        <v>143</v>
      </c>
      <c r="F73" s="45" t="s">
        <v>145</v>
      </c>
      <c r="G73" s="42">
        <v>0</v>
      </c>
      <c r="H73" s="29" t="s">
        <v>143</v>
      </c>
    </row>
    <row r="74" spans="1:8" ht="12.75" customHeight="1" x14ac:dyDescent="0.2">
      <c r="A74" s="39"/>
      <c r="B74" s="39"/>
      <c r="C74" s="43"/>
      <c r="D74" s="39"/>
      <c r="E74" s="39"/>
      <c r="F74" s="44"/>
      <c r="G74" s="44"/>
      <c r="H74" s="29" t="s">
        <v>143</v>
      </c>
    </row>
    <row r="75" spans="1:8" ht="12.75" customHeight="1" x14ac:dyDescent="0.2">
      <c r="A75" s="39"/>
      <c r="B75" s="39"/>
      <c r="C75" s="40" t="s">
        <v>155</v>
      </c>
      <c r="D75" s="39"/>
      <c r="E75" s="39"/>
      <c r="F75" s="41">
        <v>0</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156</v>
      </c>
      <c r="D77" s="39"/>
      <c r="E77" s="39"/>
      <c r="F77" s="44"/>
      <c r="G77" s="44"/>
      <c r="H77" s="29" t="s">
        <v>143</v>
      </c>
    </row>
    <row r="78" spans="1:8" ht="12.75" customHeight="1" x14ac:dyDescent="0.2">
      <c r="A78" s="39"/>
      <c r="B78" s="39"/>
      <c r="C78" s="40" t="s">
        <v>157</v>
      </c>
      <c r="D78" s="39"/>
      <c r="E78" s="39"/>
      <c r="F78" s="44"/>
      <c r="G78" s="44"/>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158</v>
      </c>
      <c r="D81" s="39"/>
      <c r="E81" s="39"/>
      <c r="F81" s="44"/>
      <c r="G81" s="44"/>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159</v>
      </c>
      <c r="D84" s="39"/>
      <c r="E84" s="39"/>
      <c r="F84" s="44"/>
      <c r="G84" s="44"/>
      <c r="H84" s="29" t="s">
        <v>143</v>
      </c>
    </row>
    <row r="85" spans="1:8" ht="12.75" customHeight="1" x14ac:dyDescent="0.2">
      <c r="A85" s="39"/>
      <c r="B85" s="39"/>
      <c r="C85" s="40" t="s">
        <v>142</v>
      </c>
      <c r="D85" s="39"/>
      <c r="E85" s="39" t="s">
        <v>143</v>
      </c>
      <c r="F85" s="45" t="s">
        <v>145</v>
      </c>
      <c r="G85" s="42">
        <v>0</v>
      </c>
      <c r="H85" s="29" t="s">
        <v>143</v>
      </c>
    </row>
    <row r="86" spans="1:8" ht="12.75" customHeight="1" x14ac:dyDescent="0.2">
      <c r="A86" s="39"/>
      <c r="B86" s="39"/>
      <c r="C86" s="43"/>
      <c r="D86" s="39"/>
      <c r="E86" s="39"/>
      <c r="F86" s="44"/>
      <c r="G86" s="44"/>
      <c r="H86" s="29" t="s">
        <v>143</v>
      </c>
    </row>
    <row r="87" spans="1:8" ht="12.75" customHeight="1" x14ac:dyDescent="0.2">
      <c r="A87" s="39"/>
      <c r="B87" s="39"/>
      <c r="C87" s="40" t="s">
        <v>160</v>
      </c>
      <c r="D87" s="39"/>
      <c r="E87" s="39"/>
      <c r="F87" s="44"/>
      <c r="G87" s="44"/>
      <c r="H87" s="29" t="s">
        <v>143</v>
      </c>
    </row>
    <row r="88" spans="1:8" ht="12.75" customHeight="1" x14ac:dyDescent="0.2">
      <c r="A88" s="35">
        <v>1</v>
      </c>
      <c r="B88" s="22"/>
      <c r="C88" s="22" t="s">
        <v>161</v>
      </c>
      <c r="D88" s="22"/>
      <c r="E88" s="46"/>
      <c r="F88" s="37">
        <v>163.420421</v>
      </c>
      <c r="G88" s="38">
        <v>4.639633E-2</v>
      </c>
      <c r="H88" s="29">
        <v>5.51</v>
      </c>
    </row>
    <row r="89" spans="1:8" ht="12.75" customHeight="1" x14ac:dyDescent="0.2">
      <c r="A89" s="39"/>
      <c r="B89" s="39"/>
      <c r="C89" s="40" t="s">
        <v>142</v>
      </c>
      <c r="D89" s="39"/>
      <c r="E89" s="39" t="s">
        <v>143</v>
      </c>
      <c r="F89" s="41">
        <v>163.420421</v>
      </c>
      <c r="G89" s="42">
        <v>4.639633E-2</v>
      </c>
      <c r="H89" s="29" t="s">
        <v>143</v>
      </c>
    </row>
    <row r="90" spans="1:8" ht="12.75" customHeight="1" x14ac:dyDescent="0.2">
      <c r="A90" s="39"/>
      <c r="B90" s="39"/>
      <c r="C90" s="43"/>
      <c r="D90" s="39"/>
      <c r="E90" s="39"/>
      <c r="F90" s="44"/>
      <c r="G90" s="44"/>
      <c r="H90" s="29" t="s">
        <v>143</v>
      </c>
    </row>
    <row r="91" spans="1:8" ht="12.75" customHeight="1" x14ac:dyDescent="0.2">
      <c r="A91" s="39"/>
      <c r="B91" s="39"/>
      <c r="C91" s="40" t="s">
        <v>162</v>
      </c>
      <c r="D91" s="39"/>
      <c r="E91" s="39"/>
      <c r="F91" s="41">
        <v>163.420421</v>
      </c>
      <c r="G91" s="42">
        <v>4.639633E-2</v>
      </c>
      <c r="H91" s="29" t="s">
        <v>143</v>
      </c>
    </row>
    <row r="92" spans="1:8" ht="12.75" customHeight="1" x14ac:dyDescent="0.2">
      <c r="A92" s="39"/>
      <c r="B92" s="39"/>
      <c r="C92" s="44"/>
      <c r="D92" s="39"/>
      <c r="E92" s="39"/>
      <c r="F92" s="39"/>
      <c r="G92" s="39"/>
      <c r="H92" s="29" t="s">
        <v>143</v>
      </c>
    </row>
    <row r="93" spans="1:8" ht="12.75" customHeight="1" x14ac:dyDescent="0.2">
      <c r="A93" s="39"/>
      <c r="B93" s="39"/>
      <c r="C93" s="40" t="s">
        <v>163</v>
      </c>
      <c r="D93" s="39"/>
      <c r="E93" s="39"/>
      <c r="F93" s="39"/>
      <c r="G93" s="39"/>
      <c r="H93" s="29" t="s">
        <v>143</v>
      </c>
    </row>
    <row r="94" spans="1:8" ht="12.75" customHeight="1" x14ac:dyDescent="0.2">
      <c r="A94" s="39"/>
      <c r="B94" s="39"/>
      <c r="C94" s="40" t="s">
        <v>164</v>
      </c>
      <c r="D94" s="39"/>
      <c r="E94" s="39"/>
      <c r="F94" s="39"/>
      <c r="G94" s="39"/>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39"/>
      <c r="C96" s="43"/>
      <c r="D96" s="39"/>
      <c r="E96" s="39"/>
      <c r="F96" s="44"/>
      <c r="G96" s="44"/>
      <c r="H96" s="29" t="s">
        <v>143</v>
      </c>
    </row>
    <row r="97" spans="1:17" ht="12.75" customHeight="1" x14ac:dyDescent="0.2">
      <c r="A97" s="39"/>
      <c r="B97" s="39"/>
      <c r="C97" s="40" t="s">
        <v>165</v>
      </c>
      <c r="D97" s="39"/>
      <c r="E97" s="39"/>
      <c r="F97" s="39"/>
      <c r="G97" s="39"/>
      <c r="H97" s="29" t="s">
        <v>143</v>
      </c>
    </row>
    <row r="98" spans="1:17" ht="12.75" customHeight="1" x14ac:dyDescent="0.2">
      <c r="A98" s="39"/>
      <c r="B98" s="39"/>
      <c r="C98" s="40" t="s">
        <v>166</v>
      </c>
      <c r="D98" s="39"/>
      <c r="E98" s="39"/>
      <c r="F98" s="39"/>
      <c r="G98" s="39"/>
      <c r="H98" s="29" t="s">
        <v>143</v>
      </c>
    </row>
    <row r="99" spans="1:17" ht="12.75" customHeight="1" x14ac:dyDescent="0.2">
      <c r="A99" s="39"/>
      <c r="B99" s="39"/>
      <c r="C99" s="40" t="s">
        <v>142</v>
      </c>
      <c r="D99" s="39"/>
      <c r="E99" s="39" t="s">
        <v>143</v>
      </c>
      <c r="F99" s="45" t="s">
        <v>145</v>
      </c>
      <c r="G99" s="42">
        <v>0</v>
      </c>
      <c r="H99" s="29" t="s">
        <v>143</v>
      </c>
    </row>
    <row r="100" spans="1:17" ht="12.75" customHeight="1" x14ac:dyDescent="0.2">
      <c r="A100" s="39"/>
      <c r="B100" s="39"/>
      <c r="C100" s="43"/>
      <c r="D100" s="39"/>
      <c r="E100" s="39"/>
      <c r="F100" s="44"/>
      <c r="G100" s="44"/>
      <c r="H100" s="29" t="s">
        <v>143</v>
      </c>
    </row>
    <row r="101" spans="1:17" ht="12.75" customHeight="1" x14ac:dyDescent="0.2">
      <c r="A101" s="39"/>
      <c r="B101" s="39"/>
      <c r="C101" s="40" t="s">
        <v>167</v>
      </c>
      <c r="D101" s="39"/>
      <c r="E101" s="39"/>
      <c r="F101" s="44"/>
      <c r="G101" s="44"/>
      <c r="H101" s="29" t="s">
        <v>143</v>
      </c>
    </row>
    <row r="102" spans="1:17" ht="12.75" customHeight="1" x14ac:dyDescent="0.2">
      <c r="A102" s="39"/>
      <c r="B102" s="39"/>
      <c r="C102" s="40" t="s">
        <v>142</v>
      </c>
      <c r="D102" s="39"/>
      <c r="E102" s="39" t="s">
        <v>143</v>
      </c>
      <c r="F102" s="45" t="s">
        <v>145</v>
      </c>
      <c r="G102" s="42">
        <v>0</v>
      </c>
      <c r="H102" s="29" t="s">
        <v>143</v>
      </c>
    </row>
    <row r="103" spans="1:17" ht="12.75" customHeight="1" x14ac:dyDescent="0.2">
      <c r="A103" s="39"/>
      <c r="B103" s="39"/>
      <c r="C103" s="43"/>
      <c r="D103" s="39"/>
      <c r="E103" s="39"/>
      <c r="F103" s="44"/>
      <c r="G103" s="44"/>
      <c r="H103" s="29" t="s">
        <v>143</v>
      </c>
    </row>
    <row r="104" spans="1:17" ht="12.75" customHeight="1" x14ac:dyDescent="0.2">
      <c r="A104" s="46"/>
      <c r="B104" s="22"/>
      <c r="C104" s="22" t="s">
        <v>168</v>
      </c>
      <c r="D104" s="22"/>
      <c r="E104" s="46"/>
      <c r="F104" s="37">
        <v>-0.26451226999999999</v>
      </c>
      <c r="G104" s="38">
        <v>-7.5099999999999996E-5</v>
      </c>
      <c r="H104" s="29" t="s">
        <v>143</v>
      </c>
    </row>
    <row r="105" spans="1:17" ht="12.75" customHeight="1" x14ac:dyDescent="0.2">
      <c r="A105" s="43"/>
      <c r="B105" s="43"/>
      <c r="C105" s="40" t="s">
        <v>169</v>
      </c>
      <c r="D105" s="44"/>
      <c r="E105" s="44"/>
      <c r="F105" s="41">
        <v>3522.2703359299999</v>
      </c>
      <c r="G105" s="47">
        <v>1</v>
      </c>
      <c r="H105" s="29" t="s">
        <v>143</v>
      </c>
    </row>
    <row r="106" spans="1:17" ht="12.75" customHeight="1" x14ac:dyDescent="0.2">
      <c r="A106" s="48"/>
      <c r="B106" s="48"/>
      <c r="C106" s="49"/>
      <c r="D106" s="50"/>
      <c r="E106" s="50"/>
      <c r="F106" s="51"/>
      <c r="G106" s="52"/>
      <c r="H106" s="53"/>
    </row>
    <row r="107" spans="1:17" x14ac:dyDescent="0.2">
      <c r="A107" s="54"/>
      <c r="B107" s="243" t="s">
        <v>945</v>
      </c>
      <c r="C107" s="243"/>
      <c r="D107" s="243"/>
      <c r="E107" s="243"/>
      <c r="F107" s="243"/>
      <c r="G107" s="243"/>
      <c r="H107" s="243"/>
      <c r="J107" s="56"/>
    </row>
    <row r="108" spans="1:17" x14ac:dyDescent="0.2">
      <c r="A108" s="54"/>
      <c r="B108" s="243" t="s">
        <v>946</v>
      </c>
      <c r="C108" s="243"/>
      <c r="D108" s="243"/>
      <c r="E108" s="243"/>
      <c r="F108" s="243"/>
      <c r="G108" s="243"/>
      <c r="H108" s="243"/>
      <c r="J108" s="56"/>
    </row>
    <row r="109" spans="1:17" x14ac:dyDescent="0.2">
      <c r="A109" s="54"/>
      <c r="B109" s="243" t="s">
        <v>947</v>
      </c>
      <c r="C109" s="243"/>
      <c r="D109" s="243"/>
      <c r="E109" s="243"/>
      <c r="F109" s="243"/>
      <c r="G109" s="243"/>
      <c r="H109" s="243"/>
      <c r="J109" s="56"/>
    </row>
    <row r="110" spans="1:17" s="58" customFormat="1" ht="66.75" customHeight="1" x14ac:dyDescent="0.25">
      <c r="A110" s="57"/>
      <c r="B110" s="244" t="s">
        <v>948</v>
      </c>
      <c r="C110" s="244"/>
      <c r="D110" s="244"/>
      <c r="E110" s="244"/>
      <c r="F110" s="244"/>
      <c r="G110" s="244"/>
      <c r="H110" s="244"/>
      <c r="I110"/>
      <c r="J110" s="56"/>
      <c r="K110"/>
      <c r="L110"/>
      <c r="M110"/>
      <c r="N110"/>
      <c r="O110"/>
      <c r="P110"/>
      <c r="Q110"/>
    </row>
    <row r="111" spans="1:17" x14ac:dyDescent="0.2">
      <c r="A111" s="54"/>
      <c r="B111" s="243" t="s">
        <v>949</v>
      </c>
      <c r="C111" s="243"/>
      <c r="D111" s="243"/>
      <c r="E111" s="243"/>
      <c r="F111" s="243"/>
      <c r="G111" s="243"/>
      <c r="H111" s="243"/>
      <c r="J111" s="56"/>
    </row>
    <row r="112" spans="1:17" x14ac:dyDescent="0.2">
      <c r="A112" s="54"/>
      <c r="B112" s="54"/>
      <c r="C112" s="54"/>
      <c r="D112" s="59"/>
      <c r="E112" s="59"/>
      <c r="F112" s="59"/>
      <c r="G112" s="59"/>
    </row>
    <row r="113" spans="1:10" x14ac:dyDescent="0.2">
      <c r="A113" s="54"/>
      <c r="B113" s="247" t="s">
        <v>170</v>
      </c>
      <c r="C113" s="248"/>
      <c r="D113" s="249"/>
      <c r="E113" s="60"/>
      <c r="F113" s="59"/>
      <c r="G113" s="59"/>
    </row>
    <row r="114" spans="1:10" ht="27.75" customHeight="1" x14ac:dyDescent="0.2">
      <c r="A114" s="54"/>
      <c r="B114" s="240" t="s">
        <v>171</v>
      </c>
      <c r="C114" s="241"/>
      <c r="D114" s="28" t="s">
        <v>172</v>
      </c>
      <c r="E114" s="60"/>
      <c r="F114" s="59"/>
      <c r="G114" s="59"/>
    </row>
    <row r="115" spans="1:10" ht="12.75" customHeight="1" x14ac:dyDescent="0.2">
      <c r="A115" s="54"/>
      <c r="B115" s="240" t="s">
        <v>950</v>
      </c>
      <c r="C115" s="241"/>
      <c r="D115" s="28" t="s">
        <v>172</v>
      </c>
      <c r="E115" s="60"/>
      <c r="F115" s="59"/>
      <c r="G115" s="59"/>
    </row>
    <row r="116" spans="1:10" x14ac:dyDescent="0.2">
      <c r="A116" s="54"/>
      <c r="B116" s="240" t="s">
        <v>173</v>
      </c>
      <c r="C116" s="241"/>
      <c r="D116" s="61" t="s">
        <v>143</v>
      </c>
      <c r="E116" s="60"/>
      <c r="F116" s="59"/>
      <c r="G116" s="59"/>
    </row>
    <row r="117" spans="1:10" x14ac:dyDescent="0.2">
      <c r="A117" s="62"/>
      <c r="B117" s="63" t="s">
        <v>143</v>
      </c>
      <c r="C117" s="63" t="s">
        <v>951</v>
      </c>
      <c r="D117" s="63" t="s">
        <v>174</v>
      </c>
      <c r="E117" s="62"/>
      <c r="F117" s="62"/>
      <c r="G117" s="62"/>
      <c r="H117" s="62"/>
      <c r="J117" s="56"/>
    </row>
    <row r="118" spans="1:10" x14ac:dyDescent="0.2">
      <c r="A118" s="62"/>
      <c r="B118" s="64" t="s">
        <v>175</v>
      </c>
      <c r="C118" s="65">
        <v>45900</v>
      </c>
      <c r="D118" s="65">
        <v>45930</v>
      </c>
      <c r="E118" s="62"/>
      <c r="F118" s="62"/>
      <c r="G118" s="62"/>
      <c r="J118" s="56"/>
    </row>
    <row r="119" spans="1:10" ht="12.75" customHeight="1" x14ac:dyDescent="0.2">
      <c r="A119" s="66"/>
      <c r="B119" s="67" t="s">
        <v>176</v>
      </c>
      <c r="C119" s="68">
        <v>28.6998</v>
      </c>
      <c r="D119" s="68">
        <v>28.935099999999998</v>
      </c>
      <c r="E119" s="66"/>
      <c r="F119" s="69"/>
      <c r="G119" s="70"/>
    </row>
    <row r="120" spans="1:10" ht="12.75" customHeight="1" x14ac:dyDescent="0.2">
      <c r="A120" s="66"/>
      <c r="B120" s="67" t="s">
        <v>1085</v>
      </c>
      <c r="C120" s="68">
        <v>27.316400000000002</v>
      </c>
      <c r="D120" s="68">
        <v>27.540299999999998</v>
      </c>
      <c r="E120" s="66"/>
      <c r="F120" s="69"/>
      <c r="G120" s="70"/>
    </row>
    <row r="121" spans="1:10" ht="12.75" customHeight="1" x14ac:dyDescent="0.2">
      <c r="A121" s="66"/>
      <c r="B121" s="67" t="s">
        <v>177</v>
      </c>
      <c r="C121" s="68">
        <v>28.064</v>
      </c>
      <c r="D121" s="68">
        <v>28.291499999999999</v>
      </c>
      <c r="E121" s="66"/>
      <c r="F121" s="69"/>
      <c r="G121" s="70"/>
    </row>
    <row r="122" spans="1:10" ht="12.75" customHeight="1" x14ac:dyDescent="0.2">
      <c r="A122" s="66"/>
      <c r="B122" s="67" t="s">
        <v>1086</v>
      </c>
      <c r="C122" s="68">
        <v>26.6829</v>
      </c>
      <c r="D122" s="68">
        <v>26.8992</v>
      </c>
      <c r="E122" s="66"/>
      <c r="F122" s="69"/>
      <c r="G122" s="70"/>
    </row>
    <row r="123" spans="1:10" ht="12.75" customHeight="1" x14ac:dyDescent="0.2">
      <c r="A123" s="66"/>
      <c r="B123" s="66"/>
      <c r="C123" s="66"/>
      <c r="D123" s="66"/>
      <c r="E123" s="66"/>
      <c r="F123" s="66"/>
      <c r="G123" s="66"/>
    </row>
    <row r="124" spans="1:10" x14ac:dyDescent="0.2">
      <c r="A124" s="62"/>
      <c r="B124" s="245" t="s">
        <v>952</v>
      </c>
      <c r="C124" s="246"/>
      <c r="D124" s="71" t="s">
        <v>172</v>
      </c>
      <c r="E124" s="62"/>
      <c r="F124" s="62"/>
      <c r="G124" s="62"/>
    </row>
    <row r="125" spans="1:10" x14ac:dyDescent="0.2">
      <c r="A125" s="72"/>
      <c r="B125" s="73"/>
      <c r="C125" s="73"/>
      <c r="D125" s="73"/>
      <c r="E125" s="72"/>
      <c r="F125" s="72"/>
      <c r="G125" s="72"/>
    </row>
    <row r="126" spans="1:10" x14ac:dyDescent="0.2">
      <c r="A126" s="72"/>
      <c r="B126" s="240" t="s">
        <v>178</v>
      </c>
      <c r="C126" s="241"/>
      <c r="D126" s="28" t="s">
        <v>172</v>
      </c>
      <c r="E126" s="74"/>
      <c r="F126" s="72"/>
      <c r="G126" s="72"/>
    </row>
    <row r="127" spans="1:10" x14ac:dyDescent="0.2">
      <c r="A127" s="72"/>
      <c r="B127" s="240" t="s">
        <v>179</v>
      </c>
      <c r="C127" s="241"/>
      <c r="D127" s="28" t="s">
        <v>172</v>
      </c>
      <c r="E127" s="74"/>
      <c r="F127" s="72"/>
      <c r="G127" s="72"/>
    </row>
    <row r="128" spans="1:10" x14ac:dyDescent="0.2">
      <c r="A128" s="72"/>
      <c r="B128" s="240" t="s">
        <v>180</v>
      </c>
      <c r="C128" s="241"/>
      <c r="D128" s="28" t="s">
        <v>172</v>
      </c>
      <c r="E128" s="74"/>
      <c r="F128" s="72"/>
      <c r="G128" s="72"/>
    </row>
    <row r="129" spans="1:10" x14ac:dyDescent="0.2">
      <c r="A129" s="72"/>
      <c r="B129" s="240" t="s">
        <v>181</v>
      </c>
      <c r="C129" s="241"/>
      <c r="D129" s="75">
        <v>4.7748831404645538E-2</v>
      </c>
      <c r="E129" s="72"/>
      <c r="F129" s="55"/>
      <c r="G129" s="76"/>
    </row>
    <row r="130" spans="1:10" x14ac:dyDescent="0.2"/>
    <row r="131" spans="1:10" x14ac:dyDescent="0.2">
      <c r="B131" s="239" t="s">
        <v>953</v>
      </c>
      <c r="C131" s="239"/>
    </row>
    <row r="132" spans="1:10" x14ac:dyDescent="0.2"/>
    <row r="133" spans="1:10" ht="153.75" customHeight="1" x14ac:dyDescent="0.2"/>
    <row r="134" spans="1:10" x14ac:dyDescent="0.2"/>
    <row r="135" spans="1:10" x14ac:dyDescent="0.2"/>
    <row r="136" spans="1:10" x14ac:dyDescent="0.2">
      <c r="B136" s="77" t="s">
        <v>954</v>
      </c>
      <c r="C136" s="78"/>
      <c r="D136" s="77"/>
    </row>
    <row r="137" spans="1:10" x14ac:dyDescent="0.2">
      <c r="B137" s="77" t="s">
        <v>964</v>
      </c>
      <c r="D137" s="77"/>
    </row>
    <row r="138" spans="1:10" ht="165" customHeight="1" x14ac:dyDescent="0.2"/>
    <row r="139" spans="1:10" x14ac:dyDescent="0.2">
      <c r="J139" s="26"/>
    </row>
    <row r="140" spans="1:10" x14ac:dyDescent="0.2"/>
    <row r="141" spans="1:10" x14ac:dyDescent="0.2"/>
    <row r="142" spans="1:10" x14ac:dyDescent="0.2"/>
    <row r="143" spans="1:10" x14ac:dyDescent="0.2"/>
    <row r="144" spans="1:10" x14ac:dyDescent="0.2"/>
    <row r="145" customFormat="1" x14ac:dyDescent="0.2"/>
    <row r="146" customFormat="1" x14ac:dyDescent="0.2"/>
  </sheetData>
  <mergeCells count="18">
    <mergeCell ref="B113:D113"/>
    <mergeCell ref="B114:C114"/>
    <mergeCell ref="B131:C131"/>
    <mergeCell ref="B129:C129"/>
    <mergeCell ref="A1:H1"/>
    <mergeCell ref="A2:H2"/>
    <mergeCell ref="A3:H3"/>
    <mergeCell ref="B128:C128"/>
    <mergeCell ref="B107:H107"/>
    <mergeCell ref="B108:H108"/>
    <mergeCell ref="B115:C115"/>
    <mergeCell ref="B116:C116"/>
    <mergeCell ref="B126:C126"/>
    <mergeCell ref="B127:C127"/>
    <mergeCell ref="B109:H109"/>
    <mergeCell ref="B110:H110"/>
    <mergeCell ref="B111:H111"/>
    <mergeCell ref="B124:C124"/>
  </mergeCells>
  <hyperlinks>
    <hyperlink ref="I1" location="Index!B2" display="Index" xr:uid="{2D840F46-D02A-4E08-A18E-89A8155810CA}"/>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B18E1-8AAA-468F-B8CC-C352AC7D1209}">
  <sheetPr>
    <outlinePr summaryBelow="0" summaryRight="0"/>
  </sheetPr>
  <dimension ref="A1:Q147"/>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449</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354</v>
      </c>
      <c r="C7" s="22" t="s">
        <v>355</v>
      </c>
      <c r="D7" s="22" t="s">
        <v>188</v>
      </c>
      <c r="E7" s="36">
        <v>28701</v>
      </c>
      <c r="F7" s="37">
        <v>179.94091950000001</v>
      </c>
      <c r="G7" s="38">
        <v>5.9700900000000001E-2</v>
      </c>
      <c r="H7" s="29" t="s">
        <v>143</v>
      </c>
    </row>
    <row r="8" spans="1:9" ht="12.75" customHeight="1" x14ac:dyDescent="0.2">
      <c r="A8" s="35">
        <v>2</v>
      </c>
      <c r="B8" s="22" t="s">
        <v>341</v>
      </c>
      <c r="C8" s="22" t="s">
        <v>342</v>
      </c>
      <c r="D8" s="22" t="s">
        <v>259</v>
      </c>
      <c r="E8" s="36">
        <v>8793</v>
      </c>
      <c r="F8" s="37">
        <v>171.26126099999999</v>
      </c>
      <c r="G8" s="38">
        <v>5.6821160000000002E-2</v>
      </c>
      <c r="H8" s="29" t="s">
        <v>143</v>
      </c>
    </row>
    <row r="9" spans="1:9" ht="12.75" customHeight="1" x14ac:dyDescent="0.2">
      <c r="A9" s="35">
        <v>3</v>
      </c>
      <c r="B9" s="22" t="s">
        <v>356</v>
      </c>
      <c r="C9" s="22" t="s">
        <v>357</v>
      </c>
      <c r="D9" s="22" t="s">
        <v>46</v>
      </c>
      <c r="E9" s="36">
        <v>6658</v>
      </c>
      <c r="F9" s="37">
        <v>145.697014</v>
      </c>
      <c r="G9" s="38">
        <v>4.8339439999999997E-2</v>
      </c>
      <c r="H9" s="29" t="s">
        <v>143</v>
      </c>
    </row>
    <row r="10" spans="1:9" ht="12.75" customHeight="1" x14ac:dyDescent="0.2">
      <c r="A10" s="35">
        <v>4</v>
      </c>
      <c r="B10" s="22" t="s">
        <v>358</v>
      </c>
      <c r="C10" s="22" t="s">
        <v>359</v>
      </c>
      <c r="D10" s="22" t="s">
        <v>206</v>
      </c>
      <c r="E10" s="36">
        <v>43035</v>
      </c>
      <c r="F10" s="37">
        <v>126.43683</v>
      </c>
      <c r="G10" s="38">
        <v>4.1949279999999999E-2</v>
      </c>
      <c r="H10" s="29" t="s">
        <v>143</v>
      </c>
    </row>
    <row r="11" spans="1:9" ht="12.75" customHeight="1" x14ac:dyDescent="0.2">
      <c r="A11" s="35">
        <v>5</v>
      </c>
      <c r="B11" s="22" t="s">
        <v>65</v>
      </c>
      <c r="C11" s="22" t="s">
        <v>66</v>
      </c>
      <c r="D11" s="22" t="s">
        <v>64</v>
      </c>
      <c r="E11" s="36">
        <v>15343</v>
      </c>
      <c r="F11" s="37">
        <v>126.058088</v>
      </c>
      <c r="G11" s="38">
        <v>4.1823619999999999E-2</v>
      </c>
      <c r="H11" s="29" t="s">
        <v>143</v>
      </c>
    </row>
    <row r="12" spans="1:9" ht="12.75" customHeight="1" x14ac:dyDescent="0.2">
      <c r="A12" s="35">
        <v>6</v>
      </c>
      <c r="B12" s="22" t="s">
        <v>362</v>
      </c>
      <c r="C12" s="22" t="s">
        <v>363</v>
      </c>
      <c r="D12" s="22" t="s">
        <v>33</v>
      </c>
      <c r="E12" s="36">
        <v>31040</v>
      </c>
      <c r="F12" s="37">
        <v>115.31359999999999</v>
      </c>
      <c r="G12" s="38">
        <v>3.8258809999999997E-2</v>
      </c>
      <c r="H12" s="29" t="s">
        <v>143</v>
      </c>
    </row>
    <row r="13" spans="1:9" ht="12.75" customHeight="1" x14ac:dyDescent="0.2">
      <c r="A13" s="35">
        <v>7</v>
      </c>
      <c r="B13" s="22" t="s">
        <v>337</v>
      </c>
      <c r="C13" s="22" t="s">
        <v>338</v>
      </c>
      <c r="D13" s="22" t="s">
        <v>223</v>
      </c>
      <c r="E13" s="36">
        <v>1441</v>
      </c>
      <c r="F13" s="37">
        <v>112.34036</v>
      </c>
      <c r="G13" s="38">
        <v>3.7272350000000003E-2</v>
      </c>
      <c r="H13" s="29" t="s">
        <v>143</v>
      </c>
    </row>
    <row r="14" spans="1:9" ht="12.75" customHeight="1" x14ac:dyDescent="0.2">
      <c r="A14" s="35">
        <v>8</v>
      </c>
      <c r="B14" s="22" t="s">
        <v>360</v>
      </c>
      <c r="C14" s="22" t="s">
        <v>361</v>
      </c>
      <c r="D14" s="22" t="s">
        <v>33</v>
      </c>
      <c r="E14" s="36">
        <v>241296</v>
      </c>
      <c r="F14" s="37">
        <v>111.84069599999999</v>
      </c>
      <c r="G14" s="38">
        <v>3.7106569999999998E-2</v>
      </c>
      <c r="H14" s="29" t="s">
        <v>143</v>
      </c>
    </row>
    <row r="15" spans="1:9" ht="12.75" customHeight="1" x14ac:dyDescent="0.2">
      <c r="A15" s="35">
        <v>9</v>
      </c>
      <c r="B15" s="22" t="s">
        <v>364</v>
      </c>
      <c r="C15" s="22" t="s">
        <v>365</v>
      </c>
      <c r="D15" s="22" t="s">
        <v>46</v>
      </c>
      <c r="E15" s="36">
        <v>39512</v>
      </c>
      <c r="F15" s="37">
        <v>106.80093599999999</v>
      </c>
      <c r="G15" s="38">
        <v>3.5434470000000003E-2</v>
      </c>
      <c r="H15" s="29" t="s">
        <v>143</v>
      </c>
    </row>
    <row r="16" spans="1:9" ht="12.75" customHeight="1" x14ac:dyDescent="0.2">
      <c r="A16" s="35">
        <v>10</v>
      </c>
      <c r="B16" s="22" t="s">
        <v>366</v>
      </c>
      <c r="C16" s="22" t="s">
        <v>367</v>
      </c>
      <c r="D16" s="22" t="s">
        <v>194</v>
      </c>
      <c r="E16" s="36">
        <v>1573</v>
      </c>
      <c r="F16" s="37">
        <v>99.216975000000005</v>
      </c>
      <c r="G16" s="38">
        <v>3.2918259999999998E-2</v>
      </c>
      <c r="H16" s="29" t="s">
        <v>143</v>
      </c>
    </row>
    <row r="17" spans="1:8" ht="12.75" customHeight="1" x14ac:dyDescent="0.2">
      <c r="A17" s="35">
        <v>11</v>
      </c>
      <c r="B17" s="22" t="s">
        <v>76</v>
      </c>
      <c r="C17" s="22" t="s">
        <v>77</v>
      </c>
      <c r="D17" s="22" t="s">
        <v>64</v>
      </c>
      <c r="E17" s="36">
        <v>2337</v>
      </c>
      <c r="F17" s="37">
        <v>94.935951000000003</v>
      </c>
      <c r="G17" s="38">
        <v>3.1497900000000002E-2</v>
      </c>
      <c r="H17" s="29" t="s">
        <v>143</v>
      </c>
    </row>
    <row r="18" spans="1:8" ht="12.75" customHeight="1" x14ac:dyDescent="0.2">
      <c r="A18" s="35">
        <v>12</v>
      </c>
      <c r="B18" s="22" t="s">
        <v>378</v>
      </c>
      <c r="C18" s="22" t="s">
        <v>379</v>
      </c>
      <c r="D18" s="22" t="s">
        <v>223</v>
      </c>
      <c r="E18" s="36">
        <v>4435</v>
      </c>
      <c r="F18" s="37">
        <v>94.576374999999999</v>
      </c>
      <c r="G18" s="38">
        <v>3.13786E-2</v>
      </c>
      <c r="H18" s="29" t="s">
        <v>143</v>
      </c>
    </row>
    <row r="19" spans="1:8" ht="12.75" customHeight="1" x14ac:dyDescent="0.2">
      <c r="A19" s="35">
        <v>13</v>
      </c>
      <c r="B19" s="22" t="s">
        <v>368</v>
      </c>
      <c r="C19" s="22" t="s">
        <v>369</v>
      </c>
      <c r="D19" s="22" t="s">
        <v>215</v>
      </c>
      <c r="E19" s="36">
        <v>13180</v>
      </c>
      <c r="F19" s="37">
        <v>84.978049999999996</v>
      </c>
      <c r="G19" s="38">
        <v>2.819406E-2</v>
      </c>
      <c r="H19" s="29" t="s">
        <v>143</v>
      </c>
    </row>
    <row r="20" spans="1:8" ht="12.75" customHeight="1" x14ac:dyDescent="0.2">
      <c r="A20" s="35">
        <v>14</v>
      </c>
      <c r="B20" s="22" t="s">
        <v>383</v>
      </c>
      <c r="C20" s="22" t="s">
        <v>384</v>
      </c>
      <c r="D20" s="22" t="s">
        <v>191</v>
      </c>
      <c r="E20" s="36">
        <v>10672</v>
      </c>
      <c r="F20" s="37">
        <v>81.448704000000006</v>
      </c>
      <c r="G20" s="38">
        <v>2.7023100000000001E-2</v>
      </c>
      <c r="H20" s="29" t="s">
        <v>143</v>
      </c>
    </row>
    <row r="21" spans="1:8" ht="12.75" customHeight="1" x14ac:dyDescent="0.2">
      <c r="A21" s="35">
        <v>15</v>
      </c>
      <c r="B21" s="22" t="s">
        <v>374</v>
      </c>
      <c r="C21" s="22" t="s">
        <v>375</v>
      </c>
      <c r="D21" s="22" t="s">
        <v>33</v>
      </c>
      <c r="E21" s="36">
        <v>141618</v>
      </c>
      <c r="F21" s="37">
        <v>80.977172400000001</v>
      </c>
      <c r="G21" s="38">
        <v>2.6866649999999999E-2</v>
      </c>
      <c r="H21" s="29" t="s">
        <v>143</v>
      </c>
    </row>
    <row r="22" spans="1:8" ht="12.75" customHeight="1" x14ac:dyDescent="0.2">
      <c r="A22" s="35">
        <v>16</v>
      </c>
      <c r="B22" s="22" t="s">
        <v>67</v>
      </c>
      <c r="C22" s="22" t="s">
        <v>68</v>
      </c>
      <c r="D22" s="22" t="s">
        <v>25</v>
      </c>
      <c r="E22" s="36">
        <v>1255</v>
      </c>
      <c r="F22" s="37">
        <v>79.064999999999998</v>
      </c>
      <c r="G22" s="38">
        <v>2.6232229999999999E-2</v>
      </c>
      <c r="H22" s="29" t="s">
        <v>143</v>
      </c>
    </row>
    <row r="23" spans="1:8" ht="12.75" customHeight="1" x14ac:dyDescent="0.2">
      <c r="A23" s="35">
        <v>17</v>
      </c>
      <c r="B23" s="22" t="s">
        <v>226</v>
      </c>
      <c r="C23" s="22" t="s">
        <v>227</v>
      </c>
      <c r="D23" s="22" t="s">
        <v>191</v>
      </c>
      <c r="E23" s="36">
        <v>601</v>
      </c>
      <c r="F23" s="37">
        <v>76.687600000000003</v>
      </c>
      <c r="G23" s="38">
        <v>2.5443449999999999E-2</v>
      </c>
      <c r="H23" s="29" t="s">
        <v>143</v>
      </c>
    </row>
    <row r="24" spans="1:8" ht="12.75" customHeight="1" x14ac:dyDescent="0.2">
      <c r="A24" s="35">
        <v>18</v>
      </c>
      <c r="B24" s="22" t="s">
        <v>47</v>
      </c>
      <c r="C24" s="22" t="s">
        <v>48</v>
      </c>
      <c r="D24" s="22" t="s">
        <v>16</v>
      </c>
      <c r="E24" s="36">
        <v>6049</v>
      </c>
      <c r="F24" s="37">
        <v>75.902851999999996</v>
      </c>
      <c r="G24" s="38">
        <v>2.5183090000000002E-2</v>
      </c>
      <c r="H24" s="29" t="s">
        <v>143</v>
      </c>
    </row>
    <row r="25" spans="1:8" ht="12.75" customHeight="1" x14ac:dyDescent="0.2">
      <c r="A25" s="35">
        <v>19</v>
      </c>
      <c r="B25" s="22" t="s">
        <v>387</v>
      </c>
      <c r="C25" s="22" t="s">
        <v>388</v>
      </c>
      <c r="D25" s="22" t="s">
        <v>389</v>
      </c>
      <c r="E25" s="36">
        <v>19517</v>
      </c>
      <c r="F25" s="37">
        <v>68.172881000000004</v>
      </c>
      <c r="G25" s="38">
        <v>2.261844E-2</v>
      </c>
      <c r="H25" s="29" t="s">
        <v>143</v>
      </c>
    </row>
    <row r="26" spans="1:8" ht="12.75" customHeight="1" x14ac:dyDescent="0.2">
      <c r="A26" s="35">
        <v>20</v>
      </c>
      <c r="B26" s="22" t="s">
        <v>380</v>
      </c>
      <c r="C26" s="22" t="s">
        <v>381</v>
      </c>
      <c r="D26" s="22" t="s">
        <v>382</v>
      </c>
      <c r="E26" s="36">
        <v>5857</v>
      </c>
      <c r="F26" s="37">
        <v>62.96275</v>
      </c>
      <c r="G26" s="38">
        <v>2.088982E-2</v>
      </c>
      <c r="H26" s="29" t="s">
        <v>143</v>
      </c>
    </row>
    <row r="27" spans="1:8" ht="12.75" customHeight="1" x14ac:dyDescent="0.2">
      <c r="A27" s="35">
        <v>21</v>
      </c>
      <c r="B27" s="22" t="s">
        <v>385</v>
      </c>
      <c r="C27" s="22" t="s">
        <v>386</v>
      </c>
      <c r="D27" s="22" t="s">
        <v>191</v>
      </c>
      <c r="E27" s="36">
        <v>3287</v>
      </c>
      <c r="F27" s="37">
        <v>61.959949999999999</v>
      </c>
      <c r="G27" s="38">
        <v>2.055711E-2</v>
      </c>
      <c r="H27" s="29" t="s">
        <v>143</v>
      </c>
    </row>
    <row r="28" spans="1:8" ht="12.75" customHeight="1" x14ac:dyDescent="0.2">
      <c r="A28" s="35">
        <v>22</v>
      </c>
      <c r="B28" s="22" t="s">
        <v>69</v>
      </c>
      <c r="C28" s="22" t="s">
        <v>70</v>
      </c>
      <c r="D28" s="22" t="s">
        <v>64</v>
      </c>
      <c r="E28" s="36">
        <v>1222</v>
      </c>
      <c r="F28" s="37">
        <v>60.262929999999997</v>
      </c>
      <c r="G28" s="38">
        <v>1.9994069999999999E-2</v>
      </c>
      <c r="H28" s="29" t="s">
        <v>143</v>
      </c>
    </row>
    <row r="29" spans="1:8" ht="12.75" customHeight="1" x14ac:dyDescent="0.2">
      <c r="A29" s="35">
        <v>23</v>
      </c>
      <c r="B29" s="22" t="s">
        <v>392</v>
      </c>
      <c r="C29" s="22" t="s">
        <v>393</v>
      </c>
      <c r="D29" s="22" t="s">
        <v>206</v>
      </c>
      <c r="E29" s="36">
        <v>8090</v>
      </c>
      <c r="F29" s="37">
        <v>55.626840000000001</v>
      </c>
      <c r="G29" s="38">
        <v>1.8455900000000001E-2</v>
      </c>
      <c r="H29" s="29" t="s">
        <v>143</v>
      </c>
    </row>
    <row r="30" spans="1:8" ht="12.75" customHeight="1" x14ac:dyDescent="0.2">
      <c r="A30" s="35">
        <v>24</v>
      </c>
      <c r="B30" s="22" t="s">
        <v>404</v>
      </c>
      <c r="C30" s="22" t="s">
        <v>405</v>
      </c>
      <c r="D30" s="22" t="s">
        <v>215</v>
      </c>
      <c r="E30" s="36">
        <v>15429</v>
      </c>
      <c r="F30" s="37">
        <v>54.456655499999997</v>
      </c>
      <c r="G30" s="38">
        <v>1.8067659999999999E-2</v>
      </c>
      <c r="H30" s="29" t="s">
        <v>143</v>
      </c>
    </row>
    <row r="31" spans="1:8" ht="12.75" customHeight="1" x14ac:dyDescent="0.2">
      <c r="A31" s="35">
        <v>25</v>
      </c>
      <c r="B31" s="22" t="s">
        <v>376</v>
      </c>
      <c r="C31" s="22" t="s">
        <v>377</v>
      </c>
      <c r="D31" s="22" t="s">
        <v>194</v>
      </c>
      <c r="E31" s="36">
        <v>6280</v>
      </c>
      <c r="F31" s="37">
        <v>52.86504</v>
      </c>
      <c r="G31" s="38">
        <v>1.7539590000000001E-2</v>
      </c>
      <c r="H31" s="29" t="s">
        <v>143</v>
      </c>
    </row>
    <row r="32" spans="1:8" ht="12.75" customHeight="1" x14ac:dyDescent="0.2">
      <c r="A32" s="35">
        <v>26</v>
      </c>
      <c r="B32" s="22" t="s">
        <v>390</v>
      </c>
      <c r="C32" s="22" t="s">
        <v>391</v>
      </c>
      <c r="D32" s="22" t="s">
        <v>64</v>
      </c>
      <c r="E32" s="36">
        <v>11627</v>
      </c>
      <c r="F32" s="37">
        <v>51.263443000000002</v>
      </c>
      <c r="G32" s="38">
        <v>1.7008209999999999E-2</v>
      </c>
      <c r="H32" s="29" t="s">
        <v>143</v>
      </c>
    </row>
    <row r="33" spans="1:8" ht="12.75" customHeight="1" x14ac:dyDescent="0.2">
      <c r="A33" s="35">
        <v>27</v>
      </c>
      <c r="B33" s="22" t="s">
        <v>88</v>
      </c>
      <c r="C33" s="22" t="s">
        <v>89</v>
      </c>
      <c r="D33" s="22" t="s">
        <v>90</v>
      </c>
      <c r="E33" s="36">
        <v>5587</v>
      </c>
      <c r="F33" s="37">
        <v>50.062313500000002</v>
      </c>
      <c r="G33" s="38">
        <v>1.6609700000000002E-2</v>
      </c>
      <c r="H33" s="29" t="s">
        <v>143</v>
      </c>
    </row>
    <row r="34" spans="1:8" ht="12.75" customHeight="1" x14ac:dyDescent="0.2">
      <c r="A34" s="35">
        <v>28</v>
      </c>
      <c r="B34" s="22" t="s">
        <v>372</v>
      </c>
      <c r="C34" s="22" t="s">
        <v>373</v>
      </c>
      <c r="D34" s="22" t="s">
        <v>270</v>
      </c>
      <c r="E34" s="36">
        <v>1060</v>
      </c>
      <c r="F34" s="37">
        <v>48.987900000000003</v>
      </c>
      <c r="G34" s="38">
        <v>1.625323E-2</v>
      </c>
      <c r="H34" s="29" t="s">
        <v>143</v>
      </c>
    </row>
    <row r="35" spans="1:8" ht="12.75" customHeight="1" x14ac:dyDescent="0.2">
      <c r="A35" s="35">
        <v>29</v>
      </c>
      <c r="B35" s="22" t="s">
        <v>297</v>
      </c>
      <c r="C35" s="22" t="s">
        <v>298</v>
      </c>
      <c r="D35" s="22" t="s">
        <v>64</v>
      </c>
      <c r="E35" s="36">
        <v>3026</v>
      </c>
      <c r="F35" s="37">
        <v>48.058931999999999</v>
      </c>
      <c r="G35" s="38">
        <v>1.5945020000000001E-2</v>
      </c>
      <c r="H35" s="29" t="s">
        <v>143</v>
      </c>
    </row>
    <row r="36" spans="1:8" ht="12.75" customHeight="1" x14ac:dyDescent="0.2">
      <c r="A36" s="35">
        <v>30</v>
      </c>
      <c r="B36" s="22" t="s">
        <v>394</v>
      </c>
      <c r="C36" s="22" t="s">
        <v>395</v>
      </c>
      <c r="D36" s="22" t="s">
        <v>191</v>
      </c>
      <c r="E36" s="36">
        <v>5234</v>
      </c>
      <c r="F36" s="37">
        <v>45.200823999999997</v>
      </c>
      <c r="G36" s="38">
        <v>1.499675E-2</v>
      </c>
      <c r="H36" s="29" t="s">
        <v>143</v>
      </c>
    </row>
    <row r="37" spans="1:8" ht="12.75" customHeight="1" x14ac:dyDescent="0.2">
      <c r="A37" s="35">
        <v>31</v>
      </c>
      <c r="B37" s="22" t="s">
        <v>446</v>
      </c>
      <c r="C37" s="22" t="s">
        <v>447</v>
      </c>
      <c r="D37" s="22" t="s">
        <v>64</v>
      </c>
      <c r="E37" s="36">
        <v>8418</v>
      </c>
      <c r="F37" s="37">
        <v>42.09</v>
      </c>
      <c r="G37" s="38">
        <v>1.396464E-2</v>
      </c>
      <c r="H37" s="29" t="s">
        <v>143</v>
      </c>
    </row>
    <row r="38" spans="1:8" ht="12.75" customHeight="1" x14ac:dyDescent="0.2">
      <c r="A38" s="35">
        <v>32</v>
      </c>
      <c r="B38" s="22" t="s">
        <v>396</v>
      </c>
      <c r="C38" s="22" t="s">
        <v>397</v>
      </c>
      <c r="D38" s="22" t="s">
        <v>259</v>
      </c>
      <c r="E38" s="36">
        <v>10471</v>
      </c>
      <c r="F38" s="37">
        <v>41.967768</v>
      </c>
      <c r="G38" s="38">
        <v>1.392409E-2</v>
      </c>
      <c r="H38" s="29" t="s">
        <v>143</v>
      </c>
    </row>
    <row r="39" spans="1:8" ht="12.75" customHeight="1" x14ac:dyDescent="0.2">
      <c r="A39" s="35">
        <v>33</v>
      </c>
      <c r="B39" s="22" t="s">
        <v>400</v>
      </c>
      <c r="C39" s="22" t="s">
        <v>401</v>
      </c>
      <c r="D39" s="22" t="s">
        <v>194</v>
      </c>
      <c r="E39" s="36">
        <v>5139</v>
      </c>
      <c r="F39" s="37">
        <v>40.883314499999997</v>
      </c>
      <c r="G39" s="38">
        <v>1.356429E-2</v>
      </c>
      <c r="H39" s="29" t="s">
        <v>143</v>
      </c>
    </row>
    <row r="40" spans="1:8" ht="12.75" customHeight="1" x14ac:dyDescent="0.2">
      <c r="A40" s="35">
        <v>34</v>
      </c>
      <c r="B40" s="22" t="s">
        <v>398</v>
      </c>
      <c r="C40" s="22" t="s">
        <v>399</v>
      </c>
      <c r="D40" s="22" t="s">
        <v>133</v>
      </c>
      <c r="E40" s="36">
        <v>19513</v>
      </c>
      <c r="F40" s="37">
        <v>32.932090100000003</v>
      </c>
      <c r="G40" s="38">
        <v>1.092623E-2</v>
      </c>
      <c r="H40" s="29" t="s">
        <v>143</v>
      </c>
    </row>
    <row r="41" spans="1:8" ht="12.75" customHeight="1" x14ac:dyDescent="0.2">
      <c r="A41" s="35">
        <v>35</v>
      </c>
      <c r="B41" s="22" t="s">
        <v>406</v>
      </c>
      <c r="C41" s="22" t="s">
        <v>407</v>
      </c>
      <c r="D41" s="22" t="s">
        <v>408</v>
      </c>
      <c r="E41" s="36">
        <v>2774</v>
      </c>
      <c r="F41" s="37">
        <v>32.683267999999998</v>
      </c>
      <c r="G41" s="38">
        <v>1.084367E-2</v>
      </c>
      <c r="H41" s="29" t="s">
        <v>143</v>
      </c>
    </row>
    <row r="42" spans="1:8" ht="12.75" customHeight="1" x14ac:dyDescent="0.2">
      <c r="A42" s="35">
        <v>36</v>
      </c>
      <c r="B42" s="22" t="s">
        <v>402</v>
      </c>
      <c r="C42" s="22" t="s">
        <v>403</v>
      </c>
      <c r="D42" s="22" t="s">
        <v>46</v>
      </c>
      <c r="E42" s="36">
        <v>3000</v>
      </c>
      <c r="F42" s="37">
        <v>24.393000000000001</v>
      </c>
      <c r="G42" s="38">
        <v>8.0931200000000005E-3</v>
      </c>
      <c r="H42" s="29" t="s">
        <v>143</v>
      </c>
    </row>
    <row r="43" spans="1:8" ht="12.75" customHeight="1" x14ac:dyDescent="0.2">
      <c r="A43" s="35">
        <v>37</v>
      </c>
      <c r="B43" s="22" t="s">
        <v>409</v>
      </c>
      <c r="C43" s="22" t="s">
        <v>410</v>
      </c>
      <c r="D43" s="22" t="s">
        <v>46</v>
      </c>
      <c r="E43" s="36">
        <v>3212</v>
      </c>
      <c r="F43" s="37">
        <v>21.992564000000002</v>
      </c>
      <c r="G43" s="38">
        <v>7.2967099999999997E-3</v>
      </c>
      <c r="H43" s="29" t="s">
        <v>143</v>
      </c>
    </row>
    <row r="44" spans="1:8" ht="12.75" customHeight="1" x14ac:dyDescent="0.2">
      <c r="A44" s="35">
        <v>38</v>
      </c>
      <c r="B44" s="22" t="s">
        <v>413</v>
      </c>
      <c r="C44" s="22" t="s">
        <v>414</v>
      </c>
      <c r="D44" s="22" t="s">
        <v>41</v>
      </c>
      <c r="E44" s="36">
        <v>4242</v>
      </c>
      <c r="F44" s="37">
        <v>13.073843999999999</v>
      </c>
      <c r="G44" s="38">
        <v>4.3376500000000002E-3</v>
      </c>
      <c r="H44" s="29" t="s">
        <v>143</v>
      </c>
    </row>
    <row r="45" spans="1:8" ht="12.75" customHeight="1" x14ac:dyDescent="0.2">
      <c r="A45" s="39"/>
      <c r="B45" s="39"/>
      <c r="C45" s="40" t="s">
        <v>142</v>
      </c>
      <c r="D45" s="39"/>
      <c r="E45" s="39" t="s">
        <v>143</v>
      </c>
      <c r="F45" s="41">
        <v>2873.3746915000002</v>
      </c>
      <c r="G45" s="42">
        <v>0.95332983999999998</v>
      </c>
      <c r="H45" s="29" t="s">
        <v>143</v>
      </c>
    </row>
    <row r="46" spans="1:8" ht="12.75" customHeight="1" x14ac:dyDescent="0.2">
      <c r="A46" s="39"/>
      <c r="B46" s="39"/>
      <c r="C46" s="43"/>
      <c r="D46" s="39"/>
      <c r="E46" s="39"/>
      <c r="F46" s="44"/>
      <c r="G46" s="44"/>
      <c r="H46" s="29" t="s">
        <v>143</v>
      </c>
    </row>
    <row r="47" spans="1:8" ht="12.75" customHeight="1" x14ac:dyDescent="0.2">
      <c r="A47" s="39"/>
      <c r="B47" s="39"/>
      <c r="C47" s="40" t="s">
        <v>144</v>
      </c>
      <c r="D47" s="39"/>
      <c r="E47" s="39"/>
      <c r="F47" s="39"/>
      <c r="G47" s="39"/>
      <c r="H47" s="29" t="s">
        <v>143</v>
      </c>
    </row>
    <row r="48" spans="1:8" ht="12.75" customHeight="1" x14ac:dyDescent="0.2">
      <c r="A48" s="39"/>
      <c r="B48" s="39"/>
      <c r="C48" s="40" t="s">
        <v>142</v>
      </c>
      <c r="D48" s="39"/>
      <c r="E48" s="39" t="s">
        <v>143</v>
      </c>
      <c r="F48" s="45" t="s">
        <v>145</v>
      </c>
      <c r="G48" s="42">
        <v>0</v>
      </c>
      <c r="H48" s="29" t="s">
        <v>143</v>
      </c>
    </row>
    <row r="49" spans="1:8" ht="12.75" customHeight="1" x14ac:dyDescent="0.2">
      <c r="A49" s="39"/>
      <c r="B49" s="39"/>
      <c r="C49" s="43"/>
      <c r="D49" s="39"/>
      <c r="E49" s="39"/>
      <c r="F49" s="44"/>
      <c r="G49" s="44"/>
      <c r="H49" s="29" t="s">
        <v>143</v>
      </c>
    </row>
    <row r="50" spans="1:8" ht="12.75" customHeight="1" x14ac:dyDescent="0.2">
      <c r="A50" s="39"/>
      <c r="B50" s="39"/>
      <c r="C50" s="40" t="s">
        <v>146</v>
      </c>
      <c r="D50" s="39"/>
      <c r="E50" s="39"/>
      <c r="F50" s="39"/>
      <c r="G50" s="39"/>
      <c r="H50" s="29" t="s">
        <v>143</v>
      </c>
    </row>
    <row r="51" spans="1:8" ht="12.75" customHeight="1" x14ac:dyDescent="0.2">
      <c r="A51" s="39"/>
      <c r="B51" s="39"/>
      <c r="C51" s="40" t="s">
        <v>142</v>
      </c>
      <c r="D51" s="39"/>
      <c r="E51" s="39" t="s">
        <v>143</v>
      </c>
      <c r="F51" s="45" t="s">
        <v>145</v>
      </c>
      <c r="G51" s="42">
        <v>0</v>
      </c>
      <c r="H51" s="29" t="s">
        <v>143</v>
      </c>
    </row>
    <row r="52" spans="1:8" ht="12.75" customHeight="1" x14ac:dyDescent="0.2">
      <c r="A52" s="39"/>
      <c r="B52" s="39"/>
      <c r="C52" s="43"/>
      <c r="D52" s="39"/>
      <c r="E52" s="39"/>
      <c r="F52" s="44"/>
      <c r="G52" s="44"/>
      <c r="H52" s="29" t="s">
        <v>143</v>
      </c>
    </row>
    <row r="53" spans="1:8" ht="12.75" customHeight="1" x14ac:dyDescent="0.2">
      <c r="A53" s="39"/>
      <c r="B53" s="39"/>
      <c r="C53" s="40" t="s">
        <v>147</v>
      </c>
      <c r="D53" s="39"/>
      <c r="E53" s="39"/>
      <c r="F53" s="39"/>
      <c r="G53" s="39"/>
      <c r="H53" s="29" t="s">
        <v>143</v>
      </c>
    </row>
    <row r="54" spans="1:8" ht="12.75" customHeight="1" x14ac:dyDescent="0.2">
      <c r="A54" s="39"/>
      <c r="B54" s="39"/>
      <c r="C54" s="40" t="s">
        <v>142</v>
      </c>
      <c r="D54" s="39"/>
      <c r="E54" s="39" t="s">
        <v>143</v>
      </c>
      <c r="F54" s="45" t="s">
        <v>145</v>
      </c>
      <c r="G54" s="42">
        <v>0</v>
      </c>
      <c r="H54" s="29" t="s">
        <v>143</v>
      </c>
    </row>
    <row r="55" spans="1:8" ht="12.75" customHeight="1" x14ac:dyDescent="0.2">
      <c r="A55" s="39"/>
      <c r="B55" s="39"/>
      <c r="C55" s="43"/>
      <c r="D55" s="39"/>
      <c r="E55" s="39"/>
      <c r="F55" s="44"/>
      <c r="G55" s="44"/>
      <c r="H55" s="29" t="s">
        <v>143</v>
      </c>
    </row>
    <row r="56" spans="1:8" ht="12.75" customHeight="1" x14ac:dyDescent="0.2">
      <c r="A56" s="39"/>
      <c r="B56" s="39"/>
      <c r="C56" s="40" t="s">
        <v>148</v>
      </c>
      <c r="D56" s="39"/>
      <c r="E56" s="39"/>
      <c r="F56" s="44"/>
      <c r="G56" s="44"/>
      <c r="H56" s="29" t="s">
        <v>143</v>
      </c>
    </row>
    <row r="57" spans="1:8" ht="12.75" customHeight="1" x14ac:dyDescent="0.2">
      <c r="A57" s="39"/>
      <c r="B57" s="39"/>
      <c r="C57" s="40" t="s">
        <v>142</v>
      </c>
      <c r="D57" s="39"/>
      <c r="E57" s="39" t="s">
        <v>143</v>
      </c>
      <c r="F57" s="45" t="s">
        <v>145</v>
      </c>
      <c r="G57" s="42">
        <v>0</v>
      </c>
      <c r="H57" s="29" t="s">
        <v>143</v>
      </c>
    </row>
    <row r="58" spans="1:8" ht="12.75" customHeight="1" x14ac:dyDescent="0.2">
      <c r="A58" s="39"/>
      <c r="B58" s="39"/>
      <c r="C58" s="43"/>
      <c r="D58" s="39"/>
      <c r="E58" s="39"/>
      <c r="F58" s="44"/>
      <c r="G58" s="44"/>
      <c r="H58" s="29" t="s">
        <v>143</v>
      </c>
    </row>
    <row r="59" spans="1:8" ht="12.75" customHeight="1" x14ac:dyDescent="0.2">
      <c r="A59" s="39"/>
      <c r="B59" s="39"/>
      <c r="C59" s="40" t="s">
        <v>149</v>
      </c>
      <c r="D59" s="39"/>
      <c r="E59" s="39"/>
      <c r="F59" s="44"/>
      <c r="G59" s="44"/>
      <c r="H59" s="29" t="s">
        <v>143</v>
      </c>
    </row>
    <row r="60" spans="1:8" ht="12.75" customHeight="1" x14ac:dyDescent="0.2">
      <c r="A60" s="39"/>
      <c r="B60" s="39"/>
      <c r="C60" s="40" t="s">
        <v>142</v>
      </c>
      <c r="D60" s="39"/>
      <c r="E60" s="39" t="s">
        <v>143</v>
      </c>
      <c r="F60" s="45" t="s">
        <v>145</v>
      </c>
      <c r="G60" s="42">
        <v>0</v>
      </c>
      <c r="H60" s="29" t="s">
        <v>143</v>
      </c>
    </row>
    <row r="61" spans="1:8" ht="12.75" customHeight="1" x14ac:dyDescent="0.2">
      <c r="A61" s="39"/>
      <c r="B61" s="39"/>
      <c r="C61" s="43"/>
      <c r="D61" s="39"/>
      <c r="E61" s="39"/>
      <c r="F61" s="44"/>
      <c r="G61" s="44"/>
      <c r="H61" s="29" t="s">
        <v>143</v>
      </c>
    </row>
    <row r="62" spans="1:8" ht="12.75" customHeight="1" x14ac:dyDescent="0.2">
      <c r="A62" s="39"/>
      <c r="B62" s="39"/>
      <c r="C62" s="40" t="s">
        <v>150</v>
      </c>
      <c r="D62" s="39"/>
      <c r="E62" s="39"/>
      <c r="F62" s="41">
        <v>2873.3746915000002</v>
      </c>
      <c r="G62" s="42">
        <v>0.95332983999999998</v>
      </c>
      <c r="H62" s="29" t="s">
        <v>143</v>
      </c>
    </row>
    <row r="63" spans="1:8" ht="12.75" customHeight="1" x14ac:dyDescent="0.2">
      <c r="A63" s="39"/>
      <c r="B63" s="39"/>
      <c r="C63" s="43"/>
      <c r="D63" s="39"/>
      <c r="E63" s="39"/>
      <c r="F63" s="44"/>
      <c r="G63" s="44"/>
      <c r="H63" s="29" t="s">
        <v>143</v>
      </c>
    </row>
    <row r="64" spans="1:8" ht="12.75" customHeight="1" x14ac:dyDescent="0.2">
      <c r="A64" s="39"/>
      <c r="B64" s="39"/>
      <c r="C64" s="40" t="s">
        <v>151</v>
      </c>
      <c r="D64" s="39"/>
      <c r="E64" s="39"/>
      <c r="F64" s="44"/>
      <c r="G64" s="44"/>
      <c r="H64" s="29" t="s">
        <v>143</v>
      </c>
    </row>
    <row r="65" spans="1:8" ht="12.75" customHeight="1" x14ac:dyDescent="0.2">
      <c r="A65" s="39"/>
      <c r="B65" s="39"/>
      <c r="C65" s="40" t="s">
        <v>10</v>
      </c>
      <c r="D65" s="39"/>
      <c r="E65" s="39"/>
      <c r="F65" s="44"/>
      <c r="G65" s="44"/>
      <c r="H65" s="29" t="s">
        <v>143</v>
      </c>
    </row>
    <row r="66" spans="1:8" ht="12.75" customHeight="1" x14ac:dyDescent="0.2">
      <c r="A66" s="39"/>
      <c r="B66" s="39"/>
      <c r="C66" s="40" t="s">
        <v>142</v>
      </c>
      <c r="D66" s="39"/>
      <c r="E66" s="39" t="s">
        <v>143</v>
      </c>
      <c r="F66" s="45" t="s">
        <v>145</v>
      </c>
      <c r="G66" s="42">
        <v>0</v>
      </c>
      <c r="H66" s="29" t="s">
        <v>143</v>
      </c>
    </row>
    <row r="67" spans="1:8" ht="12.75" customHeight="1" x14ac:dyDescent="0.2">
      <c r="A67" s="39"/>
      <c r="B67" s="39"/>
      <c r="C67" s="43"/>
      <c r="D67" s="39"/>
      <c r="E67" s="39"/>
      <c r="F67" s="44"/>
      <c r="G67" s="44"/>
      <c r="H67" s="29" t="s">
        <v>143</v>
      </c>
    </row>
    <row r="68" spans="1:8" ht="12.75" customHeight="1" x14ac:dyDescent="0.2">
      <c r="A68" s="39"/>
      <c r="B68" s="39"/>
      <c r="C68" s="40" t="s">
        <v>152</v>
      </c>
      <c r="D68" s="39"/>
      <c r="E68" s="39"/>
      <c r="F68" s="39"/>
      <c r="G68" s="39"/>
      <c r="H68" s="29" t="s">
        <v>143</v>
      </c>
    </row>
    <row r="69" spans="1:8" ht="12.75" customHeight="1" x14ac:dyDescent="0.2">
      <c r="A69" s="39"/>
      <c r="B69" s="39"/>
      <c r="C69" s="40" t="s">
        <v>142</v>
      </c>
      <c r="D69" s="39"/>
      <c r="E69" s="39" t="s">
        <v>143</v>
      </c>
      <c r="F69" s="45" t="s">
        <v>145</v>
      </c>
      <c r="G69" s="42">
        <v>0</v>
      </c>
      <c r="H69" s="29" t="s">
        <v>143</v>
      </c>
    </row>
    <row r="70" spans="1:8" ht="12.75" customHeight="1" x14ac:dyDescent="0.2">
      <c r="A70" s="39"/>
      <c r="B70" s="39"/>
      <c r="C70" s="43"/>
      <c r="D70" s="39"/>
      <c r="E70" s="39"/>
      <c r="F70" s="44"/>
      <c r="G70" s="44"/>
      <c r="H70" s="29" t="s">
        <v>143</v>
      </c>
    </row>
    <row r="71" spans="1:8" ht="12.75" customHeight="1" x14ac:dyDescent="0.2">
      <c r="A71" s="39"/>
      <c r="B71" s="39"/>
      <c r="C71" s="40" t="s">
        <v>153</v>
      </c>
      <c r="D71" s="39"/>
      <c r="E71" s="39"/>
      <c r="F71" s="39"/>
      <c r="G71" s="39"/>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154</v>
      </c>
      <c r="D74" s="39"/>
      <c r="E74" s="39"/>
      <c r="F74" s="44"/>
      <c r="G74" s="44"/>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155</v>
      </c>
      <c r="D77" s="39"/>
      <c r="E77" s="39"/>
      <c r="F77" s="41">
        <v>0</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156</v>
      </c>
      <c r="D79" s="39"/>
      <c r="E79" s="39"/>
      <c r="F79" s="44"/>
      <c r="G79" s="44"/>
      <c r="H79" s="29" t="s">
        <v>143</v>
      </c>
    </row>
    <row r="80" spans="1:8" ht="12.75" customHeight="1" x14ac:dyDescent="0.2">
      <c r="A80" s="39"/>
      <c r="B80" s="39"/>
      <c r="C80" s="40" t="s">
        <v>157</v>
      </c>
      <c r="D80" s="39"/>
      <c r="E80" s="39"/>
      <c r="F80" s="44"/>
      <c r="G80" s="44"/>
      <c r="H80" s="29" t="s">
        <v>143</v>
      </c>
    </row>
    <row r="81" spans="1:8" ht="12.75" customHeight="1" x14ac:dyDescent="0.2">
      <c r="A81" s="39"/>
      <c r="B81" s="39"/>
      <c r="C81" s="40" t="s">
        <v>142</v>
      </c>
      <c r="D81" s="39"/>
      <c r="E81" s="39" t="s">
        <v>143</v>
      </c>
      <c r="F81" s="45" t="s">
        <v>145</v>
      </c>
      <c r="G81" s="42">
        <v>0</v>
      </c>
      <c r="H81" s="29" t="s">
        <v>143</v>
      </c>
    </row>
    <row r="82" spans="1:8" ht="12.75" customHeight="1" x14ac:dyDescent="0.2">
      <c r="A82" s="39"/>
      <c r="B82" s="39"/>
      <c r="C82" s="43"/>
      <c r="D82" s="39"/>
      <c r="E82" s="39"/>
      <c r="F82" s="44"/>
      <c r="G82" s="44"/>
      <c r="H82" s="29" t="s">
        <v>143</v>
      </c>
    </row>
    <row r="83" spans="1:8" ht="12.75" customHeight="1" x14ac:dyDescent="0.2">
      <c r="A83" s="39"/>
      <c r="B83" s="39"/>
      <c r="C83" s="40" t="s">
        <v>158</v>
      </c>
      <c r="D83" s="39"/>
      <c r="E83" s="39"/>
      <c r="F83" s="44"/>
      <c r="G83" s="44"/>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159</v>
      </c>
      <c r="D86" s="39"/>
      <c r="E86" s="39"/>
      <c r="F86" s="44"/>
      <c r="G86" s="44"/>
      <c r="H86" s="29" t="s">
        <v>143</v>
      </c>
    </row>
    <row r="87" spans="1:8" ht="12.75" customHeight="1" x14ac:dyDescent="0.2">
      <c r="A87" s="39"/>
      <c r="B87" s="39"/>
      <c r="C87" s="40" t="s">
        <v>142</v>
      </c>
      <c r="D87" s="39"/>
      <c r="E87" s="39" t="s">
        <v>143</v>
      </c>
      <c r="F87" s="45" t="s">
        <v>145</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160</v>
      </c>
      <c r="D89" s="39"/>
      <c r="E89" s="39"/>
      <c r="F89" s="44"/>
      <c r="G89" s="44"/>
      <c r="H89" s="29" t="s">
        <v>143</v>
      </c>
    </row>
    <row r="90" spans="1:8" ht="12.75" customHeight="1" x14ac:dyDescent="0.2">
      <c r="A90" s="35">
        <v>1</v>
      </c>
      <c r="B90" s="22"/>
      <c r="C90" s="22" t="s">
        <v>161</v>
      </c>
      <c r="D90" s="22"/>
      <c r="E90" s="46"/>
      <c r="F90" s="37">
        <v>140.650102</v>
      </c>
      <c r="G90" s="38">
        <v>4.666497E-2</v>
      </c>
      <c r="H90" s="29">
        <v>5.51</v>
      </c>
    </row>
    <row r="91" spans="1:8" ht="12.75" customHeight="1" x14ac:dyDescent="0.2">
      <c r="A91" s="39"/>
      <c r="B91" s="39"/>
      <c r="C91" s="40" t="s">
        <v>142</v>
      </c>
      <c r="D91" s="39"/>
      <c r="E91" s="39" t="s">
        <v>143</v>
      </c>
      <c r="F91" s="41">
        <v>140.650102</v>
      </c>
      <c r="G91" s="42">
        <v>4.666497E-2</v>
      </c>
      <c r="H91" s="29" t="s">
        <v>143</v>
      </c>
    </row>
    <row r="92" spans="1:8" ht="12.75" customHeight="1" x14ac:dyDescent="0.2">
      <c r="A92" s="39"/>
      <c r="B92" s="39"/>
      <c r="C92" s="43"/>
      <c r="D92" s="39"/>
      <c r="E92" s="39"/>
      <c r="F92" s="44"/>
      <c r="G92" s="44"/>
      <c r="H92" s="29" t="s">
        <v>143</v>
      </c>
    </row>
    <row r="93" spans="1:8" ht="12.75" customHeight="1" x14ac:dyDescent="0.2">
      <c r="A93" s="39"/>
      <c r="B93" s="39"/>
      <c r="C93" s="40" t="s">
        <v>162</v>
      </c>
      <c r="D93" s="39"/>
      <c r="E93" s="39"/>
      <c r="F93" s="41">
        <v>140.650102</v>
      </c>
      <c r="G93" s="42">
        <v>4.666497E-2</v>
      </c>
      <c r="H93" s="29" t="s">
        <v>143</v>
      </c>
    </row>
    <row r="94" spans="1:8" ht="12.75" customHeight="1" x14ac:dyDescent="0.2">
      <c r="A94" s="39"/>
      <c r="B94" s="39"/>
      <c r="C94" s="44"/>
      <c r="D94" s="39"/>
      <c r="E94" s="39"/>
      <c r="F94" s="39"/>
      <c r="G94" s="39"/>
      <c r="H94" s="29" t="s">
        <v>143</v>
      </c>
    </row>
    <row r="95" spans="1:8" ht="12.75" customHeight="1" x14ac:dyDescent="0.2">
      <c r="A95" s="39"/>
      <c r="B95" s="39"/>
      <c r="C95" s="40" t="s">
        <v>163</v>
      </c>
      <c r="D95" s="39"/>
      <c r="E95" s="39"/>
      <c r="F95" s="39"/>
      <c r="G95" s="39"/>
      <c r="H95" s="29" t="s">
        <v>143</v>
      </c>
    </row>
    <row r="96" spans="1:8" ht="12.75" customHeight="1" x14ac:dyDescent="0.2">
      <c r="A96" s="39"/>
      <c r="B96" s="39"/>
      <c r="C96" s="40" t="s">
        <v>164</v>
      </c>
      <c r="D96" s="39"/>
      <c r="E96" s="39"/>
      <c r="F96" s="39"/>
      <c r="G96" s="39"/>
      <c r="H96" s="29" t="s">
        <v>143</v>
      </c>
    </row>
    <row r="97" spans="1:17" ht="12.75" customHeight="1" x14ac:dyDescent="0.2">
      <c r="A97" s="39"/>
      <c r="B97" s="39"/>
      <c r="C97" s="40" t="s">
        <v>142</v>
      </c>
      <c r="D97" s="39"/>
      <c r="E97" s="39" t="s">
        <v>143</v>
      </c>
      <c r="F97" s="45" t="s">
        <v>145</v>
      </c>
      <c r="G97" s="42">
        <v>0</v>
      </c>
      <c r="H97" s="29" t="s">
        <v>143</v>
      </c>
    </row>
    <row r="98" spans="1:17" ht="12.75" customHeight="1" x14ac:dyDescent="0.2">
      <c r="A98" s="39"/>
      <c r="B98" s="39"/>
      <c r="C98" s="43"/>
      <c r="D98" s="39"/>
      <c r="E98" s="39"/>
      <c r="F98" s="44"/>
      <c r="G98" s="44"/>
      <c r="H98" s="29" t="s">
        <v>143</v>
      </c>
    </row>
    <row r="99" spans="1:17" ht="12.75" customHeight="1" x14ac:dyDescent="0.2">
      <c r="A99" s="39"/>
      <c r="B99" s="39"/>
      <c r="C99" s="40" t="s">
        <v>165</v>
      </c>
      <c r="D99" s="39"/>
      <c r="E99" s="39"/>
      <c r="F99" s="39"/>
      <c r="G99" s="39"/>
      <c r="H99" s="29" t="s">
        <v>143</v>
      </c>
    </row>
    <row r="100" spans="1:17" ht="12.75" customHeight="1" x14ac:dyDescent="0.2">
      <c r="A100" s="39"/>
      <c r="B100" s="39"/>
      <c r="C100" s="40" t="s">
        <v>166</v>
      </c>
      <c r="D100" s="39"/>
      <c r="E100" s="39"/>
      <c r="F100" s="39"/>
      <c r="G100" s="39"/>
      <c r="H100" s="29" t="s">
        <v>143</v>
      </c>
    </row>
    <row r="101" spans="1:17" ht="12.75" customHeight="1" x14ac:dyDescent="0.2">
      <c r="A101" s="39"/>
      <c r="B101" s="39"/>
      <c r="C101" s="40" t="s">
        <v>142</v>
      </c>
      <c r="D101" s="39"/>
      <c r="E101" s="39" t="s">
        <v>143</v>
      </c>
      <c r="F101" s="45" t="s">
        <v>145</v>
      </c>
      <c r="G101" s="42">
        <v>0</v>
      </c>
      <c r="H101" s="29" t="s">
        <v>143</v>
      </c>
    </row>
    <row r="102" spans="1:17" ht="12.75" customHeight="1" x14ac:dyDescent="0.2">
      <c r="A102" s="39"/>
      <c r="B102" s="39"/>
      <c r="C102" s="43"/>
      <c r="D102" s="39"/>
      <c r="E102" s="39"/>
      <c r="F102" s="44"/>
      <c r="G102" s="44"/>
      <c r="H102" s="29" t="s">
        <v>143</v>
      </c>
    </row>
    <row r="103" spans="1:17" ht="12.75" customHeight="1" x14ac:dyDescent="0.2">
      <c r="A103" s="39"/>
      <c r="B103" s="39"/>
      <c r="C103" s="40" t="s">
        <v>167</v>
      </c>
      <c r="D103" s="39"/>
      <c r="E103" s="39"/>
      <c r="F103" s="44"/>
      <c r="G103" s="44"/>
      <c r="H103" s="29" t="s">
        <v>143</v>
      </c>
    </row>
    <row r="104" spans="1:17" ht="12.75" customHeight="1" x14ac:dyDescent="0.2">
      <c r="A104" s="39"/>
      <c r="B104" s="39"/>
      <c r="C104" s="40" t="s">
        <v>142</v>
      </c>
      <c r="D104" s="39"/>
      <c r="E104" s="39" t="s">
        <v>143</v>
      </c>
      <c r="F104" s="45" t="s">
        <v>145</v>
      </c>
      <c r="G104" s="42">
        <v>0</v>
      </c>
      <c r="H104" s="29" t="s">
        <v>143</v>
      </c>
    </row>
    <row r="105" spans="1:17" ht="12.75" customHeight="1" x14ac:dyDescent="0.2">
      <c r="A105" s="39"/>
      <c r="B105" s="22"/>
      <c r="C105" s="22"/>
      <c r="D105" s="40"/>
      <c r="E105" s="39"/>
      <c r="F105" s="22"/>
      <c r="G105" s="46"/>
      <c r="H105" s="29" t="s">
        <v>143</v>
      </c>
    </row>
    <row r="106" spans="1:17" ht="12.75" customHeight="1" x14ac:dyDescent="0.2">
      <c r="A106" s="46"/>
      <c r="B106" s="22"/>
      <c r="C106" s="22" t="s">
        <v>168</v>
      </c>
      <c r="D106" s="22"/>
      <c r="E106" s="46"/>
      <c r="F106" s="37">
        <v>1.565385E-2</v>
      </c>
      <c r="G106" s="38">
        <v>5.1900000000000003E-6</v>
      </c>
      <c r="H106" s="29" t="s">
        <v>143</v>
      </c>
    </row>
    <row r="107" spans="1:17" ht="12.75" customHeight="1" x14ac:dyDescent="0.2">
      <c r="A107" s="43"/>
      <c r="B107" s="43"/>
      <c r="C107" s="40" t="s">
        <v>169</v>
      </c>
      <c r="D107" s="44"/>
      <c r="E107" s="44"/>
      <c r="F107" s="41">
        <v>3014.0404473499998</v>
      </c>
      <c r="G107" s="47">
        <v>1</v>
      </c>
      <c r="H107" s="29" t="s">
        <v>143</v>
      </c>
    </row>
    <row r="108" spans="1:17" ht="12.75" customHeight="1" x14ac:dyDescent="0.2">
      <c r="A108" s="48"/>
      <c r="B108" s="48"/>
      <c r="C108" s="49"/>
      <c r="D108" s="50"/>
      <c r="E108" s="50"/>
      <c r="F108" s="51"/>
      <c r="G108" s="52"/>
      <c r="H108" s="53"/>
    </row>
    <row r="109" spans="1:17" x14ac:dyDescent="0.2">
      <c r="A109" s="54"/>
      <c r="B109" s="243" t="s">
        <v>945</v>
      </c>
      <c r="C109" s="243"/>
      <c r="D109" s="243"/>
      <c r="E109" s="243"/>
      <c r="F109" s="243"/>
      <c r="G109" s="243"/>
      <c r="H109" s="243"/>
      <c r="J109" s="56"/>
    </row>
    <row r="110" spans="1:17" x14ac:dyDescent="0.2">
      <c r="A110" s="54"/>
      <c r="B110" s="243" t="s">
        <v>946</v>
      </c>
      <c r="C110" s="243"/>
      <c r="D110" s="243"/>
      <c r="E110" s="243"/>
      <c r="F110" s="243"/>
      <c r="G110" s="243"/>
      <c r="H110" s="243"/>
      <c r="J110" s="56"/>
    </row>
    <row r="111" spans="1:17" x14ac:dyDescent="0.2">
      <c r="A111" s="54"/>
      <c r="B111" s="243" t="s">
        <v>947</v>
      </c>
      <c r="C111" s="243"/>
      <c r="D111" s="243"/>
      <c r="E111" s="243"/>
      <c r="F111" s="243"/>
      <c r="G111" s="243"/>
      <c r="H111" s="243"/>
      <c r="J111" s="56"/>
    </row>
    <row r="112" spans="1:17" s="58" customFormat="1" ht="66.75" customHeight="1" x14ac:dyDescent="0.25">
      <c r="A112" s="57"/>
      <c r="B112" s="244" t="s">
        <v>948</v>
      </c>
      <c r="C112" s="244"/>
      <c r="D112" s="244"/>
      <c r="E112" s="244"/>
      <c r="F112" s="244"/>
      <c r="G112" s="244"/>
      <c r="H112" s="244"/>
      <c r="I112"/>
      <c r="J112" s="56"/>
      <c r="K112"/>
      <c r="L112"/>
      <c r="M112"/>
      <c r="N112"/>
      <c r="O112"/>
      <c r="P112"/>
      <c r="Q112"/>
    </row>
    <row r="113" spans="1:10" x14ac:dyDescent="0.2">
      <c r="A113" s="54"/>
      <c r="B113" s="243" t="s">
        <v>949</v>
      </c>
      <c r="C113" s="243"/>
      <c r="D113" s="243"/>
      <c r="E113" s="243"/>
      <c r="F113" s="243"/>
      <c r="G113" s="243"/>
      <c r="H113" s="243"/>
      <c r="J113" s="56"/>
    </row>
    <row r="114" spans="1:10" x14ac:dyDescent="0.2">
      <c r="A114" s="54"/>
      <c r="B114" s="54"/>
      <c r="C114" s="54"/>
      <c r="D114" s="59"/>
      <c r="E114" s="59"/>
      <c r="F114" s="59"/>
      <c r="G114" s="59"/>
    </row>
    <row r="115" spans="1:10" x14ac:dyDescent="0.2">
      <c r="A115" s="54"/>
      <c r="B115" s="247" t="s">
        <v>170</v>
      </c>
      <c r="C115" s="248"/>
      <c r="D115" s="249"/>
      <c r="E115" s="60"/>
      <c r="F115" s="59"/>
      <c r="G115" s="59"/>
    </row>
    <row r="116" spans="1:10" ht="27.75" customHeight="1" x14ac:dyDescent="0.2">
      <c r="A116" s="54"/>
      <c r="B116" s="240" t="s">
        <v>171</v>
      </c>
      <c r="C116" s="241"/>
      <c r="D116" s="28" t="s">
        <v>172</v>
      </c>
      <c r="E116" s="60"/>
      <c r="F116" s="59"/>
      <c r="G116" s="59"/>
    </row>
    <row r="117" spans="1:10" ht="12.75" customHeight="1" x14ac:dyDescent="0.2">
      <c r="A117" s="54"/>
      <c r="B117" s="240" t="s">
        <v>950</v>
      </c>
      <c r="C117" s="241"/>
      <c r="D117" s="28" t="s">
        <v>172</v>
      </c>
      <c r="E117" s="60"/>
      <c r="F117" s="59"/>
      <c r="G117" s="59"/>
    </row>
    <row r="118" spans="1:10" x14ac:dyDescent="0.2">
      <c r="A118" s="54"/>
      <c r="B118" s="240" t="s">
        <v>173</v>
      </c>
      <c r="C118" s="241"/>
      <c r="D118" s="61" t="s">
        <v>143</v>
      </c>
      <c r="E118" s="60"/>
      <c r="F118" s="59"/>
      <c r="G118" s="59"/>
    </row>
    <row r="119" spans="1:10" x14ac:dyDescent="0.2">
      <c r="A119" s="62"/>
      <c r="B119" s="63" t="s">
        <v>143</v>
      </c>
      <c r="C119" s="63" t="s">
        <v>951</v>
      </c>
      <c r="D119" s="63" t="s">
        <v>174</v>
      </c>
      <c r="E119" s="62"/>
      <c r="F119" s="62"/>
      <c r="G119" s="62"/>
      <c r="H119" s="62"/>
      <c r="J119" s="56"/>
    </row>
    <row r="120" spans="1:10" x14ac:dyDescent="0.2">
      <c r="A120" s="62"/>
      <c r="B120" s="64" t="s">
        <v>175</v>
      </c>
      <c r="C120" s="65">
        <v>45900</v>
      </c>
      <c r="D120" s="65">
        <v>45930</v>
      </c>
      <c r="E120" s="62"/>
      <c r="F120" s="62"/>
      <c r="G120" s="62"/>
      <c r="J120" s="56"/>
    </row>
    <row r="121" spans="1:10" ht="12.75" customHeight="1" x14ac:dyDescent="0.2">
      <c r="A121" s="66"/>
      <c r="B121" s="67" t="s">
        <v>176</v>
      </c>
      <c r="C121" s="68">
        <v>28.040700000000001</v>
      </c>
      <c r="D121" s="68">
        <v>28.302</v>
      </c>
      <c r="E121" s="66"/>
      <c r="F121" s="69"/>
      <c r="G121" s="70"/>
    </row>
    <row r="122" spans="1:10" ht="12.75" customHeight="1" x14ac:dyDescent="0.2">
      <c r="A122" s="66"/>
      <c r="B122" s="67" t="s">
        <v>1085</v>
      </c>
      <c r="C122" s="68">
        <v>26.696200000000001</v>
      </c>
      <c r="D122" s="68">
        <v>26.945</v>
      </c>
      <c r="E122" s="66"/>
      <c r="F122" s="69"/>
      <c r="G122" s="70"/>
    </row>
    <row r="123" spans="1:10" ht="12.75" customHeight="1" x14ac:dyDescent="0.2">
      <c r="A123" s="66"/>
      <c r="B123" s="67" t="s">
        <v>177</v>
      </c>
      <c r="C123" s="68">
        <v>27.256799999999998</v>
      </c>
      <c r="D123" s="68">
        <v>27.505800000000001</v>
      </c>
      <c r="E123" s="66"/>
      <c r="F123" s="69"/>
      <c r="G123" s="70"/>
    </row>
    <row r="124" spans="1:10" ht="12.75" customHeight="1" x14ac:dyDescent="0.2">
      <c r="A124" s="66"/>
      <c r="B124" s="67" t="s">
        <v>1086</v>
      </c>
      <c r="C124" s="68">
        <v>25.9175</v>
      </c>
      <c r="D124" s="68">
        <v>26.154299999999999</v>
      </c>
      <c r="E124" s="66"/>
      <c r="F124" s="69"/>
      <c r="G124" s="70"/>
    </row>
    <row r="125" spans="1:10" ht="12.75" customHeight="1" x14ac:dyDescent="0.2">
      <c r="A125" s="66"/>
      <c r="B125" s="66"/>
      <c r="C125" s="66"/>
      <c r="D125" s="66"/>
      <c r="E125" s="66"/>
      <c r="F125" s="66"/>
      <c r="G125" s="66"/>
    </row>
    <row r="126" spans="1:10" x14ac:dyDescent="0.2">
      <c r="A126" s="62"/>
      <c r="B126" s="245" t="s">
        <v>952</v>
      </c>
      <c r="C126" s="246"/>
      <c r="D126" s="71" t="s">
        <v>172</v>
      </c>
      <c r="E126" s="62"/>
      <c r="F126" s="62"/>
      <c r="G126" s="62"/>
    </row>
    <row r="127" spans="1:10" x14ac:dyDescent="0.2">
      <c r="A127" s="72"/>
      <c r="B127" s="73"/>
      <c r="C127" s="73"/>
      <c r="D127" s="73"/>
      <c r="E127" s="72"/>
      <c r="F127" s="72"/>
      <c r="G127" s="72"/>
    </row>
    <row r="128" spans="1:10" x14ac:dyDescent="0.2">
      <c r="A128" s="72"/>
      <c r="B128" s="240" t="s">
        <v>178</v>
      </c>
      <c r="C128" s="241"/>
      <c r="D128" s="28" t="s">
        <v>172</v>
      </c>
      <c r="E128" s="74"/>
      <c r="F128" s="72"/>
      <c r="G128" s="72"/>
    </row>
    <row r="129" spans="1:10" x14ac:dyDescent="0.2">
      <c r="A129" s="72"/>
      <c r="B129" s="240" t="s">
        <v>179</v>
      </c>
      <c r="C129" s="241"/>
      <c r="D129" s="28" t="s">
        <v>172</v>
      </c>
      <c r="E129" s="74"/>
      <c r="F129" s="72"/>
      <c r="G129" s="72"/>
    </row>
    <row r="130" spans="1:10" x14ac:dyDescent="0.2">
      <c r="A130" s="72"/>
      <c r="B130" s="240" t="s">
        <v>180</v>
      </c>
      <c r="C130" s="241"/>
      <c r="D130" s="28" t="s">
        <v>172</v>
      </c>
      <c r="E130" s="74"/>
      <c r="F130" s="72"/>
      <c r="G130" s="72"/>
    </row>
    <row r="131" spans="1:10" x14ac:dyDescent="0.2">
      <c r="A131" s="72"/>
      <c r="B131" s="240" t="s">
        <v>181</v>
      </c>
      <c r="C131" s="241"/>
      <c r="D131" s="75">
        <v>6.4365307336720828E-2</v>
      </c>
      <c r="E131" s="72"/>
      <c r="F131" s="55"/>
      <c r="G131" s="76"/>
    </row>
    <row r="132" spans="1:10" x14ac:dyDescent="0.2"/>
    <row r="133" spans="1:10" x14ac:dyDescent="0.2">
      <c r="B133" s="239" t="s">
        <v>953</v>
      </c>
      <c r="C133" s="239"/>
    </row>
    <row r="134" spans="1:10" x14ac:dyDescent="0.2"/>
    <row r="135" spans="1:10" ht="153.75" customHeight="1" x14ac:dyDescent="0.2"/>
    <row r="136" spans="1:10" x14ac:dyDescent="0.2"/>
    <row r="137" spans="1:10" x14ac:dyDescent="0.2"/>
    <row r="138" spans="1:10" x14ac:dyDescent="0.2">
      <c r="B138" s="77" t="s">
        <v>954</v>
      </c>
      <c r="C138" s="78"/>
      <c r="D138" s="77"/>
    </row>
    <row r="139" spans="1:10" x14ac:dyDescent="0.2">
      <c r="B139" s="77" t="s">
        <v>965</v>
      </c>
      <c r="D139" s="77"/>
    </row>
    <row r="140" spans="1:10" ht="165" customHeight="1" x14ac:dyDescent="0.2"/>
    <row r="141" spans="1:10" x14ac:dyDescent="0.2">
      <c r="J141" s="26"/>
    </row>
    <row r="142" spans="1:10" x14ac:dyDescent="0.2"/>
    <row r="143" spans="1:10" x14ac:dyDescent="0.2"/>
    <row r="144" spans="1:10" x14ac:dyDescent="0.2"/>
    <row r="145" customFormat="1" x14ac:dyDescent="0.2"/>
    <row r="146" customFormat="1" x14ac:dyDescent="0.2"/>
    <row r="147" customFormat="1" x14ac:dyDescent="0.2"/>
  </sheetData>
  <mergeCells count="18">
    <mergeCell ref="B115:D115"/>
    <mergeCell ref="B116:C116"/>
    <mergeCell ref="B133:C133"/>
    <mergeCell ref="B131:C131"/>
    <mergeCell ref="A1:H1"/>
    <mergeCell ref="A2:H2"/>
    <mergeCell ref="A3:H3"/>
    <mergeCell ref="B130:C130"/>
    <mergeCell ref="B109:H109"/>
    <mergeCell ref="B110:H110"/>
    <mergeCell ref="B117:C117"/>
    <mergeCell ref="B118:C118"/>
    <mergeCell ref="B128:C128"/>
    <mergeCell ref="B129:C129"/>
    <mergeCell ref="B111:H111"/>
    <mergeCell ref="B112:H112"/>
    <mergeCell ref="B113:H113"/>
    <mergeCell ref="B126:C126"/>
  </mergeCells>
  <hyperlinks>
    <hyperlink ref="I1" location="Index!B2" display="Index" xr:uid="{345B5014-AA0D-4248-A4A0-11E94BFDB0A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38FF-41BE-4AFC-8233-0D55781AE310}">
  <sheetPr>
    <outlinePr summaryBelow="0" summaryRight="0"/>
  </sheetPr>
  <dimension ref="A1:Q144"/>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450</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354</v>
      </c>
      <c r="C7" s="22" t="s">
        <v>355</v>
      </c>
      <c r="D7" s="22" t="s">
        <v>188</v>
      </c>
      <c r="E7" s="36">
        <v>35553</v>
      </c>
      <c r="F7" s="37">
        <v>222.89953349999999</v>
      </c>
      <c r="G7" s="38">
        <v>6.1702960000000001E-2</v>
      </c>
      <c r="H7" s="29" t="s">
        <v>143</v>
      </c>
    </row>
    <row r="8" spans="1:9" ht="12.75" customHeight="1" x14ac:dyDescent="0.2">
      <c r="A8" s="35">
        <v>2</v>
      </c>
      <c r="B8" s="22" t="s">
        <v>341</v>
      </c>
      <c r="C8" s="22" t="s">
        <v>342</v>
      </c>
      <c r="D8" s="22" t="s">
        <v>259</v>
      </c>
      <c r="E8" s="36">
        <v>10679</v>
      </c>
      <c r="F8" s="37">
        <v>207.99488299999999</v>
      </c>
      <c r="G8" s="38">
        <v>5.7577059999999999E-2</v>
      </c>
      <c r="H8" s="29" t="s">
        <v>143</v>
      </c>
    </row>
    <row r="9" spans="1:9" ht="12.75" customHeight="1" x14ac:dyDescent="0.2">
      <c r="A9" s="35">
        <v>3</v>
      </c>
      <c r="B9" s="22" t="s">
        <v>65</v>
      </c>
      <c r="C9" s="22" t="s">
        <v>66</v>
      </c>
      <c r="D9" s="22" t="s">
        <v>64</v>
      </c>
      <c r="E9" s="36">
        <v>22800</v>
      </c>
      <c r="F9" s="37">
        <v>187.32480000000001</v>
      </c>
      <c r="G9" s="38">
        <v>5.1855180000000001E-2</v>
      </c>
      <c r="H9" s="29" t="s">
        <v>143</v>
      </c>
    </row>
    <row r="10" spans="1:9" ht="12.75" customHeight="1" x14ac:dyDescent="0.2">
      <c r="A10" s="35">
        <v>4</v>
      </c>
      <c r="B10" s="22" t="s">
        <v>356</v>
      </c>
      <c r="C10" s="22" t="s">
        <v>357</v>
      </c>
      <c r="D10" s="22" t="s">
        <v>46</v>
      </c>
      <c r="E10" s="36">
        <v>8097</v>
      </c>
      <c r="F10" s="37">
        <v>177.18665100000001</v>
      </c>
      <c r="G10" s="38">
        <v>4.904874E-2</v>
      </c>
      <c r="H10" s="29" t="s">
        <v>143</v>
      </c>
    </row>
    <row r="11" spans="1:9" ht="12.75" customHeight="1" x14ac:dyDescent="0.2">
      <c r="A11" s="35">
        <v>5</v>
      </c>
      <c r="B11" s="22" t="s">
        <v>358</v>
      </c>
      <c r="C11" s="22" t="s">
        <v>359</v>
      </c>
      <c r="D11" s="22" t="s">
        <v>206</v>
      </c>
      <c r="E11" s="36">
        <v>53380</v>
      </c>
      <c r="F11" s="37">
        <v>156.83044000000001</v>
      </c>
      <c r="G11" s="38">
        <v>4.3413739999999999E-2</v>
      </c>
      <c r="H11" s="29" t="s">
        <v>143</v>
      </c>
    </row>
    <row r="12" spans="1:9" ht="12.75" customHeight="1" x14ac:dyDescent="0.2">
      <c r="A12" s="35">
        <v>6</v>
      </c>
      <c r="B12" s="22" t="s">
        <v>362</v>
      </c>
      <c r="C12" s="22" t="s">
        <v>363</v>
      </c>
      <c r="D12" s="22" t="s">
        <v>33</v>
      </c>
      <c r="E12" s="36">
        <v>37549</v>
      </c>
      <c r="F12" s="37">
        <v>139.49453500000001</v>
      </c>
      <c r="G12" s="38">
        <v>3.8614820000000001E-2</v>
      </c>
      <c r="H12" s="29" t="s">
        <v>143</v>
      </c>
    </row>
    <row r="13" spans="1:9" ht="12.75" customHeight="1" x14ac:dyDescent="0.2">
      <c r="A13" s="35">
        <v>7</v>
      </c>
      <c r="B13" s="22" t="s">
        <v>360</v>
      </c>
      <c r="C13" s="22" t="s">
        <v>361</v>
      </c>
      <c r="D13" s="22" t="s">
        <v>33</v>
      </c>
      <c r="E13" s="36">
        <v>298383</v>
      </c>
      <c r="F13" s="37">
        <v>138.3005205</v>
      </c>
      <c r="G13" s="38">
        <v>3.82843E-2</v>
      </c>
      <c r="H13" s="29" t="s">
        <v>143</v>
      </c>
    </row>
    <row r="14" spans="1:9" ht="12.75" customHeight="1" x14ac:dyDescent="0.2">
      <c r="A14" s="35">
        <v>8</v>
      </c>
      <c r="B14" s="22" t="s">
        <v>67</v>
      </c>
      <c r="C14" s="22" t="s">
        <v>68</v>
      </c>
      <c r="D14" s="22" t="s">
        <v>25</v>
      </c>
      <c r="E14" s="36">
        <v>2090</v>
      </c>
      <c r="F14" s="37">
        <v>131.66999999999999</v>
      </c>
      <c r="G14" s="38">
        <v>3.6448840000000003E-2</v>
      </c>
      <c r="H14" s="29" t="s">
        <v>143</v>
      </c>
    </row>
    <row r="15" spans="1:9" ht="12.75" customHeight="1" x14ac:dyDescent="0.2">
      <c r="A15" s="35">
        <v>9</v>
      </c>
      <c r="B15" s="22" t="s">
        <v>76</v>
      </c>
      <c r="C15" s="22" t="s">
        <v>77</v>
      </c>
      <c r="D15" s="22" t="s">
        <v>64</v>
      </c>
      <c r="E15" s="36">
        <v>3144</v>
      </c>
      <c r="F15" s="37">
        <v>127.718712</v>
      </c>
      <c r="G15" s="38">
        <v>3.5355039999999997E-2</v>
      </c>
      <c r="H15" s="29" t="s">
        <v>143</v>
      </c>
    </row>
    <row r="16" spans="1:9" ht="12.75" customHeight="1" x14ac:dyDescent="0.2">
      <c r="A16" s="35">
        <v>10</v>
      </c>
      <c r="B16" s="22" t="s">
        <v>378</v>
      </c>
      <c r="C16" s="22" t="s">
        <v>379</v>
      </c>
      <c r="D16" s="22" t="s">
        <v>223</v>
      </c>
      <c r="E16" s="36">
        <v>5956</v>
      </c>
      <c r="F16" s="37">
        <v>127.0117</v>
      </c>
      <c r="G16" s="38">
        <v>3.5159330000000003E-2</v>
      </c>
      <c r="H16" s="29" t="s">
        <v>143</v>
      </c>
    </row>
    <row r="17" spans="1:8" ht="12.75" customHeight="1" x14ac:dyDescent="0.2">
      <c r="A17" s="35">
        <v>11</v>
      </c>
      <c r="B17" s="22" t="s">
        <v>364</v>
      </c>
      <c r="C17" s="22" t="s">
        <v>365</v>
      </c>
      <c r="D17" s="22" t="s">
        <v>46</v>
      </c>
      <c r="E17" s="36">
        <v>46205</v>
      </c>
      <c r="F17" s="37">
        <v>124.892115</v>
      </c>
      <c r="G17" s="38">
        <v>3.457259E-2</v>
      </c>
      <c r="H17" s="29" t="s">
        <v>143</v>
      </c>
    </row>
    <row r="18" spans="1:8" ht="12.75" customHeight="1" x14ac:dyDescent="0.2">
      <c r="A18" s="35">
        <v>12</v>
      </c>
      <c r="B18" s="22" t="s">
        <v>372</v>
      </c>
      <c r="C18" s="22" t="s">
        <v>373</v>
      </c>
      <c r="D18" s="22" t="s">
        <v>270</v>
      </c>
      <c r="E18" s="36">
        <v>2631</v>
      </c>
      <c r="F18" s="37">
        <v>121.59166500000001</v>
      </c>
      <c r="G18" s="38">
        <v>3.3658960000000002E-2</v>
      </c>
      <c r="H18" s="29" t="s">
        <v>143</v>
      </c>
    </row>
    <row r="19" spans="1:8" ht="12.75" customHeight="1" x14ac:dyDescent="0.2">
      <c r="A19" s="35">
        <v>13</v>
      </c>
      <c r="B19" s="22" t="s">
        <v>366</v>
      </c>
      <c r="C19" s="22" t="s">
        <v>367</v>
      </c>
      <c r="D19" s="22" t="s">
        <v>194</v>
      </c>
      <c r="E19" s="36">
        <v>1831</v>
      </c>
      <c r="F19" s="37">
        <v>115.490325</v>
      </c>
      <c r="G19" s="38">
        <v>3.1969989999999997E-2</v>
      </c>
      <c r="H19" s="29" t="s">
        <v>143</v>
      </c>
    </row>
    <row r="20" spans="1:8" ht="12.75" customHeight="1" x14ac:dyDescent="0.2">
      <c r="A20" s="35">
        <v>14</v>
      </c>
      <c r="B20" s="22" t="s">
        <v>337</v>
      </c>
      <c r="C20" s="22" t="s">
        <v>338</v>
      </c>
      <c r="D20" s="22" t="s">
        <v>223</v>
      </c>
      <c r="E20" s="36">
        <v>1382</v>
      </c>
      <c r="F20" s="37">
        <v>107.74072</v>
      </c>
      <c r="G20" s="38">
        <v>2.9824739999999999E-2</v>
      </c>
      <c r="H20" s="29" t="s">
        <v>143</v>
      </c>
    </row>
    <row r="21" spans="1:8" ht="12.75" customHeight="1" x14ac:dyDescent="0.2">
      <c r="A21" s="35">
        <v>15</v>
      </c>
      <c r="B21" s="22" t="s">
        <v>368</v>
      </c>
      <c r="C21" s="22" t="s">
        <v>369</v>
      </c>
      <c r="D21" s="22" t="s">
        <v>215</v>
      </c>
      <c r="E21" s="36">
        <v>16328</v>
      </c>
      <c r="F21" s="37">
        <v>105.27478000000001</v>
      </c>
      <c r="G21" s="38">
        <v>2.9142120000000001E-2</v>
      </c>
      <c r="H21" s="29" t="s">
        <v>143</v>
      </c>
    </row>
    <row r="22" spans="1:8" ht="12.75" customHeight="1" x14ac:dyDescent="0.2">
      <c r="A22" s="35">
        <v>16</v>
      </c>
      <c r="B22" s="22" t="s">
        <v>374</v>
      </c>
      <c r="C22" s="22" t="s">
        <v>375</v>
      </c>
      <c r="D22" s="22" t="s">
        <v>33</v>
      </c>
      <c r="E22" s="36">
        <v>180840</v>
      </c>
      <c r="F22" s="37">
        <v>103.404312</v>
      </c>
      <c r="G22" s="38">
        <v>2.8624340000000002E-2</v>
      </c>
      <c r="H22" s="29" t="s">
        <v>143</v>
      </c>
    </row>
    <row r="23" spans="1:8" ht="12.75" customHeight="1" x14ac:dyDescent="0.2">
      <c r="A23" s="35">
        <v>17</v>
      </c>
      <c r="B23" s="22" t="s">
        <v>47</v>
      </c>
      <c r="C23" s="22" t="s">
        <v>48</v>
      </c>
      <c r="D23" s="22" t="s">
        <v>16</v>
      </c>
      <c r="E23" s="36">
        <v>7465</v>
      </c>
      <c r="F23" s="37">
        <v>93.670820000000006</v>
      </c>
      <c r="G23" s="38">
        <v>2.5929919999999999E-2</v>
      </c>
      <c r="H23" s="29" t="s">
        <v>143</v>
      </c>
    </row>
    <row r="24" spans="1:8" ht="12.75" customHeight="1" x14ac:dyDescent="0.2">
      <c r="A24" s="35">
        <v>18</v>
      </c>
      <c r="B24" s="22" t="s">
        <v>226</v>
      </c>
      <c r="C24" s="22" t="s">
        <v>227</v>
      </c>
      <c r="D24" s="22" t="s">
        <v>191</v>
      </c>
      <c r="E24" s="36">
        <v>707</v>
      </c>
      <c r="F24" s="37">
        <v>90.213200000000001</v>
      </c>
      <c r="G24" s="38">
        <v>2.497278E-2</v>
      </c>
      <c r="H24" s="29" t="s">
        <v>143</v>
      </c>
    </row>
    <row r="25" spans="1:8" ht="12.75" customHeight="1" x14ac:dyDescent="0.2">
      <c r="A25" s="35">
        <v>19</v>
      </c>
      <c r="B25" s="22" t="s">
        <v>387</v>
      </c>
      <c r="C25" s="22" t="s">
        <v>388</v>
      </c>
      <c r="D25" s="22" t="s">
        <v>389</v>
      </c>
      <c r="E25" s="36">
        <v>23998</v>
      </c>
      <c r="F25" s="37">
        <v>83.825013999999996</v>
      </c>
      <c r="G25" s="38">
        <v>2.3204410000000002E-2</v>
      </c>
      <c r="H25" s="29" t="s">
        <v>143</v>
      </c>
    </row>
    <row r="26" spans="1:8" ht="12.75" customHeight="1" x14ac:dyDescent="0.2">
      <c r="A26" s="35">
        <v>20</v>
      </c>
      <c r="B26" s="22" t="s">
        <v>380</v>
      </c>
      <c r="C26" s="22" t="s">
        <v>381</v>
      </c>
      <c r="D26" s="22" t="s">
        <v>382</v>
      </c>
      <c r="E26" s="36">
        <v>7495</v>
      </c>
      <c r="F26" s="37">
        <v>80.571250000000006</v>
      </c>
      <c r="G26" s="38">
        <v>2.2303699999999999E-2</v>
      </c>
      <c r="H26" s="29" t="s">
        <v>143</v>
      </c>
    </row>
    <row r="27" spans="1:8" ht="12.75" customHeight="1" x14ac:dyDescent="0.2">
      <c r="A27" s="35">
        <v>21</v>
      </c>
      <c r="B27" s="22" t="s">
        <v>385</v>
      </c>
      <c r="C27" s="22" t="s">
        <v>386</v>
      </c>
      <c r="D27" s="22" t="s">
        <v>191</v>
      </c>
      <c r="E27" s="36">
        <v>4105</v>
      </c>
      <c r="F27" s="37">
        <v>77.379249999999999</v>
      </c>
      <c r="G27" s="38">
        <v>2.1420089999999999E-2</v>
      </c>
      <c r="H27" s="29" t="s">
        <v>143</v>
      </c>
    </row>
    <row r="28" spans="1:8" ht="12.75" customHeight="1" x14ac:dyDescent="0.2">
      <c r="A28" s="35">
        <v>22</v>
      </c>
      <c r="B28" s="22" t="s">
        <v>69</v>
      </c>
      <c r="C28" s="22" t="s">
        <v>70</v>
      </c>
      <c r="D28" s="22" t="s">
        <v>64</v>
      </c>
      <c r="E28" s="36">
        <v>1517</v>
      </c>
      <c r="F28" s="37">
        <v>74.810855000000004</v>
      </c>
      <c r="G28" s="38">
        <v>2.0709109999999999E-2</v>
      </c>
      <c r="H28" s="29" t="s">
        <v>143</v>
      </c>
    </row>
    <row r="29" spans="1:8" ht="12.75" customHeight="1" x14ac:dyDescent="0.2">
      <c r="A29" s="35">
        <v>23</v>
      </c>
      <c r="B29" s="22" t="s">
        <v>383</v>
      </c>
      <c r="C29" s="22" t="s">
        <v>384</v>
      </c>
      <c r="D29" s="22" t="s">
        <v>191</v>
      </c>
      <c r="E29" s="36">
        <v>9140</v>
      </c>
      <c r="F29" s="37">
        <v>69.756479999999996</v>
      </c>
      <c r="G29" s="38">
        <v>1.9309960000000001E-2</v>
      </c>
      <c r="H29" s="29" t="s">
        <v>143</v>
      </c>
    </row>
    <row r="30" spans="1:8" ht="12.75" customHeight="1" x14ac:dyDescent="0.2">
      <c r="A30" s="35">
        <v>24</v>
      </c>
      <c r="B30" s="22" t="s">
        <v>88</v>
      </c>
      <c r="C30" s="22" t="s">
        <v>89</v>
      </c>
      <c r="D30" s="22" t="s">
        <v>90</v>
      </c>
      <c r="E30" s="36">
        <v>7562</v>
      </c>
      <c r="F30" s="37">
        <v>67.759300999999994</v>
      </c>
      <c r="G30" s="38">
        <v>1.8757099999999999E-2</v>
      </c>
      <c r="H30" s="29" t="s">
        <v>143</v>
      </c>
    </row>
    <row r="31" spans="1:8" ht="12.75" customHeight="1" x14ac:dyDescent="0.2">
      <c r="A31" s="35">
        <v>25</v>
      </c>
      <c r="B31" s="22" t="s">
        <v>404</v>
      </c>
      <c r="C31" s="22" t="s">
        <v>405</v>
      </c>
      <c r="D31" s="22" t="s">
        <v>215</v>
      </c>
      <c r="E31" s="36">
        <v>19125</v>
      </c>
      <c r="F31" s="37">
        <v>67.501687500000003</v>
      </c>
      <c r="G31" s="38">
        <v>1.8685790000000001E-2</v>
      </c>
      <c r="H31" s="29" t="s">
        <v>143</v>
      </c>
    </row>
    <row r="32" spans="1:8" ht="12.75" customHeight="1" x14ac:dyDescent="0.2">
      <c r="A32" s="35">
        <v>26</v>
      </c>
      <c r="B32" s="22" t="s">
        <v>392</v>
      </c>
      <c r="C32" s="22" t="s">
        <v>393</v>
      </c>
      <c r="D32" s="22" t="s">
        <v>206</v>
      </c>
      <c r="E32" s="36">
        <v>9506</v>
      </c>
      <c r="F32" s="37">
        <v>65.363256000000007</v>
      </c>
      <c r="G32" s="38">
        <v>1.8093830000000002E-2</v>
      </c>
      <c r="H32" s="29" t="s">
        <v>143</v>
      </c>
    </row>
    <row r="33" spans="1:8" ht="12.75" customHeight="1" x14ac:dyDescent="0.2">
      <c r="A33" s="35">
        <v>27</v>
      </c>
      <c r="B33" s="22" t="s">
        <v>390</v>
      </c>
      <c r="C33" s="22" t="s">
        <v>391</v>
      </c>
      <c r="D33" s="22" t="s">
        <v>64</v>
      </c>
      <c r="E33" s="36">
        <v>14157</v>
      </c>
      <c r="F33" s="37">
        <v>62.418213000000002</v>
      </c>
      <c r="G33" s="38">
        <v>1.727859E-2</v>
      </c>
      <c r="H33" s="29" t="s">
        <v>143</v>
      </c>
    </row>
    <row r="34" spans="1:8" ht="12.75" customHeight="1" x14ac:dyDescent="0.2">
      <c r="A34" s="35">
        <v>28</v>
      </c>
      <c r="B34" s="22" t="s">
        <v>394</v>
      </c>
      <c r="C34" s="22" t="s">
        <v>395</v>
      </c>
      <c r="D34" s="22" t="s">
        <v>191</v>
      </c>
      <c r="E34" s="36">
        <v>6319</v>
      </c>
      <c r="F34" s="37">
        <v>54.570884</v>
      </c>
      <c r="G34" s="38">
        <v>1.510629E-2</v>
      </c>
      <c r="H34" s="29" t="s">
        <v>143</v>
      </c>
    </row>
    <row r="35" spans="1:8" ht="12.75" customHeight="1" x14ac:dyDescent="0.2">
      <c r="A35" s="35">
        <v>29</v>
      </c>
      <c r="B35" s="22" t="s">
        <v>396</v>
      </c>
      <c r="C35" s="22" t="s">
        <v>397</v>
      </c>
      <c r="D35" s="22" t="s">
        <v>259</v>
      </c>
      <c r="E35" s="36">
        <v>12789</v>
      </c>
      <c r="F35" s="37">
        <v>51.258311999999997</v>
      </c>
      <c r="G35" s="38">
        <v>1.418931E-2</v>
      </c>
      <c r="H35" s="29" t="s">
        <v>143</v>
      </c>
    </row>
    <row r="36" spans="1:8" ht="12.75" customHeight="1" x14ac:dyDescent="0.2">
      <c r="A36" s="35">
        <v>30</v>
      </c>
      <c r="B36" s="22" t="s">
        <v>446</v>
      </c>
      <c r="C36" s="22" t="s">
        <v>447</v>
      </c>
      <c r="D36" s="22" t="s">
        <v>64</v>
      </c>
      <c r="E36" s="36">
        <v>10251</v>
      </c>
      <c r="F36" s="37">
        <v>51.255000000000003</v>
      </c>
      <c r="G36" s="38">
        <v>1.418839E-2</v>
      </c>
      <c r="H36" s="29" t="s">
        <v>143</v>
      </c>
    </row>
    <row r="37" spans="1:8" ht="12.75" customHeight="1" x14ac:dyDescent="0.2">
      <c r="A37" s="35">
        <v>31</v>
      </c>
      <c r="B37" s="22" t="s">
        <v>400</v>
      </c>
      <c r="C37" s="22" t="s">
        <v>401</v>
      </c>
      <c r="D37" s="22" t="s">
        <v>194</v>
      </c>
      <c r="E37" s="36">
        <v>6182</v>
      </c>
      <c r="F37" s="37">
        <v>49.180900999999999</v>
      </c>
      <c r="G37" s="38">
        <v>1.361424E-2</v>
      </c>
      <c r="H37" s="29" t="s">
        <v>143</v>
      </c>
    </row>
    <row r="38" spans="1:8" ht="12.75" customHeight="1" x14ac:dyDescent="0.2">
      <c r="A38" s="35">
        <v>32</v>
      </c>
      <c r="B38" s="22" t="s">
        <v>406</v>
      </c>
      <c r="C38" s="22" t="s">
        <v>407</v>
      </c>
      <c r="D38" s="22" t="s">
        <v>408</v>
      </c>
      <c r="E38" s="36">
        <v>3350</v>
      </c>
      <c r="F38" s="37">
        <v>39.469700000000003</v>
      </c>
      <c r="G38" s="38">
        <v>1.092599E-2</v>
      </c>
      <c r="H38" s="29" t="s">
        <v>143</v>
      </c>
    </row>
    <row r="39" spans="1:8" ht="12.75" customHeight="1" x14ac:dyDescent="0.2">
      <c r="A39" s="35">
        <v>33</v>
      </c>
      <c r="B39" s="22" t="s">
        <v>402</v>
      </c>
      <c r="C39" s="22" t="s">
        <v>403</v>
      </c>
      <c r="D39" s="22" t="s">
        <v>46</v>
      </c>
      <c r="E39" s="36">
        <v>3365</v>
      </c>
      <c r="F39" s="37">
        <v>27.360814999999999</v>
      </c>
      <c r="G39" s="38">
        <v>7.5740099999999999E-3</v>
      </c>
      <c r="H39" s="29" t="s">
        <v>143</v>
      </c>
    </row>
    <row r="40" spans="1:8" ht="12.75" customHeight="1" x14ac:dyDescent="0.2">
      <c r="A40" s="35">
        <v>34</v>
      </c>
      <c r="B40" s="22" t="s">
        <v>409</v>
      </c>
      <c r="C40" s="22" t="s">
        <v>410</v>
      </c>
      <c r="D40" s="22" t="s">
        <v>46</v>
      </c>
      <c r="E40" s="36">
        <v>3782</v>
      </c>
      <c r="F40" s="37">
        <v>25.895354000000001</v>
      </c>
      <c r="G40" s="38">
        <v>7.1683399999999996E-3</v>
      </c>
      <c r="H40" s="29" t="s">
        <v>143</v>
      </c>
    </row>
    <row r="41" spans="1:8" ht="12.75" customHeight="1" x14ac:dyDescent="0.2">
      <c r="A41" s="35">
        <v>35</v>
      </c>
      <c r="B41" s="22" t="s">
        <v>413</v>
      </c>
      <c r="C41" s="22" t="s">
        <v>414</v>
      </c>
      <c r="D41" s="22" t="s">
        <v>41</v>
      </c>
      <c r="E41" s="36">
        <v>4604</v>
      </c>
      <c r="F41" s="37">
        <v>14.189527999999999</v>
      </c>
      <c r="G41" s="38">
        <v>3.9279400000000004E-3</v>
      </c>
      <c r="H41" s="29" t="s">
        <v>143</v>
      </c>
    </row>
    <row r="42" spans="1:8" ht="12.75" customHeight="1" x14ac:dyDescent="0.2">
      <c r="A42" s="39"/>
      <c r="B42" s="39"/>
      <c r="C42" s="40" t="s">
        <v>142</v>
      </c>
      <c r="D42" s="39"/>
      <c r="E42" s="39" t="s">
        <v>143</v>
      </c>
      <c r="F42" s="41">
        <v>3441.2755124999999</v>
      </c>
      <c r="G42" s="42">
        <v>0.95261253999999995</v>
      </c>
      <c r="H42" s="29" t="s">
        <v>143</v>
      </c>
    </row>
    <row r="43" spans="1:8" ht="12.75" customHeight="1" x14ac:dyDescent="0.2">
      <c r="A43" s="39"/>
      <c r="B43" s="39"/>
      <c r="C43" s="43"/>
      <c r="D43" s="39"/>
      <c r="E43" s="39"/>
      <c r="F43" s="44"/>
      <c r="G43" s="44"/>
      <c r="H43" s="29" t="s">
        <v>143</v>
      </c>
    </row>
    <row r="44" spans="1:8" ht="12.75" customHeight="1" x14ac:dyDescent="0.2">
      <c r="A44" s="39"/>
      <c r="B44" s="39"/>
      <c r="C44" s="40" t="s">
        <v>144</v>
      </c>
      <c r="D44" s="39"/>
      <c r="E44" s="39"/>
      <c r="F44" s="39"/>
      <c r="G44" s="39"/>
      <c r="H44" s="29" t="s">
        <v>143</v>
      </c>
    </row>
    <row r="45" spans="1:8" ht="12.75" customHeight="1" x14ac:dyDescent="0.2">
      <c r="A45" s="39"/>
      <c r="B45" s="39"/>
      <c r="C45" s="40" t="s">
        <v>142</v>
      </c>
      <c r="D45" s="39"/>
      <c r="E45" s="39" t="s">
        <v>143</v>
      </c>
      <c r="F45" s="45" t="s">
        <v>145</v>
      </c>
      <c r="G45" s="42">
        <v>0</v>
      </c>
      <c r="H45" s="29" t="s">
        <v>143</v>
      </c>
    </row>
    <row r="46" spans="1:8" ht="12.75" customHeight="1" x14ac:dyDescent="0.2">
      <c r="A46" s="39"/>
      <c r="B46" s="39"/>
      <c r="C46" s="43"/>
      <c r="D46" s="39"/>
      <c r="E46" s="39"/>
      <c r="F46" s="44"/>
      <c r="G46" s="44"/>
      <c r="H46" s="29" t="s">
        <v>143</v>
      </c>
    </row>
    <row r="47" spans="1:8" ht="12.75" customHeight="1" x14ac:dyDescent="0.2">
      <c r="A47" s="39"/>
      <c r="B47" s="39"/>
      <c r="C47" s="40" t="s">
        <v>146</v>
      </c>
      <c r="D47" s="39"/>
      <c r="E47" s="39"/>
      <c r="F47" s="39"/>
      <c r="G47" s="39"/>
      <c r="H47" s="29" t="s">
        <v>143</v>
      </c>
    </row>
    <row r="48" spans="1:8" ht="12.75" customHeight="1" x14ac:dyDescent="0.2">
      <c r="A48" s="39"/>
      <c r="B48" s="39"/>
      <c r="C48" s="40" t="s">
        <v>142</v>
      </c>
      <c r="D48" s="39"/>
      <c r="E48" s="39" t="s">
        <v>143</v>
      </c>
      <c r="F48" s="45" t="s">
        <v>145</v>
      </c>
      <c r="G48" s="42">
        <v>0</v>
      </c>
      <c r="H48" s="29" t="s">
        <v>143</v>
      </c>
    </row>
    <row r="49" spans="1:8" ht="12.75" customHeight="1" x14ac:dyDescent="0.2">
      <c r="A49" s="39"/>
      <c r="B49" s="39"/>
      <c r="C49" s="43"/>
      <c r="D49" s="39"/>
      <c r="E49" s="39"/>
      <c r="F49" s="44"/>
      <c r="G49" s="44"/>
      <c r="H49" s="29" t="s">
        <v>143</v>
      </c>
    </row>
    <row r="50" spans="1:8" ht="12.75" customHeight="1" x14ac:dyDescent="0.2">
      <c r="A50" s="39"/>
      <c r="B50" s="39"/>
      <c r="C50" s="40" t="s">
        <v>147</v>
      </c>
      <c r="D50" s="39"/>
      <c r="E50" s="39"/>
      <c r="F50" s="39"/>
      <c r="G50" s="39"/>
      <c r="H50" s="29" t="s">
        <v>143</v>
      </c>
    </row>
    <row r="51" spans="1:8" ht="12.75" customHeight="1" x14ac:dyDescent="0.2">
      <c r="A51" s="39"/>
      <c r="B51" s="39"/>
      <c r="C51" s="40" t="s">
        <v>142</v>
      </c>
      <c r="D51" s="39"/>
      <c r="E51" s="39" t="s">
        <v>143</v>
      </c>
      <c r="F51" s="45" t="s">
        <v>145</v>
      </c>
      <c r="G51" s="42">
        <v>0</v>
      </c>
      <c r="H51" s="29" t="s">
        <v>143</v>
      </c>
    </row>
    <row r="52" spans="1:8" ht="12.75" customHeight="1" x14ac:dyDescent="0.2">
      <c r="A52" s="39"/>
      <c r="B52" s="39"/>
      <c r="C52" s="43"/>
      <c r="D52" s="39"/>
      <c r="E52" s="39"/>
      <c r="F52" s="44"/>
      <c r="G52" s="44"/>
      <c r="H52" s="29" t="s">
        <v>143</v>
      </c>
    </row>
    <row r="53" spans="1:8" ht="12.75" customHeight="1" x14ac:dyDescent="0.2">
      <c r="A53" s="39"/>
      <c r="B53" s="39"/>
      <c r="C53" s="40" t="s">
        <v>148</v>
      </c>
      <c r="D53" s="39"/>
      <c r="E53" s="39"/>
      <c r="F53" s="44"/>
      <c r="G53" s="44"/>
      <c r="H53" s="29" t="s">
        <v>143</v>
      </c>
    </row>
    <row r="54" spans="1:8" ht="12.75" customHeight="1" x14ac:dyDescent="0.2">
      <c r="A54" s="39"/>
      <c r="B54" s="39"/>
      <c r="C54" s="40" t="s">
        <v>142</v>
      </c>
      <c r="D54" s="39"/>
      <c r="E54" s="39" t="s">
        <v>143</v>
      </c>
      <c r="F54" s="45" t="s">
        <v>145</v>
      </c>
      <c r="G54" s="42">
        <v>0</v>
      </c>
      <c r="H54" s="29" t="s">
        <v>143</v>
      </c>
    </row>
    <row r="55" spans="1:8" ht="12.75" customHeight="1" x14ac:dyDescent="0.2">
      <c r="A55" s="39"/>
      <c r="B55" s="39"/>
      <c r="C55" s="43"/>
      <c r="D55" s="39"/>
      <c r="E55" s="39"/>
      <c r="F55" s="44"/>
      <c r="G55" s="44"/>
      <c r="H55" s="29" t="s">
        <v>143</v>
      </c>
    </row>
    <row r="56" spans="1:8" ht="12.75" customHeight="1" x14ac:dyDescent="0.2">
      <c r="A56" s="39"/>
      <c r="B56" s="39"/>
      <c r="C56" s="40" t="s">
        <v>149</v>
      </c>
      <c r="D56" s="39"/>
      <c r="E56" s="39"/>
      <c r="F56" s="44"/>
      <c r="G56" s="44"/>
      <c r="H56" s="29" t="s">
        <v>143</v>
      </c>
    </row>
    <row r="57" spans="1:8" ht="12.75" customHeight="1" x14ac:dyDescent="0.2">
      <c r="A57" s="39"/>
      <c r="B57" s="39"/>
      <c r="C57" s="40" t="s">
        <v>142</v>
      </c>
      <c r="D57" s="39"/>
      <c r="E57" s="39" t="s">
        <v>143</v>
      </c>
      <c r="F57" s="45" t="s">
        <v>145</v>
      </c>
      <c r="G57" s="42">
        <v>0</v>
      </c>
      <c r="H57" s="29" t="s">
        <v>143</v>
      </c>
    </row>
    <row r="58" spans="1:8" ht="12.75" customHeight="1" x14ac:dyDescent="0.2">
      <c r="A58" s="39"/>
      <c r="B58" s="39"/>
      <c r="C58" s="43"/>
      <c r="D58" s="39"/>
      <c r="E58" s="39"/>
      <c r="F58" s="44"/>
      <c r="G58" s="44"/>
      <c r="H58" s="29" t="s">
        <v>143</v>
      </c>
    </row>
    <row r="59" spans="1:8" ht="12.75" customHeight="1" x14ac:dyDescent="0.2">
      <c r="A59" s="39"/>
      <c r="B59" s="39"/>
      <c r="C59" s="40" t="s">
        <v>150</v>
      </c>
      <c r="D59" s="39"/>
      <c r="E59" s="39"/>
      <c r="F59" s="41">
        <v>3441.2755124999999</v>
      </c>
      <c r="G59" s="42">
        <v>0.95261253999999995</v>
      </c>
      <c r="H59" s="29" t="s">
        <v>143</v>
      </c>
    </row>
    <row r="60" spans="1:8" ht="12.75" customHeight="1" x14ac:dyDescent="0.2">
      <c r="A60" s="39"/>
      <c r="B60" s="39"/>
      <c r="C60" s="43"/>
      <c r="D60" s="39"/>
      <c r="E60" s="39"/>
      <c r="F60" s="44"/>
      <c r="G60" s="44"/>
      <c r="H60" s="29" t="s">
        <v>143</v>
      </c>
    </row>
    <row r="61" spans="1:8" ht="12.75" customHeight="1" x14ac:dyDescent="0.2">
      <c r="A61" s="39"/>
      <c r="B61" s="39"/>
      <c r="C61" s="40" t="s">
        <v>151</v>
      </c>
      <c r="D61" s="39"/>
      <c r="E61" s="39"/>
      <c r="F61" s="44"/>
      <c r="G61" s="44"/>
      <c r="H61" s="29" t="s">
        <v>143</v>
      </c>
    </row>
    <row r="62" spans="1:8" ht="12.75" customHeight="1" x14ac:dyDescent="0.2">
      <c r="A62" s="39"/>
      <c r="B62" s="39"/>
      <c r="C62" s="40" t="s">
        <v>10</v>
      </c>
      <c r="D62" s="39"/>
      <c r="E62" s="39"/>
      <c r="F62" s="44"/>
      <c r="G62" s="44"/>
      <c r="H62" s="29" t="s">
        <v>143</v>
      </c>
    </row>
    <row r="63" spans="1:8" ht="12.75" customHeight="1" x14ac:dyDescent="0.2">
      <c r="A63" s="39"/>
      <c r="B63" s="39"/>
      <c r="C63" s="40" t="s">
        <v>142</v>
      </c>
      <c r="D63" s="39"/>
      <c r="E63" s="39" t="s">
        <v>143</v>
      </c>
      <c r="F63" s="45" t="s">
        <v>145</v>
      </c>
      <c r="G63" s="42">
        <v>0</v>
      </c>
      <c r="H63" s="29" t="s">
        <v>143</v>
      </c>
    </row>
    <row r="64" spans="1:8" ht="12.75" customHeight="1" x14ac:dyDescent="0.2">
      <c r="A64" s="39"/>
      <c r="B64" s="39"/>
      <c r="C64" s="43"/>
      <c r="D64" s="39"/>
      <c r="E64" s="39"/>
      <c r="F64" s="44"/>
      <c r="G64" s="44"/>
      <c r="H64" s="29" t="s">
        <v>143</v>
      </c>
    </row>
    <row r="65" spans="1:8" ht="12.75" customHeight="1" x14ac:dyDescent="0.2">
      <c r="A65" s="39"/>
      <c r="B65" s="39"/>
      <c r="C65" s="40" t="s">
        <v>152</v>
      </c>
      <c r="D65" s="39"/>
      <c r="E65" s="39"/>
      <c r="F65" s="39"/>
      <c r="G65" s="39"/>
      <c r="H65" s="29" t="s">
        <v>143</v>
      </c>
    </row>
    <row r="66" spans="1:8" ht="12.75" customHeight="1" x14ac:dyDescent="0.2">
      <c r="A66" s="39"/>
      <c r="B66" s="39"/>
      <c r="C66" s="40" t="s">
        <v>142</v>
      </c>
      <c r="D66" s="39"/>
      <c r="E66" s="39" t="s">
        <v>143</v>
      </c>
      <c r="F66" s="45" t="s">
        <v>145</v>
      </c>
      <c r="G66" s="42">
        <v>0</v>
      </c>
      <c r="H66" s="29" t="s">
        <v>143</v>
      </c>
    </row>
    <row r="67" spans="1:8" ht="12.75" customHeight="1" x14ac:dyDescent="0.2">
      <c r="A67" s="39"/>
      <c r="B67" s="39"/>
      <c r="C67" s="43"/>
      <c r="D67" s="39"/>
      <c r="E67" s="39"/>
      <c r="F67" s="44"/>
      <c r="G67" s="44"/>
      <c r="H67" s="29" t="s">
        <v>143</v>
      </c>
    </row>
    <row r="68" spans="1:8" ht="12.75" customHeight="1" x14ac:dyDescent="0.2">
      <c r="A68" s="39"/>
      <c r="B68" s="39"/>
      <c r="C68" s="40" t="s">
        <v>153</v>
      </c>
      <c r="D68" s="39"/>
      <c r="E68" s="39"/>
      <c r="F68" s="39"/>
      <c r="G68" s="39"/>
      <c r="H68" s="29" t="s">
        <v>143</v>
      </c>
    </row>
    <row r="69" spans="1:8" ht="12.75" customHeight="1" x14ac:dyDescent="0.2">
      <c r="A69" s="39"/>
      <c r="B69" s="39"/>
      <c r="C69" s="40" t="s">
        <v>142</v>
      </c>
      <c r="D69" s="39"/>
      <c r="E69" s="39" t="s">
        <v>143</v>
      </c>
      <c r="F69" s="45" t="s">
        <v>145</v>
      </c>
      <c r="G69" s="42">
        <v>0</v>
      </c>
      <c r="H69" s="29" t="s">
        <v>143</v>
      </c>
    </row>
    <row r="70" spans="1:8" ht="12.75" customHeight="1" x14ac:dyDescent="0.2">
      <c r="A70" s="39"/>
      <c r="B70" s="39"/>
      <c r="C70" s="43"/>
      <c r="D70" s="39"/>
      <c r="E70" s="39"/>
      <c r="F70" s="44"/>
      <c r="G70" s="44"/>
      <c r="H70" s="29" t="s">
        <v>143</v>
      </c>
    </row>
    <row r="71" spans="1:8" ht="12.75" customHeight="1" x14ac:dyDescent="0.2">
      <c r="A71" s="39"/>
      <c r="B71" s="39"/>
      <c r="C71" s="40" t="s">
        <v>154</v>
      </c>
      <c r="D71" s="39"/>
      <c r="E71" s="39"/>
      <c r="F71" s="44"/>
      <c r="G71" s="44"/>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155</v>
      </c>
      <c r="D74" s="39"/>
      <c r="E74" s="39"/>
      <c r="F74" s="41">
        <v>0</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156</v>
      </c>
      <c r="D76" s="39"/>
      <c r="E76" s="39"/>
      <c r="F76" s="44"/>
      <c r="G76" s="44"/>
      <c r="H76" s="29" t="s">
        <v>143</v>
      </c>
    </row>
    <row r="77" spans="1:8" ht="12.75" customHeight="1" x14ac:dyDescent="0.2">
      <c r="A77" s="39"/>
      <c r="B77" s="39"/>
      <c r="C77" s="40" t="s">
        <v>157</v>
      </c>
      <c r="D77" s="39"/>
      <c r="E77" s="39"/>
      <c r="F77" s="44"/>
      <c r="G77" s="44"/>
      <c r="H77" s="29" t="s">
        <v>143</v>
      </c>
    </row>
    <row r="78" spans="1:8" ht="12.75" customHeight="1" x14ac:dyDescent="0.2">
      <c r="A78" s="39"/>
      <c r="B78" s="39"/>
      <c r="C78" s="40" t="s">
        <v>142</v>
      </c>
      <c r="D78" s="39"/>
      <c r="E78" s="39" t="s">
        <v>143</v>
      </c>
      <c r="F78" s="45" t="s">
        <v>145</v>
      </c>
      <c r="G78" s="42">
        <v>0</v>
      </c>
      <c r="H78" s="29" t="s">
        <v>143</v>
      </c>
    </row>
    <row r="79" spans="1:8" ht="12.75" customHeight="1" x14ac:dyDescent="0.2">
      <c r="A79" s="39"/>
      <c r="B79" s="39"/>
      <c r="C79" s="43"/>
      <c r="D79" s="39"/>
      <c r="E79" s="39"/>
      <c r="F79" s="44"/>
      <c r="G79" s="44"/>
      <c r="H79" s="29" t="s">
        <v>143</v>
      </c>
    </row>
    <row r="80" spans="1:8" ht="12.75" customHeight="1" x14ac:dyDescent="0.2">
      <c r="A80" s="39"/>
      <c r="B80" s="39"/>
      <c r="C80" s="40" t="s">
        <v>158</v>
      </c>
      <c r="D80" s="39"/>
      <c r="E80" s="39"/>
      <c r="F80" s="44"/>
      <c r="G80" s="44"/>
      <c r="H80" s="29" t="s">
        <v>143</v>
      </c>
    </row>
    <row r="81" spans="1:8" ht="12.75" customHeight="1" x14ac:dyDescent="0.2">
      <c r="A81" s="39"/>
      <c r="B81" s="39"/>
      <c r="C81" s="40" t="s">
        <v>142</v>
      </c>
      <c r="D81" s="39"/>
      <c r="E81" s="39" t="s">
        <v>143</v>
      </c>
      <c r="F81" s="45" t="s">
        <v>145</v>
      </c>
      <c r="G81" s="42">
        <v>0</v>
      </c>
      <c r="H81" s="29" t="s">
        <v>143</v>
      </c>
    </row>
    <row r="82" spans="1:8" ht="12.75" customHeight="1" x14ac:dyDescent="0.2">
      <c r="A82" s="39"/>
      <c r="B82" s="39"/>
      <c r="C82" s="43"/>
      <c r="D82" s="39"/>
      <c r="E82" s="39"/>
      <c r="F82" s="44"/>
      <c r="G82" s="44"/>
      <c r="H82" s="29" t="s">
        <v>143</v>
      </c>
    </row>
    <row r="83" spans="1:8" ht="12.75" customHeight="1" x14ac:dyDescent="0.2">
      <c r="A83" s="39"/>
      <c r="B83" s="39"/>
      <c r="C83" s="40" t="s">
        <v>159</v>
      </c>
      <c r="D83" s="39"/>
      <c r="E83" s="39"/>
      <c r="F83" s="44"/>
      <c r="G83" s="44"/>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160</v>
      </c>
      <c r="D86" s="39"/>
      <c r="E86" s="39"/>
      <c r="F86" s="44"/>
      <c r="G86" s="44"/>
      <c r="H86" s="29" t="s">
        <v>143</v>
      </c>
    </row>
    <row r="87" spans="1:8" ht="12.75" customHeight="1" x14ac:dyDescent="0.2">
      <c r="A87" s="35">
        <v>1</v>
      </c>
      <c r="B87" s="22"/>
      <c r="C87" s="22" t="s">
        <v>161</v>
      </c>
      <c r="D87" s="22"/>
      <c r="E87" s="46"/>
      <c r="F87" s="37">
        <v>172.20148099900001</v>
      </c>
      <c r="G87" s="38">
        <v>4.7668750000000003E-2</v>
      </c>
      <c r="H87" s="29">
        <v>5.51</v>
      </c>
    </row>
    <row r="88" spans="1:8" ht="12.75" customHeight="1" x14ac:dyDescent="0.2">
      <c r="A88" s="39"/>
      <c r="B88" s="39"/>
      <c r="C88" s="40" t="s">
        <v>142</v>
      </c>
      <c r="D88" s="39"/>
      <c r="E88" s="39" t="s">
        <v>143</v>
      </c>
      <c r="F88" s="41">
        <v>172.20148099900001</v>
      </c>
      <c r="G88" s="42">
        <v>4.7668750000000003E-2</v>
      </c>
      <c r="H88" s="29" t="s">
        <v>143</v>
      </c>
    </row>
    <row r="89" spans="1:8" ht="12.75" customHeight="1" x14ac:dyDescent="0.2">
      <c r="A89" s="39"/>
      <c r="B89" s="39"/>
      <c r="C89" s="43"/>
      <c r="D89" s="39"/>
      <c r="E89" s="39"/>
      <c r="F89" s="44"/>
      <c r="G89" s="44"/>
      <c r="H89" s="29" t="s">
        <v>143</v>
      </c>
    </row>
    <row r="90" spans="1:8" ht="12.75" customHeight="1" x14ac:dyDescent="0.2">
      <c r="A90" s="39"/>
      <c r="B90" s="39"/>
      <c r="C90" s="40" t="s">
        <v>162</v>
      </c>
      <c r="D90" s="39"/>
      <c r="E90" s="39"/>
      <c r="F90" s="41">
        <v>172.20148099900001</v>
      </c>
      <c r="G90" s="42">
        <v>4.7668750000000003E-2</v>
      </c>
      <c r="H90" s="29" t="s">
        <v>143</v>
      </c>
    </row>
    <row r="91" spans="1:8" ht="12.75" customHeight="1" x14ac:dyDescent="0.2">
      <c r="A91" s="39"/>
      <c r="B91" s="39"/>
      <c r="C91" s="44"/>
      <c r="D91" s="39"/>
      <c r="E91" s="39"/>
      <c r="F91" s="39"/>
      <c r="G91" s="39"/>
      <c r="H91" s="29" t="s">
        <v>143</v>
      </c>
    </row>
    <row r="92" spans="1:8" ht="12.75" customHeight="1" x14ac:dyDescent="0.2">
      <c r="A92" s="39"/>
      <c r="B92" s="39"/>
      <c r="C92" s="40" t="s">
        <v>163</v>
      </c>
      <c r="D92" s="39"/>
      <c r="E92" s="39"/>
      <c r="F92" s="39"/>
      <c r="G92" s="39"/>
      <c r="H92" s="29" t="s">
        <v>143</v>
      </c>
    </row>
    <row r="93" spans="1:8" ht="12.75" customHeight="1" x14ac:dyDescent="0.2">
      <c r="A93" s="39"/>
      <c r="B93" s="39"/>
      <c r="C93" s="40" t="s">
        <v>164</v>
      </c>
      <c r="D93" s="39"/>
      <c r="E93" s="39"/>
      <c r="F93" s="39"/>
      <c r="G93" s="39"/>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165</v>
      </c>
      <c r="D96" s="39"/>
      <c r="E96" s="39"/>
      <c r="F96" s="39"/>
      <c r="G96" s="39"/>
      <c r="H96" s="29" t="s">
        <v>143</v>
      </c>
    </row>
    <row r="97" spans="1:17" ht="12.75" customHeight="1" x14ac:dyDescent="0.2">
      <c r="A97" s="39"/>
      <c r="B97" s="39"/>
      <c r="C97" s="40" t="s">
        <v>166</v>
      </c>
      <c r="D97" s="39"/>
      <c r="E97" s="39"/>
      <c r="F97" s="39"/>
      <c r="G97" s="39"/>
      <c r="H97" s="29" t="s">
        <v>143</v>
      </c>
    </row>
    <row r="98" spans="1:17" ht="12.75" customHeight="1" x14ac:dyDescent="0.2">
      <c r="A98" s="39"/>
      <c r="B98" s="39"/>
      <c r="C98" s="40" t="s">
        <v>142</v>
      </c>
      <c r="D98" s="39"/>
      <c r="E98" s="39" t="s">
        <v>143</v>
      </c>
      <c r="F98" s="45" t="s">
        <v>145</v>
      </c>
      <c r="G98" s="42">
        <v>0</v>
      </c>
      <c r="H98" s="29" t="s">
        <v>143</v>
      </c>
    </row>
    <row r="99" spans="1:17" ht="12.75" customHeight="1" x14ac:dyDescent="0.2">
      <c r="A99" s="39"/>
      <c r="B99" s="39"/>
      <c r="C99" s="43"/>
      <c r="D99" s="39"/>
      <c r="E99" s="39"/>
      <c r="F99" s="44"/>
      <c r="G99" s="44"/>
      <c r="H99" s="29" t="s">
        <v>143</v>
      </c>
    </row>
    <row r="100" spans="1:17" ht="12.75" customHeight="1" x14ac:dyDescent="0.2">
      <c r="A100" s="39"/>
      <c r="B100" s="39"/>
      <c r="C100" s="40" t="s">
        <v>167</v>
      </c>
      <c r="D100" s="39"/>
      <c r="E100" s="39"/>
      <c r="F100" s="44"/>
      <c r="G100" s="44"/>
      <c r="H100" s="29" t="s">
        <v>143</v>
      </c>
    </row>
    <row r="101" spans="1:17" ht="12.75" customHeight="1" x14ac:dyDescent="0.2">
      <c r="A101" s="39"/>
      <c r="B101" s="39"/>
      <c r="C101" s="40" t="s">
        <v>142</v>
      </c>
      <c r="D101" s="39"/>
      <c r="E101" s="39" t="s">
        <v>143</v>
      </c>
      <c r="F101" s="45" t="s">
        <v>145</v>
      </c>
      <c r="G101" s="42">
        <v>0</v>
      </c>
      <c r="H101" s="29" t="s">
        <v>143</v>
      </c>
    </row>
    <row r="102" spans="1:17" ht="12.75" customHeight="1" x14ac:dyDescent="0.2">
      <c r="A102" s="39"/>
      <c r="B102" s="39"/>
      <c r="C102" s="43"/>
      <c r="D102" s="39"/>
      <c r="E102" s="39"/>
      <c r="F102" s="44"/>
      <c r="G102" s="44"/>
      <c r="H102" s="29" t="s">
        <v>143</v>
      </c>
    </row>
    <row r="103" spans="1:17" ht="12.75" customHeight="1" x14ac:dyDescent="0.2">
      <c r="A103" s="46"/>
      <c r="B103" s="22"/>
      <c r="C103" s="22" t="s">
        <v>168</v>
      </c>
      <c r="D103" s="22"/>
      <c r="E103" s="46"/>
      <c r="F103" s="37">
        <v>-1.01603595</v>
      </c>
      <c r="G103" s="38">
        <v>-2.8125999999999997E-4</v>
      </c>
      <c r="H103" s="29" t="s">
        <v>143</v>
      </c>
    </row>
    <row r="104" spans="1:17" ht="12.75" customHeight="1" x14ac:dyDescent="0.2">
      <c r="A104" s="43"/>
      <c r="B104" s="43"/>
      <c r="C104" s="40" t="s">
        <v>169</v>
      </c>
      <c r="D104" s="44"/>
      <c r="E104" s="44"/>
      <c r="F104" s="41">
        <v>3612.4609575489999</v>
      </c>
      <c r="G104" s="47">
        <v>1.00000003</v>
      </c>
      <c r="H104" s="29" t="s">
        <v>143</v>
      </c>
    </row>
    <row r="105" spans="1:17" ht="12.75" customHeight="1" x14ac:dyDescent="0.2">
      <c r="A105" s="48"/>
      <c r="B105" s="48"/>
      <c r="C105" s="49"/>
      <c r="D105" s="50"/>
      <c r="E105" s="50"/>
      <c r="F105" s="51"/>
      <c r="G105" s="52"/>
      <c r="H105" s="53"/>
    </row>
    <row r="106" spans="1:17" x14ac:dyDescent="0.2">
      <c r="A106" s="54"/>
      <c r="B106" s="243" t="s">
        <v>945</v>
      </c>
      <c r="C106" s="243"/>
      <c r="D106" s="243"/>
      <c r="E106" s="243"/>
      <c r="F106" s="243"/>
      <c r="G106" s="243"/>
      <c r="H106" s="243"/>
      <c r="J106" s="56"/>
    </row>
    <row r="107" spans="1:17" x14ac:dyDescent="0.2">
      <c r="A107" s="54"/>
      <c r="B107" s="243" t="s">
        <v>946</v>
      </c>
      <c r="C107" s="243"/>
      <c r="D107" s="243"/>
      <c r="E107" s="243"/>
      <c r="F107" s="243"/>
      <c r="G107" s="243"/>
      <c r="H107" s="243"/>
      <c r="J107" s="56"/>
    </row>
    <row r="108" spans="1:17" x14ac:dyDescent="0.2">
      <c r="A108" s="54"/>
      <c r="B108" s="243" t="s">
        <v>947</v>
      </c>
      <c r="C108" s="243"/>
      <c r="D108" s="243"/>
      <c r="E108" s="243"/>
      <c r="F108" s="243"/>
      <c r="G108" s="243"/>
      <c r="H108" s="243"/>
      <c r="J108" s="56"/>
    </row>
    <row r="109" spans="1:17" s="58" customFormat="1" ht="66.75" customHeight="1" x14ac:dyDescent="0.25">
      <c r="A109" s="57"/>
      <c r="B109" s="244" t="s">
        <v>948</v>
      </c>
      <c r="C109" s="244"/>
      <c r="D109" s="244"/>
      <c r="E109" s="244"/>
      <c r="F109" s="244"/>
      <c r="G109" s="244"/>
      <c r="H109" s="244"/>
      <c r="I109"/>
      <c r="J109" s="56"/>
      <c r="K109"/>
      <c r="L109"/>
      <c r="M109"/>
      <c r="N109"/>
      <c r="O109"/>
      <c r="P109"/>
      <c r="Q109"/>
    </row>
    <row r="110" spans="1:17" x14ac:dyDescent="0.2">
      <c r="A110" s="54"/>
      <c r="B110" s="243" t="s">
        <v>949</v>
      </c>
      <c r="C110" s="243"/>
      <c r="D110" s="243"/>
      <c r="E110" s="243"/>
      <c r="F110" s="243"/>
      <c r="G110" s="243"/>
      <c r="H110" s="243"/>
      <c r="J110" s="56"/>
    </row>
    <row r="111" spans="1:17" x14ac:dyDescent="0.2">
      <c r="A111" s="54"/>
      <c r="B111" s="54"/>
      <c r="C111" s="54"/>
      <c r="D111" s="59"/>
      <c r="E111" s="59"/>
      <c r="F111" s="59"/>
      <c r="G111" s="59"/>
    </row>
    <row r="112" spans="1:17" x14ac:dyDescent="0.2">
      <c r="A112" s="54"/>
      <c r="B112" s="247" t="s">
        <v>170</v>
      </c>
      <c r="C112" s="248"/>
      <c r="D112" s="249"/>
      <c r="E112" s="60"/>
      <c r="F112" s="59"/>
      <c r="G112" s="59"/>
    </row>
    <row r="113" spans="1:10" ht="27.75" customHeight="1" x14ac:dyDescent="0.2">
      <c r="A113" s="54"/>
      <c r="B113" s="240" t="s">
        <v>171</v>
      </c>
      <c r="C113" s="241"/>
      <c r="D113" s="28" t="s">
        <v>172</v>
      </c>
      <c r="E113" s="60"/>
      <c r="F113" s="59"/>
      <c r="G113" s="59"/>
    </row>
    <row r="114" spans="1:10" ht="12.75" customHeight="1" x14ac:dyDescent="0.2">
      <c r="A114" s="54"/>
      <c r="B114" s="240" t="s">
        <v>950</v>
      </c>
      <c r="C114" s="241"/>
      <c r="D114" s="28" t="s">
        <v>172</v>
      </c>
      <c r="E114" s="60"/>
      <c r="F114" s="59"/>
      <c r="G114" s="59"/>
    </row>
    <row r="115" spans="1:10" x14ac:dyDescent="0.2">
      <c r="A115" s="54"/>
      <c r="B115" s="240" t="s">
        <v>173</v>
      </c>
      <c r="C115" s="241"/>
      <c r="D115" s="61" t="s">
        <v>143</v>
      </c>
      <c r="E115" s="60"/>
      <c r="F115" s="59"/>
      <c r="G115" s="59"/>
    </row>
    <row r="116" spans="1:10" x14ac:dyDescent="0.2">
      <c r="A116" s="62"/>
      <c r="B116" s="63" t="s">
        <v>143</v>
      </c>
      <c r="C116" s="63" t="s">
        <v>951</v>
      </c>
      <c r="D116" s="63" t="s">
        <v>174</v>
      </c>
      <c r="E116" s="62"/>
      <c r="F116" s="62"/>
      <c r="G116" s="62"/>
      <c r="H116" s="62"/>
      <c r="J116" s="56"/>
    </row>
    <row r="117" spans="1:10" x14ac:dyDescent="0.2">
      <c r="A117" s="62"/>
      <c r="B117" s="64" t="s">
        <v>175</v>
      </c>
      <c r="C117" s="65">
        <v>45900</v>
      </c>
      <c r="D117" s="65">
        <v>45930</v>
      </c>
      <c r="E117" s="62"/>
      <c r="F117" s="62"/>
      <c r="G117" s="62"/>
      <c r="J117" s="56"/>
    </row>
    <row r="118" spans="1:10" ht="12.75" customHeight="1" x14ac:dyDescent="0.2">
      <c r="A118" s="66"/>
      <c r="B118" s="67" t="s">
        <v>176</v>
      </c>
      <c r="C118" s="68">
        <v>27.290099999999999</v>
      </c>
      <c r="D118" s="68">
        <v>27.473099999999999</v>
      </c>
      <c r="E118" s="66"/>
      <c r="F118" s="69"/>
      <c r="G118" s="70"/>
    </row>
    <row r="119" spans="1:10" ht="12.75" customHeight="1" x14ac:dyDescent="0.2">
      <c r="A119" s="66"/>
      <c r="B119" s="67" t="s">
        <v>1085</v>
      </c>
      <c r="C119" s="68">
        <v>26.413</v>
      </c>
      <c r="D119" s="68">
        <v>26.5901</v>
      </c>
      <c r="E119" s="66"/>
      <c r="F119" s="69"/>
      <c r="G119" s="70"/>
    </row>
    <row r="120" spans="1:10" ht="12.75" customHeight="1" x14ac:dyDescent="0.2">
      <c r="A120" s="66"/>
      <c r="B120" s="67" t="s">
        <v>177</v>
      </c>
      <c r="C120" s="68">
        <v>26.023900000000001</v>
      </c>
      <c r="D120" s="68">
        <v>26.193200000000001</v>
      </c>
      <c r="E120" s="66"/>
      <c r="F120" s="69"/>
      <c r="G120" s="70"/>
    </row>
    <row r="121" spans="1:10" ht="12.75" customHeight="1" x14ac:dyDescent="0.2">
      <c r="A121" s="66"/>
      <c r="B121" s="67" t="s">
        <v>1086</v>
      </c>
      <c r="C121" s="68">
        <v>25.150400000000001</v>
      </c>
      <c r="D121" s="68">
        <v>25.3141</v>
      </c>
      <c r="E121" s="66"/>
      <c r="F121" s="69"/>
      <c r="G121" s="70"/>
    </row>
    <row r="122" spans="1:10" ht="12.75" customHeight="1" x14ac:dyDescent="0.2">
      <c r="A122" s="66"/>
      <c r="B122" s="66"/>
      <c r="C122" s="66"/>
      <c r="D122" s="66"/>
      <c r="E122" s="66"/>
      <c r="F122" s="66"/>
      <c r="G122" s="66"/>
    </row>
    <row r="123" spans="1:10" x14ac:dyDescent="0.2">
      <c r="A123" s="62"/>
      <c r="B123" s="245" t="s">
        <v>952</v>
      </c>
      <c r="C123" s="246"/>
      <c r="D123" s="71" t="s">
        <v>172</v>
      </c>
      <c r="E123" s="62"/>
      <c r="F123" s="62"/>
      <c r="G123" s="62"/>
    </row>
    <row r="124" spans="1:10" x14ac:dyDescent="0.2">
      <c r="A124" s="72"/>
      <c r="B124" s="73"/>
      <c r="C124" s="73"/>
      <c r="D124" s="73"/>
      <c r="E124" s="72"/>
      <c r="F124" s="72"/>
      <c r="G124" s="72"/>
    </row>
    <row r="125" spans="1:10" x14ac:dyDescent="0.2">
      <c r="A125" s="72"/>
      <c r="B125" s="240" t="s">
        <v>178</v>
      </c>
      <c r="C125" s="241"/>
      <c r="D125" s="28" t="s">
        <v>172</v>
      </c>
      <c r="E125" s="74"/>
      <c r="F125" s="72"/>
      <c r="G125" s="72"/>
    </row>
    <row r="126" spans="1:10" x14ac:dyDescent="0.2">
      <c r="A126" s="72"/>
      <c r="B126" s="240" t="s">
        <v>179</v>
      </c>
      <c r="C126" s="241"/>
      <c r="D126" s="28" t="s">
        <v>172</v>
      </c>
      <c r="E126" s="74"/>
      <c r="F126" s="72"/>
      <c r="G126" s="72"/>
    </row>
    <row r="127" spans="1:10" x14ac:dyDescent="0.2">
      <c r="A127" s="72"/>
      <c r="B127" s="240" t="s">
        <v>180</v>
      </c>
      <c r="C127" s="241"/>
      <c r="D127" s="28" t="s">
        <v>172</v>
      </c>
      <c r="E127" s="74"/>
      <c r="F127" s="72"/>
      <c r="G127" s="72"/>
    </row>
    <row r="128" spans="1:10" x14ac:dyDescent="0.2">
      <c r="A128" s="72"/>
      <c r="B128" s="240" t="s">
        <v>181</v>
      </c>
      <c r="C128" s="241"/>
      <c r="D128" s="75">
        <v>6.4796752116649703E-2</v>
      </c>
      <c r="E128" s="72"/>
      <c r="F128" s="55"/>
      <c r="G128" s="76"/>
    </row>
    <row r="129" spans="2:10" x14ac:dyDescent="0.2"/>
    <row r="130" spans="2:10" x14ac:dyDescent="0.2">
      <c r="B130" s="239" t="s">
        <v>953</v>
      </c>
      <c r="C130" s="239"/>
    </row>
    <row r="131" spans="2:10" x14ac:dyDescent="0.2"/>
    <row r="132" spans="2:10" ht="153.75" customHeight="1" x14ac:dyDescent="0.2"/>
    <row r="133" spans="2:10" x14ac:dyDescent="0.2"/>
    <row r="134" spans="2:10" x14ac:dyDescent="0.2"/>
    <row r="135" spans="2:10" x14ac:dyDescent="0.2">
      <c r="B135" s="77" t="s">
        <v>954</v>
      </c>
      <c r="C135" s="78"/>
      <c r="D135" s="77"/>
    </row>
    <row r="136" spans="2:10" x14ac:dyDescent="0.2">
      <c r="B136" s="77" t="s">
        <v>966</v>
      </c>
      <c r="D136" s="77"/>
    </row>
    <row r="137" spans="2:10" ht="165" customHeight="1" x14ac:dyDescent="0.2"/>
    <row r="138" spans="2:10" x14ac:dyDescent="0.2">
      <c r="J138" s="26"/>
    </row>
    <row r="139" spans="2:10" x14ac:dyDescent="0.2"/>
    <row r="140" spans="2:10" x14ac:dyDescent="0.2"/>
    <row r="141" spans="2:10" x14ac:dyDescent="0.2"/>
    <row r="142" spans="2:10" x14ac:dyDescent="0.2"/>
    <row r="143" spans="2:10" x14ac:dyDescent="0.2"/>
    <row r="144" spans="2:10" x14ac:dyDescent="0.2"/>
  </sheetData>
  <mergeCells count="18">
    <mergeCell ref="B112:D112"/>
    <mergeCell ref="B113:C113"/>
    <mergeCell ref="B130:C130"/>
    <mergeCell ref="B128:C128"/>
    <mergeCell ref="A1:H1"/>
    <mergeCell ref="A2:H2"/>
    <mergeCell ref="A3:H3"/>
    <mergeCell ref="B127:C127"/>
    <mergeCell ref="B106:H106"/>
    <mergeCell ref="B107:H107"/>
    <mergeCell ref="B114:C114"/>
    <mergeCell ref="B115:C115"/>
    <mergeCell ref="B125:C125"/>
    <mergeCell ref="B126:C126"/>
    <mergeCell ref="B108:H108"/>
    <mergeCell ref="B109:H109"/>
    <mergeCell ref="B110:H110"/>
    <mergeCell ref="B123:C123"/>
  </mergeCells>
  <hyperlinks>
    <hyperlink ref="I1" location="Index!B2" display="Index" xr:uid="{9FD98DA2-8D3D-4DBA-A488-0D5AAD01D1B0}"/>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905F-2EB5-4C9C-996F-3C431202A773}">
  <sheetPr>
    <outlinePr summaryBelow="0" summaryRight="0"/>
  </sheetPr>
  <dimension ref="A1:Q172"/>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7.7109375" bestFit="1" customWidth="1"/>
    <col min="5" max="5" width="15.85546875"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451</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354</v>
      </c>
      <c r="C7" s="22" t="s">
        <v>355</v>
      </c>
      <c r="D7" s="22" t="s">
        <v>188</v>
      </c>
      <c r="E7" s="36">
        <v>1898655</v>
      </c>
      <c r="F7" s="37">
        <v>11903.617522500001</v>
      </c>
      <c r="G7" s="38">
        <v>3.5633699999999997E-2</v>
      </c>
      <c r="H7" s="29" t="s">
        <v>143</v>
      </c>
    </row>
    <row r="8" spans="1:9" ht="12.75" customHeight="1" x14ac:dyDescent="0.2">
      <c r="A8" s="35">
        <v>2</v>
      </c>
      <c r="B8" s="22" t="s">
        <v>341</v>
      </c>
      <c r="C8" s="22" t="s">
        <v>342</v>
      </c>
      <c r="D8" s="22" t="s">
        <v>259</v>
      </c>
      <c r="E8" s="36">
        <v>530036</v>
      </c>
      <c r="F8" s="37">
        <v>10323.511172</v>
      </c>
      <c r="G8" s="38">
        <v>3.090362E-2</v>
      </c>
      <c r="H8" s="29" t="s">
        <v>143</v>
      </c>
    </row>
    <row r="9" spans="1:9" ht="12.75" customHeight="1" x14ac:dyDescent="0.2">
      <c r="A9" s="35">
        <v>3</v>
      </c>
      <c r="B9" s="22" t="s">
        <v>84</v>
      </c>
      <c r="C9" s="22" t="s">
        <v>85</v>
      </c>
      <c r="D9" s="22" t="s">
        <v>41</v>
      </c>
      <c r="E9" s="36">
        <v>140821</v>
      </c>
      <c r="F9" s="37">
        <v>9566.6746349999994</v>
      </c>
      <c r="G9" s="38">
        <v>2.863802E-2</v>
      </c>
      <c r="H9" s="29" t="s">
        <v>143</v>
      </c>
    </row>
    <row r="10" spans="1:9" ht="12.75" customHeight="1" x14ac:dyDescent="0.2">
      <c r="A10" s="35">
        <v>4</v>
      </c>
      <c r="B10" s="22" t="s">
        <v>356</v>
      </c>
      <c r="C10" s="22" t="s">
        <v>357</v>
      </c>
      <c r="D10" s="22" t="s">
        <v>46</v>
      </c>
      <c r="E10" s="36">
        <v>431921</v>
      </c>
      <c r="F10" s="37">
        <v>9451.7272429999994</v>
      </c>
      <c r="G10" s="38">
        <v>2.829392E-2</v>
      </c>
      <c r="H10" s="29" t="s">
        <v>143</v>
      </c>
    </row>
    <row r="11" spans="1:9" ht="12.75" customHeight="1" x14ac:dyDescent="0.2">
      <c r="A11" s="35">
        <v>5</v>
      </c>
      <c r="B11" s="22" t="s">
        <v>39</v>
      </c>
      <c r="C11" s="22" t="s">
        <v>40</v>
      </c>
      <c r="D11" s="22" t="s">
        <v>41</v>
      </c>
      <c r="E11" s="36">
        <v>641783</v>
      </c>
      <c r="F11" s="37">
        <v>9321.256292</v>
      </c>
      <c r="G11" s="38">
        <v>2.790335E-2</v>
      </c>
      <c r="H11" s="29" t="s">
        <v>143</v>
      </c>
    </row>
    <row r="12" spans="1:9" ht="12.75" customHeight="1" x14ac:dyDescent="0.2">
      <c r="A12" s="35">
        <v>6</v>
      </c>
      <c r="B12" s="22" t="s">
        <v>452</v>
      </c>
      <c r="C12" s="22" t="s">
        <v>453</v>
      </c>
      <c r="D12" s="22" t="s">
        <v>454</v>
      </c>
      <c r="E12" s="36">
        <v>899463</v>
      </c>
      <c r="F12" s="37">
        <v>9223.9930650000006</v>
      </c>
      <c r="G12" s="38">
        <v>2.7612190000000002E-2</v>
      </c>
      <c r="H12" s="29" t="s">
        <v>143</v>
      </c>
    </row>
    <row r="13" spans="1:9" ht="12.75" customHeight="1" x14ac:dyDescent="0.2">
      <c r="A13" s="35">
        <v>7</v>
      </c>
      <c r="B13" s="22" t="s">
        <v>368</v>
      </c>
      <c r="C13" s="22" t="s">
        <v>369</v>
      </c>
      <c r="D13" s="22" t="s">
        <v>215</v>
      </c>
      <c r="E13" s="36">
        <v>1407678</v>
      </c>
      <c r="F13" s="37">
        <v>9076.0039049999996</v>
      </c>
      <c r="G13" s="38">
        <v>2.7169189999999999E-2</v>
      </c>
      <c r="H13" s="29" t="s">
        <v>143</v>
      </c>
    </row>
    <row r="14" spans="1:9" ht="12.75" customHeight="1" x14ac:dyDescent="0.2">
      <c r="A14" s="35">
        <v>8</v>
      </c>
      <c r="B14" s="22" t="s">
        <v>394</v>
      </c>
      <c r="C14" s="22" t="s">
        <v>395</v>
      </c>
      <c r="D14" s="22" t="s">
        <v>191</v>
      </c>
      <c r="E14" s="36">
        <v>991559</v>
      </c>
      <c r="F14" s="37">
        <v>8563.1035240000001</v>
      </c>
      <c r="G14" s="38">
        <v>2.563381E-2</v>
      </c>
      <c r="H14" s="29" t="s">
        <v>143</v>
      </c>
    </row>
    <row r="15" spans="1:9" ht="12.75" customHeight="1" x14ac:dyDescent="0.2">
      <c r="A15" s="35">
        <v>9</v>
      </c>
      <c r="B15" s="22" t="s">
        <v>360</v>
      </c>
      <c r="C15" s="22" t="s">
        <v>361</v>
      </c>
      <c r="D15" s="22" t="s">
        <v>33</v>
      </c>
      <c r="E15" s="36">
        <v>16665062</v>
      </c>
      <c r="F15" s="37">
        <v>7724.2562369999996</v>
      </c>
      <c r="G15" s="38">
        <v>2.31227E-2</v>
      </c>
      <c r="H15" s="29" t="s">
        <v>143</v>
      </c>
    </row>
    <row r="16" spans="1:9" ht="12.75" customHeight="1" x14ac:dyDescent="0.2">
      <c r="A16" s="35">
        <v>10</v>
      </c>
      <c r="B16" s="22" t="s">
        <v>385</v>
      </c>
      <c r="C16" s="22" t="s">
        <v>386</v>
      </c>
      <c r="D16" s="22" t="s">
        <v>191</v>
      </c>
      <c r="E16" s="36">
        <v>395668</v>
      </c>
      <c r="F16" s="37">
        <v>7458.3418000000001</v>
      </c>
      <c r="G16" s="38">
        <v>2.2326680000000002E-2</v>
      </c>
      <c r="H16" s="29" t="s">
        <v>143</v>
      </c>
    </row>
    <row r="17" spans="1:8" ht="12.75" customHeight="1" x14ac:dyDescent="0.2">
      <c r="A17" s="35">
        <v>11</v>
      </c>
      <c r="B17" s="22" t="s">
        <v>455</v>
      </c>
      <c r="C17" s="22" t="s">
        <v>456</v>
      </c>
      <c r="D17" s="22" t="s">
        <v>28</v>
      </c>
      <c r="E17" s="36">
        <v>399900</v>
      </c>
      <c r="F17" s="37">
        <v>7403.7485999999999</v>
      </c>
      <c r="G17" s="38">
        <v>2.2163260000000001E-2</v>
      </c>
      <c r="H17" s="29" t="s">
        <v>143</v>
      </c>
    </row>
    <row r="18" spans="1:8" ht="12.75" customHeight="1" x14ac:dyDescent="0.2">
      <c r="A18" s="35">
        <v>12</v>
      </c>
      <c r="B18" s="22" t="s">
        <v>457</v>
      </c>
      <c r="C18" s="22" t="s">
        <v>458</v>
      </c>
      <c r="D18" s="22" t="s">
        <v>194</v>
      </c>
      <c r="E18" s="36">
        <v>44855</v>
      </c>
      <c r="F18" s="37">
        <v>6551.0727500000003</v>
      </c>
      <c r="G18" s="38">
        <v>1.9610760000000001E-2</v>
      </c>
      <c r="H18" s="29" t="s">
        <v>143</v>
      </c>
    </row>
    <row r="19" spans="1:8" ht="12.75" customHeight="1" x14ac:dyDescent="0.2">
      <c r="A19" s="35">
        <v>13</v>
      </c>
      <c r="B19" s="22" t="s">
        <v>231</v>
      </c>
      <c r="C19" s="22" t="s">
        <v>232</v>
      </c>
      <c r="D19" s="22" t="s">
        <v>206</v>
      </c>
      <c r="E19" s="36">
        <v>669376</v>
      </c>
      <c r="F19" s="37">
        <v>6367.1045119999999</v>
      </c>
      <c r="G19" s="38">
        <v>1.9060049999999999E-2</v>
      </c>
      <c r="H19" s="29" t="s">
        <v>143</v>
      </c>
    </row>
    <row r="20" spans="1:8" ht="12.75" customHeight="1" x14ac:dyDescent="0.2">
      <c r="A20" s="35">
        <v>14</v>
      </c>
      <c r="B20" s="22" t="s">
        <v>65</v>
      </c>
      <c r="C20" s="22" t="s">
        <v>66</v>
      </c>
      <c r="D20" s="22" t="s">
        <v>64</v>
      </c>
      <c r="E20" s="36">
        <v>718629</v>
      </c>
      <c r="F20" s="37">
        <v>5904.2558639999997</v>
      </c>
      <c r="G20" s="38">
        <v>1.7674499999999999E-2</v>
      </c>
      <c r="H20" s="29" t="s">
        <v>143</v>
      </c>
    </row>
    <row r="21" spans="1:8" ht="12.75" customHeight="1" x14ac:dyDescent="0.2">
      <c r="A21" s="35">
        <v>15</v>
      </c>
      <c r="B21" s="22" t="s">
        <v>459</v>
      </c>
      <c r="C21" s="22" t="s">
        <v>460</v>
      </c>
      <c r="D21" s="22" t="s">
        <v>33</v>
      </c>
      <c r="E21" s="36">
        <v>4603530</v>
      </c>
      <c r="F21" s="37">
        <v>5834.5139220000001</v>
      </c>
      <c r="G21" s="38">
        <v>1.7465729999999999E-2</v>
      </c>
      <c r="H21" s="29" t="s">
        <v>143</v>
      </c>
    </row>
    <row r="22" spans="1:8" ht="12.75" customHeight="1" x14ac:dyDescent="0.2">
      <c r="A22" s="35">
        <v>16</v>
      </c>
      <c r="B22" s="22" t="s">
        <v>364</v>
      </c>
      <c r="C22" s="22" t="s">
        <v>365</v>
      </c>
      <c r="D22" s="22" t="s">
        <v>46</v>
      </c>
      <c r="E22" s="36">
        <v>2131826</v>
      </c>
      <c r="F22" s="37">
        <v>5762.3256780000002</v>
      </c>
      <c r="G22" s="38">
        <v>1.7249629999999998E-2</v>
      </c>
      <c r="H22" s="29" t="s">
        <v>143</v>
      </c>
    </row>
    <row r="23" spans="1:8" ht="12.75" customHeight="1" x14ac:dyDescent="0.2">
      <c r="A23" s="35">
        <v>17</v>
      </c>
      <c r="B23" s="22" t="s">
        <v>362</v>
      </c>
      <c r="C23" s="22" t="s">
        <v>363</v>
      </c>
      <c r="D23" s="22" t="s">
        <v>33</v>
      </c>
      <c r="E23" s="36">
        <v>1535716</v>
      </c>
      <c r="F23" s="37">
        <v>5705.1849400000001</v>
      </c>
      <c r="G23" s="38">
        <v>1.7078579999999999E-2</v>
      </c>
      <c r="H23" s="29" t="s">
        <v>143</v>
      </c>
    </row>
    <row r="24" spans="1:8" ht="12.75" customHeight="1" x14ac:dyDescent="0.2">
      <c r="A24" s="35">
        <v>18</v>
      </c>
      <c r="B24" s="22" t="s">
        <v>51</v>
      </c>
      <c r="C24" s="22" t="s">
        <v>52</v>
      </c>
      <c r="D24" s="22" t="s">
        <v>53</v>
      </c>
      <c r="E24" s="36">
        <v>390188</v>
      </c>
      <c r="F24" s="37">
        <v>5476.2885800000004</v>
      </c>
      <c r="G24" s="38">
        <v>1.6393370000000001E-2</v>
      </c>
      <c r="H24" s="29" t="s">
        <v>143</v>
      </c>
    </row>
    <row r="25" spans="1:8" ht="12.75" customHeight="1" x14ac:dyDescent="0.2">
      <c r="A25" s="35">
        <v>19</v>
      </c>
      <c r="B25" s="22" t="s">
        <v>461</v>
      </c>
      <c r="C25" s="22" t="s">
        <v>462</v>
      </c>
      <c r="D25" s="22" t="s">
        <v>194</v>
      </c>
      <c r="E25" s="36">
        <v>115943</v>
      </c>
      <c r="F25" s="37">
        <v>5473.0893150000002</v>
      </c>
      <c r="G25" s="38">
        <v>1.6383789999999999E-2</v>
      </c>
      <c r="H25" s="29" t="s">
        <v>143</v>
      </c>
    </row>
    <row r="26" spans="1:8" ht="12.75" customHeight="1" x14ac:dyDescent="0.2">
      <c r="A26" s="35">
        <v>20</v>
      </c>
      <c r="B26" s="22" t="s">
        <v>463</v>
      </c>
      <c r="C26" s="22" t="s">
        <v>464</v>
      </c>
      <c r="D26" s="22" t="s">
        <v>203</v>
      </c>
      <c r="E26" s="36">
        <v>1184520</v>
      </c>
      <c r="F26" s="37">
        <v>5397.2653799999998</v>
      </c>
      <c r="G26" s="38">
        <v>1.6156810000000001E-2</v>
      </c>
      <c r="H26" s="29" t="s">
        <v>143</v>
      </c>
    </row>
    <row r="27" spans="1:8" ht="12.75" customHeight="1" x14ac:dyDescent="0.2">
      <c r="A27" s="35">
        <v>21</v>
      </c>
      <c r="B27" s="22" t="s">
        <v>374</v>
      </c>
      <c r="C27" s="22" t="s">
        <v>375</v>
      </c>
      <c r="D27" s="22" t="s">
        <v>33</v>
      </c>
      <c r="E27" s="36">
        <v>9377207</v>
      </c>
      <c r="F27" s="37">
        <v>5361.8869625999996</v>
      </c>
      <c r="G27" s="38">
        <v>1.6050910000000002E-2</v>
      </c>
      <c r="H27" s="29" t="s">
        <v>143</v>
      </c>
    </row>
    <row r="28" spans="1:8" ht="12.75" customHeight="1" x14ac:dyDescent="0.2">
      <c r="A28" s="35">
        <v>22</v>
      </c>
      <c r="B28" s="22" t="s">
        <v>88</v>
      </c>
      <c r="C28" s="22" t="s">
        <v>89</v>
      </c>
      <c r="D28" s="22" t="s">
        <v>90</v>
      </c>
      <c r="E28" s="36">
        <v>587660</v>
      </c>
      <c r="F28" s="37">
        <v>5265.7274299999999</v>
      </c>
      <c r="G28" s="38">
        <v>1.5763050000000001E-2</v>
      </c>
      <c r="H28" s="29" t="s">
        <v>143</v>
      </c>
    </row>
    <row r="29" spans="1:8" ht="12.75" customHeight="1" x14ac:dyDescent="0.2">
      <c r="A29" s="35">
        <v>23</v>
      </c>
      <c r="B29" s="22" t="s">
        <v>327</v>
      </c>
      <c r="C29" s="22" t="s">
        <v>328</v>
      </c>
      <c r="D29" s="22" t="s">
        <v>33</v>
      </c>
      <c r="E29" s="36">
        <v>449850</v>
      </c>
      <c r="F29" s="37">
        <v>5090.5025999999998</v>
      </c>
      <c r="G29" s="38">
        <v>1.523851E-2</v>
      </c>
      <c r="H29" s="29" t="s">
        <v>143</v>
      </c>
    </row>
    <row r="30" spans="1:8" ht="12.75" customHeight="1" x14ac:dyDescent="0.2">
      <c r="A30" s="35">
        <v>24</v>
      </c>
      <c r="B30" s="22" t="s">
        <v>392</v>
      </c>
      <c r="C30" s="22" t="s">
        <v>393</v>
      </c>
      <c r="D30" s="22" t="s">
        <v>206</v>
      </c>
      <c r="E30" s="36">
        <v>724141</v>
      </c>
      <c r="F30" s="37">
        <v>4979.1935160000003</v>
      </c>
      <c r="G30" s="38">
        <v>1.490531E-2</v>
      </c>
      <c r="H30" s="29" t="s">
        <v>143</v>
      </c>
    </row>
    <row r="31" spans="1:8" ht="12.75" customHeight="1" x14ac:dyDescent="0.2">
      <c r="A31" s="35">
        <v>25</v>
      </c>
      <c r="B31" s="22" t="s">
        <v>343</v>
      </c>
      <c r="C31" s="22" t="s">
        <v>344</v>
      </c>
      <c r="D31" s="22" t="s">
        <v>284</v>
      </c>
      <c r="E31" s="36">
        <v>1493974</v>
      </c>
      <c r="F31" s="37">
        <v>4862.88537</v>
      </c>
      <c r="G31" s="38">
        <v>1.455714E-2</v>
      </c>
      <c r="H31" s="29" t="s">
        <v>143</v>
      </c>
    </row>
    <row r="32" spans="1:8" ht="12.75" customHeight="1" x14ac:dyDescent="0.2">
      <c r="A32" s="35">
        <v>26</v>
      </c>
      <c r="B32" s="22" t="s">
        <v>378</v>
      </c>
      <c r="C32" s="22" t="s">
        <v>379</v>
      </c>
      <c r="D32" s="22" t="s">
        <v>223</v>
      </c>
      <c r="E32" s="36">
        <v>224785</v>
      </c>
      <c r="F32" s="37">
        <v>4793.5401250000004</v>
      </c>
      <c r="G32" s="38">
        <v>1.4349550000000001E-2</v>
      </c>
      <c r="H32" s="29" t="s">
        <v>143</v>
      </c>
    </row>
    <row r="33" spans="1:8" ht="12.75" customHeight="1" x14ac:dyDescent="0.2">
      <c r="A33" s="35">
        <v>27</v>
      </c>
      <c r="B33" s="22" t="s">
        <v>465</v>
      </c>
      <c r="C33" s="22" t="s">
        <v>466</v>
      </c>
      <c r="D33" s="22" t="s">
        <v>275</v>
      </c>
      <c r="E33" s="36">
        <v>917246</v>
      </c>
      <c r="F33" s="37">
        <v>4782.9792669999997</v>
      </c>
      <c r="G33" s="38">
        <v>1.4317939999999999E-2</v>
      </c>
      <c r="H33" s="29" t="s">
        <v>143</v>
      </c>
    </row>
    <row r="34" spans="1:8" ht="12.75" customHeight="1" x14ac:dyDescent="0.2">
      <c r="A34" s="35">
        <v>28</v>
      </c>
      <c r="B34" s="22" t="s">
        <v>467</v>
      </c>
      <c r="C34" s="22" t="s">
        <v>468</v>
      </c>
      <c r="D34" s="22" t="s">
        <v>41</v>
      </c>
      <c r="E34" s="36">
        <v>140438</v>
      </c>
      <c r="F34" s="37">
        <v>4751.5792920000004</v>
      </c>
      <c r="G34" s="38">
        <v>1.4223939999999999E-2</v>
      </c>
      <c r="H34" s="29" t="s">
        <v>143</v>
      </c>
    </row>
    <row r="35" spans="1:8" ht="12.75" customHeight="1" x14ac:dyDescent="0.2">
      <c r="A35" s="35">
        <v>29</v>
      </c>
      <c r="B35" s="22" t="s">
        <v>469</v>
      </c>
      <c r="C35" s="22" t="s">
        <v>470</v>
      </c>
      <c r="D35" s="22" t="s">
        <v>284</v>
      </c>
      <c r="E35" s="36">
        <v>356977</v>
      </c>
      <c r="F35" s="37">
        <v>4673.8998609999999</v>
      </c>
      <c r="G35" s="38">
        <v>1.3991409999999999E-2</v>
      </c>
      <c r="H35" s="29" t="s">
        <v>143</v>
      </c>
    </row>
    <row r="36" spans="1:8" ht="12.75" customHeight="1" x14ac:dyDescent="0.2">
      <c r="A36" s="35">
        <v>30</v>
      </c>
      <c r="B36" s="22" t="s">
        <v>471</v>
      </c>
      <c r="C36" s="22" t="s">
        <v>472</v>
      </c>
      <c r="D36" s="22" t="s">
        <v>188</v>
      </c>
      <c r="E36" s="36">
        <v>75317</v>
      </c>
      <c r="F36" s="37">
        <v>4619.1916099999999</v>
      </c>
      <c r="G36" s="38">
        <v>1.382764E-2</v>
      </c>
      <c r="H36" s="29" t="s">
        <v>143</v>
      </c>
    </row>
    <row r="37" spans="1:8" ht="12.75" customHeight="1" x14ac:dyDescent="0.2">
      <c r="A37" s="35">
        <v>31</v>
      </c>
      <c r="B37" s="22" t="s">
        <v>400</v>
      </c>
      <c r="C37" s="22" t="s">
        <v>401</v>
      </c>
      <c r="D37" s="22" t="s">
        <v>194</v>
      </c>
      <c r="E37" s="36">
        <v>561369</v>
      </c>
      <c r="F37" s="37">
        <v>4465.9710795000001</v>
      </c>
      <c r="G37" s="38">
        <v>1.3368970000000001E-2</v>
      </c>
      <c r="H37" s="29" t="s">
        <v>143</v>
      </c>
    </row>
    <row r="38" spans="1:8" ht="12.75" customHeight="1" x14ac:dyDescent="0.2">
      <c r="A38" s="35">
        <v>32</v>
      </c>
      <c r="B38" s="22" t="s">
        <v>390</v>
      </c>
      <c r="C38" s="22" t="s">
        <v>391</v>
      </c>
      <c r="D38" s="22" t="s">
        <v>64</v>
      </c>
      <c r="E38" s="36">
        <v>1005408</v>
      </c>
      <c r="F38" s="37">
        <v>4432.8438720000004</v>
      </c>
      <c r="G38" s="38">
        <v>1.32698E-2</v>
      </c>
      <c r="H38" s="29" t="s">
        <v>143</v>
      </c>
    </row>
    <row r="39" spans="1:8" ht="12.75" customHeight="1" x14ac:dyDescent="0.2">
      <c r="A39" s="35">
        <v>33</v>
      </c>
      <c r="B39" s="22" t="s">
        <v>14</v>
      </c>
      <c r="C39" s="22" t="s">
        <v>15</v>
      </c>
      <c r="D39" s="22" t="s">
        <v>16</v>
      </c>
      <c r="E39" s="36">
        <v>119155</v>
      </c>
      <c r="F39" s="37">
        <v>4359.8814499999999</v>
      </c>
      <c r="G39" s="38">
        <v>1.305139E-2</v>
      </c>
      <c r="H39" s="29" t="s">
        <v>143</v>
      </c>
    </row>
    <row r="40" spans="1:8" ht="12.75" customHeight="1" x14ac:dyDescent="0.2">
      <c r="A40" s="35">
        <v>34</v>
      </c>
      <c r="B40" s="22" t="s">
        <v>47</v>
      </c>
      <c r="C40" s="22" t="s">
        <v>48</v>
      </c>
      <c r="D40" s="22" t="s">
        <v>16</v>
      </c>
      <c r="E40" s="36">
        <v>337012</v>
      </c>
      <c r="F40" s="37">
        <v>4228.8265760000004</v>
      </c>
      <c r="G40" s="38">
        <v>1.265907E-2</v>
      </c>
      <c r="H40" s="29" t="s">
        <v>143</v>
      </c>
    </row>
    <row r="41" spans="1:8" ht="12.75" customHeight="1" x14ac:dyDescent="0.2">
      <c r="A41" s="35">
        <v>35</v>
      </c>
      <c r="B41" s="22" t="s">
        <v>473</v>
      </c>
      <c r="C41" s="22" t="s">
        <v>474</v>
      </c>
      <c r="D41" s="22" t="s">
        <v>138</v>
      </c>
      <c r="E41" s="36">
        <v>221768</v>
      </c>
      <c r="F41" s="37">
        <v>4193.8546480000005</v>
      </c>
      <c r="G41" s="38">
        <v>1.255438E-2</v>
      </c>
      <c r="H41" s="29" t="s">
        <v>143</v>
      </c>
    </row>
    <row r="42" spans="1:8" ht="12.75" customHeight="1" x14ac:dyDescent="0.2">
      <c r="A42" s="35">
        <v>36</v>
      </c>
      <c r="B42" s="22" t="s">
        <v>396</v>
      </c>
      <c r="C42" s="22" t="s">
        <v>397</v>
      </c>
      <c r="D42" s="22" t="s">
        <v>259</v>
      </c>
      <c r="E42" s="36">
        <v>1005471</v>
      </c>
      <c r="F42" s="37">
        <v>4029.927768</v>
      </c>
      <c r="G42" s="38">
        <v>1.206366E-2</v>
      </c>
      <c r="H42" s="29" t="s">
        <v>143</v>
      </c>
    </row>
    <row r="43" spans="1:8" ht="12.75" customHeight="1" x14ac:dyDescent="0.2">
      <c r="A43" s="35">
        <v>37</v>
      </c>
      <c r="B43" s="22" t="s">
        <v>475</v>
      </c>
      <c r="C43" s="22" t="s">
        <v>476</v>
      </c>
      <c r="D43" s="22" t="s">
        <v>477</v>
      </c>
      <c r="E43" s="36">
        <v>979380</v>
      </c>
      <c r="F43" s="37">
        <v>3953.7570599999999</v>
      </c>
      <c r="G43" s="38">
        <v>1.183565E-2</v>
      </c>
      <c r="H43" s="29" t="s">
        <v>143</v>
      </c>
    </row>
    <row r="44" spans="1:8" ht="12.75" customHeight="1" x14ac:dyDescent="0.2">
      <c r="A44" s="35">
        <v>38</v>
      </c>
      <c r="B44" s="22" t="s">
        <v>437</v>
      </c>
      <c r="C44" s="22" t="s">
        <v>438</v>
      </c>
      <c r="D44" s="22" t="s">
        <v>25</v>
      </c>
      <c r="E44" s="36">
        <v>323581</v>
      </c>
      <c r="F44" s="37">
        <v>3945.7467139999999</v>
      </c>
      <c r="G44" s="38">
        <v>1.181167E-2</v>
      </c>
      <c r="H44" s="29" t="s">
        <v>143</v>
      </c>
    </row>
    <row r="45" spans="1:8" ht="12.75" customHeight="1" x14ac:dyDescent="0.2">
      <c r="A45" s="35">
        <v>39</v>
      </c>
      <c r="B45" s="22" t="s">
        <v>295</v>
      </c>
      <c r="C45" s="22" t="s">
        <v>296</v>
      </c>
      <c r="D45" s="22" t="s">
        <v>75</v>
      </c>
      <c r="E45" s="36">
        <v>1234878</v>
      </c>
      <c r="F45" s="37">
        <v>3822.5648489999999</v>
      </c>
      <c r="G45" s="38">
        <v>1.1442920000000001E-2</v>
      </c>
      <c r="H45" s="29" t="s">
        <v>143</v>
      </c>
    </row>
    <row r="46" spans="1:8" ht="12.75" customHeight="1" x14ac:dyDescent="0.2">
      <c r="A46" s="35">
        <v>40</v>
      </c>
      <c r="B46" s="22" t="s">
        <v>478</v>
      </c>
      <c r="C46" s="22" t="s">
        <v>479</v>
      </c>
      <c r="D46" s="22" t="s">
        <v>223</v>
      </c>
      <c r="E46" s="36">
        <v>142505</v>
      </c>
      <c r="F46" s="37">
        <v>3674.63393</v>
      </c>
      <c r="G46" s="38">
        <v>1.1000080000000001E-2</v>
      </c>
      <c r="H46" s="29" t="s">
        <v>143</v>
      </c>
    </row>
    <row r="47" spans="1:8" ht="12.75" customHeight="1" x14ac:dyDescent="0.2">
      <c r="A47" s="35">
        <v>41</v>
      </c>
      <c r="B47" s="22" t="s">
        <v>480</v>
      </c>
      <c r="C47" s="22" t="s">
        <v>481</v>
      </c>
      <c r="D47" s="22" t="s">
        <v>270</v>
      </c>
      <c r="E47" s="36">
        <v>243156</v>
      </c>
      <c r="F47" s="37">
        <v>3648.5557800000001</v>
      </c>
      <c r="G47" s="38">
        <v>1.0922019999999999E-2</v>
      </c>
      <c r="H47" s="29" t="s">
        <v>143</v>
      </c>
    </row>
    <row r="48" spans="1:8" ht="12.75" customHeight="1" x14ac:dyDescent="0.2">
      <c r="A48" s="35">
        <v>42</v>
      </c>
      <c r="B48" s="22" t="s">
        <v>291</v>
      </c>
      <c r="C48" s="22" t="s">
        <v>292</v>
      </c>
      <c r="D48" s="22" t="s">
        <v>254</v>
      </c>
      <c r="E48" s="36">
        <v>675223</v>
      </c>
      <c r="F48" s="37">
        <v>3634.3877975</v>
      </c>
      <c r="G48" s="38">
        <v>1.087961E-2</v>
      </c>
      <c r="H48" s="29" t="s">
        <v>143</v>
      </c>
    </row>
    <row r="49" spans="1:8" ht="12.75" customHeight="1" x14ac:dyDescent="0.2">
      <c r="A49" s="35">
        <v>43</v>
      </c>
      <c r="B49" s="22" t="s">
        <v>482</v>
      </c>
      <c r="C49" s="22" t="s">
        <v>483</v>
      </c>
      <c r="D49" s="22" t="s">
        <v>259</v>
      </c>
      <c r="E49" s="36">
        <v>314897</v>
      </c>
      <c r="F49" s="37">
        <v>3609.3494139999998</v>
      </c>
      <c r="G49" s="38">
        <v>1.0804650000000001E-2</v>
      </c>
      <c r="H49" s="29" t="s">
        <v>143</v>
      </c>
    </row>
    <row r="50" spans="1:8" ht="12.75" customHeight="1" x14ac:dyDescent="0.2">
      <c r="A50" s="35">
        <v>44</v>
      </c>
      <c r="B50" s="22" t="s">
        <v>80</v>
      </c>
      <c r="C50" s="22" t="s">
        <v>81</v>
      </c>
      <c r="D50" s="22" t="s">
        <v>38</v>
      </c>
      <c r="E50" s="36">
        <v>607337</v>
      </c>
      <c r="F50" s="37">
        <v>3588.4506645000001</v>
      </c>
      <c r="G50" s="38">
        <v>1.0742089999999999E-2</v>
      </c>
      <c r="H50" s="29" t="s">
        <v>143</v>
      </c>
    </row>
    <row r="51" spans="1:8" ht="12.75" customHeight="1" x14ac:dyDescent="0.2">
      <c r="A51" s="35">
        <v>45</v>
      </c>
      <c r="B51" s="22" t="s">
        <v>446</v>
      </c>
      <c r="C51" s="22" t="s">
        <v>447</v>
      </c>
      <c r="D51" s="22" t="s">
        <v>64</v>
      </c>
      <c r="E51" s="36">
        <v>717054</v>
      </c>
      <c r="F51" s="37">
        <v>3585.27</v>
      </c>
      <c r="G51" s="38">
        <v>1.073257E-2</v>
      </c>
      <c r="H51" s="29" t="s">
        <v>143</v>
      </c>
    </row>
    <row r="52" spans="1:8" ht="12.75" customHeight="1" x14ac:dyDescent="0.2">
      <c r="A52" s="35">
        <v>46</v>
      </c>
      <c r="B52" s="22" t="s">
        <v>301</v>
      </c>
      <c r="C52" s="22" t="s">
        <v>302</v>
      </c>
      <c r="D52" s="22" t="s">
        <v>64</v>
      </c>
      <c r="E52" s="36">
        <v>74038</v>
      </c>
      <c r="F52" s="37">
        <v>3491.335928</v>
      </c>
      <c r="G52" s="38">
        <v>1.045138E-2</v>
      </c>
      <c r="H52" s="29" t="s">
        <v>143</v>
      </c>
    </row>
    <row r="53" spans="1:8" ht="12.75" customHeight="1" x14ac:dyDescent="0.2">
      <c r="A53" s="35">
        <v>47</v>
      </c>
      <c r="B53" s="22" t="s">
        <v>380</v>
      </c>
      <c r="C53" s="22" t="s">
        <v>381</v>
      </c>
      <c r="D53" s="22" t="s">
        <v>382</v>
      </c>
      <c r="E53" s="36">
        <v>305701</v>
      </c>
      <c r="F53" s="37">
        <v>3286.28575</v>
      </c>
      <c r="G53" s="38">
        <v>9.8375600000000004E-3</v>
      </c>
      <c r="H53" s="29" t="s">
        <v>143</v>
      </c>
    </row>
    <row r="54" spans="1:8" ht="12.75" customHeight="1" x14ac:dyDescent="0.2">
      <c r="A54" s="35">
        <v>48</v>
      </c>
      <c r="B54" s="22" t="s">
        <v>484</v>
      </c>
      <c r="C54" s="22" t="s">
        <v>485</v>
      </c>
      <c r="D54" s="22" t="s">
        <v>223</v>
      </c>
      <c r="E54" s="36">
        <v>251901</v>
      </c>
      <c r="F54" s="37">
        <v>3285.0409410000002</v>
      </c>
      <c r="G54" s="38">
        <v>9.83383E-3</v>
      </c>
      <c r="H54" s="29" t="s">
        <v>143</v>
      </c>
    </row>
    <row r="55" spans="1:8" ht="12.75" customHeight="1" x14ac:dyDescent="0.2">
      <c r="A55" s="35">
        <v>49</v>
      </c>
      <c r="B55" s="22" t="s">
        <v>406</v>
      </c>
      <c r="C55" s="22" t="s">
        <v>407</v>
      </c>
      <c r="D55" s="22" t="s">
        <v>408</v>
      </c>
      <c r="E55" s="36">
        <v>277133</v>
      </c>
      <c r="F55" s="37">
        <v>3265.1810059999998</v>
      </c>
      <c r="G55" s="38">
        <v>9.7743799999999992E-3</v>
      </c>
      <c r="H55" s="29" t="s">
        <v>143</v>
      </c>
    </row>
    <row r="56" spans="1:8" ht="12.75" customHeight="1" x14ac:dyDescent="0.2">
      <c r="A56" s="35">
        <v>50</v>
      </c>
      <c r="B56" s="22" t="s">
        <v>71</v>
      </c>
      <c r="C56" s="22" t="s">
        <v>72</v>
      </c>
      <c r="D56" s="22" t="s">
        <v>41</v>
      </c>
      <c r="E56" s="36">
        <v>24979</v>
      </c>
      <c r="F56" s="37">
        <v>3223.5399499999999</v>
      </c>
      <c r="G56" s="38">
        <v>9.6497300000000005E-3</v>
      </c>
      <c r="H56" s="29" t="s">
        <v>143</v>
      </c>
    </row>
    <row r="57" spans="1:8" ht="12.75" customHeight="1" x14ac:dyDescent="0.2">
      <c r="A57" s="35">
        <v>51</v>
      </c>
      <c r="B57" s="22" t="s">
        <v>486</v>
      </c>
      <c r="C57" s="22" t="s">
        <v>487</v>
      </c>
      <c r="D57" s="22" t="s">
        <v>46</v>
      </c>
      <c r="E57" s="36">
        <v>1603225</v>
      </c>
      <c r="F57" s="37">
        <v>3142.9622899999999</v>
      </c>
      <c r="G57" s="38">
        <v>9.4085200000000001E-3</v>
      </c>
      <c r="H57" s="29" t="s">
        <v>143</v>
      </c>
    </row>
    <row r="58" spans="1:8" ht="12.75" customHeight="1" x14ac:dyDescent="0.2">
      <c r="A58" s="35">
        <v>52</v>
      </c>
      <c r="B58" s="22" t="s">
        <v>44</v>
      </c>
      <c r="C58" s="22" t="s">
        <v>45</v>
      </c>
      <c r="D58" s="22" t="s">
        <v>46</v>
      </c>
      <c r="E58" s="36">
        <v>38742</v>
      </c>
      <c r="F58" s="37">
        <v>3133.8403800000001</v>
      </c>
      <c r="G58" s="38">
        <v>9.3812099999999992E-3</v>
      </c>
      <c r="H58" s="29" t="s">
        <v>143</v>
      </c>
    </row>
    <row r="59" spans="1:8" ht="12.75" customHeight="1" x14ac:dyDescent="0.2">
      <c r="A59" s="35">
        <v>53</v>
      </c>
      <c r="B59" s="22" t="s">
        <v>69</v>
      </c>
      <c r="C59" s="22" t="s">
        <v>70</v>
      </c>
      <c r="D59" s="22" t="s">
        <v>64</v>
      </c>
      <c r="E59" s="36">
        <v>60184</v>
      </c>
      <c r="F59" s="37">
        <v>2967.9739599999998</v>
      </c>
      <c r="G59" s="38">
        <v>8.8846900000000006E-3</v>
      </c>
      <c r="H59" s="29" t="s">
        <v>143</v>
      </c>
    </row>
    <row r="60" spans="1:8" ht="12.75" customHeight="1" x14ac:dyDescent="0.2">
      <c r="A60" s="35">
        <v>54</v>
      </c>
      <c r="B60" s="22" t="s">
        <v>488</v>
      </c>
      <c r="C60" s="22" t="s">
        <v>489</v>
      </c>
      <c r="D60" s="22" t="s">
        <v>46</v>
      </c>
      <c r="E60" s="36">
        <v>845515</v>
      </c>
      <c r="F60" s="37">
        <v>2903.9212674999999</v>
      </c>
      <c r="G60" s="38">
        <v>8.6929399999999997E-3</v>
      </c>
      <c r="H60" s="29" t="s">
        <v>143</v>
      </c>
    </row>
    <row r="61" spans="1:8" ht="12.75" customHeight="1" x14ac:dyDescent="0.2">
      <c r="A61" s="35">
        <v>55</v>
      </c>
      <c r="B61" s="22" t="s">
        <v>490</v>
      </c>
      <c r="C61" s="22" t="s">
        <v>491</v>
      </c>
      <c r="D61" s="22" t="s">
        <v>284</v>
      </c>
      <c r="E61" s="36">
        <v>2031332</v>
      </c>
      <c r="F61" s="37">
        <v>2852.8026608</v>
      </c>
      <c r="G61" s="38">
        <v>8.5399199999999995E-3</v>
      </c>
      <c r="H61" s="29" t="s">
        <v>143</v>
      </c>
    </row>
    <row r="62" spans="1:8" ht="12.75" customHeight="1" x14ac:dyDescent="0.2">
      <c r="A62" s="35">
        <v>56</v>
      </c>
      <c r="B62" s="22" t="s">
        <v>97</v>
      </c>
      <c r="C62" s="22" t="s">
        <v>98</v>
      </c>
      <c r="D62" s="22" t="s">
        <v>90</v>
      </c>
      <c r="E62" s="36">
        <v>179724</v>
      </c>
      <c r="F62" s="37">
        <v>2770.4454599999999</v>
      </c>
      <c r="G62" s="38">
        <v>8.2933799999999995E-3</v>
      </c>
      <c r="H62" s="29" t="s">
        <v>143</v>
      </c>
    </row>
    <row r="63" spans="1:8" ht="12.75" customHeight="1" x14ac:dyDescent="0.2">
      <c r="A63" s="35">
        <v>57</v>
      </c>
      <c r="B63" s="22" t="s">
        <v>492</v>
      </c>
      <c r="C63" s="22" t="s">
        <v>493</v>
      </c>
      <c r="D63" s="22" t="s">
        <v>408</v>
      </c>
      <c r="E63" s="36">
        <v>258182</v>
      </c>
      <c r="F63" s="37">
        <v>2749.2510269999998</v>
      </c>
      <c r="G63" s="38">
        <v>8.2299299999999999E-3</v>
      </c>
      <c r="H63" s="29" t="s">
        <v>143</v>
      </c>
    </row>
    <row r="64" spans="1:8" ht="12.75" customHeight="1" x14ac:dyDescent="0.2">
      <c r="A64" s="35">
        <v>58</v>
      </c>
      <c r="B64" s="22" t="s">
        <v>370</v>
      </c>
      <c r="C64" s="22" t="s">
        <v>371</v>
      </c>
      <c r="D64" s="22" t="s">
        <v>194</v>
      </c>
      <c r="E64" s="36">
        <v>149333</v>
      </c>
      <c r="F64" s="37">
        <v>2553.1463010000002</v>
      </c>
      <c r="G64" s="38">
        <v>7.6428900000000003E-3</v>
      </c>
      <c r="H64" s="29" t="s">
        <v>143</v>
      </c>
    </row>
    <row r="65" spans="1:8" ht="12.75" customHeight="1" x14ac:dyDescent="0.2">
      <c r="A65" s="35">
        <v>59</v>
      </c>
      <c r="B65" s="22" t="s">
        <v>411</v>
      </c>
      <c r="C65" s="22" t="s">
        <v>412</v>
      </c>
      <c r="D65" s="22" t="s">
        <v>64</v>
      </c>
      <c r="E65" s="36">
        <v>275772</v>
      </c>
      <c r="F65" s="37">
        <v>2549.9257980000002</v>
      </c>
      <c r="G65" s="38">
        <v>7.6332500000000003E-3</v>
      </c>
      <c r="H65" s="29" t="s">
        <v>143</v>
      </c>
    </row>
    <row r="66" spans="1:8" ht="12.75" customHeight="1" x14ac:dyDescent="0.2">
      <c r="A66" s="35">
        <v>60</v>
      </c>
      <c r="B66" s="22" t="s">
        <v>76</v>
      </c>
      <c r="C66" s="22" t="s">
        <v>77</v>
      </c>
      <c r="D66" s="22" t="s">
        <v>64</v>
      </c>
      <c r="E66" s="36">
        <v>54351</v>
      </c>
      <c r="F66" s="37">
        <v>2207.9006730000001</v>
      </c>
      <c r="G66" s="38">
        <v>6.6093899999999997E-3</v>
      </c>
      <c r="H66" s="29" t="s">
        <v>143</v>
      </c>
    </row>
    <row r="67" spans="1:8" ht="12.75" customHeight="1" x14ac:dyDescent="0.2">
      <c r="A67" s="35">
        <v>61</v>
      </c>
      <c r="B67" s="22" t="s">
        <v>372</v>
      </c>
      <c r="C67" s="22" t="s">
        <v>373</v>
      </c>
      <c r="D67" s="22" t="s">
        <v>270</v>
      </c>
      <c r="E67" s="36">
        <v>45069</v>
      </c>
      <c r="F67" s="37">
        <v>2082.8638350000001</v>
      </c>
      <c r="G67" s="38">
        <v>6.2350900000000004E-3</v>
      </c>
      <c r="H67" s="29" t="s">
        <v>143</v>
      </c>
    </row>
    <row r="68" spans="1:8" ht="12.75" customHeight="1" x14ac:dyDescent="0.2">
      <c r="A68" s="35">
        <v>62</v>
      </c>
      <c r="B68" s="22" t="s">
        <v>268</v>
      </c>
      <c r="C68" s="22" t="s">
        <v>269</v>
      </c>
      <c r="D68" s="22" t="s">
        <v>270</v>
      </c>
      <c r="E68" s="36">
        <v>108901</v>
      </c>
      <c r="F68" s="37">
        <v>1998.4422509999999</v>
      </c>
      <c r="G68" s="38">
        <v>5.9823699999999999E-3</v>
      </c>
      <c r="H68" s="29" t="s">
        <v>143</v>
      </c>
    </row>
    <row r="69" spans="1:8" ht="12.75" customHeight="1" x14ac:dyDescent="0.2">
      <c r="A69" s="35">
        <v>63</v>
      </c>
      <c r="B69" s="22" t="s">
        <v>404</v>
      </c>
      <c r="C69" s="22" t="s">
        <v>405</v>
      </c>
      <c r="D69" s="22" t="s">
        <v>215</v>
      </c>
      <c r="E69" s="36">
        <v>498569</v>
      </c>
      <c r="F69" s="37">
        <v>1759.6992855000001</v>
      </c>
      <c r="G69" s="38">
        <v>5.2676900000000002E-3</v>
      </c>
      <c r="H69" s="29" t="s">
        <v>143</v>
      </c>
    </row>
    <row r="70" spans="1:8" ht="12.75" customHeight="1" x14ac:dyDescent="0.2">
      <c r="A70" s="35">
        <v>64</v>
      </c>
      <c r="B70" s="22" t="s">
        <v>221</v>
      </c>
      <c r="C70" s="22" t="s">
        <v>222</v>
      </c>
      <c r="D70" s="22" t="s">
        <v>223</v>
      </c>
      <c r="E70" s="36">
        <v>72622</v>
      </c>
      <c r="F70" s="37">
        <v>1481.6340439999999</v>
      </c>
      <c r="G70" s="38">
        <v>4.4352999999999997E-3</v>
      </c>
      <c r="H70" s="29" t="s">
        <v>143</v>
      </c>
    </row>
    <row r="71" spans="1:8" ht="12.75" customHeight="1" x14ac:dyDescent="0.2">
      <c r="A71" s="35">
        <v>65</v>
      </c>
      <c r="B71" s="22" t="s">
        <v>337</v>
      </c>
      <c r="C71" s="22" t="s">
        <v>338</v>
      </c>
      <c r="D71" s="22" t="s">
        <v>223</v>
      </c>
      <c r="E71" s="36">
        <v>18450</v>
      </c>
      <c r="F71" s="37">
        <v>1438.3620000000001</v>
      </c>
      <c r="G71" s="38">
        <v>4.3057599999999996E-3</v>
      </c>
      <c r="H71" s="29" t="s">
        <v>143</v>
      </c>
    </row>
    <row r="72" spans="1:8" ht="12.75" customHeight="1" x14ac:dyDescent="0.2">
      <c r="A72" s="39"/>
      <c r="B72" s="39"/>
      <c r="C72" s="40" t="s">
        <v>142</v>
      </c>
      <c r="D72" s="39"/>
      <c r="E72" s="39" t="s">
        <v>143</v>
      </c>
      <c r="F72" s="41">
        <f>SUM(F7:F71)</f>
        <v>313987.29738040001</v>
      </c>
      <c r="G72" s="42">
        <f>SUM(G7:G71)</f>
        <v>0.93992680000000073</v>
      </c>
      <c r="H72" s="29" t="s">
        <v>143</v>
      </c>
    </row>
    <row r="73" spans="1:8" ht="12.75" customHeight="1" x14ac:dyDescent="0.2">
      <c r="A73" s="39"/>
      <c r="B73" s="39"/>
      <c r="C73" s="43"/>
      <c r="D73" s="39"/>
      <c r="E73" s="39"/>
      <c r="F73" s="44"/>
      <c r="G73" s="44"/>
      <c r="H73" s="29" t="s">
        <v>143</v>
      </c>
    </row>
    <row r="74" spans="1:8" ht="12.75" customHeight="1" x14ac:dyDescent="0.2">
      <c r="A74" s="39"/>
      <c r="B74" s="39"/>
      <c r="C74" s="40" t="s">
        <v>144</v>
      </c>
      <c r="D74" s="39"/>
      <c r="E74" s="39"/>
      <c r="F74" s="39"/>
      <c r="G74" s="39"/>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146</v>
      </c>
      <c r="D77" s="39"/>
      <c r="E77" s="39"/>
      <c r="F77" s="39"/>
      <c r="G77" s="39"/>
      <c r="H77" s="29" t="s">
        <v>143</v>
      </c>
    </row>
    <row r="78" spans="1:8" ht="14.25" customHeight="1" x14ac:dyDescent="0.2">
      <c r="A78" s="30">
        <v>1</v>
      </c>
      <c r="B78" s="31" t="s">
        <v>139</v>
      </c>
      <c r="C78" s="31" t="s">
        <v>944</v>
      </c>
      <c r="D78" s="31" t="s">
        <v>140</v>
      </c>
      <c r="E78" s="32">
        <v>375961</v>
      </c>
      <c r="F78" s="33">
        <v>7.5190000000000003E-6</v>
      </c>
      <c r="G78" s="154" t="s">
        <v>141</v>
      </c>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147</v>
      </c>
      <c r="D81" s="39"/>
      <c r="E81" s="39"/>
      <c r="F81" s="39"/>
      <c r="G81" s="39"/>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148</v>
      </c>
      <c r="D84" s="39"/>
      <c r="E84" s="39"/>
      <c r="F84" s="44"/>
      <c r="G84" s="44"/>
      <c r="H84" s="29" t="s">
        <v>143</v>
      </c>
    </row>
    <row r="85" spans="1:8" ht="12.75" customHeight="1" x14ac:dyDescent="0.2">
      <c r="A85" s="39"/>
      <c r="B85" s="39"/>
      <c r="C85" s="40" t="s">
        <v>142</v>
      </c>
      <c r="D85" s="39"/>
      <c r="E85" s="39" t="s">
        <v>143</v>
      </c>
      <c r="F85" s="45" t="s">
        <v>145</v>
      </c>
      <c r="G85" s="42">
        <v>0</v>
      </c>
      <c r="H85" s="29" t="s">
        <v>143</v>
      </c>
    </row>
    <row r="86" spans="1:8" ht="12.75" customHeight="1" x14ac:dyDescent="0.2">
      <c r="A86" s="39"/>
      <c r="B86" s="39"/>
      <c r="C86" s="43"/>
      <c r="D86" s="39"/>
      <c r="E86" s="39"/>
      <c r="F86" s="44"/>
      <c r="G86" s="44"/>
      <c r="H86" s="29" t="s">
        <v>143</v>
      </c>
    </row>
    <row r="87" spans="1:8" ht="12.75" customHeight="1" x14ac:dyDescent="0.2">
      <c r="A87" s="39"/>
      <c r="B87" s="39"/>
      <c r="C87" s="40" t="s">
        <v>149</v>
      </c>
      <c r="D87" s="39"/>
      <c r="E87" s="39"/>
      <c r="F87" s="44"/>
      <c r="G87" s="44"/>
      <c r="H87" s="29" t="s">
        <v>143</v>
      </c>
    </row>
    <row r="88" spans="1:8" ht="12.75" customHeight="1" x14ac:dyDescent="0.2">
      <c r="A88" s="39"/>
      <c r="B88" s="39"/>
      <c r="C88" s="40" t="s">
        <v>142</v>
      </c>
      <c r="D88" s="39"/>
      <c r="E88" s="39" t="s">
        <v>143</v>
      </c>
      <c r="F88" s="45" t="s">
        <v>145</v>
      </c>
      <c r="G88" s="42">
        <v>0</v>
      </c>
      <c r="H88" s="29" t="s">
        <v>143</v>
      </c>
    </row>
    <row r="89" spans="1:8" ht="12.75" customHeight="1" x14ac:dyDescent="0.2">
      <c r="A89" s="39"/>
      <c r="B89" s="39"/>
      <c r="C89" s="43"/>
      <c r="D89" s="39"/>
      <c r="E89" s="39"/>
      <c r="F89" s="44"/>
      <c r="G89" s="44"/>
      <c r="H89" s="29" t="s">
        <v>143</v>
      </c>
    </row>
    <row r="90" spans="1:8" ht="12.75" customHeight="1" x14ac:dyDescent="0.2">
      <c r="A90" s="39"/>
      <c r="B90" s="39"/>
      <c r="C90" s="40" t="s">
        <v>150</v>
      </c>
      <c r="D90" s="39"/>
      <c r="E90" s="39"/>
      <c r="F90" s="41">
        <v>313987.29738791898</v>
      </c>
      <c r="G90" s="42">
        <v>0.93992679999999995</v>
      </c>
      <c r="H90" s="29" t="s">
        <v>143</v>
      </c>
    </row>
    <row r="91" spans="1:8" ht="12.75" customHeight="1" x14ac:dyDescent="0.2">
      <c r="A91" s="39"/>
      <c r="B91" s="39"/>
      <c r="C91" s="43"/>
      <c r="D91" s="39"/>
      <c r="E91" s="39"/>
      <c r="F91" s="44"/>
      <c r="G91" s="44"/>
      <c r="H91" s="29" t="s">
        <v>143</v>
      </c>
    </row>
    <row r="92" spans="1:8" ht="12.75" customHeight="1" x14ac:dyDescent="0.2">
      <c r="A92" s="39"/>
      <c r="B92" s="39"/>
      <c r="C92" s="40" t="s">
        <v>151</v>
      </c>
      <c r="D92" s="39"/>
      <c r="E92" s="39"/>
      <c r="F92" s="44"/>
      <c r="G92" s="44"/>
      <c r="H92" s="29" t="s">
        <v>143</v>
      </c>
    </row>
    <row r="93" spans="1:8" ht="12.75" customHeight="1" x14ac:dyDescent="0.2">
      <c r="A93" s="39"/>
      <c r="B93" s="39"/>
      <c r="C93" s="40" t="s">
        <v>10</v>
      </c>
      <c r="D93" s="39"/>
      <c r="E93" s="39"/>
      <c r="F93" s="44"/>
      <c r="G93" s="44"/>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152</v>
      </c>
      <c r="D96" s="39"/>
      <c r="E96" s="39"/>
      <c r="F96" s="39"/>
      <c r="G96" s="39"/>
      <c r="H96" s="29" t="s">
        <v>143</v>
      </c>
    </row>
    <row r="97" spans="1:8" ht="12.75" customHeight="1" x14ac:dyDescent="0.2">
      <c r="A97" s="39"/>
      <c r="B97" s="39"/>
      <c r="C97" s="40" t="s">
        <v>142</v>
      </c>
      <c r="D97" s="39"/>
      <c r="E97" s="39" t="s">
        <v>143</v>
      </c>
      <c r="F97" s="45" t="s">
        <v>145</v>
      </c>
      <c r="G97" s="42">
        <v>0</v>
      </c>
      <c r="H97" s="29" t="s">
        <v>143</v>
      </c>
    </row>
    <row r="98" spans="1:8" ht="12.75" customHeight="1" x14ac:dyDescent="0.2">
      <c r="A98" s="39"/>
      <c r="B98" s="39"/>
      <c r="C98" s="43"/>
      <c r="D98" s="39"/>
      <c r="E98" s="39"/>
      <c r="F98" s="44"/>
      <c r="G98" s="44"/>
      <c r="H98" s="29" t="s">
        <v>143</v>
      </c>
    </row>
    <row r="99" spans="1:8" ht="12.75" customHeight="1" x14ac:dyDescent="0.2">
      <c r="A99" s="39"/>
      <c r="B99" s="39"/>
      <c r="C99" s="40" t="s">
        <v>153</v>
      </c>
      <c r="D99" s="39"/>
      <c r="E99" s="39"/>
      <c r="F99" s="39"/>
      <c r="G99" s="39"/>
      <c r="H99" s="29" t="s">
        <v>143</v>
      </c>
    </row>
    <row r="100" spans="1:8" ht="12.75" customHeight="1" x14ac:dyDescent="0.2">
      <c r="A100" s="39"/>
      <c r="B100" s="39"/>
      <c r="C100" s="40" t="s">
        <v>142</v>
      </c>
      <c r="D100" s="39"/>
      <c r="E100" s="39" t="s">
        <v>143</v>
      </c>
      <c r="F100" s="45" t="s">
        <v>145</v>
      </c>
      <c r="G100" s="42">
        <v>0</v>
      </c>
      <c r="H100" s="29" t="s">
        <v>143</v>
      </c>
    </row>
    <row r="101" spans="1:8" ht="12.75" customHeight="1" x14ac:dyDescent="0.2">
      <c r="A101" s="39"/>
      <c r="B101" s="39"/>
      <c r="C101" s="43"/>
      <c r="D101" s="39"/>
      <c r="E101" s="39"/>
      <c r="F101" s="44"/>
      <c r="G101" s="44"/>
      <c r="H101" s="29" t="s">
        <v>143</v>
      </c>
    </row>
    <row r="102" spans="1:8" ht="12.75" customHeight="1" x14ac:dyDescent="0.2">
      <c r="A102" s="39"/>
      <c r="B102" s="39"/>
      <c r="C102" s="40" t="s">
        <v>154</v>
      </c>
      <c r="D102" s="39"/>
      <c r="E102" s="39"/>
      <c r="F102" s="44"/>
      <c r="G102" s="44"/>
      <c r="H102" s="29" t="s">
        <v>143</v>
      </c>
    </row>
    <row r="103" spans="1:8" ht="12.75" customHeight="1" x14ac:dyDescent="0.2">
      <c r="A103" s="39"/>
      <c r="B103" s="39"/>
      <c r="C103" s="40" t="s">
        <v>142</v>
      </c>
      <c r="D103" s="39"/>
      <c r="E103" s="39" t="s">
        <v>143</v>
      </c>
      <c r="F103" s="45" t="s">
        <v>145</v>
      </c>
      <c r="G103" s="42">
        <v>0</v>
      </c>
      <c r="H103" s="29" t="s">
        <v>143</v>
      </c>
    </row>
    <row r="104" spans="1:8" ht="12.75" customHeight="1" x14ac:dyDescent="0.2">
      <c r="A104" s="39"/>
      <c r="B104" s="39"/>
      <c r="C104" s="43"/>
      <c r="D104" s="39"/>
      <c r="E104" s="39"/>
      <c r="F104" s="44"/>
      <c r="G104" s="44"/>
      <c r="H104" s="29" t="s">
        <v>143</v>
      </c>
    </row>
    <row r="105" spans="1:8" ht="12.75" customHeight="1" x14ac:dyDescent="0.2">
      <c r="A105" s="39"/>
      <c r="B105" s="39"/>
      <c r="C105" s="40" t="s">
        <v>155</v>
      </c>
      <c r="D105" s="39"/>
      <c r="E105" s="39"/>
      <c r="F105" s="41">
        <v>0</v>
      </c>
      <c r="G105" s="42">
        <v>0</v>
      </c>
      <c r="H105" s="29" t="s">
        <v>143</v>
      </c>
    </row>
    <row r="106" spans="1:8" ht="12.75" customHeight="1" x14ac:dyDescent="0.2">
      <c r="A106" s="39"/>
      <c r="B106" s="39"/>
      <c r="C106" s="43"/>
      <c r="D106" s="39"/>
      <c r="E106" s="39"/>
      <c r="F106" s="44"/>
      <c r="G106" s="44"/>
      <c r="H106" s="29" t="s">
        <v>143</v>
      </c>
    </row>
    <row r="107" spans="1:8" ht="12.75" customHeight="1" x14ac:dyDescent="0.2">
      <c r="A107" s="39"/>
      <c r="B107" s="39"/>
      <c r="C107" s="40" t="s">
        <v>156</v>
      </c>
      <c r="D107" s="39"/>
      <c r="E107" s="39"/>
      <c r="F107" s="44"/>
      <c r="G107" s="44"/>
      <c r="H107" s="29" t="s">
        <v>143</v>
      </c>
    </row>
    <row r="108" spans="1:8" ht="12.75" customHeight="1" x14ac:dyDescent="0.2">
      <c r="A108" s="39"/>
      <c r="B108" s="39"/>
      <c r="C108" s="40" t="s">
        <v>157</v>
      </c>
      <c r="D108" s="39"/>
      <c r="E108" s="39"/>
      <c r="F108" s="44"/>
      <c r="G108" s="44"/>
      <c r="H108" s="29" t="s">
        <v>143</v>
      </c>
    </row>
    <row r="109" spans="1:8" ht="12.75" customHeight="1" x14ac:dyDescent="0.2">
      <c r="A109" s="39"/>
      <c r="B109" s="39"/>
      <c r="C109" s="40" t="s">
        <v>142</v>
      </c>
      <c r="D109" s="39"/>
      <c r="E109" s="39" t="s">
        <v>143</v>
      </c>
      <c r="F109" s="45" t="s">
        <v>145</v>
      </c>
      <c r="G109" s="42">
        <v>0</v>
      </c>
      <c r="H109" s="29" t="s">
        <v>143</v>
      </c>
    </row>
    <row r="110" spans="1:8" ht="12.75" customHeight="1" x14ac:dyDescent="0.2">
      <c r="A110" s="39"/>
      <c r="B110" s="39"/>
      <c r="C110" s="43"/>
      <c r="D110" s="39"/>
      <c r="E110" s="39"/>
      <c r="F110" s="44"/>
      <c r="G110" s="44"/>
      <c r="H110" s="29" t="s">
        <v>143</v>
      </c>
    </row>
    <row r="111" spans="1:8" ht="12.75" customHeight="1" x14ac:dyDescent="0.2">
      <c r="A111" s="39"/>
      <c r="B111" s="39"/>
      <c r="C111" s="40" t="s">
        <v>158</v>
      </c>
      <c r="D111" s="39"/>
      <c r="E111" s="39"/>
      <c r="F111" s="44"/>
      <c r="G111" s="44"/>
      <c r="H111" s="29" t="s">
        <v>143</v>
      </c>
    </row>
    <row r="112" spans="1:8" ht="12.75" customHeight="1" x14ac:dyDescent="0.2">
      <c r="A112" s="39"/>
      <c r="B112" s="39"/>
      <c r="C112" s="40" t="s">
        <v>142</v>
      </c>
      <c r="D112" s="39"/>
      <c r="E112" s="39" t="s">
        <v>143</v>
      </c>
      <c r="F112" s="45" t="s">
        <v>145</v>
      </c>
      <c r="G112" s="42">
        <v>0</v>
      </c>
      <c r="H112" s="29" t="s">
        <v>143</v>
      </c>
    </row>
    <row r="113" spans="1:8" ht="12.75" customHeight="1" x14ac:dyDescent="0.2">
      <c r="A113" s="39"/>
      <c r="B113" s="39"/>
      <c r="C113" s="43"/>
      <c r="D113" s="39"/>
      <c r="E113" s="39"/>
      <c r="F113" s="44"/>
      <c r="G113" s="44"/>
      <c r="H113" s="29" t="s">
        <v>143</v>
      </c>
    </row>
    <row r="114" spans="1:8" ht="12.75" customHeight="1" x14ac:dyDescent="0.2">
      <c r="A114" s="39"/>
      <c r="B114" s="39"/>
      <c r="C114" s="40" t="s">
        <v>159</v>
      </c>
      <c r="D114" s="39"/>
      <c r="E114" s="39"/>
      <c r="F114" s="44"/>
      <c r="G114" s="44"/>
      <c r="H114" s="29" t="s">
        <v>143</v>
      </c>
    </row>
    <row r="115" spans="1:8" ht="12.75" customHeight="1" x14ac:dyDescent="0.2">
      <c r="A115" s="39"/>
      <c r="B115" s="39"/>
      <c r="C115" s="40" t="s">
        <v>142</v>
      </c>
      <c r="D115" s="39"/>
      <c r="E115" s="39" t="s">
        <v>143</v>
      </c>
      <c r="F115" s="45" t="s">
        <v>145</v>
      </c>
      <c r="G115" s="42">
        <v>0</v>
      </c>
      <c r="H115" s="29" t="s">
        <v>143</v>
      </c>
    </row>
    <row r="116" spans="1:8" ht="12.75" customHeight="1" x14ac:dyDescent="0.2">
      <c r="A116" s="39"/>
      <c r="B116" s="39"/>
      <c r="C116" s="43"/>
      <c r="D116" s="39"/>
      <c r="E116" s="39"/>
      <c r="F116" s="44"/>
      <c r="G116" s="44"/>
      <c r="H116" s="29" t="s">
        <v>143</v>
      </c>
    </row>
    <row r="117" spans="1:8" ht="12.75" customHeight="1" x14ac:dyDescent="0.2">
      <c r="A117" s="39"/>
      <c r="B117" s="39"/>
      <c r="C117" s="40" t="s">
        <v>160</v>
      </c>
      <c r="D117" s="39"/>
      <c r="E117" s="39"/>
      <c r="F117" s="44"/>
      <c r="G117" s="44"/>
      <c r="H117" s="29" t="s">
        <v>143</v>
      </c>
    </row>
    <row r="118" spans="1:8" ht="12.75" customHeight="1" x14ac:dyDescent="0.2">
      <c r="A118" s="35">
        <v>1</v>
      </c>
      <c r="B118" s="22"/>
      <c r="C118" s="22" t="s">
        <v>161</v>
      </c>
      <c r="D118" s="22"/>
      <c r="E118" s="46"/>
      <c r="F118" s="37">
        <v>11015.555576977</v>
      </c>
      <c r="G118" s="38">
        <v>3.2975270000000001E-2</v>
      </c>
      <c r="H118" s="29">
        <v>5.51</v>
      </c>
    </row>
    <row r="119" spans="1:8" ht="12.75" customHeight="1" x14ac:dyDescent="0.2">
      <c r="A119" s="39"/>
      <c r="B119" s="39"/>
      <c r="C119" s="40" t="s">
        <v>142</v>
      </c>
      <c r="D119" s="39"/>
      <c r="E119" s="39" t="s">
        <v>143</v>
      </c>
      <c r="F119" s="41">
        <v>11015.555576977</v>
      </c>
      <c r="G119" s="42">
        <v>3.2975270000000001E-2</v>
      </c>
      <c r="H119" s="29" t="s">
        <v>143</v>
      </c>
    </row>
    <row r="120" spans="1:8" ht="12.75" customHeight="1" x14ac:dyDescent="0.2">
      <c r="A120" s="39"/>
      <c r="B120" s="39"/>
      <c r="C120" s="43"/>
      <c r="D120" s="39"/>
      <c r="E120" s="39"/>
      <c r="F120" s="44"/>
      <c r="G120" s="44"/>
      <c r="H120" s="29" t="s">
        <v>143</v>
      </c>
    </row>
    <row r="121" spans="1:8" ht="12.75" customHeight="1" x14ac:dyDescent="0.2">
      <c r="A121" s="39"/>
      <c r="B121" s="39"/>
      <c r="C121" s="40" t="s">
        <v>162</v>
      </c>
      <c r="D121" s="39"/>
      <c r="E121" s="39"/>
      <c r="F121" s="41">
        <v>11015.555576977</v>
      </c>
      <c r="G121" s="42">
        <v>3.2975270000000001E-2</v>
      </c>
      <c r="H121" s="29" t="s">
        <v>143</v>
      </c>
    </row>
    <row r="122" spans="1:8" ht="12.75" customHeight="1" x14ac:dyDescent="0.2">
      <c r="A122" s="39"/>
      <c r="B122" s="39"/>
      <c r="C122" s="44"/>
      <c r="D122" s="39"/>
      <c r="E122" s="39"/>
      <c r="F122" s="39"/>
      <c r="G122" s="39"/>
      <c r="H122" s="29" t="s">
        <v>143</v>
      </c>
    </row>
    <row r="123" spans="1:8" ht="12.75" customHeight="1" x14ac:dyDescent="0.2">
      <c r="A123" s="39"/>
      <c r="B123" s="39"/>
      <c r="C123" s="40" t="s">
        <v>163</v>
      </c>
      <c r="D123" s="39"/>
      <c r="E123" s="39"/>
      <c r="F123" s="39"/>
      <c r="G123" s="39"/>
      <c r="H123" s="29" t="s">
        <v>143</v>
      </c>
    </row>
    <row r="124" spans="1:8" ht="12.75" customHeight="1" x14ac:dyDescent="0.2">
      <c r="A124" s="39"/>
      <c r="B124" s="39"/>
      <c r="C124" s="40" t="s">
        <v>164</v>
      </c>
      <c r="D124" s="39"/>
      <c r="E124" s="39"/>
      <c r="F124" s="39"/>
      <c r="G124" s="39"/>
      <c r="H124" s="29" t="s">
        <v>143</v>
      </c>
    </row>
    <row r="125" spans="1:8" ht="12.75" customHeight="1" x14ac:dyDescent="0.2">
      <c r="A125" s="35">
        <v>1</v>
      </c>
      <c r="B125" s="22" t="s">
        <v>317</v>
      </c>
      <c r="C125" s="22" t="s">
        <v>318</v>
      </c>
      <c r="D125" s="22"/>
      <c r="E125" s="79">
        <v>317556.158</v>
      </c>
      <c r="F125" s="37">
        <v>7506.9259571490002</v>
      </c>
      <c r="G125" s="38">
        <v>2.2472120000000002E-2</v>
      </c>
      <c r="H125" s="29" t="s">
        <v>143</v>
      </c>
    </row>
    <row r="126" spans="1:8" ht="27" customHeight="1" x14ac:dyDescent="0.2">
      <c r="A126" s="35">
        <v>2</v>
      </c>
      <c r="B126" s="22" t="s">
        <v>494</v>
      </c>
      <c r="C126" s="22" t="s">
        <v>1133</v>
      </c>
      <c r="D126" s="22"/>
      <c r="E126" s="79">
        <v>13395446.6942</v>
      </c>
      <c r="F126" s="37">
        <v>2057.8487075029998</v>
      </c>
      <c r="G126" s="38">
        <v>6.1602100000000002E-3</v>
      </c>
      <c r="H126" s="29" t="s">
        <v>143</v>
      </c>
    </row>
    <row r="127" spans="1:8" ht="12.75" customHeight="1" x14ac:dyDescent="0.2">
      <c r="A127" s="39"/>
      <c r="B127" s="39"/>
      <c r="C127" s="40" t="s">
        <v>142</v>
      </c>
      <c r="D127" s="39"/>
      <c r="E127" s="39" t="s">
        <v>143</v>
      </c>
      <c r="F127" s="41">
        <v>9564.7746646520009</v>
      </c>
      <c r="G127" s="42">
        <v>2.8632330000000001E-2</v>
      </c>
      <c r="H127" s="29" t="s">
        <v>143</v>
      </c>
    </row>
    <row r="128" spans="1:8" ht="12.75" customHeight="1" x14ac:dyDescent="0.2">
      <c r="A128" s="39"/>
      <c r="B128" s="39"/>
      <c r="C128" s="43"/>
      <c r="D128" s="39"/>
      <c r="E128" s="39"/>
      <c r="F128" s="44"/>
      <c r="G128" s="44"/>
      <c r="H128" s="29" t="s">
        <v>143</v>
      </c>
    </row>
    <row r="129" spans="1:17" ht="12.75" customHeight="1" x14ac:dyDescent="0.2">
      <c r="A129" s="39"/>
      <c r="B129" s="39"/>
      <c r="C129" s="40" t="s">
        <v>165</v>
      </c>
      <c r="D129" s="39"/>
      <c r="E129" s="39"/>
      <c r="F129" s="39"/>
      <c r="G129" s="39"/>
      <c r="H129" s="29" t="s">
        <v>143</v>
      </c>
    </row>
    <row r="130" spans="1:17" ht="12.75" customHeight="1" x14ac:dyDescent="0.2">
      <c r="A130" s="39"/>
      <c r="B130" s="39"/>
      <c r="C130" s="40" t="s">
        <v>166</v>
      </c>
      <c r="D130" s="39"/>
      <c r="E130" s="39"/>
      <c r="F130" s="39"/>
      <c r="G130" s="39"/>
      <c r="H130" s="29" t="s">
        <v>143</v>
      </c>
    </row>
    <row r="131" spans="1:17" ht="12.75" customHeight="1" x14ac:dyDescent="0.2">
      <c r="A131" s="39"/>
      <c r="B131" s="39"/>
      <c r="C131" s="40" t="s">
        <v>142</v>
      </c>
      <c r="D131" s="39"/>
      <c r="E131" s="39" t="s">
        <v>143</v>
      </c>
      <c r="F131" s="45" t="s">
        <v>145</v>
      </c>
      <c r="G131" s="42">
        <v>0</v>
      </c>
      <c r="H131" s="29" t="s">
        <v>143</v>
      </c>
    </row>
    <row r="132" spans="1:17" ht="12.75" customHeight="1" x14ac:dyDescent="0.2">
      <c r="A132" s="39"/>
      <c r="B132" s="39"/>
      <c r="C132" s="43"/>
      <c r="D132" s="39"/>
      <c r="E132" s="39"/>
      <c r="F132" s="44"/>
      <c r="G132" s="44"/>
      <c r="H132" s="29" t="s">
        <v>143</v>
      </c>
    </row>
    <row r="133" spans="1:17" ht="12.75" customHeight="1" x14ac:dyDescent="0.2">
      <c r="A133" s="39"/>
      <c r="B133" s="39"/>
      <c r="C133" s="40" t="s">
        <v>167</v>
      </c>
      <c r="D133" s="39"/>
      <c r="E133" s="39"/>
      <c r="F133" s="44"/>
      <c r="G133" s="44"/>
      <c r="H133" s="29" t="s">
        <v>143</v>
      </c>
    </row>
    <row r="134" spans="1:17" ht="12.75" customHeight="1" x14ac:dyDescent="0.2">
      <c r="A134" s="39"/>
      <c r="B134" s="39"/>
      <c r="C134" s="40" t="s">
        <v>142</v>
      </c>
      <c r="D134" s="39"/>
      <c r="E134" s="39" t="s">
        <v>143</v>
      </c>
      <c r="F134" s="45" t="s">
        <v>145</v>
      </c>
      <c r="G134" s="42">
        <v>0</v>
      </c>
      <c r="H134" s="29" t="s">
        <v>143</v>
      </c>
    </row>
    <row r="135" spans="1:17" ht="12.75" customHeight="1" x14ac:dyDescent="0.2">
      <c r="A135" s="39"/>
      <c r="B135" s="39"/>
      <c r="C135" s="43"/>
      <c r="D135" s="39"/>
      <c r="E135" s="39"/>
      <c r="F135" s="44"/>
      <c r="G135" s="44"/>
      <c r="H135" s="29" t="s">
        <v>143</v>
      </c>
    </row>
    <row r="136" spans="1:17" ht="12.75" customHeight="1" x14ac:dyDescent="0.2">
      <c r="A136" s="46"/>
      <c r="B136" s="22"/>
      <c r="C136" s="22" t="s">
        <v>319</v>
      </c>
      <c r="D136" s="22"/>
      <c r="E136" s="46"/>
      <c r="F136" s="37">
        <v>1025.0000356</v>
      </c>
      <c r="G136" s="38">
        <v>3.06836E-3</v>
      </c>
      <c r="H136" s="29" t="s">
        <v>143</v>
      </c>
    </row>
    <row r="137" spans="1:17" ht="12.75" customHeight="1" x14ac:dyDescent="0.2">
      <c r="A137" s="46"/>
      <c r="B137" s="22"/>
      <c r="C137" s="22" t="s">
        <v>168</v>
      </c>
      <c r="D137" s="22"/>
      <c r="E137" s="46"/>
      <c r="F137" s="37">
        <v>-1537.5594452800001</v>
      </c>
      <c r="G137" s="38">
        <v>-4.6027100000000003E-3</v>
      </c>
      <c r="H137" s="29" t="s">
        <v>143</v>
      </c>
    </row>
    <row r="138" spans="1:17" ht="12.75" customHeight="1" x14ac:dyDescent="0.2">
      <c r="A138" s="43"/>
      <c r="B138" s="43"/>
      <c r="C138" s="40" t="s">
        <v>169</v>
      </c>
      <c r="D138" s="44"/>
      <c r="E138" s="44"/>
      <c r="F138" s="41">
        <v>334055.068219868</v>
      </c>
      <c r="G138" s="47">
        <v>1.0000000499999999</v>
      </c>
      <c r="H138" s="29" t="s">
        <v>143</v>
      </c>
    </row>
    <row r="139" spans="1:17" ht="12.75" customHeight="1" x14ac:dyDescent="0.2">
      <c r="A139" s="48"/>
      <c r="B139" s="48"/>
      <c r="C139" s="49"/>
      <c r="D139" s="50"/>
      <c r="E139" s="50"/>
      <c r="F139" s="51"/>
      <c r="G139" s="52"/>
      <c r="H139" s="53"/>
    </row>
    <row r="140" spans="1:17" x14ac:dyDescent="0.2">
      <c r="A140" s="54"/>
      <c r="B140" s="243" t="s">
        <v>945</v>
      </c>
      <c r="C140" s="243"/>
      <c r="D140" s="243"/>
      <c r="E140" s="243"/>
      <c r="F140" s="243"/>
      <c r="G140" s="243"/>
      <c r="H140" s="243"/>
      <c r="J140" s="56"/>
    </row>
    <row r="141" spans="1:17" x14ac:dyDescent="0.2">
      <c r="A141" s="54"/>
      <c r="B141" s="243" t="s">
        <v>946</v>
      </c>
      <c r="C141" s="243"/>
      <c r="D141" s="243"/>
      <c r="E141" s="243"/>
      <c r="F141" s="243"/>
      <c r="G141" s="243"/>
      <c r="H141" s="243"/>
      <c r="J141" s="56"/>
    </row>
    <row r="142" spans="1:17" x14ac:dyDescent="0.2">
      <c r="A142" s="54"/>
      <c r="B142" s="243" t="s">
        <v>947</v>
      </c>
      <c r="C142" s="243"/>
      <c r="D142" s="243"/>
      <c r="E142" s="243"/>
      <c r="F142" s="243"/>
      <c r="G142" s="243"/>
      <c r="H142" s="243"/>
      <c r="J142" s="56"/>
    </row>
    <row r="143" spans="1:17" s="58" customFormat="1" ht="66.75" customHeight="1" x14ac:dyDescent="0.25">
      <c r="A143" s="57"/>
      <c r="B143" s="244" t="s">
        <v>948</v>
      </c>
      <c r="C143" s="244"/>
      <c r="D143" s="244"/>
      <c r="E143" s="244"/>
      <c r="F143" s="244"/>
      <c r="G143" s="244"/>
      <c r="H143" s="244"/>
      <c r="I143"/>
      <c r="J143" s="56"/>
      <c r="K143"/>
      <c r="L143"/>
      <c r="M143"/>
      <c r="N143"/>
      <c r="O143"/>
      <c r="P143"/>
      <c r="Q143"/>
    </row>
    <row r="144" spans="1:17" x14ac:dyDescent="0.2">
      <c r="A144" s="54"/>
      <c r="B144" s="243" t="s">
        <v>949</v>
      </c>
      <c r="C144" s="243"/>
      <c r="D144" s="243"/>
      <c r="E144" s="243"/>
      <c r="F144" s="243"/>
      <c r="G144" s="243"/>
      <c r="H144" s="243"/>
      <c r="J144" s="56"/>
    </row>
    <row r="145" spans="1:10" x14ac:dyDescent="0.2">
      <c r="A145" s="54"/>
      <c r="B145" s="54"/>
      <c r="C145" s="54"/>
      <c r="D145" s="59"/>
      <c r="E145" s="59"/>
      <c r="F145" s="59"/>
      <c r="G145" s="59"/>
    </row>
    <row r="146" spans="1:10" x14ac:dyDescent="0.2">
      <c r="A146" s="54"/>
      <c r="B146" s="247" t="s">
        <v>170</v>
      </c>
      <c r="C146" s="248"/>
      <c r="D146" s="249"/>
      <c r="E146" s="60"/>
      <c r="F146" s="59"/>
      <c r="G146" s="59"/>
    </row>
    <row r="147" spans="1:10" ht="27.75" customHeight="1" x14ac:dyDescent="0.2">
      <c r="A147" s="54"/>
      <c r="B147" s="240" t="s">
        <v>171</v>
      </c>
      <c r="C147" s="241"/>
      <c r="D147" s="28" t="s">
        <v>172</v>
      </c>
      <c r="E147" s="60"/>
      <c r="F147" s="59"/>
      <c r="G147" s="59"/>
    </row>
    <row r="148" spans="1:10" ht="12.75" customHeight="1" x14ac:dyDescent="0.2">
      <c r="A148" s="54"/>
      <c r="B148" s="240" t="s">
        <v>950</v>
      </c>
      <c r="C148" s="241"/>
      <c r="D148" s="28" t="str">
        <f>"Rs. "&amp;TEXT(F81,"0.00")&amp;" lacs/ #"</f>
        <v>Rs. 0.00 lacs/ #</v>
      </c>
      <c r="E148" s="60"/>
      <c r="F148" s="59"/>
      <c r="G148" s="59"/>
    </row>
    <row r="149" spans="1:10" x14ac:dyDescent="0.2">
      <c r="A149" s="54"/>
      <c r="B149" s="240" t="s">
        <v>173</v>
      </c>
      <c r="C149" s="241"/>
      <c r="D149" s="61" t="s">
        <v>143</v>
      </c>
      <c r="E149" s="60"/>
      <c r="F149" s="59"/>
      <c r="G149" s="59"/>
    </row>
    <row r="150" spans="1:10" x14ac:dyDescent="0.2">
      <c r="A150" s="62"/>
      <c r="B150" s="63" t="s">
        <v>143</v>
      </c>
      <c r="C150" s="63" t="s">
        <v>951</v>
      </c>
      <c r="D150" s="63" t="s">
        <v>174</v>
      </c>
      <c r="E150" s="62"/>
      <c r="F150" s="62"/>
      <c r="G150" s="62"/>
      <c r="H150" s="62"/>
      <c r="J150" s="56"/>
    </row>
    <row r="151" spans="1:10" x14ac:dyDescent="0.2">
      <c r="A151" s="62"/>
      <c r="B151" s="64" t="s">
        <v>175</v>
      </c>
      <c r="C151" s="65">
        <v>45900</v>
      </c>
      <c r="D151" s="65">
        <v>45930</v>
      </c>
      <c r="E151" s="62"/>
      <c r="F151" s="62"/>
      <c r="G151" s="62"/>
      <c r="J151" s="56"/>
    </row>
    <row r="152" spans="1:10" ht="12.75" customHeight="1" x14ac:dyDescent="0.2">
      <c r="A152" s="66"/>
      <c r="B152" s="67" t="s">
        <v>176</v>
      </c>
      <c r="C152" s="68">
        <v>277.09100000000001</v>
      </c>
      <c r="D152" s="68">
        <v>282.39780000000002</v>
      </c>
      <c r="E152" s="66"/>
      <c r="F152" s="69"/>
      <c r="G152" s="70"/>
    </row>
    <row r="153" spans="1:10" ht="12.75" customHeight="1" x14ac:dyDescent="0.2">
      <c r="A153" s="66"/>
      <c r="B153" s="67" t="s">
        <v>1085</v>
      </c>
      <c r="C153" s="68">
        <v>36.412799999999997</v>
      </c>
      <c r="D153" s="68">
        <v>37.110199999999999</v>
      </c>
      <c r="E153" s="66"/>
      <c r="F153" s="69"/>
      <c r="G153" s="70"/>
    </row>
    <row r="154" spans="1:10" ht="12.75" customHeight="1" x14ac:dyDescent="0.2">
      <c r="A154" s="66"/>
      <c r="B154" s="67" t="s">
        <v>177</v>
      </c>
      <c r="C154" s="68">
        <v>249.9804</v>
      </c>
      <c r="D154" s="68">
        <v>254.542</v>
      </c>
      <c r="E154" s="66"/>
      <c r="F154" s="69"/>
      <c r="G154" s="70"/>
    </row>
    <row r="155" spans="1:10" ht="12.75" customHeight="1" x14ac:dyDescent="0.2">
      <c r="A155" s="66"/>
      <c r="B155" s="67" t="s">
        <v>1086</v>
      </c>
      <c r="C155" s="68">
        <v>31.9574</v>
      </c>
      <c r="D155" s="68">
        <v>32.540500000000002</v>
      </c>
      <c r="E155" s="66"/>
      <c r="F155" s="69"/>
      <c r="G155" s="70"/>
    </row>
    <row r="156" spans="1:10" ht="12.75" customHeight="1" x14ac:dyDescent="0.2">
      <c r="A156" s="66"/>
      <c r="B156" s="66"/>
      <c r="C156" s="66"/>
      <c r="D156" s="66"/>
      <c r="E156" s="66"/>
      <c r="F156" s="66"/>
      <c r="G156" s="66"/>
    </row>
    <row r="157" spans="1:10" x14ac:dyDescent="0.2">
      <c r="A157" s="62"/>
      <c r="B157" s="245" t="s">
        <v>952</v>
      </c>
      <c r="C157" s="246"/>
      <c r="D157" s="71" t="s">
        <v>172</v>
      </c>
      <c r="E157" s="62"/>
      <c r="F157" s="62"/>
      <c r="G157" s="62"/>
    </row>
    <row r="158" spans="1:10" x14ac:dyDescent="0.2">
      <c r="A158" s="72"/>
      <c r="B158" s="155"/>
      <c r="C158" s="155"/>
      <c r="D158" s="156"/>
      <c r="E158" s="72"/>
      <c r="F158" s="55"/>
      <c r="G158" s="76"/>
    </row>
    <row r="159" spans="1:10" ht="25.5" customHeight="1" x14ac:dyDescent="0.2">
      <c r="A159" s="72"/>
      <c r="B159" s="240" t="s">
        <v>178</v>
      </c>
      <c r="C159" s="241"/>
      <c r="D159" s="28" t="s">
        <v>172</v>
      </c>
      <c r="E159" s="74"/>
      <c r="F159" s="72"/>
      <c r="G159" s="72"/>
    </row>
    <row r="160" spans="1:10" ht="24.75" customHeight="1" x14ac:dyDescent="0.2">
      <c r="A160" s="72"/>
      <c r="B160" s="240" t="s">
        <v>179</v>
      </c>
      <c r="C160" s="241"/>
      <c r="D160" s="28" t="s">
        <v>172</v>
      </c>
      <c r="E160" s="74"/>
      <c r="F160" s="72"/>
      <c r="G160" s="72"/>
    </row>
    <row r="161" spans="1:7" x14ac:dyDescent="0.2">
      <c r="A161" s="72"/>
      <c r="B161" s="240" t="s">
        <v>180</v>
      </c>
      <c r="C161" s="241"/>
      <c r="D161" s="28" t="s">
        <v>172</v>
      </c>
      <c r="E161" s="74"/>
      <c r="F161" s="72"/>
      <c r="G161" s="72"/>
    </row>
    <row r="162" spans="1:7" x14ac:dyDescent="0.2">
      <c r="A162" s="72"/>
      <c r="B162" s="240" t="s">
        <v>181</v>
      </c>
      <c r="C162" s="241"/>
      <c r="D162" s="75">
        <v>0.63054683925496791</v>
      </c>
      <c r="E162" s="72"/>
      <c r="F162" s="55"/>
      <c r="G162" s="76"/>
    </row>
    <row r="163" spans="1:7" x14ac:dyDescent="0.2"/>
    <row r="164" spans="1:7" x14ac:dyDescent="0.2">
      <c r="B164" s="239" t="s">
        <v>953</v>
      </c>
      <c r="C164" s="239"/>
    </row>
    <row r="165" spans="1:7" x14ac:dyDescent="0.2"/>
    <row r="166" spans="1:7" ht="153.75" customHeight="1" x14ac:dyDescent="0.2"/>
    <row r="167" spans="1:7" x14ac:dyDescent="0.2"/>
    <row r="168" spans="1:7" x14ac:dyDescent="0.2"/>
    <row r="169" spans="1:7" x14ac:dyDescent="0.2">
      <c r="B169" s="77" t="s">
        <v>954</v>
      </c>
      <c r="C169" s="78"/>
      <c r="D169" s="77" t="s">
        <v>957</v>
      </c>
    </row>
    <row r="170" spans="1:7" x14ac:dyDescent="0.2">
      <c r="B170" s="77" t="s">
        <v>967</v>
      </c>
      <c r="D170" s="77" t="s">
        <v>968</v>
      </c>
    </row>
    <row r="171" spans="1:7" ht="165" customHeight="1" x14ac:dyDescent="0.2"/>
    <row r="172" spans="1:7" x14ac:dyDescent="0.2"/>
  </sheetData>
  <mergeCells count="18">
    <mergeCell ref="B146:D146"/>
    <mergeCell ref="B147:C147"/>
    <mergeCell ref="B164:C164"/>
    <mergeCell ref="B162:C162"/>
    <mergeCell ref="A1:H1"/>
    <mergeCell ref="A2:H2"/>
    <mergeCell ref="A3:H3"/>
    <mergeCell ref="B161:C161"/>
    <mergeCell ref="B140:H140"/>
    <mergeCell ref="B141:H141"/>
    <mergeCell ref="B148:C148"/>
    <mergeCell ref="B149:C149"/>
    <mergeCell ref="B159:C159"/>
    <mergeCell ref="B160:C160"/>
    <mergeCell ref="B142:H142"/>
    <mergeCell ref="B143:H143"/>
    <mergeCell ref="B144:H144"/>
    <mergeCell ref="B157:C157"/>
  </mergeCells>
  <hyperlinks>
    <hyperlink ref="I1" location="Index!B2" display="Index" xr:uid="{92B759FC-7B52-4268-877D-4E73CEA221A9}"/>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DA70-AB9E-4EF6-A5E2-02C01EF2C2B0}">
  <sheetPr>
    <outlinePr summaryBelow="0" summaryRight="0"/>
  </sheetPr>
  <dimension ref="A1:Q283"/>
  <sheetViews>
    <sheetView showGridLines="0" workbookViewId="0">
      <selection sqref="A1:H1"/>
    </sheetView>
  </sheetViews>
  <sheetFormatPr defaultRowHeight="12.75" customHeight="1" x14ac:dyDescent="0.2"/>
  <cols>
    <col min="1" max="1" width="5.85546875" bestFit="1" customWidth="1"/>
    <col min="2" max="2" width="26" customWidth="1"/>
    <col min="3" max="3" width="51.42578125" customWidth="1"/>
    <col min="4" max="4" width="17.7109375" bestFit="1" customWidth="1"/>
    <col min="5" max="5" width="13.5703125" bestFit="1" customWidth="1"/>
    <col min="6" max="6" width="10.140625" bestFit="1" customWidth="1"/>
    <col min="7" max="7" width="14" bestFit="1" customWidth="1"/>
    <col min="8" max="8" width="8.42578125" bestFit="1" customWidth="1"/>
    <col min="10" max="10" width="17.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496</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5356063</v>
      </c>
      <c r="F7" s="37">
        <v>50936.15913</v>
      </c>
      <c r="G7" s="38">
        <v>7.3348730000000001E-2</v>
      </c>
      <c r="H7" s="29" t="s">
        <v>143</v>
      </c>
    </row>
    <row r="8" spans="1:9" ht="12.75" customHeight="1" x14ac:dyDescent="0.2">
      <c r="A8" s="35">
        <v>2</v>
      </c>
      <c r="B8" s="22" t="s">
        <v>31</v>
      </c>
      <c r="C8" s="22" t="s">
        <v>32</v>
      </c>
      <c r="D8" s="22" t="s">
        <v>33</v>
      </c>
      <c r="E8" s="36">
        <v>2948615</v>
      </c>
      <c r="F8" s="37">
        <v>39747.330199999997</v>
      </c>
      <c r="G8" s="38">
        <v>5.7236670000000003E-2</v>
      </c>
      <c r="H8" s="29" t="s">
        <v>143</v>
      </c>
    </row>
    <row r="9" spans="1:9" ht="12.75" customHeight="1" x14ac:dyDescent="0.2">
      <c r="A9" s="35">
        <v>3</v>
      </c>
      <c r="B9" s="22" t="s">
        <v>17</v>
      </c>
      <c r="C9" s="22" t="s">
        <v>18</v>
      </c>
      <c r="D9" s="22" t="s">
        <v>19</v>
      </c>
      <c r="E9" s="36">
        <v>2348395</v>
      </c>
      <c r="F9" s="37">
        <v>32032.107800000002</v>
      </c>
      <c r="G9" s="38">
        <v>4.6126649999999998E-2</v>
      </c>
      <c r="H9" s="29" t="s">
        <v>143</v>
      </c>
    </row>
    <row r="10" spans="1:9" ht="12.75" customHeight="1" x14ac:dyDescent="0.2">
      <c r="A10" s="35">
        <v>4</v>
      </c>
      <c r="B10" s="22" t="s">
        <v>11</v>
      </c>
      <c r="C10" s="22" t="s">
        <v>12</v>
      </c>
      <c r="D10" s="22" t="s">
        <v>13</v>
      </c>
      <c r="E10" s="36">
        <v>1460800</v>
      </c>
      <c r="F10" s="37">
        <v>27439.6672</v>
      </c>
      <c r="G10" s="38">
        <v>3.9513479999999997E-2</v>
      </c>
      <c r="H10" s="29" t="s">
        <v>143</v>
      </c>
    </row>
    <row r="11" spans="1:9" ht="12.75" customHeight="1" x14ac:dyDescent="0.2">
      <c r="A11" s="35">
        <v>5</v>
      </c>
      <c r="B11" s="22" t="s">
        <v>42</v>
      </c>
      <c r="C11" s="22" t="s">
        <v>43</v>
      </c>
      <c r="D11" s="22" t="s">
        <v>33</v>
      </c>
      <c r="E11" s="36">
        <v>2376510</v>
      </c>
      <c r="F11" s="37">
        <v>20733.861495000001</v>
      </c>
      <c r="G11" s="38">
        <v>2.985703E-2</v>
      </c>
      <c r="H11" s="29" t="s">
        <v>143</v>
      </c>
    </row>
    <row r="12" spans="1:9" ht="12.75" customHeight="1" x14ac:dyDescent="0.2">
      <c r="A12" s="35">
        <v>6</v>
      </c>
      <c r="B12" s="22" t="s">
        <v>323</v>
      </c>
      <c r="C12" s="22" t="s">
        <v>324</v>
      </c>
      <c r="D12" s="22" t="s">
        <v>33</v>
      </c>
      <c r="E12" s="36">
        <v>952121</v>
      </c>
      <c r="F12" s="37">
        <v>18972.915166999999</v>
      </c>
      <c r="G12" s="38">
        <v>2.7321249999999998E-2</v>
      </c>
      <c r="H12" s="29" t="s">
        <v>143</v>
      </c>
    </row>
    <row r="13" spans="1:9" ht="12.75" customHeight="1" x14ac:dyDescent="0.2">
      <c r="A13" s="35">
        <v>7</v>
      </c>
      <c r="B13" s="22" t="s">
        <v>14</v>
      </c>
      <c r="C13" s="22" t="s">
        <v>15</v>
      </c>
      <c r="D13" s="22" t="s">
        <v>16</v>
      </c>
      <c r="E13" s="36">
        <v>471329</v>
      </c>
      <c r="F13" s="37">
        <v>17245.928110000001</v>
      </c>
      <c r="G13" s="38">
        <v>2.483436E-2</v>
      </c>
      <c r="H13" s="29" t="s">
        <v>143</v>
      </c>
    </row>
    <row r="14" spans="1:9" ht="12.75" customHeight="1" x14ac:dyDescent="0.2">
      <c r="A14" s="35">
        <v>8</v>
      </c>
      <c r="B14" s="22" t="s">
        <v>329</v>
      </c>
      <c r="C14" s="22" t="s">
        <v>330</v>
      </c>
      <c r="D14" s="22" t="s">
        <v>191</v>
      </c>
      <c r="E14" s="36">
        <v>1459935</v>
      </c>
      <c r="F14" s="37">
        <v>14583.290714999999</v>
      </c>
      <c r="G14" s="38">
        <v>2.1000129999999999E-2</v>
      </c>
      <c r="H14" s="29" t="s">
        <v>143</v>
      </c>
    </row>
    <row r="15" spans="1:9" x14ac:dyDescent="0.2">
      <c r="A15" s="30">
        <v>9</v>
      </c>
      <c r="B15" s="31" t="s">
        <v>969</v>
      </c>
      <c r="C15" s="31" t="s">
        <v>970</v>
      </c>
      <c r="D15" s="31" t="s">
        <v>90</v>
      </c>
      <c r="E15" s="32">
        <v>3389384</v>
      </c>
      <c r="F15" s="33">
        <f>1430082791.12/10^5</f>
        <v>14300.827911199998</v>
      </c>
      <c r="G15" s="103">
        <f>F15/F213</f>
        <v>2.059337818868516E-2</v>
      </c>
      <c r="H15" s="29" t="s">
        <v>143</v>
      </c>
    </row>
    <row r="16" spans="1:9" ht="12.75" customHeight="1" x14ac:dyDescent="0.2">
      <c r="A16" s="35">
        <v>10</v>
      </c>
      <c r="B16" s="22" t="s">
        <v>333</v>
      </c>
      <c r="C16" s="22" t="s">
        <v>334</v>
      </c>
      <c r="D16" s="22" t="s">
        <v>239</v>
      </c>
      <c r="E16" s="36">
        <v>400015</v>
      </c>
      <c r="F16" s="37">
        <v>13708.51405</v>
      </c>
      <c r="G16" s="38">
        <v>1.9740440000000001E-2</v>
      </c>
      <c r="H16" s="29" t="s">
        <v>143</v>
      </c>
    </row>
    <row r="17" spans="1:8" ht="12.75" customHeight="1" x14ac:dyDescent="0.2">
      <c r="A17" s="35">
        <v>11</v>
      </c>
      <c r="B17" s="22" t="s">
        <v>345</v>
      </c>
      <c r="C17" s="22" t="s">
        <v>346</v>
      </c>
      <c r="D17" s="22" t="s">
        <v>191</v>
      </c>
      <c r="E17" s="36">
        <v>728160</v>
      </c>
      <c r="F17" s="37">
        <v>11729.201279999999</v>
      </c>
      <c r="G17" s="38">
        <v>1.6890200000000001E-2</v>
      </c>
      <c r="H17" s="29" t="s">
        <v>143</v>
      </c>
    </row>
    <row r="18" spans="1:8" ht="12.75" customHeight="1" x14ac:dyDescent="0.2">
      <c r="A18" s="35">
        <v>12</v>
      </c>
      <c r="B18" s="22" t="s">
        <v>439</v>
      </c>
      <c r="C18" s="22" t="s">
        <v>440</v>
      </c>
      <c r="D18" s="22" t="s">
        <v>423</v>
      </c>
      <c r="E18" s="36">
        <v>446998</v>
      </c>
      <c r="F18" s="37">
        <v>11239.317712</v>
      </c>
      <c r="G18" s="38">
        <v>1.6184759999999999E-2</v>
      </c>
      <c r="H18" s="29" t="s">
        <v>143</v>
      </c>
    </row>
    <row r="19" spans="1:8" ht="12.75" customHeight="1" x14ac:dyDescent="0.2">
      <c r="A19" s="35">
        <v>13</v>
      </c>
      <c r="B19" s="22" t="s">
        <v>325</v>
      </c>
      <c r="C19" s="22" t="s">
        <v>326</v>
      </c>
      <c r="D19" s="22" t="s">
        <v>215</v>
      </c>
      <c r="E19" s="36">
        <v>774735</v>
      </c>
      <c r="F19" s="37">
        <v>11170.12923</v>
      </c>
      <c r="G19" s="38">
        <v>1.608513E-2</v>
      </c>
      <c r="H19" s="29" t="s">
        <v>143</v>
      </c>
    </row>
    <row r="20" spans="1:8" ht="12.75" customHeight="1" x14ac:dyDescent="0.2">
      <c r="A20" s="35">
        <v>14</v>
      </c>
      <c r="B20" s="22" t="s">
        <v>26</v>
      </c>
      <c r="C20" s="22" t="s">
        <v>27</v>
      </c>
      <c r="D20" s="22" t="s">
        <v>28</v>
      </c>
      <c r="E20" s="36">
        <v>2561869</v>
      </c>
      <c r="F20" s="37">
        <v>10348.669825499999</v>
      </c>
      <c r="G20" s="38">
        <v>1.4902220000000001E-2</v>
      </c>
      <c r="H20" s="29" t="s">
        <v>143</v>
      </c>
    </row>
    <row r="21" spans="1:8" ht="12.75" customHeight="1" x14ac:dyDescent="0.2">
      <c r="A21" s="35">
        <v>15</v>
      </c>
      <c r="B21" s="22" t="s">
        <v>183</v>
      </c>
      <c r="C21" s="22" t="s">
        <v>184</v>
      </c>
      <c r="D21" s="22" t="s">
        <v>185</v>
      </c>
      <c r="E21" s="36">
        <v>438710</v>
      </c>
      <c r="F21" s="37">
        <v>9863.9556400000001</v>
      </c>
      <c r="G21" s="38">
        <v>1.420422E-2</v>
      </c>
      <c r="H21" s="29" t="s">
        <v>143</v>
      </c>
    </row>
    <row r="22" spans="1:8" ht="12.75" customHeight="1" x14ac:dyDescent="0.2">
      <c r="A22" s="35">
        <v>16</v>
      </c>
      <c r="B22" s="22" t="s">
        <v>54</v>
      </c>
      <c r="C22" s="22" t="s">
        <v>55</v>
      </c>
      <c r="D22" s="22" t="s">
        <v>56</v>
      </c>
      <c r="E22" s="36">
        <v>170945</v>
      </c>
      <c r="F22" s="37">
        <v>9563.5180249999994</v>
      </c>
      <c r="G22" s="38">
        <v>1.377159E-2</v>
      </c>
      <c r="H22" s="29" t="s">
        <v>143</v>
      </c>
    </row>
    <row r="23" spans="1:8" ht="12.75" customHeight="1" x14ac:dyDescent="0.2">
      <c r="A23" s="35">
        <v>17</v>
      </c>
      <c r="B23" s="22" t="s">
        <v>62</v>
      </c>
      <c r="C23" s="22" t="s">
        <v>63</v>
      </c>
      <c r="D23" s="22" t="s">
        <v>64</v>
      </c>
      <c r="E23" s="36">
        <v>240499</v>
      </c>
      <c r="F23" s="37">
        <v>9443.1932350000006</v>
      </c>
      <c r="G23" s="38">
        <v>1.3598320000000001E-2</v>
      </c>
      <c r="H23" s="29" t="s">
        <v>143</v>
      </c>
    </row>
    <row r="24" spans="1:8" ht="12.75" customHeight="1" x14ac:dyDescent="0.2">
      <c r="A24" s="35">
        <v>18</v>
      </c>
      <c r="B24" s="22" t="s">
        <v>497</v>
      </c>
      <c r="C24" s="22" t="s">
        <v>498</v>
      </c>
      <c r="D24" s="22" t="s">
        <v>191</v>
      </c>
      <c r="E24" s="36">
        <v>2267155</v>
      </c>
      <c r="F24" s="37">
        <v>9301.0033875000008</v>
      </c>
      <c r="G24" s="38">
        <v>1.339357E-2</v>
      </c>
      <c r="H24" s="29" t="s">
        <v>143</v>
      </c>
    </row>
    <row r="25" spans="1:8" ht="12.75" customHeight="1" x14ac:dyDescent="0.2">
      <c r="A25" s="35">
        <v>19</v>
      </c>
      <c r="B25" s="22" t="s">
        <v>204</v>
      </c>
      <c r="C25" s="22" t="s">
        <v>205</v>
      </c>
      <c r="D25" s="22" t="s">
        <v>206</v>
      </c>
      <c r="E25" s="36">
        <v>1496343</v>
      </c>
      <c r="F25" s="37">
        <v>9238.4216820000001</v>
      </c>
      <c r="G25" s="38">
        <v>1.330345E-2</v>
      </c>
      <c r="H25" s="29" t="s">
        <v>143</v>
      </c>
    </row>
    <row r="26" spans="1:8" ht="12.75" customHeight="1" x14ac:dyDescent="0.2">
      <c r="A26" s="35">
        <v>20</v>
      </c>
      <c r="B26" s="22" t="s">
        <v>424</v>
      </c>
      <c r="C26" s="22" t="s">
        <v>425</v>
      </c>
      <c r="D26" s="22" t="s">
        <v>215</v>
      </c>
      <c r="E26" s="36">
        <v>628155</v>
      </c>
      <c r="F26" s="37">
        <v>8700.5749049999995</v>
      </c>
      <c r="G26" s="38">
        <v>1.2528940000000001E-2</v>
      </c>
      <c r="H26" s="29" t="s">
        <v>143</v>
      </c>
    </row>
    <row r="27" spans="1:8" ht="12.75" customHeight="1" x14ac:dyDescent="0.2">
      <c r="A27" s="35">
        <v>21</v>
      </c>
      <c r="B27" s="22" t="s">
        <v>242</v>
      </c>
      <c r="C27" s="22" t="s">
        <v>243</v>
      </c>
      <c r="D27" s="22" t="s">
        <v>191</v>
      </c>
      <c r="E27" s="36">
        <v>1372500</v>
      </c>
      <c r="F27" s="37">
        <v>8455.9724999999999</v>
      </c>
      <c r="G27" s="38">
        <v>1.217671E-2</v>
      </c>
      <c r="H27" s="29" t="s">
        <v>143</v>
      </c>
    </row>
    <row r="28" spans="1:8" ht="12.75" customHeight="1" x14ac:dyDescent="0.2">
      <c r="A28" s="35">
        <v>22</v>
      </c>
      <c r="B28" s="22" t="s">
        <v>431</v>
      </c>
      <c r="C28" s="22" t="s">
        <v>432</v>
      </c>
      <c r="D28" s="22" t="s">
        <v>203</v>
      </c>
      <c r="E28" s="36">
        <v>737885</v>
      </c>
      <c r="F28" s="37">
        <v>8332.9353050000009</v>
      </c>
      <c r="G28" s="38">
        <v>1.199954E-2</v>
      </c>
      <c r="H28" s="29" t="s">
        <v>143</v>
      </c>
    </row>
    <row r="29" spans="1:8" ht="12.75" customHeight="1" x14ac:dyDescent="0.2">
      <c r="A29" s="35">
        <v>23</v>
      </c>
      <c r="B29" s="22" t="s">
        <v>499</v>
      </c>
      <c r="C29" s="22" t="s">
        <v>500</v>
      </c>
      <c r="D29" s="22" t="s">
        <v>239</v>
      </c>
      <c r="E29" s="36">
        <v>50720</v>
      </c>
      <c r="F29" s="37">
        <v>8129.9088000000002</v>
      </c>
      <c r="G29" s="38">
        <v>1.1707169999999999E-2</v>
      </c>
      <c r="H29" s="29" t="s">
        <v>143</v>
      </c>
    </row>
    <row r="30" spans="1:8" ht="12.75" customHeight="1" x14ac:dyDescent="0.2">
      <c r="A30" s="35">
        <v>24</v>
      </c>
      <c r="B30" s="22" t="s">
        <v>34</v>
      </c>
      <c r="C30" s="22" t="s">
        <v>35</v>
      </c>
      <c r="D30" s="22" t="s">
        <v>19</v>
      </c>
      <c r="E30" s="36">
        <v>2077141</v>
      </c>
      <c r="F30" s="37">
        <v>7055.0094065000003</v>
      </c>
      <c r="G30" s="38">
        <v>1.015931E-2</v>
      </c>
      <c r="H30" s="29" t="s">
        <v>143</v>
      </c>
    </row>
    <row r="31" spans="1:8" ht="12.75" customHeight="1" x14ac:dyDescent="0.2">
      <c r="A31" s="35">
        <v>25</v>
      </c>
      <c r="B31" s="22" t="s">
        <v>44</v>
      </c>
      <c r="C31" s="22" t="s">
        <v>45</v>
      </c>
      <c r="D31" s="22" t="s">
        <v>46</v>
      </c>
      <c r="E31" s="36">
        <v>85425</v>
      </c>
      <c r="F31" s="37">
        <v>6910.0282500000003</v>
      </c>
      <c r="G31" s="38">
        <v>9.9505300000000008E-3</v>
      </c>
      <c r="H31" s="29" t="s">
        <v>143</v>
      </c>
    </row>
    <row r="32" spans="1:8" ht="12.75" customHeight="1" x14ac:dyDescent="0.2">
      <c r="A32" s="35">
        <v>26</v>
      </c>
      <c r="B32" s="22" t="s">
        <v>221</v>
      </c>
      <c r="C32" s="22" t="s">
        <v>222</v>
      </c>
      <c r="D32" s="22" t="s">
        <v>223</v>
      </c>
      <c r="E32" s="36">
        <v>324050</v>
      </c>
      <c r="F32" s="37">
        <v>6611.2681000000002</v>
      </c>
      <c r="G32" s="38">
        <v>9.5203100000000006E-3</v>
      </c>
      <c r="H32" s="29" t="s">
        <v>143</v>
      </c>
    </row>
    <row r="33" spans="1:8" ht="12.75" customHeight="1" x14ac:dyDescent="0.2">
      <c r="A33" s="35">
        <v>27</v>
      </c>
      <c r="B33" s="22" t="s">
        <v>337</v>
      </c>
      <c r="C33" s="22" t="s">
        <v>338</v>
      </c>
      <c r="D33" s="22" t="s">
        <v>223</v>
      </c>
      <c r="E33" s="36">
        <v>84000</v>
      </c>
      <c r="F33" s="37">
        <v>6548.64</v>
      </c>
      <c r="G33" s="38">
        <v>9.4301300000000001E-3</v>
      </c>
      <c r="H33" s="29" t="s">
        <v>143</v>
      </c>
    </row>
    <row r="34" spans="1:8" ht="12.75" customHeight="1" x14ac:dyDescent="0.2">
      <c r="A34" s="35">
        <v>28</v>
      </c>
      <c r="B34" s="22" t="s">
        <v>339</v>
      </c>
      <c r="C34" s="22" t="s">
        <v>340</v>
      </c>
      <c r="D34" s="22" t="s">
        <v>25</v>
      </c>
      <c r="E34" s="36">
        <v>218450</v>
      </c>
      <c r="F34" s="37">
        <v>6022.44805</v>
      </c>
      <c r="G34" s="38">
        <v>8.6724000000000002E-3</v>
      </c>
      <c r="H34" s="29" t="s">
        <v>143</v>
      </c>
    </row>
    <row r="35" spans="1:8" ht="12.75" customHeight="1" x14ac:dyDescent="0.2">
      <c r="A35" s="35">
        <v>29</v>
      </c>
      <c r="B35" s="22" t="s">
        <v>501</v>
      </c>
      <c r="C35" s="22" t="s">
        <v>502</v>
      </c>
      <c r="D35" s="22" t="s">
        <v>230</v>
      </c>
      <c r="E35" s="36">
        <v>444405</v>
      </c>
      <c r="F35" s="37">
        <v>5885.2554149999996</v>
      </c>
      <c r="G35" s="38">
        <v>8.4748400000000008E-3</v>
      </c>
      <c r="H35" s="29" t="s">
        <v>143</v>
      </c>
    </row>
    <row r="36" spans="1:8" ht="12.75" customHeight="1" x14ac:dyDescent="0.2">
      <c r="A36" s="35">
        <v>30</v>
      </c>
      <c r="B36" s="22" t="s">
        <v>429</v>
      </c>
      <c r="C36" s="22" t="s">
        <v>430</v>
      </c>
      <c r="D36" s="22" t="s">
        <v>275</v>
      </c>
      <c r="E36" s="36">
        <v>325160</v>
      </c>
      <c r="F36" s="37">
        <v>5822.3149599999997</v>
      </c>
      <c r="G36" s="38">
        <v>8.3842099999999996E-3</v>
      </c>
      <c r="H36" s="29" t="s">
        <v>143</v>
      </c>
    </row>
    <row r="37" spans="1:8" ht="12.75" customHeight="1" x14ac:dyDescent="0.2">
      <c r="A37" s="35">
        <v>31</v>
      </c>
      <c r="B37" s="22" t="s">
        <v>503</v>
      </c>
      <c r="C37" s="22" t="s">
        <v>504</v>
      </c>
      <c r="D37" s="22" t="s">
        <v>239</v>
      </c>
      <c r="E37" s="36">
        <v>66363</v>
      </c>
      <c r="F37" s="37">
        <v>5759.3129550000003</v>
      </c>
      <c r="G37" s="38">
        <v>8.2934900000000006E-3</v>
      </c>
      <c r="H37" s="29" t="s">
        <v>143</v>
      </c>
    </row>
    <row r="38" spans="1:8" ht="12.75" customHeight="1" x14ac:dyDescent="0.2">
      <c r="A38" s="35">
        <v>32</v>
      </c>
      <c r="B38" s="22" t="s">
        <v>49</v>
      </c>
      <c r="C38" s="22" t="s">
        <v>50</v>
      </c>
      <c r="D38" s="22" t="s">
        <v>22</v>
      </c>
      <c r="E38" s="36">
        <v>1469941</v>
      </c>
      <c r="F38" s="37">
        <v>5712.9256965000004</v>
      </c>
      <c r="G38" s="38">
        <v>8.22669E-3</v>
      </c>
      <c r="H38" s="29" t="s">
        <v>143</v>
      </c>
    </row>
    <row r="39" spans="1:8" ht="12.75" customHeight="1" x14ac:dyDescent="0.2">
      <c r="A39" s="35">
        <v>33</v>
      </c>
      <c r="B39" s="22" t="s">
        <v>23</v>
      </c>
      <c r="C39" s="22" t="s">
        <v>24</v>
      </c>
      <c r="D39" s="22" t="s">
        <v>25</v>
      </c>
      <c r="E39" s="36">
        <v>45760</v>
      </c>
      <c r="F39" s="37">
        <v>5592.7871999999998</v>
      </c>
      <c r="G39" s="38">
        <v>8.0536900000000005E-3</v>
      </c>
      <c r="H39" s="29" t="s">
        <v>143</v>
      </c>
    </row>
    <row r="40" spans="1:8" ht="12.75" customHeight="1" x14ac:dyDescent="0.2">
      <c r="A40" s="35">
        <v>34</v>
      </c>
      <c r="B40" s="22" t="s">
        <v>255</v>
      </c>
      <c r="C40" s="22" t="s">
        <v>256</v>
      </c>
      <c r="D40" s="22" t="s">
        <v>41</v>
      </c>
      <c r="E40" s="36">
        <v>427474</v>
      </c>
      <c r="F40" s="37">
        <v>5552.0323120000003</v>
      </c>
      <c r="G40" s="38">
        <v>7.9950000000000004E-3</v>
      </c>
      <c r="H40" s="29" t="s">
        <v>143</v>
      </c>
    </row>
    <row r="41" spans="1:8" ht="12.75" customHeight="1" x14ac:dyDescent="0.2">
      <c r="A41" s="35">
        <v>35</v>
      </c>
      <c r="B41" s="22" t="s">
        <v>271</v>
      </c>
      <c r="C41" s="22" t="s">
        <v>272</v>
      </c>
      <c r="D41" s="22" t="s">
        <v>194</v>
      </c>
      <c r="E41" s="36">
        <v>221910</v>
      </c>
      <c r="F41" s="37">
        <v>5405.0618700000005</v>
      </c>
      <c r="G41" s="38">
        <v>7.7833599999999996E-3</v>
      </c>
      <c r="H41" s="29" t="s">
        <v>143</v>
      </c>
    </row>
    <row r="42" spans="1:8" ht="12.75" customHeight="1" x14ac:dyDescent="0.2">
      <c r="A42" s="35">
        <v>36</v>
      </c>
      <c r="B42" s="22" t="s">
        <v>505</v>
      </c>
      <c r="C42" s="22" t="s">
        <v>506</v>
      </c>
      <c r="D42" s="22" t="s">
        <v>41</v>
      </c>
      <c r="E42" s="36">
        <v>510712</v>
      </c>
      <c r="F42" s="37">
        <v>5052.7291720000003</v>
      </c>
      <c r="G42" s="38">
        <v>7.2760000000000003E-3</v>
      </c>
      <c r="H42" s="29" t="s">
        <v>143</v>
      </c>
    </row>
    <row r="43" spans="1:8" ht="12.75" customHeight="1" x14ac:dyDescent="0.2">
      <c r="A43" s="35">
        <v>37</v>
      </c>
      <c r="B43" s="22" t="s">
        <v>349</v>
      </c>
      <c r="C43" s="22" t="s">
        <v>350</v>
      </c>
      <c r="D43" s="22" t="s">
        <v>194</v>
      </c>
      <c r="E43" s="36">
        <v>314495</v>
      </c>
      <c r="F43" s="37">
        <v>5013.9937849999997</v>
      </c>
      <c r="G43" s="38">
        <v>7.2202200000000003E-3</v>
      </c>
      <c r="H43" s="29" t="s">
        <v>143</v>
      </c>
    </row>
    <row r="44" spans="1:8" ht="12.75" customHeight="1" x14ac:dyDescent="0.2">
      <c r="A44" s="35">
        <v>38</v>
      </c>
      <c r="B44" s="22" t="s">
        <v>507</v>
      </c>
      <c r="C44" s="22" t="s">
        <v>508</v>
      </c>
      <c r="D44" s="22" t="s">
        <v>191</v>
      </c>
      <c r="E44" s="36">
        <v>406245</v>
      </c>
      <c r="F44" s="37">
        <v>4939.9391999999998</v>
      </c>
      <c r="G44" s="38">
        <v>7.1135800000000004E-3</v>
      </c>
      <c r="H44" s="29" t="s">
        <v>143</v>
      </c>
    </row>
    <row r="45" spans="1:8" ht="12.75" customHeight="1" x14ac:dyDescent="0.2">
      <c r="A45" s="35">
        <v>39</v>
      </c>
      <c r="B45" s="22" t="s">
        <v>299</v>
      </c>
      <c r="C45" s="22" t="s">
        <v>300</v>
      </c>
      <c r="D45" s="22" t="s">
        <v>191</v>
      </c>
      <c r="E45" s="36">
        <v>109774</v>
      </c>
      <c r="F45" s="37">
        <v>4870.2332839999999</v>
      </c>
      <c r="G45" s="38">
        <v>7.0131999999999998E-3</v>
      </c>
      <c r="H45" s="29" t="s">
        <v>143</v>
      </c>
    </row>
    <row r="46" spans="1:8" ht="12.75" customHeight="1" x14ac:dyDescent="0.2">
      <c r="A46" s="35">
        <v>40</v>
      </c>
      <c r="B46" s="22" t="s">
        <v>186</v>
      </c>
      <c r="C46" s="22" t="s">
        <v>187</v>
      </c>
      <c r="D46" s="22" t="s">
        <v>188</v>
      </c>
      <c r="E46" s="36">
        <v>500000</v>
      </c>
      <c r="F46" s="37">
        <v>4849</v>
      </c>
      <c r="G46" s="38">
        <v>6.9826200000000001E-3</v>
      </c>
      <c r="H46" s="29" t="s">
        <v>143</v>
      </c>
    </row>
    <row r="47" spans="1:8" ht="12.75" customHeight="1" x14ac:dyDescent="0.2">
      <c r="A47" s="35">
        <v>41</v>
      </c>
      <c r="B47" s="22" t="s">
        <v>192</v>
      </c>
      <c r="C47" s="22" t="s">
        <v>193</v>
      </c>
      <c r="D47" s="22" t="s">
        <v>194</v>
      </c>
      <c r="E47" s="36">
        <v>238745</v>
      </c>
      <c r="F47" s="37">
        <v>4563.1331849999997</v>
      </c>
      <c r="G47" s="38">
        <v>6.5709699999999998E-3</v>
      </c>
      <c r="H47" s="29" t="s">
        <v>143</v>
      </c>
    </row>
    <row r="48" spans="1:8" ht="12.75" customHeight="1" x14ac:dyDescent="0.2">
      <c r="A48" s="35">
        <v>42</v>
      </c>
      <c r="B48" s="22" t="s">
        <v>509</v>
      </c>
      <c r="C48" s="22" t="s">
        <v>510</v>
      </c>
      <c r="D48" s="22" t="s">
        <v>270</v>
      </c>
      <c r="E48" s="36">
        <v>310170</v>
      </c>
      <c r="F48" s="37">
        <v>4553.2956000000004</v>
      </c>
      <c r="G48" s="38">
        <v>6.5568099999999997E-3</v>
      </c>
      <c r="H48" s="29" t="s">
        <v>143</v>
      </c>
    </row>
    <row r="49" spans="1:8" ht="12.75" customHeight="1" x14ac:dyDescent="0.2">
      <c r="A49" s="35">
        <v>43</v>
      </c>
      <c r="B49" s="22" t="s">
        <v>293</v>
      </c>
      <c r="C49" s="22" t="s">
        <v>294</v>
      </c>
      <c r="D49" s="22" t="s">
        <v>194</v>
      </c>
      <c r="E49" s="36">
        <v>432010</v>
      </c>
      <c r="F49" s="37">
        <v>4241.9061899999997</v>
      </c>
      <c r="G49" s="38">
        <v>6.1083999999999999E-3</v>
      </c>
      <c r="H49" s="29" t="s">
        <v>143</v>
      </c>
    </row>
    <row r="50" spans="1:8" ht="12.75" customHeight="1" x14ac:dyDescent="0.2">
      <c r="A50" s="35">
        <v>44</v>
      </c>
      <c r="B50" s="22" t="s">
        <v>67</v>
      </c>
      <c r="C50" s="22" t="s">
        <v>68</v>
      </c>
      <c r="D50" s="22" t="s">
        <v>25</v>
      </c>
      <c r="E50" s="36">
        <v>63210</v>
      </c>
      <c r="F50" s="37">
        <v>3982.23</v>
      </c>
      <c r="G50" s="38">
        <v>5.7344600000000003E-3</v>
      </c>
      <c r="H50" s="29" t="s">
        <v>143</v>
      </c>
    </row>
    <row r="51" spans="1:8" ht="12.75" customHeight="1" x14ac:dyDescent="0.2">
      <c r="A51" s="35">
        <v>45</v>
      </c>
      <c r="B51" s="22" t="s">
        <v>511</v>
      </c>
      <c r="C51" s="22" t="s">
        <v>512</v>
      </c>
      <c r="D51" s="22" t="s">
        <v>230</v>
      </c>
      <c r="E51" s="36">
        <v>873150</v>
      </c>
      <c r="F51" s="37">
        <v>3874.1665499999999</v>
      </c>
      <c r="G51" s="38">
        <v>5.5788499999999998E-3</v>
      </c>
      <c r="H51" s="29" t="s">
        <v>143</v>
      </c>
    </row>
    <row r="52" spans="1:8" ht="12.75" customHeight="1" x14ac:dyDescent="0.2">
      <c r="A52" s="35">
        <v>46</v>
      </c>
      <c r="B52" s="22" t="s">
        <v>278</v>
      </c>
      <c r="C52" s="22" t="s">
        <v>279</v>
      </c>
      <c r="D52" s="22" t="s">
        <v>90</v>
      </c>
      <c r="E52" s="36">
        <v>253480</v>
      </c>
      <c r="F52" s="37">
        <v>3827.8014800000001</v>
      </c>
      <c r="G52" s="38">
        <v>5.5120799999999999E-3</v>
      </c>
      <c r="H52" s="29" t="s">
        <v>143</v>
      </c>
    </row>
    <row r="53" spans="1:8" ht="12.75" customHeight="1" x14ac:dyDescent="0.2">
      <c r="A53" s="35">
        <v>47</v>
      </c>
      <c r="B53" s="22" t="s">
        <v>347</v>
      </c>
      <c r="C53" s="22" t="s">
        <v>348</v>
      </c>
      <c r="D53" s="22" t="s">
        <v>206</v>
      </c>
      <c r="E53" s="36">
        <v>524000</v>
      </c>
      <c r="F53" s="37">
        <v>3774.3719999999998</v>
      </c>
      <c r="G53" s="38">
        <v>5.4351499999999997E-3</v>
      </c>
      <c r="H53" s="29" t="s">
        <v>143</v>
      </c>
    </row>
    <row r="54" spans="1:8" ht="12.75" customHeight="1" x14ac:dyDescent="0.2">
      <c r="A54" s="35">
        <v>48</v>
      </c>
      <c r="B54" s="22" t="s">
        <v>513</v>
      </c>
      <c r="C54" s="22" t="s">
        <v>514</v>
      </c>
      <c r="D54" s="22" t="s">
        <v>239</v>
      </c>
      <c r="E54" s="36">
        <v>57413</v>
      </c>
      <c r="F54" s="37">
        <v>3141.9264250000001</v>
      </c>
      <c r="G54" s="38">
        <v>4.5244200000000004E-3</v>
      </c>
      <c r="H54" s="29" t="s">
        <v>143</v>
      </c>
    </row>
    <row r="55" spans="1:8" ht="12.75" customHeight="1" x14ac:dyDescent="0.2">
      <c r="A55" s="35">
        <v>49</v>
      </c>
      <c r="B55" s="22" t="s">
        <v>515</v>
      </c>
      <c r="C55" s="22" t="s">
        <v>516</v>
      </c>
      <c r="D55" s="22" t="s">
        <v>215</v>
      </c>
      <c r="E55" s="36">
        <v>184372</v>
      </c>
      <c r="F55" s="37">
        <v>2581.7611160000001</v>
      </c>
      <c r="G55" s="38">
        <v>3.71777E-3</v>
      </c>
      <c r="H55" s="29" t="s">
        <v>143</v>
      </c>
    </row>
    <row r="56" spans="1:8" ht="12.75" customHeight="1" x14ac:dyDescent="0.2">
      <c r="A56" s="35">
        <v>50</v>
      </c>
      <c r="B56" s="22" t="s">
        <v>73</v>
      </c>
      <c r="C56" s="22" t="s">
        <v>74</v>
      </c>
      <c r="D56" s="22" t="s">
        <v>75</v>
      </c>
      <c r="E56" s="36">
        <v>1339400</v>
      </c>
      <c r="F56" s="37">
        <v>2361.2282599999999</v>
      </c>
      <c r="G56" s="38">
        <v>3.4001999999999999E-3</v>
      </c>
      <c r="H56" s="29" t="s">
        <v>143</v>
      </c>
    </row>
    <row r="57" spans="1:8" ht="12.75" customHeight="1" x14ac:dyDescent="0.2">
      <c r="A57" s="35">
        <v>51</v>
      </c>
      <c r="B57" s="22" t="s">
        <v>307</v>
      </c>
      <c r="C57" s="22" t="s">
        <v>308</v>
      </c>
      <c r="D57" s="22" t="s">
        <v>188</v>
      </c>
      <c r="E57" s="36">
        <v>409755</v>
      </c>
      <c r="F57" s="37">
        <v>2298.7255500000001</v>
      </c>
      <c r="G57" s="38">
        <v>3.3102000000000001E-3</v>
      </c>
      <c r="H57" s="29" t="s">
        <v>143</v>
      </c>
    </row>
    <row r="58" spans="1:8" ht="12.75" customHeight="1" x14ac:dyDescent="0.2">
      <c r="A58" s="35">
        <v>52</v>
      </c>
      <c r="B58" s="22" t="s">
        <v>335</v>
      </c>
      <c r="C58" s="22" t="s">
        <v>336</v>
      </c>
      <c r="D58" s="22" t="s">
        <v>28</v>
      </c>
      <c r="E58" s="36">
        <v>42750</v>
      </c>
      <c r="F58" s="37">
        <v>2029.1287500000001</v>
      </c>
      <c r="G58" s="38">
        <v>2.9219699999999999E-3</v>
      </c>
      <c r="H58" s="29" t="s">
        <v>143</v>
      </c>
    </row>
    <row r="59" spans="1:8" ht="12.75" customHeight="1" x14ac:dyDescent="0.2">
      <c r="A59" s="35">
        <v>53</v>
      </c>
      <c r="B59" s="22" t="s">
        <v>478</v>
      </c>
      <c r="C59" s="22" t="s">
        <v>479</v>
      </c>
      <c r="D59" s="22" t="s">
        <v>223</v>
      </c>
      <c r="E59" s="36">
        <v>78363</v>
      </c>
      <c r="F59" s="37">
        <v>2020.668318</v>
      </c>
      <c r="G59" s="38">
        <v>2.9097900000000002E-3</v>
      </c>
      <c r="H59" s="29" t="s">
        <v>143</v>
      </c>
    </row>
    <row r="60" spans="1:8" ht="12.75" customHeight="1" x14ac:dyDescent="0.2">
      <c r="A60" s="35">
        <v>54</v>
      </c>
      <c r="B60" s="22" t="s">
        <v>327</v>
      </c>
      <c r="C60" s="22" t="s">
        <v>328</v>
      </c>
      <c r="D60" s="22" t="s">
        <v>33</v>
      </c>
      <c r="E60" s="36">
        <v>174375</v>
      </c>
      <c r="F60" s="37">
        <v>1973.2275</v>
      </c>
      <c r="G60" s="38">
        <v>2.84147E-3</v>
      </c>
      <c r="H60" s="29" t="s">
        <v>143</v>
      </c>
    </row>
    <row r="61" spans="1:8" ht="12.75" customHeight="1" x14ac:dyDescent="0.2">
      <c r="A61" s="35">
        <v>55</v>
      </c>
      <c r="B61" s="22" t="s">
        <v>224</v>
      </c>
      <c r="C61" s="22" t="s">
        <v>225</v>
      </c>
      <c r="D61" s="22" t="s">
        <v>64</v>
      </c>
      <c r="E61" s="36">
        <v>24910</v>
      </c>
      <c r="F61" s="37">
        <v>1814.9426000000001</v>
      </c>
      <c r="G61" s="38">
        <v>2.6135400000000001E-3</v>
      </c>
      <c r="H61" s="29" t="s">
        <v>143</v>
      </c>
    </row>
    <row r="62" spans="1:8" ht="12.75" customHeight="1" x14ac:dyDescent="0.2">
      <c r="A62" s="35">
        <v>56</v>
      </c>
      <c r="B62" s="22" t="s">
        <v>517</v>
      </c>
      <c r="C62" s="22" t="s">
        <v>518</v>
      </c>
      <c r="D62" s="22" t="s">
        <v>194</v>
      </c>
      <c r="E62" s="36">
        <v>522500</v>
      </c>
      <c r="F62" s="37">
        <v>1781.7249999999999</v>
      </c>
      <c r="G62" s="38">
        <v>2.5657100000000001E-3</v>
      </c>
      <c r="H62" s="29" t="s">
        <v>143</v>
      </c>
    </row>
    <row r="63" spans="1:8" ht="12.75" customHeight="1" x14ac:dyDescent="0.2">
      <c r="A63" s="35">
        <v>57</v>
      </c>
      <c r="B63" s="22" t="s">
        <v>82</v>
      </c>
      <c r="C63" s="22" t="s">
        <v>83</v>
      </c>
      <c r="D63" s="22" t="s">
        <v>13</v>
      </c>
      <c r="E63" s="36">
        <v>480016</v>
      </c>
      <c r="F63" s="37">
        <v>1645.974864</v>
      </c>
      <c r="G63" s="38">
        <v>2.3702300000000001E-3</v>
      </c>
      <c r="H63" s="29" t="s">
        <v>143</v>
      </c>
    </row>
    <row r="64" spans="1:8" ht="12.75" customHeight="1" x14ac:dyDescent="0.2">
      <c r="A64" s="35">
        <v>58</v>
      </c>
      <c r="B64" s="22" t="s">
        <v>121</v>
      </c>
      <c r="C64" s="22" t="s">
        <v>122</v>
      </c>
      <c r="D64" s="22" t="s">
        <v>46</v>
      </c>
      <c r="E64" s="36">
        <v>9750</v>
      </c>
      <c r="F64" s="37">
        <v>1591.395</v>
      </c>
      <c r="G64" s="38">
        <v>2.2916299999999998E-3</v>
      </c>
      <c r="H64" s="29" t="s">
        <v>143</v>
      </c>
    </row>
    <row r="65" spans="1:10" ht="12.75" customHeight="1" x14ac:dyDescent="0.2">
      <c r="A65" s="35">
        <v>59</v>
      </c>
      <c r="B65" s="22" t="s">
        <v>331</v>
      </c>
      <c r="C65" s="22" t="s">
        <v>332</v>
      </c>
      <c r="D65" s="22" t="s">
        <v>33</v>
      </c>
      <c r="E65" s="36">
        <v>599625</v>
      </c>
      <c r="F65" s="37">
        <v>1550.270475</v>
      </c>
      <c r="G65" s="38">
        <v>2.2324100000000002E-3</v>
      </c>
      <c r="H65" s="29" t="s">
        <v>143</v>
      </c>
    </row>
    <row r="66" spans="1:10" ht="12.75" customHeight="1" x14ac:dyDescent="0.2">
      <c r="A66" s="35">
        <v>60</v>
      </c>
      <c r="B66" s="22" t="s">
        <v>519</v>
      </c>
      <c r="C66" s="22" t="s">
        <v>520</v>
      </c>
      <c r="D66" s="22" t="s">
        <v>191</v>
      </c>
      <c r="E66" s="36">
        <v>437100</v>
      </c>
      <c r="F66" s="37">
        <v>1281.5771999999999</v>
      </c>
      <c r="G66" s="38">
        <v>1.84549E-3</v>
      </c>
      <c r="H66" s="29" t="s">
        <v>143</v>
      </c>
    </row>
    <row r="67" spans="1:10" ht="12.75" customHeight="1" x14ac:dyDescent="0.2">
      <c r="A67" s="35">
        <v>61</v>
      </c>
      <c r="B67" s="22" t="s">
        <v>521</v>
      </c>
      <c r="C67" s="22" t="s">
        <v>522</v>
      </c>
      <c r="D67" s="22" t="s">
        <v>133</v>
      </c>
      <c r="E67" s="36">
        <v>89100</v>
      </c>
      <c r="F67" s="37">
        <v>1018.1457</v>
      </c>
      <c r="G67" s="38">
        <v>1.4661400000000001E-3</v>
      </c>
      <c r="H67" s="29" t="s">
        <v>143</v>
      </c>
    </row>
    <row r="68" spans="1:10" ht="12.75" customHeight="1" x14ac:dyDescent="0.2">
      <c r="A68" s="35">
        <v>62</v>
      </c>
      <c r="B68" s="22" t="s">
        <v>201</v>
      </c>
      <c r="C68" s="22" t="s">
        <v>202</v>
      </c>
      <c r="D68" s="22" t="s">
        <v>203</v>
      </c>
      <c r="E68" s="36">
        <v>75600</v>
      </c>
      <c r="F68" s="37">
        <v>527.23440000000005</v>
      </c>
      <c r="G68" s="38">
        <v>7.5922000000000001E-4</v>
      </c>
      <c r="H68" s="29" t="s">
        <v>143</v>
      </c>
    </row>
    <row r="69" spans="1:10" ht="12.75" customHeight="1" x14ac:dyDescent="0.2">
      <c r="A69" s="35">
        <v>63</v>
      </c>
      <c r="B69" s="22" t="s">
        <v>59</v>
      </c>
      <c r="C69" s="22" t="s">
        <v>60</v>
      </c>
      <c r="D69" s="22" t="s">
        <v>61</v>
      </c>
      <c r="E69" s="36">
        <v>114750</v>
      </c>
      <c r="F69" s="37">
        <v>274.82625000000002</v>
      </c>
      <c r="G69" s="38">
        <v>3.9575E-4</v>
      </c>
      <c r="H69" s="29" t="s">
        <v>143</v>
      </c>
    </row>
    <row r="70" spans="1:10" ht="12.75" customHeight="1" x14ac:dyDescent="0.2">
      <c r="A70" s="35">
        <v>64</v>
      </c>
      <c r="B70" s="22" t="s">
        <v>523</v>
      </c>
      <c r="C70" s="22" t="s">
        <v>524</v>
      </c>
      <c r="D70" s="22" t="s">
        <v>525</v>
      </c>
      <c r="E70" s="36">
        <v>28750</v>
      </c>
      <c r="F70" s="37">
        <v>133.91749999999999</v>
      </c>
      <c r="G70" s="38">
        <v>1.9284E-4</v>
      </c>
      <c r="H70" s="29" t="s">
        <v>143</v>
      </c>
    </row>
    <row r="71" spans="1:10" ht="12.75" customHeight="1" x14ac:dyDescent="0.2">
      <c r="A71" s="35">
        <v>65</v>
      </c>
      <c r="B71" s="22" t="s">
        <v>526</v>
      </c>
      <c r="C71" s="22" t="s">
        <v>527</v>
      </c>
      <c r="D71" s="22" t="s">
        <v>22</v>
      </c>
      <c r="E71" s="36">
        <v>25000</v>
      </c>
      <c r="F71" s="37">
        <v>132.71250000000001</v>
      </c>
      <c r="G71" s="38">
        <v>1.9111E-4</v>
      </c>
      <c r="H71" s="29" t="s">
        <v>143</v>
      </c>
    </row>
    <row r="72" spans="1:10" ht="12.75" customHeight="1" x14ac:dyDescent="0.2">
      <c r="A72" s="35">
        <v>66</v>
      </c>
      <c r="B72" s="22" t="s">
        <v>528</v>
      </c>
      <c r="C72" s="22" t="s">
        <v>529</v>
      </c>
      <c r="D72" s="22" t="s">
        <v>530</v>
      </c>
      <c r="E72" s="36">
        <v>4200</v>
      </c>
      <c r="F72" s="37">
        <v>105.2478</v>
      </c>
      <c r="G72" s="38">
        <v>1.5155999999999999E-4</v>
      </c>
      <c r="H72" s="29" t="s">
        <v>143</v>
      </c>
    </row>
    <row r="73" spans="1:10" ht="12.75" customHeight="1" x14ac:dyDescent="0.2">
      <c r="A73" s="35">
        <v>67</v>
      </c>
      <c r="B73" s="22" t="s">
        <v>531</v>
      </c>
      <c r="C73" s="22" t="s">
        <v>532</v>
      </c>
      <c r="D73" s="22" t="s">
        <v>33</v>
      </c>
      <c r="E73" s="36">
        <v>43200</v>
      </c>
      <c r="F73" s="37">
        <v>70.074719999999999</v>
      </c>
      <c r="G73" s="38">
        <v>1.0090999999999999E-4</v>
      </c>
      <c r="H73" s="29" t="s">
        <v>143</v>
      </c>
    </row>
    <row r="74" spans="1:10" ht="12.75" customHeight="1" x14ac:dyDescent="0.2">
      <c r="A74" s="39"/>
      <c r="B74" s="39"/>
      <c r="C74" s="40" t="s">
        <v>142</v>
      </c>
      <c r="D74" s="39"/>
      <c r="E74" s="39" t="s">
        <v>143</v>
      </c>
      <c r="F74" s="41">
        <f>SUM(F7:F73)</f>
        <v>529971.99789420003</v>
      </c>
      <c r="G74" s="42">
        <f>SUM(G7:G73)</f>
        <v>0.7631665981886856</v>
      </c>
      <c r="H74" s="29" t="s">
        <v>143</v>
      </c>
    </row>
    <row r="75" spans="1:10" ht="12.75" customHeight="1" x14ac:dyDescent="0.2">
      <c r="A75" s="39"/>
      <c r="B75" s="39"/>
      <c r="C75" s="43"/>
      <c r="D75" s="39"/>
      <c r="E75" s="39"/>
      <c r="F75" s="44"/>
      <c r="G75" s="44"/>
      <c r="H75" s="29" t="s">
        <v>143</v>
      </c>
    </row>
    <row r="76" spans="1:10" ht="12.75" customHeight="1" x14ac:dyDescent="0.2">
      <c r="A76" s="39"/>
      <c r="B76" s="39"/>
      <c r="C76" s="40" t="s">
        <v>144</v>
      </c>
      <c r="D76" s="39"/>
      <c r="E76" s="39"/>
      <c r="F76" s="39"/>
      <c r="G76" s="39"/>
      <c r="H76" s="29" t="s">
        <v>143</v>
      </c>
    </row>
    <row r="77" spans="1:10" ht="12.75" customHeight="1" x14ac:dyDescent="0.2">
      <c r="A77" s="39"/>
      <c r="B77" s="39"/>
      <c r="C77" s="40" t="s">
        <v>142</v>
      </c>
      <c r="D77" s="39"/>
      <c r="E77" s="39" t="s">
        <v>143</v>
      </c>
      <c r="F77" s="45" t="s">
        <v>145</v>
      </c>
      <c r="G77" s="42">
        <v>0</v>
      </c>
      <c r="H77" s="29" t="s">
        <v>143</v>
      </c>
    </row>
    <row r="78" spans="1:10" ht="12.75" customHeight="1" x14ac:dyDescent="0.2">
      <c r="A78" s="39"/>
      <c r="B78" s="39"/>
      <c r="C78" s="43"/>
      <c r="D78" s="39"/>
      <c r="E78" s="39"/>
      <c r="F78" s="44"/>
      <c r="G78" s="44"/>
      <c r="H78" s="29" t="s">
        <v>143</v>
      </c>
    </row>
    <row r="79" spans="1:10" ht="12.75" customHeight="1" x14ac:dyDescent="0.2">
      <c r="A79" s="39"/>
      <c r="B79" s="39"/>
      <c r="C79" s="40" t="s">
        <v>146</v>
      </c>
      <c r="D79" s="39"/>
      <c r="E79" s="39"/>
      <c r="F79" s="39"/>
      <c r="G79" s="39"/>
      <c r="H79" s="29" t="s">
        <v>143</v>
      </c>
    </row>
    <row r="80" spans="1:10" ht="14.25" customHeight="1" x14ac:dyDescent="0.2">
      <c r="A80" s="30">
        <v>1</v>
      </c>
      <c r="B80" s="31" t="s">
        <v>533</v>
      </c>
      <c r="C80" s="31" t="s">
        <v>971</v>
      </c>
      <c r="D80" s="31" t="s">
        <v>206</v>
      </c>
      <c r="E80" s="32">
        <v>30579</v>
      </c>
      <c r="F80" s="33">
        <v>4.5470972999999999</v>
      </c>
      <c r="G80" s="34" t="s">
        <v>141</v>
      </c>
      <c r="H80" s="29" t="s">
        <v>143</v>
      </c>
      <c r="J80" s="138"/>
    </row>
    <row r="81" spans="1:10" ht="12.75" customHeight="1" x14ac:dyDescent="0.2">
      <c r="A81" s="39"/>
      <c r="B81" s="39"/>
      <c r="C81" s="40" t="s">
        <v>142</v>
      </c>
      <c r="D81" s="39"/>
      <c r="E81" s="39" t="s">
        <v>143</v>
      </c>
      <c r="F81" s="41">
        <f>SUM(F80)</f>
        <v>4.5470972999999999</v>
      </c>
      <c r="G81" s="42">
        <f>SUM(G80)</f>
        <v>0</v>
      </c>
      <c r="H81" s="29" t="s">
        <v>143</v>
      </c>
      <c r="J81" s="138"/>
    </row>
    <row r="82" spans="1:10" ht="12.75" customHeight="1" x14ac:dyDescent="0.2">
      <c r="A82" s="39"/>
      <c r="B82" s="39"/>
      <c r="C82" s="43"/>
      <c r="D82" s="39"/>
      <c r="E82" s="39"/>
      <c r="F82" s="44"/>
      <c r="G82" s="44"/>
      <c r="H82" s="29" t="s">
        <v>143</v>
      </c>
    </row>
    <row r="83" spans="1:10" ht="12.75" customHeight="1" x14ac:dyDescent="0.2">
      <c r="A83" s="39"/>
      <c r="B83" s="39"/>
      <c r="C83" s="40" t="s">
        <v>147</v>
      </c>
      <c r="D83" s="39"/>
      <c r="E83" s="39"/>
      <c r="F83" s="39"/>
      <c r="G83" s="39"/>
      <c r="H83" s="29" t="s">
        <v>143</v>
      </c>
    </row>
    <row r="84" spans="1:10" ht="12.75" customHeight="1" x14ac:dyDescent="0.2">
      <c r="A84" s="39"/>
      <c r="B84" s="39"/>
      <c r="C84" s="40" t="s">
        <v>142</v>
      </c>
      <c r="D84" s="39"/>
      <c r="E84" s="39" t="s">
        <v>143</v>
      </c>
      <c r="F84" s="45" t="s">
        <v>145</v>
      </c>
      <c r="G84" s="42">
        <v>0</v>
      </c>
      <c r="H84" s="29" t="s">
        <v>143</v>
      </c>
    </row>
    <row r="85" spans="1:10" ht="12.75" customHeight="1" x14ac:dyDescent="0.2">
      <c r="A85" s="39"/>
      <c r="B85" s="39"/>
      <c r="C85" s="43"/>
      <c r="D85" s="39"/>
      <c r="E85" s="39"/>
      <c r="F85" s="44"/>
      <c r="G85" s="44"/>
      <c r="H85" s="29" t="s">
        <v>143</v>
      </c>
    </row>
    <row r="86" spans="1:10" ht="12.75" customHeight="1" x14ac:dyDescent="0.2">
      <c r="A86" s="39"/>
      <c r="B86" s="39"/>
      <c r="C86" s="40" t="s">
        <v>148</v>
      </c>
      <c r="D86" s="39"/>
      <c r="E86" s="39"/>
      <c r="F86" s="44"/>
      <c r="G86" s="44"/>
      <c r="H86" s="29" t="s">
        <v>143</v>
      </c>
    </row>
    <row r="87" spans="1:10" ht="12.75" customHeight="1" x14ac:dyDescent="0.2">
      <c r="A87" s="39"/>
      <c r="B87" s="39"/>
      <c r="C87" s="40" t="s">
        <v>142</v>
      </c>
      <c r="D87" s="39"/>
      <c r="E87" s="39" t="s">
        <v>143</v>
      </c>
      <c r="F87" s="45" t="s">
        <v>145</v>
      </c>
      <c r="G87" s="42">
        <v>0</v>
      </c>
      <c r="H87" s="29" t="s">
        <v>143</v>
      </c>
    </row>
    <row r="88" spans="1:10" x14ac:dyDescent="0.2">
      <c r="A88" s="27"/>
      <c r="B88" s="27"/>
      <c r="C88" s="28"/>
      <c r="D88" s="27"/>
      <c r="E88" s="27"/>
      <c r="F88" s="139"/>
      <c r="G88" s="114"/>
      <c r="H88" s="29" t="s">
        <v>143</v>
      </c>
    </row>
    <row r="89" spans="1:10" x14ac:dyDescent="0.2">
      <c r="A89" s="27"/>
      <c r="B89" s="27"/>
      <c r="C89" s="28" t="s">
        <v>972</v>
      </c>
      <c r="D89" s="27"/>
      <c r="E89" s="27"/>
      <c r="F89" s="27"/>
      <c r="G89" s="27"/>
      <c r="H89" s="29" t="s">
        <v>143</v>
      </c>
    </row>
    <row r="90" spans="1:10" ht="25.5" x14ac:dyDescent="0.2">
      <c r="A90" s="30">
        <v>1</v>
      </c>
      <c r="B90" s="31" t="s">
        <v>973</v>
      </c>
      <c r="C90" s="31" t="s">
        <v>974</v>
      </c>
      <c r="D90" s="31" t="s">
        <v>975</v>
      </c>
      <c r="E90" s="32">
        <v>1750</v>
      </c>
      <c r="F90" s="33">
        <f>204508103.63/10^5</f>
        <v>2045.0810363000001</v>
      </c>
      <c r="G90" s="34">
        <f>F90/F213</f>
        <v>2.9449432905944354E-3</v>
      </c>
      <c r="H90" s="29">
        <v>7.21</v>
      </c>
    </row>
    <row r="91" spans="1:10" x14ac:dyDescent="0.2">
      <c r="A91" s="27"/>
      <c r="B91" s="27"/>
      <c r="C91" s="28" t="s">
        <v>142</v>
      </c>
      <c r="D91" s="27"/>
      <c r="E91" s="27" t="s">
        <v>143</v>
      </c>
      <c r="F91" s="113">
        <f>SUM(F90)</f>
        <v>2045.0810363000001</v>
      </c>
      <c r="G91" s="114">
        <f>SUM(G90)</f>
        <v>2.9449432905944354E-3</v>
      </c>
      <c r="H91" s="29" t="s">
        <v>143</v>
      </c>
    </row>
    <row r="92" spans="1:10" ht="12.75" customHeight="1" x14ac:dyDescent="0.2">
      <c r="A92" s="39"/>
      <c r="B92" s="39"/>
      <c r="C92" s="43"/>
      <c r="D92" s="39"/>
      <c r="E92" s="39"/>
      <c r="F92" s="44"/>
      <c r="G92" s="44"/>
      <c r="H92" s="29" t="s">
        <v>143</v>
      </c>
    </row>
    <row r="93" spans="1:10" ht="12.75" customHeight="1" x14ac:dyDescent="0.2">
      <c r="A93" s="39"/>
      <c r="B93" s="39"/>
      <c r="C93" s="40" t="s">
        <v>149</v>
      </c>
      <c r="D93" s="39"/>
      <c r="E93" s="39"/>
      <c r="F93" s="44"/>
      <c r="G93" s="44"/>
      <c r="H93" s="29" t="s">
        <v>143</v>
      </c>
    </row>
    <row r="94" spans="1:10" ht="12.75" customHeight="1" x14ac:dyDescent="0.2">
      <c r="A94" s="35">
        <v>1</v>
      </c>
      <c r="B94" s="22"/>
      <c r="C94" s="22" t="s">
        <v>976</v>
      </c>
      <c r="D94" s="22" t="s">
        <v>534</v>
      </c>
      <c r="E94" s="36">
        <v>-43200</v>
      </c>
      <c r="F94" s="37">
        <v>-70.403040000000004</v>
      </c>
      <c r="G94" s="38">
        <f t="shared" ref="G94:G116" si="0">F94/$F$213</f>
        <v>-1.0138129326188583E-4</v>
      </c>
      <c r="H94" s="29" t="s">
        <v>143</v>
      </c>
    </row>
    <row r="95" spans="1:10" ht="12.75" customHeight="1" x14ac:dyDescent="0.2">
      <c r="A95" s="35">
        <v>2</v>
      </c>
      <c r="B95" s="22"/>
      <c r="C95" s="22" t="s">
        <v>977</v>
      </c>
      <c r="D95" s="22" t="s">
        <v>534</v>
      </c>
      <c r="E95" s="36">
        <v>-4200</v>
      </c>
      <c r="F95" s="37">
        <v>-105.92400000000001</v>
      </c>
      <c r="G95" s="38">
        <f t="shared" si="0"/>
        <v>-1.5253193764746514E-4</v>
      </c>
      <c r="H95" s="29" t="s">
        <v>143</v>
      </c>
    </row>
    <row r="96" spans="1:10" ht="12.75" customHeight="1" x14ac:dyDescent="0.2">
      <c r="A96" s="35">
        <v>3</v>
      </c>
      <c r="B96" s="22"/>
      <c r="C96" s="22" t="s">
        <v>978</v>
      </c>
      <c r="D96" s="22" t="s">
        <v>534</v>
      </c>
      <c r="E96" s="36">
        <v>-25000</v>
      </c>
      <c r="F96" s="37">
        <v>-133.36250000000001</v>
      </c>
      <c r="G96" s="38">
        <f t="shared" si="0"/>
        <v>-1.9204373451257571E-4</v>
      </c>
      <c r="H96" s="29" t="s">
        <v>143</v>
      </c>
    </row>
    <row r="97" spans="1:8" ht="12.75" customHeight="1" x14ac:dyDescent="0.2">
      <c r="A97" s="35">
        <v>4</v>
      </c>
      <c r="B97" s="22"/>
      <c r="C97" s="22" t="s">
        <v>979</v>
      </c>
      <c r="D97" s="22" t="s">
        <v>534</v>
      </c>
      <c r="E97" s="36">
        <v>-28750</v>
      </c>
      <c r="F97" s="37">
        <v>-134.86625000000001</v>
      </c>
      <c r="G97" s="38">
        <f t="shared" si="0"/>
        <v>-1.9420915407034709E-4</v>
      </c>
      <c r="H97" s="29" t="s">
        <v>143</v>
      </c>
    </row>
    <row r="98" spans="1:8" ht="12.75" customHeight="1" x14ac:dyDescent="0.2">
      <c r="A98" s="35">
        <v>5</v>
      </c>
      <c r="B98" s="22"/>
      <c r="C98" s="22" t="s">
        <v>980</v>
      </c>
      <c r="D98" s="22" t="s">
        <v>534</v>
      </c>
      <c r="E98" s="36">
        <v>-51300</v>
      </c>
      <c r="F98" s="37">
        <v>-208.09845000000001</v>
      </c>
      <c r="G98" s="38">
        <f t="shared" si="0"/>
        <v>-2.9966447452828575E-4</v>
      </c>
      <c r="H98" s="29" t="s">
        <v>143</v>
      </c>
    </row>
    <row r="99" spans="1:8" ht="12.75" customHeight="1" x14ac:dyDescent="0.2">
      <c r="A99" s="35">
        <v>6</v>
      </c>
      <c r="B99" s="22"/>
      <c r="C99" s="22" t="s">
        <v>981</v>
      </c>
      <c r="D99" s="22" t="s">
        <v>534</v>
      </c>
      <c r="E99" s="36">
        <v>-114750</v>
      </c>
      <c r="F99" s="37">
        <v>-276.22620000000001</v>
      </c>
      <c r="G99" s="38">
        <f t="shared" si="0"/>
        <v>-3.9776932059775155E-4</v>
      </c>
      <c r="H99" s="29" t="s">
        <v>143</v>
      </c>
    </row>
    <row r="100" spans="1:8" ht="12.75" customHeight="1" x14ac:dyDescent="0.2">
      <c r="A100" s="35">
        <v>7</v>
      </c>
      <c r="B100" s="22"/>
      <c r="C100" s="22" t="s">
        <v>982</v>
      </c>
      <c r="D100" s="22" t="s">
        <v>534</v>
      </c>
      <c r="E100" s="36">
        <v>-239400</v>
      </c>
      <c r="F100" s="37">
        <v>-423.92952000000002</v>
      </c>
      <c r="G100" s="38">
        <f t="shared" si="0"/>
        <v>-6.1046402242702152E-4</v>
      </c>
      <c r="H100" s="29" t="s">
        <v>143</v>
      </c>
    </row>
    <row r="101" spans="1:8" ht="12.75" customHeight="1" x14ac:dyDescent="0.2">
      <c r="A101" s="35">
        <v>8</v>
      </c>
      <c r="B101" s="22"/>
      <c r="C101" s="22" t="s">
        <v>983</v>
      </c>
      <c r="D101" s="22" t="s">
        <v>534</v>
      </c>
      <c r="E101" s="36">
        <v>-23600</v>
      </c>
      <c r="F101" s="37">
        <v>-473.15640000000002</v>
      </c>
      <c r="G101" s="38">
        <f t="shared" si="0"/>
        <v>-6.8135136987178616E-4</v>
      </c>
      <c r="H101" s="29" t="s">
        <v>143</v>
      </c>
    </row>
    <row r="102" spans="1:8" ht="12.75" customHeight="1" x14ac:dyDescent="0.2">
      <c r="A102" s="35">
        <v>9</v>
      </c>
      <c r="B102" s="22"/>
      <c r="C102" s="22" t="s">
        <v>984</v>
      </c>
      <c r="D102" s="22" t="s">
        <v>534</v>
      </c>
      <c r="E102" s="36">
        <v>-75600</v>
      </c>
      <c r="F102" s="37">
        <v>-531.12779999999998</v>
      </c>
      <c r="G102" s="38">
        <f t="shared" si="0"/>
        <v>-7.6483093984777131E-4</v>
      </c>
      <c r="H102" s="29" t="s">
        <v>143</v>
      </c>
    </row>
    <row r="103" spans="1:8" ht="12.75" customHeight="1" x14ac:dyDescent="0.2">
      <c r="A103" s="35">
        <v>10</v>
      </c>
      <c r="B103" s="22"/>
      <c r="C103" s="22" t="s">
        <v>985</v>
      </c>
      <c r="D103" s="22" t="s">
        <v>534</v>
      </c>
      <c r="E103" s="36">
        <v>-89100</v>
      </c>
      <c r="F103" s="37">
        <v>-1023.8481</v>
      </c>
      <c r="G103" s="38">
        <f t="shared" si="0"/>
        <v>-1.4743545801676264E-3</v>
      </c>
      <c r="H103" s="29" t="s">
        <v>143</v>
      </c>
    </row>
    <row r="104" spans="1:8" ht="12.75" customHeight="1" x14ac:dyDescent="0.2">
      <c r="A104" s="35">
        <v>11</v>
      </c>
      <c r="B104" s="22"/>
      <c r="C104" s="22" t="s">
        <v>986</v>
      </c>
      <c r="D104" s="22" t="s">
        <v>534</v>
      </c>
      <c r="E104" s="36">
        <v>-437100</v>
      </c>
      <c r="F104" s="37">
        <v>-1290.1006500000001</v>
      </c>
      <c r="G104" s="38">
        <f t="shared" si="0"/>
        <v>-1.8577617150480933E-3</v>
      </c>
      <c r="H104" s="29" t="s">
        <v>143</v>
      </c>
    </row>
    <row r="105" spans="1:8" ht="12.75" customHeight="1" x14ac:dyDescent="0.2">
      <c r="A105" s="35">
        <v>12</v>
      </c>
      <c r="B105" s="22"/>
      <c r="C105" s="22" t="s">
        <v>987</v>
      </c>
      <c r="D105" s="22" t="s">
        <v>534</v>
      </c>
      <c r="E105" s="36">
        <v>-599625</v>
      </c>
      <c r="F105" s="37">
        <v>-1561.3035749999999</v>
      </c>
      <c r="G105" s="38">
        <f t="shared" si="0"/>
        <v>-2.2482974543131338E-3</v>
      </c>
      <c r="H105" s="29" t="s">
        <v>143</v>
      </c>
    </row>
    <row r="106" spans="1:8" ht="12.75" customHeight="1" x14ac:dyDescent="0.2">
      <c r="A106" s="35">
        <v>13</v>
      </c>
      <c r="B106" s="22"/>
      <c r="C106" s="22" t="s">
        <v>988</v>
      </c>
      <c r="D106" s="22" t="s">
        <v>534</v>
      </c>
      <c r="E106" s="36">
        <v>-9750</v>
      </c>
      <c r="F106" s="37">
        <v>-1603.095</v>
      </c>
      <c r="G106" s="38">
        <f t="shared" si="0"/>
        <v>-2.3084776498523765E-3</v>
      </c>
      <c r="H106" s="29" t="s">
        <v>143</v>
      </c>
    </row>
    <row r="107" spans="1:8" ht="12.75" customHeight="1" x14ac:dyDescent="0.2">
      <c r="A107" s="35">
        <v>14</v>
      </c>
      <c r="B107" s="22"/>
      <c r="C107" s="22" t="s">
        <v>989</v>
      </c>
      <c r="D107" s="22" t="s">
        <v>534</v>
      </c>
      <c r="E107" s="36">
        <v>-224000</v>
      </c>
      <c r="F107" s="37">
        <v>-1624.2239999999999</v>
      </c>
      <c r="G107" s="38">
        <f t="shared" si="0"/>
        <v>-2.3389036846561346E-3</v>
      </c>
      <c r="H107" s="29" t="s">
        <v>143</v>
      </c>
    </row>
    <row r="108" spans="1:8" ht="12.75" customHeight="1" x14ac:dyDescent="0.2">
      <c r="A108" s="35">
        <v>15</v>
      </c>
      <c r="B108" s="22"/>
      <c r="C108" s="22" t="s">
        <v>990</v>
      </c>
      <c r="D108" s="22" t="s">
        <v>534</v>
      </c>
      <c r="E108" s="36">
        <v>-522500</v>
      </c>
      <c r="F108" s="37">
        <v>-1790.3462500000001</v>
      </c>
      <c r="G108" s="38">
        <f t="shared" si="0"/>
        <v>-2.5781218852419944E-3</v>
      </c>
      <c r="H108" s="29" t="s">
        <v>143</v>
      </c>
    </row>
    <row r="109" spans="1:8" ht="12.75" customHeight="1" x14ac:dyDescent="0.2">
      <c r="A109" s="35">
        <v>16</v>
      </c>
      <c r="B109" s="22"/>
      <c r="C109" s="22" t="s">
        <v>991</v>
      </c>
      <c r="D109" s="22" t="s">
        <v>534</v>
      </c>
      <c r="E109" s="36">
        <v>-174375</v>
      </c>
      <c r="F109" s="37">
        <v>-1982.9925000000001</v>
      </c>
      <c r="G109" s="38">
        <f t="shared" si="0"/>
        <v>-2.8555349907989787E-3</v>
      </c>
      <c r="H109" s="29" t="s">
        <v>143</v>
      </c>
    </row>
    <row r="110" spans="1:8" ht="12.75" customHeight="1" x14ac:dyDescent="0.2">
      <c r="A110" s="35">
        <v>17</v>
      </c>
      <c r="B110" s="22"/>
      <c r="C110" s="22" t="s">
        <v>992</v>
      </c>
      <c r="D110" s="22" t="s">
        <v>534</v>
      </c>
      <c r="E110" s="36">
        <v>-42750</v>
      </c>
      <c r="F110" s="37">
        <v>-2043.57825</v>
      </c>
      <c r="G110" s="38">
        <f t="shared" si="0"/>
        <v>-2.942779258777198E-3</v>
      </c>
      <c r="H110" s="29" t="s">
        <v>143</v>
      </c>
    </row>
    <row r="111" spans="1:8" ht="12.75" customHeight="1" x14ac:dyDescent="0.2">
      <c r="A111" s="35">
        <v>18</v>
      </c>
      <c r="B111" s="22"/>
      <c r="C111" s="22" t="s">
        <v>993</v>
      </c>
      <c r="D111" s="22" t="s">
        <v>534</v>
      </c>
      <c r="E111" s="36">
        <v>-199975</v>
      </c>
      <c r="F111" s="37">
        <v>-3783.1270500000001</v>
      </c>
      <c r="G111" s="38">
        <f t="shared" si="0"/>
        <v>-5.4477521553475952E-3</v>
      </c>
      <c r="H111" s="29" t="s">
        <v>143</v>
      </c>
    </row>
    <row r="112" spans="1:8" ht="12.75" customHeight="1" x14ac:dyDescent="0.2">
      <c r="A112" s="35">
        <v>19</v>
      </c>
      <c r="B112" s="22"/>
      <c r="C112" s="22" t="s">
        <v>994</v>
      </c>
      <c r="D112" s="22" t="s">
        <v>534</v>
      </c>
      <c r="E112" s="36">
        <v>-438900</v>
      </c>
      <c r="F112" s="37">
        <v>-4196.3229000000001</v>
      </c>
      <c r="G112" s="38">
        <f t="shared" si="0"/>
        <v>-6.0427595533725127E-3</v>
      </c>
      <c r="H112" s="29" t="s">
        <v>143</v>
      </c>
    </row>
    <row r="113" spans="1:8" ht="12.75" customHeight="1" x14ac:dyDescent="0.2">
      <c r="A113" s="35">
        <v>20</v>
      </c>
      <c r="B113" s="22"/>
      <c r="C113" s="22" t="s">
        <v>995</v>
      </c>
      <c r="D113" s="22" t="s">
        <v>534</v>
      </c>
      <c r="E113" s="36">
        <v>-480000</v>
      </c>
      <c r="F113" s="37">
        <v>-4209.3599999999997</v>
      </c>
      <c r="G113" s="38">
        <f t="shared" si="0"/>
        <v>-6.0615331469330248E-3</v>
      </c>
      <c r="H113" s="29" t="s">
        <v>143</v>
      </c>
    </row>
    <row r="114" spans="1:8" ht="12.75" customHeight="1" x14ac:dyDescent="0.2">
      <c r="A114" s="35">
        <v>21</v>
      </c>
      <c r="B114" s="22"/>
      <c r="C114" s="22" t="s">
        <v>996</v>
      </c>
      <c r="D114" s="22" t="s">
        <v>534</v>
      </c>
      <c r="E114" s="36">
        <v>-314300</v>
      </c>
      <c r="F114" s="37">
        <v>-4266.6225000000004</v>
      </c>
      <c r="G114" s="38">
        <f t="shared" si="0"/>
        <v>-6.1439918916890582E-3</v>
      </c>
      <c r="H114" s="29" t="s">
        <v>143</v>
      </c>
    </row>
    <row r="115" spans="1:8" ht="12.75" customHeight="1" x14ac:dyDescent="0.2">
      <c r="A115" s="35">
        <v>22</v>
      </c>
      <c r="B115" s="22"/>
      <c r="C115" s="22" t="s">
        <v>997</v>
      </c>
      <c r="D115" s="22" t="s">
        <v>534</v>
      </c>
      <c r="E115" s="36">
        <v>-380000</v>
      </c>
      <c r="F115" s="37">
        <v>-5218.16</v>
      </c>
      <c r="G115" s="38">
        <f t="shared" si="0"/>
        <v>-7.5142182673850746E-3</v>
      </c>
      <c r="H115" s="29" t="s">
        <v>143</v>
      </c>
    </row>
    <row r="116" spans="1:8" ht="12.75" customHeight="1" x14ac:dyDescent="0.2">
      <c r="A116" s="35">
        <v>23</v>
      </c>
      <c r="B116" s="22"/>
      <c r="C116" s="22" t="s">
        <v>998</v>
      </c>
      <c r="D116" s="22" t="s">
        <v>534</v>
      </c>
      <c r="E116" s="36">
        <v>-84000</v>
      </c>
      <c r="F116" s="37">
        <v>-6592.32</v>
      </c>
      <c r="G116" s="38">
        <f t="shared" si="0"/>
        <v>-9.49302653970901E-3</v>
      </c>
      <c r="H116" s="29" t="s">
        <v>143</v>
      </c>
    </row>
    <row r="117" spans="1:8" ht="12.75" customHeight="1" x14ac:dyDescent="0.2">
      <c r="A117" s="39"/>
      <c r="B117" s="39"/>
      <c r="C117" s="40" t="s">
        <v>142</v>
      </c>
      <c r="D117" s="39"/>
      <c r="E117" s="39" t="s">
        <v>143</v>
      </c>
      <c r="F117" s="41">
        <v>-43542.494935000002</v>
      </c>
      <c r="G117" s="114">
        <f>SUM(G94:G116)</f>
        <v>-6.2701759020056702E-2</v>
      </c>
      <c r="H117" s="29" t="s">
        <v>143</v>
      </c>
    </row>
    <row r="118" spans="1:8" ht="12.75" customHeight="1" x14ac:dyDescent="0.2">
      <c r="A118" s="39"/>
      <c r="B118" s="39"/>
      <c r="C118" s="43"/>
      <c r="D118" s="39"/>
      <c r="E118" s="39"/>
      <c r="F118" s="44"/>
      <c r="G118" s="44"/>
      <c r="H118" s="29" t="s">
        <v>143</v>
      </c>
    </row>
    <row r="119" spans="1:8" ht="12.75" customHeight="1" x14ac:dyDescent="0.2">
      <c r="A119" s="39"/>
      <c r="B119" s="39"/>
      <c r="C119" s="40" t="s">
        <v>150</v>
      </c>
      <c r="D119" s="39"/>
      <c r="E119" s="39"/>
      <c r="F119" s="41">
        <f>F74+F91+F81</f>
        <v>532021.62602780003</v>
      </c>
      <c r="G119" s="42">
        <f>G91+G81+G74</f>
        <v>0.76611154147928007</v>
      </c>
      <c r="H119" s="29" t="s">
        <v>143</v>
      </c>
    </row>
    <row r="120" spans="1:8" ht="12.75" customHeight="1" x14ac:dyDescent="0.2">
      <c r="A120" s="39"/>
      <c r="B120" s="39"/>
      <c r="C120" s="43"/>
      <c r="D120" s="39"/>
      <c r="E120" s="39"/>
      <c r="F120" s="44"/>
      <c r="G120" s="44"/>
      <c r="H120" s="29" t="s">
        <v>143</v>
      </c>
    </row>
    <row r="121" spans="1:8" ht="12.75" customHeight="1" x14ac:dyDescent="0.2">
      <c r="A121" s="39"/>
      <c r="B121" s="39"/>
      <c r="C121" s="40" t="s">
        <v>151</v>
      </c>
      <c r="D121" s="39"/>
      <c r="E121" s="39"/>
      <c r="F121" s="44"/>
      <c r="G121" s="44"/>
      <c r="H121" s="29" t="s">
        <v>143</v>
      </c>
    </row>
    <row r="122" spans="1:8" ht="12.75" customHeight="1" x14ac:dyDescent="0.2">
      <c r="A122" s="39"/>
      <c r="B122" s="39"/>
      <c r="C122" s="40" t="s">
        <v>10</v>
      </c>
      <c r="D122" s="39"/>
      <c r="E122" s="39"/>
      <c r="F122" s="44"/>
      <c r="G122" s="44"/>
      <c r="H122" s="29" t="s">
        <v>143</v>
      </c>
    </row>
    <row r="123" spans="1:8" ht="12.75" customHeight="1" x14ac:dyDescent="0.2">
      <c r="A123" s="35">
        <v>1</v>
      </c>
      <c r="B123" s="22" t="s">
        <v>535</v>
      </c>
      <c r="C123" s="22" t="s">
        <v>536</v>
      </c>
      <c r="D123" s="22" t="s">
        <v>537</v>
      </c>
      <c r="E123" s="36">
        <v>6500</v>
      </c>
      <c r="F123" s="37">
        <v>6612.5735000000004</v>
      </c>
      <c r="G123" s="38">
        <v>9.5221899999999998E-3</v>
      </c>
      <c r="H123" s="29">
        <v>6.8095999999999997</v>
      </c>
    </row>
    <row r="124" spans="1:8" ht="12.75" customHeight="1" x14ac:dyDescent="0.2">
      <c r="A124" s="35">
        <v>2</v>
      </c>
      <c r="B124" s="22" t="s">
        <v>538</v>
      </c>
      <c r="C124" s="22" t="s">
        <v>539</v>
      </c>
      <c r="D124" s="22" t="s">
        <v>540</v>
      </c>
      <c r="E124" s="36">
        <v>6500</v>
      </c>
      <c r="F124" s="37">
        <v>6605.5730000000003</v>
      </c>
      <c r="G124" s="38">
        <v>9.5121100000000007E-3</v>
      </c>
      <c r="H124" s="29">
        <v>6.7679999999999998</v>
      </c>
    </row>
    <row r="125" spans="1:8" ht="12.75" customHeight="1" x14ac:dyDescent="0.2">
      <c r="A125" s="35">
        <v>3</v>
      </c>
      <c r="B125" s="22" t="s">
        <v>541</v>
      </c>
      <c r="C125" s="22" t="s">
        <v>542</v>
      </c>
      <c r="D125" s="22" t="s">
        <v>540</v>
      </c>
      <c r="E125" s="36">
        <v>3500</v>
      </c>
      <c r="F125" s="37">
        <v>3489.8955000000001</v>
      </c>
      <c r="G125" s="38">
        <v>5.0254999999999996E-3</v>
      </c>
      <c r="H125" s="29">
        <v>6.77</v>
      </c>
    </row>
    <row r="126" spans="1:8" ht="12.75" customHeight="1" x14ac:dyDescent="0.2">
      <c r="A126" s="35">
        <v>4</v>
      </c>
      <c r="B126" s="22" t="s">
        <v>543</v>
      </c>
      <c r="C126" s="22" t="s">
        <v>544</v>
      </c>
      <c r="D126" s="22" t="s">
        <v>545</v>
      </c>
      <c r="E126" s="36">
        <v>3000</v>
      </c>
      <c r="F126" s="37">
        <v>3086.877</v>
      </c>
      <c r="G126" s="38">
        <v>4.4451400000000002E-3</v>
      </c>
      <c r="H126" s="29">
        <v>7.5490000000000004</v>
      </c>
    </row>
    <row r="127" spans="1:8" ht="12.75" customHeight="1" x14ac:dyDescent="0.2">
      <c r="A127" s="35">
        <v>5</v>
      </c>
      <c r="B127" s="22" t="s">
        <v>546</v>
      </c>
      <c r="C127" s="22" t="s">
        <v>547</v>
      </c>
      <c r="D127" s="22" t="s">
        <v>537</v>
      </c>
      <c r="E127" s="36">
        <v>3000</v>
      </c>
      <c r="F127" s="37">
        <v>3047.8440000000001</v>
      </c>
      <c r="G127" s="38">
        <v>4.38894E-3</v>
      </c>
      <c r="H127" s="29">
        <v>7.5449999999999999</v>
      </c>
    </row>
    <row r="128" spans="1:8" ht="12.75" customHeight="1" x14ac:dyDescent="0.2">
      <c r="A128" s="35">
        <v>6</v>
      </c>
      <c r="B128" s="22" t="s">
        <v>548</v>
      </c>
      <c r="C128" s="22" t="s">
        <v>549</v>
      </c>
      <c r="D128" s="22" t="s">
        <v>540</v>
      </c>
      <c r="E128" s="36">
        <v>2500</v>
      </c>
      <c r="F128" s="37">
        <v>2610.4524999999999</v>
      </c>
      <c r="G128" s="38">
        <v>3.7590900000000001E-3</v>
      </c>
      <c r="H128" s="29">
        <v>7.26</v>
      </c>
    </row>
    <row r="129" spans="1:8" ht="12.75" customHeight="1" x14ac:dyDescent="0.2">
      <c r="A129" s="35">
        <v>7</v>
      </c>
      <c r="B129" s="22" t="s">
        <v>550</v>
      </c>
      <c r="C129" s="22" t="s">
        <v>551</v>
      </c>
      <c r="D129" s="22" t="s">
        <v>537</v>
      </c>
      <c r="E129" s="36">
        <v>250</v>
      </c>
      <c r="F129" s="37">
        <v>2584.21</v>
      </c>
      <c r="G129" s="38">
        <v>3.7212999999999999E-3</v>
      </c>
      <c r="H129" s="29">
        <v>7.4092000000000002</v>
      </c>
    </row>
    <row r="130" spans="1:8" ht="12.75" customHeight="1" x14ac:dyDescent="0.2">
      <c r="A130" s="35">
        <v>8</v>
      </c>
      <c r="B130" s="22" t="s">
        <v>552</v>
      </c>
      <c r="C130" s="22" t="s">
        <v>553</v>
      </c>
      <c r="D130" s="22" t="s">
        <v>540</v>
      </c>
      <c r="E130" s="36">
        <v>2500</v>
      </c>
      <c r="F130" s="37">
        <v>2554.6350000000002</v>
      </c>
      <c r="G130" s="38">
        <v>3.67871E-3</v>
      </c>
      <c r="H130" s="29">
        <v>6.87</v>
      </c>
    </row>
    <row r="131" spans="1:8" ht="12.75" customHeight="1" x14ac:dyDescent="0.2">
      <c r="A131" s="35">
        <v>9</v>
      </c>
      <c r="B131" s="22" t="s">
        <v>554</v>
      </c>
      <c r="C131" s="22" t="s">
        <v>555</v>
      </c>
      <c r="D131" s="22" t="s">
        <v>537</v>
      </c>
      <c r="E131" s="36">
        <v>2500</v>
      </c>
      <c r="F131" s="37">
        <v>2547.64</v>
      </c>
      <c r="G131" s="38">
        <v>3.6686399999999999E-3</v>
      </c>
      <c r="H131" s="29">
        <v>6.8949999999999996</v>
      </c>
    </row>
    <row r="132" spans="1:8" ht="12.75" customHeight="1" x14ac:dyDescent="0.2">
      <c r="A132" s="35">
        <v>10</v>
      </c>
      <c r="B132" s="22" t="s">
        <v>556</v>
      </c>
      <c r="C132" s="22" t="s">
        <v>557</v>
      </c>
      <c r="D132" s="22" t="s">
        <v>540</v>
      </c>
      <c r="E132" s="36">
        <v>2500</v>
      </c>
      <c r="F132" s="37">
        <v>2543.8325</v>
      </c>
      <c r="G132" s="38">
        <v>3.66315E-3</v>
      </c>
      <c r="H132" s="29">
        <v>6.92</v>
      </c>
    </row>
    <row r="133" spans="1:8" ht="12.75" customHeight="1" x14ac:dyDescent="0.2">
      <c r="A133" s="35">
        <v>11</v>
      </c>
      <c r="B133" s="22" t="s">
        <v>558</v>
      </c>
      <c r="C133" s="22" t="s">
        <v>559</v>
      </c>
      <c r="D133" s="22" t="s">
        <v>540</v>
      </c>
      <c r="E133" s="36">
        <v>2500</v>
      </c>
      <c r="F133" s="37">
        <v>2540.8474999999999</v>
      </c>
      <c r="G133" s="38">
        <v>3.6588499999999999E-3</v>
      </c>
      <c r="H133" s="29">
        <v>6.81</v>
      </c>
    </row>
    <row r="134" spans="1:8" ht="12.75" customHeight="1" x14ac:dyDescent="0.2">
      <c r="A134" s="35">
        <v>12</v>
      </c>
      <c r="B134" s="22" t="s">
        <v>560</v>
      </c>
      <c r="C134" s="22" t="s">
        <v>561</v>
      </c>
      <c r="D134" s="22" t="s">
        <v>537</v>
      </c>
      <c r="E134" s="36">
        <v>2500</v>
      </c>
      <c r="F134" s="37">
        <v>2540.3474999999999</v>
      </c>
      <c r="G134" s="38">
        <v>3.6581299999999999E-3</v>
      </c>
      <c r="H134" s="29">
        <v>6.71</v>
      </c>
    </row>
    <row r="135" spans="1:8" ht="12.75" customHeight="1" x14ac:dyDescent="0.2">
      <c r="A135" s="35">
        <v>13</v>
      </c>
      <c r="B135" s="22" t="s">
        <v>562</v>
      </c>
      <c r="C135" s="22" t="s">
        <v>563</v>
      </c>
      <c r="D135" s="22" t="s">
        <v>564</v>
      </c>
      <c r="E135" s="36">
        <v>2500</v>
      </c>
      <c r="F135" s="37">
        <v>2520.6374999999998</v>
      </c>
      <c r="G135" s="38">
        <v>3.6297500000000002E-3</v>
      </c>
      <c r="H135" s="29">
        <v>7.47</v>
      </c>
    </row>
    <row r="136" spans="1:8" ht="12.75" customHeight="1" x14ac:dyDescent="0.2">
      <c r="A136" s="35">
        <v>14</v>
      </c>
      <c r="B136" s="22" t="s">
        <v>565</v>
      </c>
      <c r="C136" s="22" t="s">
        <v>566</v>
      </c>
      <c r="D136" s="22" t="s">
        <v>564</v>
      </c>
      <c r="E136" s="36">
        <v>2500</v>
      </c>
      <c r="F136" s="37">
        <v>2507.75</v>
      </c>
      <c r="G136" s="38">
        <v>3.6111899999999998E-3</v>
      </c>
      <c r="H136" s="29">
        <v>7.8949999999999996</v>
      </c>
    </row>
    <row r="137" spans="1:8" ht="12.75" customHeight="1" x14ac:dyDescent="0.2">
      <c r="A137" s="35">
        <v>15</v>
      </c>
      <c r="B137" s="22" t="s">
        <v>567</v>
      </c>
      <c r="C137" s="22" t="s">
        <v>568</v>
      </c>
      <c r="D137" s="22" t="s">
        <v>537</v>
      </c>
      <c r="E137" s="36">
        <v>2000</v>
      </c>
      <c r="F137" s="37">
        <v>2037.922</v>
      </c>
      <c r="G137" s="38">
        <v>2.9346300000000001E-3</v>
      </c>
      <c r="H137" s="29">
        <v>7.5449999999999999</v>
      </c>
    </row>
    <row r="138" spans="1:8" ht="12.75" customHeight="1" x14ac:dyDescent="0.2">
      <c r="A138" s="35">
        <v>16</v>
      </c>
      <c r="B138" s="22" t="s">
        <v>569</v>
      </c>
      <c r="C138" s="22" t="s">
        <v>570</v>
      </c>
      <c r="D138" s="22" t="s">
        <v>540</v>
      </c>
      <c r="E138" s="36">
        <v>2000</v>
      </c>
      <c r="F138" s="37">
        <v>2032.4880000000001</v>
      </c>
      <c r="G138" s="38">
        <v>2.9268100000000002E-3</v>
      </c>
      <c r="H138" s="29">
        <v>6.6185</v>
      </c>
    </row>
    <row r="139" spans="1:8" ht="12.75" customHeight="1" x14ac:dyDescent="0.2">
      <c r="A139" s="35">
        <v>17</v>
      </c>
      <c r="B139" s="22" t="s">
        <v>571</v>
      </c>
      <c r="C139" s="22" t="s">
        <v>572</v>
      </c>
      <c r="D139" s="22" t="s">
        <v>537</v>
      </c>
      <c r="E139" s="36">
        <v>2000</v>
      </c>
      <c r="F139" s="37">
        <v>2024.6679999999999</v>
      </c>
      <c r="G139" s="38">
        <v>2.9155499999999998E-3</v>
      </c>
      <c r="H139" s="29">
        <v>7</v>
      </c>
    </row>
    <row r="140" spans="1:8" ht="12.75" customHeight="1" x14ac:dyDescent="0.2">
      <c r="A140" s="35">
        <v>18</v>
      </c>
      <c r="B140" s="22" t="s">
        <v>573</v>
      </c>
      <c r="C140" s="22" t="s">
        <v>574</v>
      </c>
      <c r="D140" s="22" t="s">
        <v>540</v>
      </c>
      <c r="E140" s="36">
        <v>2000</v>
      </c>
      <c r="F140" s="37">
        <v>2023.886</v>
      </c>
      <c r="G140" s="38">
        <v>2.91442E-3</v>
      </c>
      <c r="H140" s="29">
        <v>6.5780000000000003</v>
      </c>
    </row>
    <row r="141" spans="1:8" ht="12.75" customHeight="1" x14ac:dyDescent="0.2">
      <c r="A141" s="35">
        <v>19</v>
      </c>
      <c r="B141" s="22" t="s">
        <v>575</v>
      </c>
      <c r="C141" s="22" t="s">
        <v>576</v>
      </c>
      <c r="D141" s="22" t="s">
        <v>540</v>
      </c>
      <c r="E141" s="36">
        <v>1500</v>
      </c>
      <c r="F141" s="37">
        <v>1559.5005000000001</v>
      </c>
      <c r="G141" s="38">
        <v>2.2457000000000002E-3</v>
      </c>
      <c r="H141" s="29">
        <v>7.25</v>
      </c>
    </row>
    <row r="142" spans="1:8" ht="12.75" customHeight="1" x14ac:dyDescent="0.2">
      <c r="A142" s="35">
        <v>20</v>
      </c>
      <c r="B142" s="22" t="s">
        <v>577</v>
      </c>
      <c r="C142" s="22" t="s">
        <v>578</v>
      </c>
      <c r="D142" s="22" t="s">
        <v>540</v>
      </c>
      <c r="E142" s="36">
        <v>1500</v>
      </c>
      <c r="F142" s="37">
        <v>1532.925</v>
      </c>
      <c r="G142" s="38">
        <v>2.2074299999999998E-3</v>
      </c>
      <c r="H142" s="29">
        <v>6.7750000000000004</v>
      </c>
    </row>
    <row r="143" spans="1:8" ht="12.75" customHeight="1" x14ac:dyDescent="0.2">
      <c r="A143" s="35">
        <v>21</v>
      </c>
      <c r="B143" s="22" t="s">
        <v>579</v>
      </c>
      <c r="C143" s="22" t="s">
        <v>580</v>
      </c>
      <c r="D143" s="22" t="s">
        <v>540</v>
      </c>
      <c r="E143" s="36">
        <v>1500</v>
      </c>
      <c r="F143" s="37">
        <v>1527.807</v>
      </c>
      <c r="G143" s="38">
        <v>2.2000600000000002E-3</v>
      </c>
      <c r="H143" s="29">
        <v>7.0449999999999999</v>
      </c>
    </row>
    <row r="144" spans="1:8" ht="12.75" customHeight="1" x14ac:dyDescent="0.2">
      <c r="A144" s="35">
        <v>22</v>
      </c>
      <c r="B144" s="22" t="s">
        <v>581</v>
      </c>
      <c r="C144" s="22" t="s">
        <v>582</v>
      </c>
      <c r="D144" s="22" t="s">
        <v>545</v>
      </c>
      <c r="E144" s="36">
        <v>1500</v>
      </c>
      <c r="F144" s="37">
        <v>1517.2035000000001</v>
      </c>
      <c r="G144" s="38">
        <v>2.1847899999999998E-3</v>
      </c>
      <c r="H144" s="29">
        <v>7.9321999999999999</v>
      </c>
    </row>
    <row r="145" spans="1:8" ht="12.75" customHeight="1" x14ac:dyDescent="0.2">
      <c r="A145" s="35">
        <v>23</v>
      </c>
      <c r="B145" s="22" t="s">
        <v>583</v>
      </c>
      <c r="C145" s="22" t="s">
        <v>584</v>
      </c>
      <c r="D145" s="22" t="s">
        <v>540</v>
      </c>
      <c r="E145" s="36">
        <v>1500</v>
      </c>
      <c r="F145" s="37">
        <v>1512.5654999999999</v>
      </c>
      <c r="G145" s="38">
        <v>2.17811E-3</v>
      </c>
      <c r="H145" s="29">
        <v>6.63</v>
      </c>
    </row>
    <row r="146" spans="1:8" ht="12.75" customHeight="1" x14ac:dyDescent="0.2">
      <c r="A146" s="35">
        <v>24</v>
      </c>
      <c r="B146" s="22" t="s">
        <v>585</v>
      </c>
      <c r="C146" s="22" t="s">
        <v>586</v>
      </c>
      <c r="D146" s="22" t="s">
        <v>537</v>
      </c>
      <c r="E146" s="36">
        <v>1500</v>
      </c>
      <c r="F146" s="37">
        <v>1499.9955</v>
      </c>
      <c r="G146" s="38">
        <v>2.16001E-3</v>
      </c>
      <c r="H146" s="29">
        <v>6.7336</v>
      </c>
    </row>
    <row r="147" spans="1:8" ht="12.75" customHeight="1" x14ac:dyDescent="0.2">
      <c r="A147" s="35">
        <v>25</v>
      </c>
      <c r="B147" s="22" t="s">
        <v>587</v>
      </c>
      <c r="C147" s="22" t="s">
        <v>588</v>
      </c>
      <c r="D147" s="22" t="s">
        <v>537</v>
      </c>
      <c r="E147" s="36">
        <v>1500</v>
      </c>
      <c r="F147" s="37">
        <v>1497.42</v>
      </c>
      <c r="G147" s="38">
        <v>2.1562999999999999E-3</v>
      </c>
      <c r="H147" s="29">
        <v>7.1622000000000003</v>
      </c>
    </row>
    <row r="148" spans="1:8" ht="12.75" customHeight="1" x14ac:dyDescent="0.2">
      <c r="A148" s="35">
        <v>26</v>
      </c>
      <c r="B148" s="22" t="s">
        <v>589</v>
      </c>
      <c r="C148" s="22" t="s">
        <v>590</v>
      </c>
      <c r="D148" s="22" t="s">
        <v>537</v>
      </c>
      <c r="E148" s="36">
        <v>150</v>
      </c>
      <c r="F148" s="37">
        <v>1492.152</v>
      </c>
      <c r="G148" s="38">
        <v>2.1487199999999998E-3</v>
      </c>
      <c r="H148" s="29">
        <v>6.74</v>
      </c>
    </row>
    <row r="149" spans="1:8" ht="12.75" customHeight="1" x14ac:dyDescent="0.2">
      <c r="A149" s="35">
        <v>27</v>
      </c>
      <c r="B149" s="22" t="s">
        <v>591</v>
      </c>
      <c r="C149" s="22" t="s">
        <v>592</v>
      </c>
      <c r="D149" s="22" t="s">
        <v>537</v>
      </c>
      <c r="E149" s="36">
        <v>1000</v>
      </c>
      <c r="F149" s="37">
        <v>1016.173</v>
      </c>
      <c r="G149" s="38">
        <v>1.4633000000000001E-3</v>
      </c>
      <c r="H149" s="29">
        <v>6.7187999999999999</v>
      </c>
    </row>
    <row r="150" spans="1:8" ht="12.75" customHeight="1" x14ac:dyDescent="0.2">
      <c r="A150" s="35">
        <v>28</v>
      </c>
      <c r="B150" s="22" t="s">
        <v>593</v>
      </c>
      <c r="C150" s="22" t="s">
        <v>594</v>
      </c>
      <c r="D150" s="22" t="s">
        <v>595</v>
      </c>
      <c r="E150" s="36">
        <v>1000</v>
      </c>
      <c r="F150" s="37">
        <v>1014.383</v>
      </c>
      <c r="G150" s="38">
        <v>1.4607299999999999E-3</v>
      </c>
      <c r="H150" s="29">
        <v>7.2554999999999996</v>
      </c>
    </row>
    <row r="151" spans="1:8" ht="12.75" customHeight="1" x14ac:dyDescent="0.2">
      <c r="A151" s="35">
        <v>29</v>
      </c>
      <c r="B151" s="22" t="s">
        <v>596</v>
      </c>
      <c r="C151" s="22" t="s">
        <v>597</v>
      </c>
      <c r="D151" s="22" t="s">
        <v>540</v>
      </c>
      <c r="E151" s="36">
        <v>1000</v>
      </c>
      <c r="F151" s="37">
        <v>1010.923</v>
      </c>
      <c r="G151" s="38">
        <v>1.4557400000000001E-3</v>
      </c>
      <c r="H151" s="29">
        <v>7.1269999999999998</v>
      </c>
    </row>
    <row r="152" spans="1:8" ht="12.75" customHeight="1" x14ac:dyDescent="0.2">
      <c r="A152" s="35">
        <v>30</v>
      </c>
      <c r="B152" s="22" t="s">
        <v>598</v>
      </c>
      <c r="C152" s="22" t="s">
        <v>599</v>
      </c>
      <c r="D152" s="22" t="s">
        <v>540</v>
      </c>
      <c r="E152" s="36">
        <v>1000</v>
      </c>
      <c r="F152" s="37">
        <v>1006.89</v>
      </c>
      <c r="G152" s="38">
        <v>1.44994E-3</v>
      </c>
      <c r="H152" s="29">
        <v>6.5513000000000003</v>
      </c>
    </row>
    <row r="153" spans="1:8" ht="12.75" customHeight="1" x14ac:dyDescent="0.2">
      <c r="A153" s="35">
        <v>31</v>
      </c>
      <c r="B153" s="22" t="s">
        <v>600</v>
      </c>
      <c r="C153" s="22" t="s">
        <v>601</v>
      </c>
      <c r="D153" s="22" t="s">
        <v>537</v>
      </c>
      <c r="E153" s="36">
        <v>100</v>
      </c>
      <c r="F153" s="37">
        <v>1005.768</v>
      </c>
      <c r="G153" s="38">
        <v>1.4483199999999999E-3</v>
      </c>
      <c r="H153" s="29">
        <v>6.9461000000000004</v>
      </c>
    </row>
    <row r="154" spans="1:8" ht="12.75" customHeight="1" x14ac:dyDescent="0.2">
      <c r="A154" s="35">
        <v>32</v>
      </c>
      <c r="B154" s="22" t="s">
        <v>602</v>
      </c>
      <c r="C154" s="22" t="s">
        <v>603</v>
      </c>
      <c r="D154" s="22" t="s">
        <v>540</v>
      </c>
      <c r="E154" s="36">
        <v>1000</v>
      </c>
      <c r="F154" s="37">
        <v>1004.95</v>
      </c>
      <c r="G154" s="38">
        <v>1.44714E-3</v>
      </c>
      <c r="H154" s="29">
        <v>6.43</v>
      </c>
    </row>
    <row r="155" spans="1:8" ht="12.75" customHeight="1" x14ac:dyDescent="0.2">
      <c r="A155" s="35">
        <v>33</v>
      </c>
      <c r="B155" s="22" t="s">
        <v>604</v>
      </c>
      <c r="C155" s="22" t="s">
        <v>605</v>
      </c>
      <c r="D155" s="22" t="s">
        <v>537</v>
      </c>
      <c r="E155" s="36">
        <v>1000</v>
      </c>
      <c r="F155" s="37">
        <v>1003.5650000000001</v>
      </c>
      <c r="G155" s="38">
        <v>1.4451500000000001E-3</v>
      </c>
      <c r="H155" s="29">
        <v>7.23</v>
      </c>
    </row>
    <row r="156" spans="1:8" ht="12.75" customHeight="1" x14ac:dyDescent="0.2">
      <c r="A156" s="35">
        <v>34</v>
      </c>
      <c r="B156" s="22" t="s">
        <v>606</v>
      </c>
      <c r="C156" s="22" t="s">
        <v>607</v>
      </c>
      <c r="D156" s="22" t="s">
        <v>545</v>
      </c>
      <c r="E156" s="36">
        <v>1000</v>
      </c>
      <c r="F156" s="37">
        <v>999.25699999999995</v>
      </c>
      <c r="G156" s="38">
        <v>1.4389400000000001E-3</v>
      </c>
      <c r="H156" s="29">
        <v>7.39</v>
      </c>
    </row>
    <row r="157" spans="1:8" ht="12.75" customHeight="1" x14ac:dyDescent="0.2">
      <c r="A157" s="39"/>
      <c r="B157" s="39"/>
      <c r="C157" s="40" t="s">
        <v>142</v>
      </c>
      <c r="D157" s="39"/>
      <c r="E157" s="39" t="s">
        <v>143</v>
      </c>
      <c r="F157" s="41">
        <v>74113.557499999995</v>
      </c>
      <c r="G157" s="42">
        <v>0.10672448</v>
      </c>
      <c r="H157" s="29" t="s">
        <v>143</v>
      </c>
    </row>
    <row r="158" spans="1:8" ht="12.75" customHeight="1" x14ac:dyDescent="0.2">
      <c r="A158" s="39"/>
      <c r="B158" s="39"/>
      <c r="C158" s="43"/>
      <c r="D158" s="39"/>
      <c r="E158" s="39"/>
      <c r="F158" s="44"/>
      <c r="G158" s="44"/>
      <c r="H158" s="29" t="s">
        <v>143</v>
      </c>
    </row>
    <row r="159" spans="1:8" ht="12.75" customHeight="1" x14ac:dyDescent="0.2">
      <c r="A159" s="39"/>
      <c r="B159" s="39"/>
      <c r="C159" s="40" t="s">
        <v>152</v>
      </c>
      <c r="D159" s="39"/>
      <c r="E159" s="39"/>
      <c r="F159" s="39"/>
      <c r="G159" s="39"/>
      <c r="H159" s="29" t="s">
        <v>143</v>
      </c>
    </row>
    <row r="160" spans="1:8" ht="12.75" customHeight="1" x14ac:dyDescent="0.2">
      <c r="A160" s="39"/>
      <c r="B160" s="39"/>
      <c r="C160" s="40" t="s">
        <v>142</v>
      </c>
      <c r="D160" s="39"/>
      <c r="E160" s="39" t="s">
        <v>143</v>
      </c>
      <c r="F160" s="45" t="s">
        <v>145</v>
      </c>
      <c r="G160" s="42">
        <v>0</v>
      </c>
      <c r="H160" s="29" t="s">
        <v>143</v>
      </c>
    </row>
    <row r="161" spans="1:8" ht="12.75" customHeight="1" x14ac:dyDescent="0.2">
      <c r="A161" s="39"/>
      <c r="B161" s="39"/>
      <c r="C161" s="43"/>
      <c r="D161" s="39"/>
      <c r="E161" s="39"/>
      <c r="F161" s="44"/>
      <c r="G161" s="44"/>
      <c r="H161" s="29" t="s">
        <v>143</v>
      </c>
    </row>
    <row r="162" spans="1:8" ht="12.75" customHeight="1" x14ac:dyDescent="0.2">
      <c r="A162" s="39"/>
      <c r="B162" s="39"/>
      <c r="C162" s="40" t="s">
        <v>153</v>
      </c>
      <c r="D162" s="39"/>
      <c r="E162" s="39"/>
      <c r="F162" s="39"/>
      <c r="G162" s="39"/>
      <c r="H162" s="29" t="s">
        <v>143</v>
      </c>
    </row>
    <row r="163" spans="1:8" ht="12.75" customHeight="1" x14ac:dyDescent="0.2">
      <c r="A163" s="35">
        <v>1</v>
      </c>
      <c r="B163" s="22" t="s">
        <v>608</v>
      </c>
      <c r="C163" s="22" t="s">
        <v>1136</v>
      </c>
      <c r="D163" s="22" t="s">
        <v>610</v>
      </c>
      <c r="E163" s="36">
        <v>30000000</v>
      </c>
      <c r="F163" s="37">
        <v>30876.93</v>
      </c>
      <c r="G163" s="38">
        <v>4.4463179999999998E-2</v>
      </c>
      <c r="H163" s="29">
        <v>6.7552000000000003</v>
      </c>
    </row>
    <row r="164" spans="1:8" ht="12.75" customHeight="1" x14ac:dyDescent="0.2">
      <c r="A164" s="35">
        <v>2</v>
      </c>
      <c r="B164" s="22" t="s">
        <v>611</v>
      </c>
      <c r="C164" s="22" t="s">
        <v>1135</v>
      </c>
      <c r="D164" s="22" t="s">
        <v>610</v>
      </c>
      <c r="E164" s="36">
        <v>10000000</v>
      </c>
      <c r="F164" s="37">
        <v>10311.99</v>
      </c>
      <c r="G164" s="38">
        <v>1.48494E-2</v>
      </c>
      <c r="H164" s="29">
        <v>6.9898999999999996</v>
      </c>
    </row>
    <row r="165" spans="1:8" ht="12.75" customHeight="1" x14ac:dyDescent="0.2">
      <c r="A165" s="35">
        <v>3</v>
      </c>
      <c r="B165" s="22" t="s">
        <v>612</v>
      </c>
      <c r="C165" s="22" t="s">
        <v>613</v>
      </c>
      <c r="D165" s="22" t="s">
        <v>610</v>
      </c>
      <c r="E165" s="36">
        <v>3000000</v>
      </c>
      <c r="F165" s="37">
        <v>3086.1060000000002</v>
      </c>
      <c r="G165" s="38">
        <v>4.4440299999999999E-3</v>
      </c>
      <c r="H165" s="29">
        <v>6.9367999999999999</v>
      </c>
    </row>
    <row r="166" spans="1:8" ht="12.75" customHeight="1" x14ac:dyDescent="0.2">
      <c r="A166" s="35">
        <v>4</v>
      </c>
      <c r="B166" s="22" t="s">
        <v>614</v>
      </c>
      <c r="C166" s="22" t="s">
        <v>1134</v>
      </c>
      <c r="D166" s="22" t="s">
        <v>610</v>
      </c>
      <c r="E166" s="36">
        <v>2500000</v>
      </c>
      <c r="F166" s="37">
        <v>2583.5625</v>
      </c>
      <c r="G166" s="38">
        <v>3.7203599999999998E-3</v>
      </c>
      <c r="H166" s="29">
        <v>6.1288</v>
      </c>
    </row>
    <row r="167" spans="1:8" ht="12.75" customHeight="1" x14ac:dyDescent="0.2">
      <c r="A167" s="35">
        <v>5</v>
      </c>
      <c r="B167" s="22" t="s">
        <v>615</v>
      </c>
      <c r="C167" s="22" t="s">
        <v>616</v>
      </c>
      <c r="D167" s="22" t="s">
        <v>610</v>
      </c>
      <c r="E167" s="36">
        <v>2500000</v>
      </c>
      <c r="F167" s="37">
        <v>2527.4875000000002</v>
      </c>
      <c r="G167" s="38">
        <v>3.6396200000000001E-3</v>
      </c>
      <c r="H167" s="29">
        <v>7.3362999999999996</v>
      </c>
    </row>
    <row r="168" spans="1:8" ht="12.75" customHeight="1" x14ac:dyDescent="0.2">
      <c r="A168" s="35">
        <v>6</v>
      </c>
      <c r="B168" s="22" t="s">
        <v>617</v>
      </c>
      <c r="C168" s="22" t="s">
        <v>618</v>
      </c>
      <c r="D168" s="22" t="s">
        <v>610</v>
      </c>
      <c r="E168" s="36">
        <v>2500000</v>
      </c>
      <c r="F168" s="37">
        <v>2519.16</v>
      </c>
      <c r="G168" s="38">
        <v>3.6276199999999998E-3</v>
      </c>
      <c r="H168" s="29">
        <v>7.4123999999999999</v>
      </c>
    </row>
    <row r="169" spans="1:8" ht="12.75" customHeight="1" x14ac:dyDescent="0.2">
      <c r="A169" s="35">
        <v>7</v>
      </c>
      <c r="B169" s="22" t="s">
        <v>619</v>
      </c>
      <c r="C169" s="22" t="s">
        <v>620</v>
      </c>
      <c r="D169" s="22" t="s">
        <v>610</v>
      </c>
      <c r="E169" s="36">
        <v>1500000</v>
      </c>
      <c r="F169" s="37">
        <v>1542.0015000000001</v>
      </c>
      <c r="G169" s="38">
        <v>2.2204999999999998E-3</v>
      </c>
      <c r="H169" s="29">
        <v>6.5270999999999999</v>
      </c>
    </row>
    <row r="170" spans="1:8" ht="12.75" customHeight="1" x14ac:dyDescent="0.2">
      <c r="A170" s="35">
        <v>8</v>
      </c>
      <c r="B170" s="22" t="s">
        <v>621</v>
      </c>
      <c r="C170" s="31" t="s">
        <v>999</v>
      </c>
      <c r="D170" s="22" t="s">
        <v>610</v>
      </c>
      <c r="E170" s="36">
        <v>1500000</v>
      </c>
      <c r="F170" s="37">
        <v>1514.931</v>
      </c>
      <c r="G170" s="38">
        <v>2.1815200000000002E-3</v>
      </c>
      <c r="H170" s="29">
        <v>6.8044040093347622</v>
      </c>
    </row>
    <row r="171" spans="1:8" ht="12.75" customHeight="1" x14ac:dyDescent="0.2">
      <c r="A171" s="35">
        <v>9</v>
      </c>
      <c r="B171" s="22" t="s">
        <v>622</v>
      </c>
      <c r="C171" s="22" t="s">
        <v>623</v>
      </c>
      <c r="D171" s="22" t="s">
        <v>610</v>
      </c>
      <c r="E171" s="36">
        <v>1270000</v>
      </c>
      <c r="F171" s="37">
        <v>1286.28648</v>
      </c>
      <c r="G171" s="38">
        <v>1.85227E-3</v>
      </c>
      <c r="H171" s="29">
        <v>7.3651</v>
      </c>
    </row>
    <row r="172" spans="1:8" ht="12.75" customHeight="1" x14ac:dyDescent="0.2">
      <c r="A172" s="35">
        <v>10</v>
      </c>
      <c r="B172" s="22" t="s">
        <v>624</v>
      </c>
      <c r="C172" s="22" t="s">
        <v>625</v>
      </c>
      <c r="D172" s="22" t="s">
        <v>610</v>
      </c>
      <c r="E172" s="36">
        <v>1000000</v>
      </c>
      <c r="F172" s="37">
        <v>1031.5740000000001</v>
      </c>
      <c r="G172" s="38">
        <v>1.48548E-3</v>
      </c>
      <c r="H172" s="29">
        <v>7.4057000000000004</v>
      </c>
    </row>
    <row r="173" spans="1:8" ht="12.75" customHeight="1" x14ac:dyDescent="0.2">
      <c r="A173" s="35">
        <v>11</v>
      </c>
      <c r="B173" s="22" t="s">
        <v>626</v>
      </c>
      <c r="C173" s="22" t="s">
        <v>627</v>
      </c>
      <c r="D173" s="22" t="s">
        <v>610</v>
      </c>
      <c r="E173" s="36">
        <v>500000</v>
      </c>
      <c r="F173" s="37">
        <v>491.45350000000002</v>
      </c>
      <c r="G173" s="38">
        <v>7.0770000000000002E-4</v>
      </c>
      <c r="H173" s="29">
        <v>6.6798999999999999</v>
      </c>
    </row>
    <row r="174" spans="1:8" ht="12.75" customHeight="1" x14ac:dyDescent="0.2">
      <c r="A174" s="39"/>
      <c r="B174" s="39"/>
      <c r="C174" s="40" t="s">
        <v>142</v>
      </c>
      <c r="D174" s="39"/>
      <c r="E174" s="39" t="s">
        <v>143</v>
      </c>
      <c r="F174" s="41">
        <v>57771.482479999999</v>
      </c>
      <c r="G174" s="42">
        <v>8.3191680000000004E-2</v>
      </c>
      <c r="H174" s="29" t="s">
        <v>143</v>
      </c>
    </row>
    <row r="175" spans="1:8" ht="12.75" customHeight="1" x14ac:dyDescent="0.2">
      <c r="A175" s="39"/>
      <c r="B175" s="39"/>
      <c r="C175" s="43"/>
      <c r="D175" s="39"/>
      <c r="E175" s="39"/>
      <c r="F175" s="44"/>
      <c r="G175" s="44"/>
      <c r="H175" s="29" t="s">
        <v>143</v>
      </c>
    </row>
    <row r="176" spans="1:8" ht="12.75" customHeight="1" x14ac:dyDescent="0.2">
      <c r="A176" s="39"/>
      <c r="B176" s="39"/>
      <c r="C176" s="40" t="s">
        <v>154</v>
      </c>
      <c r="D176" s="39"/>
      <c r="E176" s="39"/>
      <c r="F176" s="44"/>
      <c r="G176" s="44"/>
      <c r="H176" s="29" t="s">
        <v>143</v>
      </c>
    </row>
    <row r="177" spans="1:8" ht="12.75" customHeight="1" x14ac:dyDescent="0.2">
      <c r="A177" s="39"/>
      <c r="B177" s="39"/>
      <c r="C177" s="40" t="s">
        <v>142</v>
      </c>
      <c r="D177" s="39"/>
      <c r="E177" s="39" t="s">
        <v>143</v>
      </c>
      <c r="F177" s="45" t="s">
        <v>145</v>
      </c>
      <c r="G177" s="42">
        <v>0</v>
      </c>
      <c r="H177" s="29" t="s">
        <v>143</v>
      </c>
    </row>
    <row r="178" spans="1:8" ht="12.75" customHeight="1" x14ac:dyDescent="0.2">
      <c r="A178" s="39"/>
      <c r="B178" s="39"/>
      <c r="C178" s="43"/>
      <c r="D178" s="39"/>
      <c r="E178" s="39"/>
      <c r="F178" s="44"/>
      <c r="G178" s="44"/>
      <c r="H178" s="29" t="s">
        <v>143</v>
      </c>
    </row>
    <row r="179" spans="1:8" ht="12.75" customHeight="1" x14ac:dyDescent="0.2">
      <c r="A179" s="39"/>
      <c r="B179" s="39"/>
      <c r="C179" s="40" t="s">
        <v>155</v>
      </c>
      <c r="D179" s="39"/>
      <c r="E179" s="39"/>
      <c r="F179" s="41">
        <v>131885.03998</v>
      </c>
      <c r="G179" s="42">
        <v>0.18991616</v>
      </c>
      <c r="H179" s="29" t="s">
        <v>143</v>
      </c>
    </row>
    <row r="180" spans="1:8" ht="12.75" customHeight="1" x14ac:dyDescent="0.2">
      <c r="A180" s="39"/>
      <c r="B180" s="39"/>
      <c r="C180" s="43"/>
      <c r="D180" s="39"/>
      <c r="E180" s="39"/>
      <c r="F180" s="44"/>
      <c r="G180" s="44"/>
      <c r="H180" s="29" t="s">
        <v>143</v>
      </c>
    </row>
    <row r="181" spans="1:8" ht="12.75" customHeight="1" x14ac:dyDescent="0.2">
      <c r="A181" s="39"/>
      <c r="B181" s="39"/>
      <c r="C181" s="40" t="s">
        <v>156</v>
      </c>
      <c r="D181" s="39"/>
      <c r="E181" s="39"/>
      <c r="F181" s="44"/>
      <c r="G181" s="44"/>
      <c r="H181" s="29" t="s">
        <v>143</v>
      </c>
    </row>
    <row r="182" spans="1:8" ht="12.75" customHeight="1" x14ac:dyDescent="0.2">
      <c r="A182" s="39"/>
      <c r="B182" s="39"/>
      <c r="C182" s="40" t="s">
        <v>157</v>
      </c>
      <c r="D182" s="39"/>
      <c r="E182" s="39"/>
      <c r="F182" s="44"/>
      <c r="G182" s="44"/>
      <c r="H182" s="29" t="s">
        <v>143</v>
      </c>
    </row>
    <row r="183" spans="1:8" ht="12.75" customHeight="1" x14ac:dyDescent="0.2">
      <c r="A183" s="35">
        <v>1</v>
      </c>
      <c r="B183" s="22" t="s">
        <v>628</v>
      </c>
      <c r="C183" s="22" t="s">
        <v>629</v>
      </c>
      <c r="D183" s="22" t="s">
        <v>630</v>
      </c>
      <c r="E183" s="36">
        <v>200</v>
      </c>
      <c r="F183" s="37">
        <v>986.12800000000004</v>
      </c>
      <c r="G183" s="38">
        <v>1.42004E-3</v>
      </c>
      <c r="H183" s="29">
        <v>5.7050000000000001</v>
      </c>
    </row>
    <row r="184" spans="1:8" ht="12.75" customHeight="1" x14ac:dyDescent="0.2">
      <c r="A184" s="35">
        <v>2</v>
      </c>
      <c r="B184" s="22" t="s">
        <v>631</v>
      </c>
      <c r="C184" s="22" t="s">
        <v>632</v>
      </c>
      <c r="D184" s="22" t="s">
        <v>630</v>
      </c>
      <c r="E184" s="36">
        <v>100</v>
      </c>
      <c r="F184" s="37">
        <v>489.72149999999999</v>
      </c>
      <c r="G184" s="38">
        <v>7.0520999999999995E-4</v>
      </c>
      <c r="H184" s="29">
        <v>6.0800999999999998</v>
      </c>
    </row>
    <row r="185" spans="1:8" ht="12.75" customHeight="1" x14ac:dyDescent="0.2">
      <c r="A185" s="39"/>
      <c r="B185" s="39"/>
      <c r="C185" s="40" t="s">
        <v>142</v>
      </c>
      <c r="D185" s="39"/>
      <c r="E185" s="39" t="s">
        <v>143</v>
      </c>
      <c r="F185" s="41">
        <v>1475.8495</v>
      </c>
      <c r="G185" s="42">
        <v>2.12525E-3</v>
      </c>
      <c r="H185" s="29" t="s">
        <v>143</v>
      </c>
    </row>
    <row r="186" spans="1:8" ht="12.75" customHeight="1" x14ac:dyDescent="0.2">
      <c r="A186" s="39"/>
      <c r="B186" s="39"/>
      <c r="C186" s="43"/>
      <c r="D186" s="39"/>
      <c r="E186" s="39"/>
      <c r="F186" s="44"/>
      <c r="G186" s="44"/>
      <c r="H186" s="29" t="s">
        <v>143</v>
      </c>
    </row>
    <row r="187" spans="1:8" ht="12.75" customHeight="1" x14ac:dyDescent="0.2">
      <c r="A187" s="39"/>
      <c r="B187" s="39"/>
      <c r="C187" s="40" t="s">
        <v>158</v>
      </c>
      <c r="D187" s="39"/>
      <c r="E187" s="39"/>
      <c r="F187" s="44"/>
      <c r="G187" s="44"/>
      <c r="H187" s="29" t="s">
        <v>143</v>
      </c>
    </row>
    <row r="188" spans="1:8" ht="12.75" customHeight="1" x14ac:dyDescent="0.2">
      <c r="A188" s="39"/>
      <c r="B188" s="39"/>
      <c r="C188" s="40" t="s">
        <v>142</v>
      </c>
      <c r="D188" s="39"/>
      <c r="E188" s="39" t="s">
        <v>143</v>
      </c>
      <c r="F188" s="45" t="s">
        <v>145</v>
      </c>
      <c r="G188" s="42">
        <v>0</v>
      </c>
      <c r="H188" s="29" t="s">
        <v>143</v>
      </c>
    </row>
    <row r="189" spans="1:8" ht="12.75" customHeight="1" x14ac:dyDescent="0.2">
      <c r="A189" s="39"/>
      <c r="B189" s="39"/>
      <c r="C189" s="43"/>
      <c r="D189" s="39"/>
      <c r="E189" s="39"/>
      <c r="F189" s="44"/>
      <c r="G189" s="44"/>
      <c r="H189" s="29" t="s">
        <v>143</v>
      </c>
    </row>
    <row r="190" spans="1:8" ht="12.75" customHeight="1" x14ac:dyDescent="0.2">
      <c r="A190" s="39"/>
      <c r="B190" s="39"/>
      <c r="C190" s="40" t="s">
        <v>159</v>
      </c>
      <c r="D190" s="39"/>
      <c r="E190" s="39"/>
      <c r="F190" s="44"/>
      <c r="G190" s="44"/>
      <c r="H190" s="29" t="s">
        <v>143</v>
      </c>
    </row>
    <row r="191" spans="1:8" ht="12.75" customHeight="1" x14ac:dyDescent="0.2">
      <c r="A191" s="39"/>
      <c r="B191" s="39"/>
      <c r="C191" s="40" t="s">
        <v>142</v>
      </c>
      <c r="D191" s="39"/>
      <c r="E191" s="39" t="s">
        <v>143</v>
      </c>
      <c r="F191" s="45" t="s">
        <v>145</v>
      </c>
      <c r="G191" s="42">
        <v>0</v>
      </c>
      <c r="H191" s="29" t="s">
        <v>143</v>
      </c>
    </row>
    <row r="192" spans="1:8" ht="12.75" customHeight="1" x14ac:dyDescent="0.2">
      <c r="A192" s="39"/>
      <c r="B192" s="39"/>
      <c r="C192" s="43"/>
      <c r="D192" s="39"/>
      <c r="E192" s="39"/>
      <c r="F192" s="44"/>
      <c r="G192" s="44"/>
      <c r="H192" s="29" t="s">
        <v>143</v>
      </c>
    </row>
    <row r="193" spans="1:8" ht="12.75" customHeight="1" x14ac:dyDescent="0.2">
      <c r="A193" s="39"/>
      <c r="B193" s="39"/>
      <c r="C193" s="40" t="s">
        <v>160</v>
      </c>
      <c r="D193" s="39"/>
      <c r="E193" s="39"/>
      <c r="F193" s="44"/>
      <c r="G193" s="44"/>
      <c r="H193" s="29" t="s">
        <v>143</v>
      </c>
    </row>
    <row r="194" spans="1:8" ht="12.75" customHeight="1" x14ac:dyDescent="0.2">
      <c r="A194" s="35">
        <v>1</v>
      </c>
      <c r="B194" s="22"/>
      <c r="C194" s="22" t="s">
        <v>161</v>
      </c>
      <c r="D194" s="22"/>
      <c r="E194" s="46"/>
      <c r="F194" s="37">
        <v>19699.510642944999</v>
      </c>
      <c r="G194" s="38">
        <v>2.8367549999999998E-2</v>
      </c>
      <c r="H194" s="29">
        <v>5.51</v>
      </c>
    </row>
    <row r="195" spans="1:8" ht="12.75" customHeight="1" x14ac:dyDescent="0.2">
      <c r="A195" s="39"/>
      <c r="B195" s="39"/>
      <c r="C195" s="40" t="s">
        <v>142</v>
      </c>
      <c r="D195" s="39"/>
      <c r="E195" s="39" t="s">
        <v>143</v>
      </c>
      <c r="F195" s="41">
        <v>19699.510642944999</v>
      </c>
      <c r="G195" s="42">
        <v>2.8367549999999998E-2</v>
      </c>
      <c r="H195" s="29" t="s">
        <v>143</v>
      </c>
    </row>
    <row r="196" spans="1:8" ht="12.75" customHeight="1" x14ac:dyDescent="0.2">
      <c r="A196" s="39"/>
      <c r="B196" s="39"/>
      <c r="C196" s="43"/>
      <c r="D196" s="39"/>
      <c r="E196" s="39"/>
      <c r="F196" s="44"/>
      <c r="G196" s="44"/>
      <c r="H196" s="29" t="s">
        <v>143</v>
      </c>
    </row>
    <row r="197" spans="1:8" ht="12.75" customHeight="1" x14ac:dyDescent="0.2">
      <c r="A197" s="39"/>
      <c r="B197" s="39"/>
      <c r="C197" s="40" t="s">
        <v>162</v>
      </c>
      <c r="D197" s="39"/>
      <c r="E197" s="39"/>
      <c r="F197" s="41">
        <v>21175.360142944999</v>
      </c>
      <c r="G197" s="42">
        <v>3.04928E-2</v>
      </c>
      <c r="H197" s="29" t="s">
        <v>143</v>
      </c>
    </row>
    <row r="198" spans="1:8" ht="12.75" customHeight="1" x14ac:dyDescent="0.2">
      <c r="A198" s="39"/>
      <c r="B198" s="39"/>
      <c r="C198" s="44"/>
      <c r="D198" s="39"/>
      <c r="E198" s="39"/>
      <c r="F198" s="39"/>
      <c r="G198" s="39"/>
      <c r="H198" s="29" t="s">
        <v>143</v>
      </c>
    </row>
    <row r="199" spans="1:8" ht="12.75" customHeight="1" x14ac:dyDescent="0.2">
      <c r="A199" s="39"/>
      <c r="B199" s="39"/>
      <c r="C199" s="40" t="s">
        <v>163</v>
      </c>
      <c r="D199" s="39"/>
      <c r="E199" s="39"/>
      <c r="F199" s="39"/>
      <c r="G199" s="39"/>
      <c r="H199" s="29" t="s">
        <v>143</v>
      </c>
    </row>
    <row r="200" spans="1:8" ht="12.75" customHeight="1" x14ac:dyDescent="0.2">
      <c r="A200" s="39"/>
      <c r="B200" s="39"/>
      <c r="C200" s="40" t="s">
        <v>164</v>
      </c>
      <c r="D200" s="39"/>
      <c r="E200" s="39"/>
      <c r="F200" s="39"/>
      <c r="G200" s="39"/>
      <c r="H200" s="29" t="s">
        <v>143</v>
      </c>
    </row>
    <row r="201" spans="1:8" ht="12.75" customHeight="1" x14ac:dyDescent="0.2">
      <c r="A201" s="35">
        <v>1</v>
      </c>
      <c r="B201" s="22" t="s">
        <v>494</v>
      </c>
      <c r="C201" s="22" t="s">
        <v>495</v>
      </c>
      <c r="D201" s="22"/>
      <c r="E201" s="79">
        <v>69857221.264300004</v>
      </c>
      <c r="F201" s="37">
        <v>10731.675902286001</v>
      </c>
      <c r="G201" s="38">
        <v>1.545375E-2</v>
      </c>
      <c r="H201" s="29" t="s">
        <v>143</v>
      </c>
    </row>
    <row r="202" spans="1:8" ht="12.75" customHeight="1" x14ac:dyDescent="0.2">
      <c r="A202" s="39"/>
      <c r="B202" s="39"/>
      <c r="C202" s="40" t="s">
        <v>142</v>
      </c>
      <c r="D202" s="39"/>
      <c r="E202" s="39" t="s">
        <v>143</v>
      </c>
      <c r="F202" s="41">
        <v>10731.675902286001</v>
      </c>
      <c r="G202" s="42">
        <v>1.545375E-2</v>
      </c>
      <c r="H202" s="29" t="s">
        <v>143</v>
      </c>
    </row>
    <row r="203" spans="1:8" ht="12.75" customHeight="1" x14ac:dyDescent="0.2">
      <c r="A203" s="39"/>
      <c r="B203" s="39"/>
      <c r="C203" s="43"/>
      <c r="D203" s="39"/>
      <c r="E203" s="39"/>
      <c r="F203" s="44"/>
      <c r="G203" s="44"/>
      <c r="H203" s="29" t="s">
        <v>143</v>
      </c>
    </row>
    <row r="204" spans="1:8" ht="12.75" customHeight="1" x14ac:dyDescent="0.2">
      <c r="A204" s="39"/>
      <c r="B204" s="39"/>
      <c r="C204" s="40" t="s">
        <v>165</v>
      </c>
      <c r="D204" s="39"/>
      <c r="E204" s="39"/>
      <c r="F204" s="39"/>
      <c r="G204" s="39"/>
      <c r="H204" s="29" t="s">
        <v>143</v>
      </c>
    </row>
    <row r="205" spans="1:8" ht="12.75" customHeight="1" x14ac:dyDescent="0.2">
      <c r="A205" s="39"/>
      <c r="B205" s="39"/>
      <c r="C205" s="40" t="s">
        <v>166</v>
      </c>
      <c r="D205" s="39"/>
      <c r="E205" s="39"/>
      <c r="F205" s="39"/>
      <c r="G205" s="39"/>
      <c r="H205" s="29" t="s">
        <v>143</v>
      </c>
    </row>
    <row r="206" spans="1:8" ht="12.75" customHeight="1" x14ac:dyDescent="0.2">
      <c r="A206" s="39"/>
      <c r="B206" s="39"/>
      <c r="C206" s="40" t="s">
        <v>142</v>
      </c>
      <c r="D206" s="39"/>
      <c r="E206" s="39" t="s">
        <v>143</v>
      </c>
      <c r="F206" s="45" t="s">
        <v>145</v>
      </c>
      <c r="G206" s="42">
        <v>0</v>
      </c>
      <c r="H206" s="29" t="s">
        <v>143</v>
      </c>
    </row>
    <row r="207" spans="1:8" ht="12.75" customHeight="1" x14ac:dyDescent="0.2">
      <c r="A207" s="39"/>
      <c r="B207" s="39"/>
      <c r="C207" s="43"/>
      <c r="D207" s="39"/>
      <c r="E207" s="39"/>
      <c r="F207" s="44"/>
      <c r="G207" s="44"/>
      <c r="H207" s="29" t="s">
        <v>143</v>
      </c>
    </row>
    <row r="208" spans="1:8" ht="12.75" customHeight="1" x14ac:dyDescent="0.2">
      <c r="A208" s="39"/>
      <c r="B208" s="39"/>
      <c r="C208" s="40" t="s">
        <v>167</v>
      </c>
      <c r="D208" s="39"/>
      <c r="E208" s="39"/>
      <c r="F208" s="44"/>
      <c r="G208" s="44"/>
      <c r="H208" s="29" t="s">
        <v>143</v>
      </c>
    </row>
    <row r="209" spans="1:17" ht="12.75" customHeight="1" x14ac:dyDescent="0.2">
      <c r="A209" s="39"/>
      <c r="B209" s="39"/>
      <c r="C209" s="40" t="s">
        <v>142</v>
      </c>
      <c r="D209" s="39"/>
      <c r="E209" s="39" t="s">
        <v>143</v>
      </c>
      <c r="F209" s="45" t="s">
        <v>145</v>
      </c>
      <c r="G209" s="42">
        <v>0</v>
      </c>
      <c r="H209" s="29" t="s">
        <v>143</v>
      </c>
    </row>
    <row r="210" spans="1:17" ht="12.75" customHeight="1" x14ac:dyDescent="0.2">
      <c r="A210" s="39"/>
      <c r="B210" s="39"/>
      <c r="C210" s="43"/>
      <c r="D210" s="39"/>
      <c r="E210" s="39"/>
      <c r="F210" s="44"/>
      <c r="G210" s="44"/>
      <c r="H210" s="29" t="s">
        <v>143</v>
      </c>
    </row>
    <row r="211" spans="1:17" ht="12.75" customHeight="1" x14ac:dyDescent="0.2">
      <c r="A211" s="46"/>
      <c r="B211" s="22"/>
      <c r="C211" s="22" t="s">
        <v>319</v>
      </c>
      <c r="D211" s="22"/>
      <c r="E211" s="46"/>
      <c r="F211" s="37">
        <v>2525.0016529</v>
      </c>
      <c r="G211" s="38">
        <v>3.6360400000000001E-3</v>
      </c>
      <c r="H211" s="29" t="s">
        <v>143</v>
      </c>
    </row>
    <row r="212" spans="1:17" ht="12.75" customHeight="1" x14ac:dyDescent="0.2">
      <c r="A212" s="46"/>
      <c r="B212" s="22"/>
      <c r="C212" s="31" t="s">
        <v>1000</v>
      </c>
      <c r="D212" s="22"/>
      <c r="E212" s="46"/>
      <c r="F212" s="37">
        <f>39641.96354688+F117</f>
        <v>-3900.5313881200054</v>
      </c>
      <c r="G212" s="38">
        <f>F212/F213</f>
        <v>-5.6168159292011377E-3</v>
      </c>
      <c r="H212" s="29" t="s">
        <v>143</v>
      </c>
      <c r="J212" s="140"/>
    </row>
    <row r="213" spans="1:17" ht="12.75" customHeight="1" x14ac:dyDescent="0.2">
      <c r="A213" s="43"/>
      <c r="B213" s="43"/>
      <c r="C213" s="40" t="s">
        <v>169</v>
      </c>
      <c r="D213" s="44"/>
      <c r="E213" s="44"/>
      <c r="F213" s="41">
        <f>F212+F211+F202+F197+F179+F119</f>
        <v>694438.17231781106</v>
      </c>
      <c r="G213" s="47">
        <f>G212+G211+G202+G197+G179+G119</f>
        <v>0.999993475550079</v>
      </c>
      <c r="H213" s="29" t="s">
        <v>143</v>
      </c>
    </row>
    <row r="214" spans="1:17" ht="12.75" customHeight="1" x14ac:dyDescent="0.2">
      <c r="A214" s="48"/>
      <c r="B214" s="48"/>
      <c r="C214" s="49"/>
      <c r="D214" s="50"/>
      <c r="E214" s="50"/>
      <c r="F214" s="51"/>
      <c r="G214" s="52"/>
      <c r="H214" s="53"/>
    </row>
    <row r="215" spans="1:17" x14ac:dyDescent="0.2">
      <c r="A215" s="54"/>
      <c r="B215" s="243" t="s">
        <v>945</v>
      </c>
      <c r="C215" s="243"/>
      <c r="D215" s="243"/>
      <c r="E215" s="243"/>
      <c r="F215" s="243"/>
      <c r="G215" s="243"/>
      <c r="H215" s="243"/>
      <c r="J215" s="56"/>
    </row>
    <row r="216" spans="1:17" x14ac:dyDescent="0.2">
      <c r="A216" s="54"/>
      <c r="B216" s="243" t="s">
        <v>946</v>
      </c>
      <c r="C216" s="243"/>
      <c r="D216" s="243"/>
      <c r="E216" s="243"/>
      <c r="F216" s="243"/>
      <c r="G216" s="243"/>
      <c r="H216" s="243"/>
      <c r="J216" s="56"/>
    </row>
    <row r="217" spans="1:17" x14ac:dyDescent="0.2">
      <c r="A217" s="54"/>
      <c r="B217" s="243" t="s">
        <v>947</v>
      </c>
      <c r="C217" s="243"/>
      <c r="D217" s="243"/>
      <c r="E217" s="243"/>
      <c r="F217" s="243"/>
      <c r="G217" s="243"/>
      <c r="H217" s="243"/>
      <c r="J217" s="56"/>
    </row>
    <row r="218" spans="1:17" s="58" customFormat="1" ht="66.75" customHeight="1" x14ac:dyDescent="0.25">
      <c r="A218" s="57"/>
      <c r="B218" s="244" t="s">
        <v>948</v>
      </c>
      <c r="C218" s="244"/>
      <c r="D218" s="244"/>
      <c r="E218" s="244"/>
      <c r="F218" s="244"/>
      <c r="G218" s="244"/>
      <c r="H218" s="244"/>
      <c r="I218"/>
      <c r="J218" s="56"/>
      <c r="K218"/>
      <c r="L218"/>
      <c r="M218"/>
      <c r="N218"/>
      <c r="O218"/>
      <c r="P218"/>
      <c r="Q218"/>
    </row>
    <row r="219" spans="1:17" x14ac:dyDescent="0.2">
      <c r="A219" s="54"/>
      <c r="B219" s="243" t="s">
        <v>949</v>
      </c>
      <c r="C219" s="243"/>
      <c r="D219" s="243"/>
      <c r="E219" s="243"/>
      <c r="F219" s="243"/>
      <c r="G219" s="243"/>
      <c r="H219" s="243"/>
      <c r="J219" s="56"/>
    </row>
    <row r="220" spans="1:17" x14ac:dyDescent="0.2">
      <c r="A220" s="54"/>
      <c r="B220" s="54"/>
      <c r="C220" s="54"/>
      <c r="D220" s="59"/>
      <c r="E220" s="59"/>
      <c r="F220" s="59"/>
      <c r="G220" s="59"/>
    </row>
    <row r="221" spans="1:17" x14ac:dyDescent="0.2">
      <c r="A221" s="54"/>
      <c r="B221" s="247" t="s">
        <v>170</v>
      </c>
      <c r="C221" s="248"/>
      <c r="D221" s="249"/>
      <c r="E221" s="60"/>
      <c r="F221" s="59"/>
      <c r="G221" s="59"/>
    </row>
    <row r="222" spans="1:17" ht="27.75" customHeight="1" x14ac:dyDescent="0.2">
      <c r="A222" s="54"/>
      <c r="B222" s="240" t="s">
        <v>171</v>
      </c>
      <c r="C222" s="241"/>
      <c r="D222" s="28" t="s">
        <v>1001</v>
      </c>
      <c r="E222" s="60"/>
      <c r="F222" s="59"/>
      <c r="G222" s="59"/>
    </row>
    <row r="223" spans="1:17" ht="12.75" customHeight="1" x14ac:dyDescent="0.2">
      <c r="A223" s="54"/>
      <c r="B223" s="240" t="s">
        <v>950</v>
      </c>
      <c r="C223" s="241"/>
      <c r="D223" s="28" t="str">
        <f>"Rs. "&amp;TEXT(F80,"0.00")&amp;" lacs/ #"</f>
        <v>Rs. 4.55 lacs/ #</v>
      </c>
      <c r="E223" s="60"/>
      <c r="F223" s="59"/>
      <c r="G223" s="59"/>
    </row>
    <row r="224" spans="1:17" x14ac:dyDescent="0.2">
      <c r="A224" s="54"/>
      <c r="B224" s="240" t="s">
        <v>173</v>
      </c>
      <c r="C224" s="241"/>
      <c r="D224" s="61" t="s">
        <v>143</v>
      </c>
      <c r="E224" s="60"/>
      <c r="F224" s="59"/>
      <c r="G224" s="59"/>
    </row>
    <row r="225" spans="1:10" x14ac:dyDescent="0.2">
      <c r="A225" s="62"/>
      <c r="B225" s="63" t="s">
        <v>143</v>
      </c>
      <c r="C225" s="63" t="s">
        <v>951</v>
      </c>
      <c r="D225" s="63" t="s">
        <v>174</v>
      </c>
      <c r="E225" s="62"/>
      <c r="F225" s="62"/>
      <c r="G225" s="62"/>
      <c r="H225" s="62"/>
      <c r="J225" s="56"/>
    </row>
    <row r="226" spans="1:10" x14ac:dyDescent="0.2">
      <c r="A226" s="62"/>
      <c r="B226" s="64" t="s">
        <v>175</v>
      </c>
      <c r="C226" s="65">
        <v>45900</v>
      </c>
      <c r="D226" s="65">
        <v>45930</v>
      </c>
      <c r="E226" s="62"/>
      <c r="F226" s="62"/>
      <c r="G226" s="62"/>
      <c r="J226" s="56"/>
    </row>
    <row r="227" spans="1:10" ht="12.75" customHeight="1" x14ac:dyDescent="0.2">
      <c r="A227" s="66"/>
      <c r="B227" s="67" t="s">
        <v>176</v>
      </c>
      <c r="C227" s="68">
        <v>181.4734</v>
      </c>
      <c r="D227" s="68">
        <v>183.68530000000001</v>
      </c>
      <c r="E227" s="66"/>
      <c r="F227" s="69"/>
      <c r="G227" s="70"/>
    </row>
    <row r="228" spans="1:10" ht="12.75" customHeight="1" x14ac:dyDescent="0.2">
      <c r="A228" s="66"/>
      <c r="B228" s="67" t="s">
        <v>1130</v>
      </c>
      <c r="C228" s="68">
        <v>41.773400000000002</v>
      </c>
      <c r="D228" s="68">
        <v>41.939500000000002</v>
      </c>
      <c r="E228" s="66"/>
      <c r="F228" s="69"/>
      <c r="G228" s="70"/>
    </row>
    <row r="229" spans="1:10" ht="12.75" customHeight="1" x14ac:dyDescent="0.2">
      <c r="A229" s="66"/>
      <c r="B229" s="67" t="s">
        <v>177</v>
      </c>
      <c r="C229" s="68">
        <v>158.1164</v>
      </c>
      <c r="D229" s="68">
        <v>159.89760000000001</v>
      </c>
      <c r="E229" s="66"/>
      <c r="F229" s="69"/>
      <c r="G229" s="70"/>
    </row>
    <row r="230" spans="1:10" ht="12.75" customHeight="1" x14ac:dyDescent="0.2">
      <c r="A230" s="66"/>
      <c r="B230" s="67" t="s">
        <v>1131</v>
      </c>
      <c r="C230" s="68">
        <v>27.088999999999999</v>
      </c>
      <c r="D230" s="68">
        <v>27.1492</v>
      </c>
      <c r="E230" s="66"/>
      <c r="F230" s="69"/>
      <c r="G230" s="70"/>
    </row>
    <row r="231" spans="1:10" ht="12.75" customHeight="1" x14ac:dyDescent="0.2">
      <c r="A231" s="66"/>
      <c r="B231" s="66"/>
      <c r="C231" s="66"/>
      <c r="D231" s="66"/>
      <c r="E231" s="66"/>
      <c r="F231" s="66"/>
      <c r="G231" s="66"/>
    </row>
    <row r="232" spans="1:10" ht="12.75" customHeight="1" x14ac:dyDescent="0.2">
      <c r="A232" s="66"/>
      <c r="B232" s="285" t="s">
        <v>952</v>
      </c>
      <c r="C232" s="286"/>
      <c r="D232" s="115" t="s">
        <v>143</v>
      </c>
      <c r="E232" s="66"/>
      <c r="F232" s="66"/>
      <c r="G232" s="66"/>
    </row>
    <row r="233" spans="1:10" ht="12.75" customHeight="1" x14ac:dyDescent="0.2">
      <c r="A233" s="66"/>
      <c r="B233" s="116" t="s">
        <v>175</v>
      </c>
      <c r="C233" s="117" t="s">
        <v>633</v>
      </c>
      <c r="D233" s="117" t="s">
        <v>634</v>
      </c>
      <c r="E233" s="66"/>
      <c r="F233" s="66"/>
      <c r="G233" s="66"/>
    </row>
    <row r="234" spans="1:10" ht="12.75" customHeight="1" x14ac:dyDescent="0.2">
      <c r="A234" s="66"/>
      <c r="B234" s="67" t="s">
        <v>1130</v>
      </c>
      <c r="C234" s="141">
        <v>0.35</v>
      </c>
      <c r="D234" s="141">
        <v>0.35</v>
      </c>
      <c r="E234" s="66"/>
      <c r="F234" s="69"/>
      <c r="G234" s="70"/>
    </row>
    <row r="235" spans="1:10" ht="12.75" customHeight="1" x14ac:dyDescent="0.2">
      <c r="A235" s="66"/>
      <c r="B235" s="67" t="s">
        <v>1131</v>
      </c>
      <c r="C235" s="141">
        <v>0.25</v>
      </c>
      <c r="D235" s="141">
        <v>0.25</v>
      </c>
      <c r="E235" s="66"/>
      <c r="F235" s="69"/>
      <c r="G235" s="70"/>
    </row>
    <row r="236" spans="1:10" ht="12.75" customHeight="1" x14ac:dyDescent="0.2">
      <c r="A236" s="62"/>
      <c r="B236" s="120"/>
      <c r="C236" s="120"/>
      <c r="D236" s="121"/>
      <c r="E236" s="62"/>
      <c r="F236" s="122"/>
      <c r="G236" s="123"/>
    </row>
    <row r="237" spans="1:10" ht="24.75" customHeight="1" x14ac:dyDescent="0.2">
      <c r="A237" s="72"/>
      <c r="B237" s="240" t="s">
        <v>178</v>
      </c>
      <c r="C237" s="241"/>
      <c r="D237" s="28" t="s">
        <v>1002</v>
      </c>
      <c r="E237" s="74"/>
      <c r="F237" s="72"/>
      <c r="G237" s="72"/>
    </row>
    <row r="238" spans="1:10" ht="24" customHeight="1" x14ac:dyDescent="0.2">
      <c r="A238" s="72"/>
      <c r="B238" s="240" t="s">
        <v>179</v>
      </c>
      <c r="C238" s="241"/>
      <c r="D238" s="28" t="s">
        <v>172</v>
      </c>
      <c r="E238" s="74"/>
      <c r="F238" s="72"/>
      <c r="G238" s="72"/>
    </row>
    <row r="239" spans="1:10" x14ac:dyDescent="0.2">
      <c r="A239" s="72"/>
      <c r="B239" s="240" t="s">
        <v>180</v>
      </c>
      <c r="C239" s="241"/>
      <c r="D239" s="28" t="s">
        <v>172</v>
      </c>
      <c r="E239" s="74"/>
      <c r="F239" s="72"/>
      <c r="G239" s="72"/>
    </row>
    <row r="240" spans="1:10" x14ac:dyDescent="0.2">
      <c r="A240" s="72"/>
      <c r="B240" s="240" t="s">
        <v>181</v>
      </c>
      <c r="C240" s="241"/>
      <c r="D240" s="75">
        <v>1.7457775833341971</v>
      </c>
      <c r="E240" s="72"/>
      <c r="F240" s="55"/>
      <c r="G240" s="76"/>
    </row>
    <row r="241" spans="2:16" x14ac:dyDescent="0.2"/>
    <row r="242" spans="2:16" s="105" customFormat="1" x14ac:dyDescent="0.2">
      <c r="B242" s="142" t="s">
        <v>1038</v>
      </c>
      <c r="C242" s="132"/>
      <c r="D242" s="132"/>
      <c r="E242" s="132"/>
      <c r="F242" s="132"/>
      <c r="G242" s="132"/>
      <c r="I242"/>
      <c r="J242"/>
      <c r="K242"/>
      <c r="L242"/>
      <c r="M242"/>
      <c r="N242"/>
      <c r="O242"/>
    </row>
    <row r="243" spans="2:16" ht="13.5" customHeight="1" x14ac:dyDescent="0.2">
      <c r="B243" s="279" t="s">
        <v>1003</v>
      </c>
      <c r="C243" s="279" t="s">
        <v>1004</v>
      </c>
      <c r="D243" s="282" t="s">
        <v>1005</v>
      </c>
      <c r="E243" s="283"/>
      <c r="F243" s="284"/>
      <c r="G243" s="272" t="s">
        <v>1006</v>
      </c>
      <c r="H243" s="273"/>
      <c r="I243" s="274"/>
      <c r="J243" s="126"/>
      <c r="K243" s="126"/>
      <c r="L243" s="126"/>
      <c r="M243" s="126"/>
      <c r="N243" s="126"/>
      <c r="O243" s="126"/>
    </row>
    <row r="244" spans="2:16" ht="46.5" customHeight="1" x14ac:dyDescent="0.2">
      <c r="B244" s="280"/>
      <c r="C244" s="280"/>
      <c r="D244" s="275" t="s">
        <v>1007</v>
      </c>
      <c r="E244" s="275" t="s">
        <v>1008</v>
      </c>
      <c r="F244" s="275" t="s">
        <v>1009</v>
      </c>
      <c r="G244" s="277" t="s">
        <v>1010</v>
      </c>
      <c r="H244" s="278"/>
      <c r="I244" s="275" t="s">
        <v>1011</v>
      </c>
      <c r="J244" s="126"/>
      <c r="K244" s="126"/>
      <c r="L244" s="126"/>
      <c r="M244" s="126"/>
      <c r="N244" s="126"/>
      <c r="O244" s="126"/>
    </row>
    <row r="245" spans="2:16" ht="21" customHeight="1" x14ac:dyDescent="0.2">
      <c r="B245" s="281"/>
      <c r="C245" s="281"/>
      <c r="D245" s="276"/>
      <c r="E245" s="276"/>
      <c r="F245" s="276"/>
      <c r="G245" s="127" t="s">
        <v>1012</v>
      </c>
      <c r="H245" s="127" t="s">
        <v>1013</v>
      </c>
      <c r="I245" s="276"/>
      <c r="J245" s="126"/>
      <c r="K245" s="126"/>
      <c r="L245" s="126"/>
      <c r="M245" s="126"/>
      <c r="N245" s="126"/>
      <c r="O245" s="126"/>
    </row>
    <row r="246" spans="2:16" ht="13.5" x14ac:dyDescent="0.25">
      <c r="B246" s="128" t="s">
        <v>1014</v>
      </c>
      <c r="C246" s="129" t="s">
        <v>1015</v>
      </c>
      <c r="D246" s="130">
        <v>977.7</v>
      </c>
      <c r="E246" s="8">
        <v>22.3</v>
      </c>
      <c r="F246" s="131">
        <f>D246+E246</f>
        <v>1000</v>
      </c>
      <c r="G246" s="9">
        <v>42.319693431000005</v>
      </c>
      <c r="H246" s="9">
        <v>26.66</v>
      </c>
      <c r="I246" s="9">
        <f>G246+H246</f>
        <v>68.979693431000001</v>
      </c>
      <c r="J246" s="126"/>
      <c r="K246" s="126"/>
      <c r="L246" s="126"/>
      <c r="M246" s="126"/>
      <c r="N246" s="126"/>
      <c r="O246" s="126"/>
    </row>
    <row r="247" spans="2:16" ht="42" customHeight="1" x14ac:dyDescent="0.2">
      <c r="B247" s="267" t="s">
        <v>1016</v>
      </c>
      <c r="C247" s="267"/>
      <c r="D247" s="267"/>
      <c r="E247" s="267"/>
      <c r="F247" s="267"/>
      <c r="G247" s="267"/>
      <c r="H247" s="267"/>
      <c r="I247" s="267"/>
      <c r="J247" s="136"/>
      <c r="K247" s="126"/>
      <c r="L247" s="126"/>
      <c r="M247" s="126"/>
      <c r="N247" s="126"/>
      <c r="O247" s="126"/>
    </row>
    <row r="248" spans="2:16" ht="13.5" x14ac:dyDescent="0.25">
      <c r="B248" s="137" t="s">
        <v>1017</v>
      </c>
      <c r="I248" s="126"/>
      <c r="J248" s="26"/>
      <c r="K248" s="126"/>
      <c r="L248" s="126"/>
      <c r="M248" s="126"/>
      <c r="N248" s="126"/>
      <c r="O248" s="126"/>
      <c r="P248" s="126"/>
    </row>
    <row r="249" spans="2:16" x14ac:dyDescent="0.2">
      <c r="B249" s="10" t="s">
        <v>1018</v>
      </c>
      <c r="J249" s="26"/>
      <c r="K249" s="126"/>
      <c r="L249" s="126"/>
      <c r="M249" s="126"/>
      <c r="N249" s="126"/>
      <c r="O249" s="126"/>
    </row>
    <row r="250" spans="2:16" x14ac:dyDescent="0.2">
      <c r="B250" s="10"/>
      <c r="J250" s="26"/>
      <c r="K250" s="126"/>
      <c r="L250" s="126"/>
      <c r="M250" s="126"/>
      <c r="N250" s="126"/>
      <c r="O250" s="126"/>
    </row>
    <row r="251" spans="2:16" x14ac:dyDescent="0.2">
      <c r="B251" s="10" t="s">
        <v>1128</v>
      </c>
      <c r="J251" s="26"/>
      <c r="K251" s="126"/>
      <c r="L251" s="126"/>
      <c r="M251" s="126"/>
      <c r="N251" s="126"/>
      <c r="O251" s="126"/>
    </row>
    <row r="252" spans="2:16" x14ac:dyDescent="0.2">
      <c r="B252" s="10"/>
      <c r="J252" s="26"/>
      <c r="K252" s="126"/>
      <c r="L252" s="126"/>
      <c r="M252" s="126"/>
      <c r="N252" s="126"/>
      <c r="O252" s="126"/>
    </row>
    <row r="253" spans="2:16" x14ac:dyDescent="0.2">
      <c r="B253" s="10" t="s">
        <v>1129</v>
      </c>
      <c r="J253" s="26"/>
    </row>
    <row r="254" spans="2:16" s="105" customFormat="1" x14ac:dyDescent="0.2">
      <c r="B254" s="142"/>
      <c r="C254" s="132"/>
      <c r="D254" s="132"/>
      <c r="E254" s="132"/>
      <c r="F254" s="132"/>
      <c r="G254" s="132"/>
      <c r="I254"/>
      <c r="J254"/>
      <c r="K254"/>
      <c r="L254"/>
      <c r="M254"/>
      <c r="N254"/>
      <c r="O254"/>
    </row>
    <row r="255" spans="2:16" s="105" customFormat="1" x14ac:dyDescent="0.2">
      <c r="B255" s="143" t="s">
        <v>1003</v>
      </c>
      <c r="C255" s="143" t="s">
        <v>1004</v>
      </c>
      <c r="D255" s="268" t="s">
        <v>1019</v>
      </c>
      <c r="E255" s="269"/>
      <c r="F255" s="263" t="s">
        <v>1020</v>
      </c>
      <c r="G255" s="263"/>
      <c r="I255"/>
      <c r="J255"/>
      <c r="K255"/>
      <c r="L255"/>
      <c r="M255"/>
      <c r="N255"/>
      <c r="O255"/>
    </row>
    <row r="256" spans="2:16" s="105" customFormat="1" x14ac:dyDescent="0.2">
      <c r="B256" s="144" t="s">
        <v>1021</v>
      </c>
      <c r="C256" s="145" t="s">
        <v>1022</v>
      </c>
      <c r="D256" s="270">
        <v>0</v>
      </c>
      <c r="E256" s="271"/>
      <c r="F256" s="270">
        <v>0</v>
      </c>
      <c r="G256" s="271"/>
      <c r="I256"/>
      <c r="J256"/>
      <c r="K256"/>
      <c r="L256"/>
      <c r="M256"/>
      <c r="N256"/>
      <c r="O256"/>
    </row>
    <row r="257" spans="2:15" s="105" customFormat="1" x14ac:dyDescent="0.2">
      <c r="B257" s="260" t="s">
        <v>1023</v>
      </c>
      <c r="C257" s="261"/>
      <c r="D257" s="261"/>
      <c r="E257" s="261"/>
      <c r="F257" s="261"/>
      <c r="G257" s="262"/>
      <c r="I257"/>
      <c r="J257"/>
      <c r="K257"/>
      <c r="L257"/>
      <c r="M257"/>
      <c r="N257"/>
      <c r="O257"/>
    </row>
    <row r="258" spans="2:15" s="105" customFormat="1" x14ac:dyDescent="0.2">
      <c r="B258" s="263" t="s">
        <v>1003</v>
      </c>
      <c r="C258" s="263" t="s">
        <v>1004</v>
      </c>
      <c r="D258" s="260" t="s">
        <v>1024</v>
      </c>
      <c r="E258" s="261"/>
      <c r="F258" s="262"/>
      <c r="G258" s="144"/>
      <c r="I258"/>
      <c r="J258"/>
      <c r="K258"/>
      <c r="L258"/>
      <c r="M258"/>
      <c r="N258"/>
      <c r="O258"/>
    </row>
    <row r="259" spans="2:15" s="105" customFormat="1" ht="51" x14ac:dyDescent="0.2">
      <c r="B259" s="263"/>
      <c r="C259" s="263"/>
      <c r="D259" s="146" t="s">
        <v>1025</v>
      </c>
      <c r="E259" s="146" t="s">
        <v>1026</v>
      </c>
      <c r="F259" s="146" t="s">
        <v>1027</v>
      </c>
      <c r="G259" s="146" t="s">
        <v>1039</v>
      </c>
      <c r="H259" s="147"/>
      <c r="I259"/>
      <c r="J259"/>
      <c r="K259"/>
      <c r="L259"/>
      <c r="M259"/>
      <c r="N259"/>
      <c r="O259"/>
    </row>
    <row r="260" spans="2:15" s="105" customFormat="1" ht="15" x14ac:dyDescent="0.2">
      <c r="B260" s="148" t="s">
        <v>1021</v>
      </c>
      <c r="C260" s="145" t="s">
        <v>1022</v>
      </c>
      <c r="D260" s="149">
        <v>700</v>
      </c>
      <c r="E260" s="149">
        <v>24.098357999999998</v>
      </c>
      <c r="F260" s="150">
        <v>724.09835799999996</v>
      </c>
      <c r="G260" s="151">
        <f>F260/F213</f>
        <v>1.0427110531427048E-3</v>
      </c>
      <c r="H260" s="152"/>
      <c r="I260"/>
      <c r="J260"/>
      <c r="K260"/>
      <c r="L260"/>
      <c r="M260"/>
      <c r="N260"/>
      <c r="O260"/>
    </row>
    <row r="261" spans="2:15" s="105" customFormat="1" ht="29.25" customHeight="1" x14ac:dyDescent="0.2">
      <c r="B261" s="264" t="s">
        <v>1028</v>
      </c>
      <c r="C261" s="265"/>
      <c r="D261" s="265"/>
      <c r="E261" s="265"/>
      <c r="F261" s="265"/>
      <c r="G261" s="266"/>
      <c r="I261"/>
      <c r="J261"/>
      <c r="K261"/>
      <c r="L261"/>
      <c r="M261"/>
      <c r="N261"/>
      <c r="O261"/>
    </row>
    <row r="262" spans="2:15" s="105" customFormat="1" x14ac:dyDescent="0.2">
      <c r="I262"/>
      <c r="J262"/>
      <c r="K262"/>
      <c r="L262"/>
      <c r="M262"/>
      <c r="N262"/>
      <c r="O262"/>
    </row>
    <row r="263" spans="2:15" s="105" customFormat="1" x14ac:dyDescent="0.2">
      <c r="B263" s="257" t="s">
        <v>1029</v>
      </c>
      <c r="C263" s="258"/>
      <c r="D263" s="259"/>
      <c r="I263"/>
      <c r="J263"/>
      <c r="K263"/>
      <c r="L263"/>
      <c r="M263"/>
      <c r="N263"/>
      <c r="O263"/>
    </row>
    <row r="264" spans="2:15" s="105" customFormat="1" ht="38.25" x14ac:dyDescent="0.2">
      <c r="B264" s="256" t="s">
        <v>1030</v>
      </c>
      <c r="C264" s="256"/>
      <c r="D264" s="102" t="s">
        <v>496</v>
      </c>
      <c r="I264"/>
      <c r="J264"/>
      <c r="K264"/>
      <c r="L264"/>
      <c r="M264"/>
      <c r="N264"/>
      <c r="O264"/>
    </row>
    <row r="265" spans="2:15" s="105" customFormat="1" x14ac:dyDescent="0.2">
      <c r="B265" s="256" t="s">
        <v>1031</v>
      </c>
      <c r="C265" s="256"/>
      <c r="D265" s="102"/>
      <c r="I265"/>
      <c r="J265"/>
      <c r="K265"/>
      <c r="L265"/>
      <c r="M265"/>
      <c r="N265"/>
      <c r="O265"/>
    </row>
    <row r="266" spans="2:15" s="105" customFormat="1" x14ac:dyDescent="0.2">
      <c r="B266" s="253"/>
      <c r="C266" s="255"/>
      <c r="D266" s="82"/>
      <c r="I266"/>
      <c r="J266"/>
      <c r="K266"/>
      <c r="L266"/>
      <c r="M266"/>
      <c r="N266"/>
      <c r="O266"/>
    </row>
    <row r="267" spans="2:15" s="105" customFormat="1" x14ac:dyDescent="0.2">
      <c r="B267" s="256" t="s">
        <v>1032</v>
      </c>
      <c r="C267" s="256"/>
      <c r="D267" s="83">
        <v>6.8204847019012069</v>
      </c>
      <c r="I267"/>
      <c r="J267"/>
      <c r="K267"/>
      <c r="L267"/>
      <c r="M267"/>
      <c r="N267"/>
      <c r="O267"/>
    </row>
    <row r="268" spans="2:15" s="105" customFormat="1" x14ac:dyDescent="0.2">
      <c r="B268" s="253"/>
      <c r="C268" s="255"/>
      <c r="D268" s="153"/>
      <c r="I268"/>
      <c r="J268"/>
      <c r="K268"/>
      <c r="L268"/>
      <c r="M268"/>
      <c r="N268"/>
      <c r="O268"/>
    </row>
    <row r="269" spans="2:15" s="105" customFormat="1" x14ac:dyDescent="0.2">
      <c r="B269" s="256" t="s">
        <v>1033</v>
      </c>
      <c r="C269" s="256"/>
      <c r="D269" s="83">
        <v>4.249184387993262</v>
      </c>
      <c r="I269"/>
      <c r="J269"/>
      <c r="K269"/>
      <c r="L269"/>
      <c r="M269"/>
      <c r="N269"/>
      <c r="O269"/>
    </row>
    <row r="270" spans="2:15" s="105" customFormat="1" x14ac:dyDescent="0.2">
      <c r="B270" s="256" t="s">
        <v>1034</v>
      </c>
      <c r="C270" s="256"/>
      <c r="D270" s="83">
        <v>6.2428510335517444</v>
      </c>
      <c r="I270"/>
      <c r="J270"/>
      <c r="K270"/>
      <c r="L270"/>
      <c r="M270"/>
      <c r="N270"/>
      <c r="O270"/>
    </row>
    <row r="271" spans="2:15" s="105" customFormat="1" x14ac:dyDescent="0.2">
      <c r="B271" s="253"/>
      <c r="C271" s="255"/>
      <c r="D271" s="82"/>
      <c r="I271"/>
      <c r="J271"/>
      <c r="K271"/>
      <c r="L271"/>
      <c r="M271"/>
      <c r="N271"/>
      <c r="O271"/>
    </row>
    <row r="272" spans="2:15" s="105" customFormat="1" x14ac:dyDescent="0.2">
      <c r="B272" s="256" t="s">
        <v>1035</v>
      </c>
      <c r="C272" s="256"/>
      <c r="D272" s="84" t="s">
        <v>1040</v>
      </c>
      <c r="I272"/>
      <c r="J272"/>
      <c r="K272"/>
      <c r="L272"/>
      <c r="M272"/>
      <c r="N272"/>
      <c r="O272"/>
    </row>
    <row r="273" spans="2:15" s="105" customFormat="1" x14ac:dyDescent="0.2">
      <c r="B273" s="253" t="s">
        <v>1036</v>
      </c>
      <c r="C273" s="254"/>
      <c r="D273" s="255"/>
      <c r="I273"/>
      <c r="J273"/>
      <c r="K273"/>
      <c r="L273"/>
      <c r="M273"/>
      <c r="N273"/>
      <c r="O273"/>
    </row>
    <row r="274" spans="2:15" x14ac:dyDescent="0.2"/>
    <row r="275" spans="2:15" x14ac:dyDescent="0.2">
      <c r="B275" s="239" t="s">
        <v>953</v>
      </c>
      <c r="C275" s="239"/>
    </row>
    <row r="276" spans="2:15" x14ac:dyDescent="0.2"/>
    <row r="277" spans="2:15" ht="153.75" customHeight="1" x14ac:dyDescent="0.2"/>
    <row r="278" spans="2:15" x14ac:dyDescent="0.2"/>
    <row r="279" spans="2:15" x14ac:dyDescent="0.2"/>
    <row r="280" spans="2:15" x14ac:dyDescent="0.2">
      <c r="B280" s="77" t="s">
        <v>954</v>
      </c>
      <c r="C280" s="78"/>
      <c r="D280" s="77"/>
    </row>
    <row r="281" spans="2:15" x14ac:dyDescent="0.2">
      <c r="B281" s="77" t="s">
        <v>1037</v>
      </c>
      <c r="D281" s="77"/>
    </row>
    <row r="282" spans="2:15" ht="165" customHeight="1" x14ac:dyDescent="0.2"/>
    <row r="283" spans="2:15" x14ac:dyDescent="0.2"/>
  </sheetData>
  <mergeCells count="48">
    <mergeCell ref="A1:H1"/>
    <mergeCell ref="A2:H2"/>
    <mergeCell ref="A3:H3"/>
    <mergeCell ref="B237:C237"/>
    <mergeCell ref="B215:H215"/>
    <mergeCell ref="B216:H216"/>
    <mergeCell ref="B217:H217"/>
    <mergeCell ref="B218:H218"/>
    <mergeCell ref="B219:H219"/>
    <mergeCell ref="B221:D221"/>
    <mergeCell ref="B222:C222"/>
    <mergeCell ref="B223:C223"/>
    <mergeCell ref="B224:C224"/>
    <mergeCell ref="B232:C232"/>
    <mergeCell ref="B243:B245"/>
    <mergeCell ref="C243:C245"/>
    <mergeCell ref="D243:F243"/>
    <mergeCell ref="B240:C240"/>
    <mergeCell ref="B238:C238"/>
    <mergeCell ref="B239:C239"/>
    <mergeCell ref="G243:I243"/>
    <mergeCell ref="D244:D245"/>
    <mergeCell ref="E244:E245"/>
    <mergeCell ref="F244:F245"/>
    <mergeCell ref="G244:H244"/>
    <mergeCell ref="I244:I245"/>
    <mergeCell ref="B247:I247"/>
    <mergeCell ref="D255:E255"/>
    <mergeCell ref="F255:G255"/>
    <mergeCell ref="D256:E256"/>
    <mergeCell ref="F256:G256"/>
    <mergeCell ref="B257:G257"/>
    <mergeCell ref="B258:B259"/>
    <mergeCell ref="C258:C259"/>
    <mergeCell ref="D258:F258"/>
    <mergeCell ref="B261:G261"/>
    <mergeCell ref="B263:D263"/>
    <mergeCell ref="B264:C264"/>
    <mergeCell ref="B265:C265"/>
    <mergeCell ref="B266:C266"/>
    <mergeCell ref="B267:C267"/>
    <mergeCell ref="B273:D273"/>
    <mergeCell ref="B275:C275"/>
    <mergeCell ref="B268:C268"/>
    <mergeCell ref="B269:C269"/>
    <mergeCell ref="B270:C270"/>
    <mergeCell ref="B271:C271"/>
    <mergeCell ref="B272:C272"/>
  </mergeCells>
  <hyperlinks>
    <hyperlink ref="I1" location="Index!B2" display="Index" xr:uid="{DFA0D16A-C918-4E5F-BFC2-866C495C3B5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08D3-48EB-4952-B501-8B09C30C4DE3}">
  <sheetPr>
    <outlinePr summaryBelow="0" summaryRight="0"/>
  </sheetPr>
  <dimension ref="A1:Q227"/>
  <sheetViews>
    <sheetView showGridLines="0" workbookViewId="0">
      <selection sqref="A1:H1"/>
    </sheetView>
  </sheetViews>
  <sheetFormatPr defaultRowHeight="12.75" customHeight="1" x14ac:dyDescent="0.2"/>
  <cols>
    <col min="1" max="1" width="5.85546875" bestFit="1" customWidth="1"/>
    <col min="2" max="2" width="21.140625" customWidth="1"/>
    <col min="3" max="3" width="47.42578125" customWidth="1"/>
    <col min="4" max="4" width="17.7109375" bestFit="1" customWidth="1"/>
    <col min="5" max="5" width="13.5703125" bestFit="1" customWidth="1"/>
    <col min="6" max="6" width="10.140625" bestFit="1" customWidth="1"/>
    <col min="7" max="7" width="14" bestFit="1" customWidth="1"/>
    <col min="8" max="8" width="8.42578125" bestFit="1" customWidth="1"/>
    <col min="10" max="10" width="46.28515625" customWidth="1"/>
  </cols>
  <sheetData>
    <row r="1" spans="1:9" ht="12.75" customHeight="1" x14ac:dyDescent="0.2">
      <c r="A1" s="242" t="s">
        <v>0</v>
      </c>
      <c r="B1" s="242"/>
      <c r="C1" s="242"/>
      <c r="D1" s="242"/>
      <c r="E1" s="242"/>
      <c r="F1" s="242"/>
      <c r="G1" s="242"/>
      <c r="H1" s="242"/>
      <c r="I1" s="1" t="s">
        <v>902</v>
      </c>
    </row>
    <row r="2" spans="1:9" ht="12.75" customHeight="1" x14ac:dyDescent="0.2">
      <c r="A2" s="242" t="s">
        <v>635</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17</v>
      </c>
      <c r="C7" s="22" t="s">
        <v>18</v>
      </c>
      <c r="D7" s="22" t="s">
        <v>19</v>
      </c>
      <c r="E7" s="36">
        <v>186500</v>
      </c>
      <c r="F7" s="37">
        <v>2543.86</v>
      </c>
      <c r="G7" s="38">
        <v>8.0388950000000001E-2</v>
      </c>
      <c r="H7" s="29" t="s">
        <v>143</v>
      </c>
    </row>
    <row r="8" spans="1:9" ht="12.75" customHeight="1" x14ac:dyDescent="0.2">
      <c r="A8" s="35">
        <v>2</v>
      </c>
      <c r="B8" s="22" t="s">
        <v>31</v>
      </c>
      <c r="C8" s="22" t="s">
        <v>32</v>
      </c>
      <c r="D8" s="22" t="s">
        <v>33</v>
      </c>
      <c r="E8" s="36">
        <v>158200</v>
      </c>
      <c r="F8" s="37">
        <v>2132.5360000000001</v>
      </c>
      <c r="G8" s="38">
        <v>6.7390630000000007E-2</v>
      </c>
      <c r="H8" s="29" t="s">
        <v>143</v>
      </c>
    </row>
    <row r="9" spans="1:9" ht="12.75" customHeight="1" x14ac:dyDescent="0.2">
      <c r="A9" s="35">
        <v>3</v>
      </c>
      <c r="B9" s="22" t="s">
        <v>421</v>
      </c>
      <c r="C9" s="22" t="s">
        <v>422</v>
      </c>
      <c r="D9" s="22" t="s">
        <v>423</v>
      </c>
      <c r="E9" s="36">
        <v>467200</v>
      </c>
      <c r="F9" s="37">
        <v>1876.0416</v>
      </c>
      <c r="G9" s="38">
        <v>5.9285110000000002E-2</v>
      </c>
      <c r="H9" s="29" t="s">
        <v>143</v>
      </c>
    </row>
    <row r="10" spans="1:9" ht="12.75" customHeight="1" x14ac:dyDescent="0.2">
      <c r="A10" s="35">
        <v>4</v>
      </c>
      <c r="B10" s="22" t="s">
        <v>329</v>
      </c>
      <c r="C10" s="22" t="s">
        <v>330</v>
      </c>
      <c r="D10" s="22" t="s">
        <v>191</v>
      </c>
      <c r="E10" s="36">
        <v>125250</v>
      </c>
      <c r="F10" s="37">
        <v>1251.1222499999999</v>
      </c>
      <c r="G10" s="38">
        <v>3.9536920000000003E-2</v>
      </c>
      <c r="H10" s="29" t="s">
        <v>143</v>
      </c>
    </row>
    <row r="11" spans="1:9" ht="12.75" customHeight="1" x14ac:dyDescent="0.2">
      <c r="A11" s="35">
        <v>5</v>
      </c>
      <c r="B11" s="22" t="s">
        <v>327</v>
      </c>
      <c r="C11" s="22" t="s">
        <v>328</v>
      </c>
      <c r="D11" s="22" t="s">
        <v>33</v>
      </c>
      <c r="E11" s="36">
        <v>108125</v>
      </c>
      <c r="F11" s="37">
        <v>1223.5425</v>
      </c>
      <c r="G11" s="38">
        <v>3.8665369999999998E-2</v>
      </c>
      <c r="H11" s="29" t="s">
        <v>143</v>
      </c>
    </row>
    <row r="12" spans="1:9" ht="12.75" customHeight="1" x14ac:dyDescent="0.2">
      <c r="A12" s="35">
        <v>6</v>
      </c>
      <c r="B12" s="22" t="s">
        <v>321</v>
      </c>
      <c r="C12" s="22" t="s">
        <v>322</v>
      </c>
      <c r="D12" s="22" t="s">
        <v>33</v>
      </c>
      <c r="E12" s="36">
        <v>123200</v>
      </c>
      <c r="F12" s="37">
        <v>1171.6320000000001</v>
      </c>
      <c r="G12" s="38">
        <v>3.7024939999999999E-2</v>
      </c>
      <c r="H12" s="29" t="s">
        <v>143</v>
      </c>
    </row>
    <row r="13" spans="1:9" ht="12.75" customHeight="1" x14ac:dyDescent="0.2">
      <c r="A13" s="35">
        <v>7</v>
      </c>
      <c r="B13" s="22" t="s">
        <v>433</v>
      </c>
      <c r="C13" s="22" t="s">
        <v>434</v>
      </c>
      <c r="D13" s="22" t="s">
        <v>215</v>
      </c>
      <c r="E13" s="36">
        <v>35350</v>
      </c>
      <c r="F13" s="37">
        <v>1021.0494</v>
      </c>
      <c r="G13" s="38">
        <v>3.2266349999999999E-2</v>
      </c>
      <c r="H13" s="29" t="s">
        <v>143</v>
      </c>
    </row>
    <row r="14" spans="1:9" ht="12.75" customHeight="1" x14ac:dyDescent="0.2">
      <c r="A14" s="35">
        <v>8</v>
      </c>
      <c r="B14" s="22" t="s">
        <v>42</v>
      </c>
      <c r="C14" s="22" t="s">
        <v>43</v>
      </c>
      <c r="D14" s="22" t="s">
        <v>33</v>
      </c>
      <c r="E14" s="36">
        <v>99750</v>
      </c>
      <c r="F14" s="37">
        <v>870.26887499999998</v>
      </c>
      <c r="G14" s="38">
        <v>2.750151E-2</v>
      </c>
      <c r="H14" s="29" t="s">
        <v>143</v>
      </c>
    </row>
    <row r="15" spans="1:9" ht="12.75" customHeight="1" x14ac:dyDescent="0.2">
      <c r="A15" s="35">
        <v>9</v>
      </c>
      <c r="B15" s="22" t="s">
        <v>14</v>
      </c>
      <c r="C15" s="22" t="s">
        <v>15</v>
      </c>
      <c r="D15" s="22" t="s">
        <v>16</v>
      </c>
      <c r="E15" s="36">
        <v>19775</v>
      </c>
      <c r="F15" s="37">
        <v>723.56724999999994</v>
      </c>
      <c r="G15" s="38">
        <v>2.2865570000000002E-2</v>
      </c>
      <c r="H15" s="29" t="s">
        <v>143</v>
      </c>
    </row>
    <row r="16" spans="1:9" ht="12.75" customHeight="1" x14ac:dyDescent="0.2">
      <c r="A16" s="35">
        <v>10</v>
      </c>
      <c r="B16" s="22" t="s">
        <v>528</v>
      </c>
      <c r="C16" s="22" t="s">
        <v>529</v>
      </c>
      <c r="D16" s="22" t="s">
        <v>530</v>
      </c>
      <c r="E16" s="36">
        <v>27600</v>
      </c>
      <c r="F16" s="37">
        <v>691.62840000000006</v>
      </c>
      <c r="G16" s="38">
        <v>2.1856270000000001E-2</v>
      </c>
      <c r="H16" s="29" t="s">
        <v>143</v>
      </c>
    </row>
    <row r="17" spans="1:8" ht="12.75" customHeight="1" x14ac:dyDescent="0.2">
      <c r="A17" s="35">
        <v>11</v>
      </c>
      <c r="B17" s="22" t="s">
        <v>11</v>
      </c>
      <c r="C17" s="22" t="s">
        <v>12</v>
      </c>
      <c r="D17" s="22" t="s">
        <v>13</v>
      </c>
      <c r="E17" s="36">
        <v>35150</v>
      </c>
      <c r="F17" s="37">
        <v>660.25760000000002</v>
      </c>
      <c r="G17" s="38">
        <v>2.086491E-2</v>
      </c>
      <c r="H17" s="29" t="s">
        <v>143</v>
      </c>
    </row>
    <row r="18" spans="1:8" ht="12.75" customHeight="1" x14ac:dyDescent="0.2">
      <c r="A18" s="35">
        <v>12</v>
      </c>
      <c r="B18" s="22" t="s">
        <v>103</v>
      </c>
      <c r="C18" s="22" t="s">
        <v>104</v>
      </c>
      <c r="D18" s="22" t="s">
        <v>25</v>
      </c>
      <c r="E18" s="36">
        <v>115500</v>
      </c>
      <c r="F18" s="37">
        <v>658.29224999999997</v>
      </c>
      <c r="G18" s="38">
        <v>2.08028E-2</v>
      </c>
      <c r="H18" s="29" t="s">
        <v>143</v>
      </c>
    </row>
    <row r="19" spans="1:8" ht="12.75" customHeight="1" x14ac:dyDescent="0.2">
      <c r="A19" s="35">
        <v>13</v>
      </c>
      <c r="B19" s="22" t="s">
        <v>426</v>
      </c>
      <c r="C19" s="22" t="s">
        <v>427</v>
      </c>
      <c r="D19" s="22" t="s">
        <v>428</v>
      </c>
      <c r="E19" s="36">
        <v>81200</v>
      </c>
      <c r="F19" s="37">
        <v>618.70339999999999</v>
      </c>
      <c r="G19" s="38">
        <v>1.955175E-2</v>
      </c>
      <c r="H19" s="29" t="s">
        <v>143</v>
      </c>
    </row>
    <row r="20" spans="1:8" ht="12.75" customHeight="1" x14ac:dyDescent="0.2">
      <c r="A20" s="35">
        <v>14</v>
      </c>
      <c r="B20" s="22" t="s">
        <v>636</v>
      </c>
      <c r="C20" s="22" t="s">
        <v>637</v>
      </c>
      <c r="D20" s="22" t="s">
        <v>33</v>
      </c>
      <c r="E20" s="36">
        <v>190500</v>
      </c>
      <c r="F20" s="37">
        <v>528.16125</v>
      </c>
      <c r="G20" s="38">
        <v>1.6690509999999999E-2</v>
      </c>
      <c r="H20" s="29" t="s">
        <v>143</v>
      </c>
    </row>
    <row r="21" spans="1:8" ht="12.75" customHeight="1" x14ac:dyDescent="0.2">
      <c r="A21" s="35">
        <v>15</v>
      </c>
      <c r="B21" s="22" t="s">
        <v>349</v>
      </c>
      <c r="C21" s="22" t="s">
        <v>350</v>
      </c>
      <c r="D21" s="22" t="s">
        <v>194</v>
      </c>
      <c r="E21" s="36">
        <v>32900</v>
      </c>
      <c r="F21" s="37">
        <v>524.52470000000005</v>
      </c>
      <c r="G21" s="38">
        <v>1.6575590000000001E-2</v>
      </c>
      <c r="H21" s="29" t="s">
        <v>143</v>
      </c>
    </row>
    <row r="22" spans="1:8" ht="12.75" customHeight="1" x14ac:dyDescent="0.2">
      <c r="A22" s="35">
        <v>16</v>
      </c>
      <c r="B22" s="22" t="s">
        <v>638</v>
      </c>
      <c r="C22" s="22" t="s">
        <v>639</v>
      </c>
      <c r="D22" s="22" t="s">
        <v>28</v>
      </c>
      <c r="E22" s="36">
        <v>34125</v>
      </c>
      <c r="F22" s="37">
        <v>509.55450000000002</v>
      </c>
      <c r="G22" s="38">
        <v>1.6102519999999999E-2</v>
      </c>
      <c r="H22" s="29" t="s">
        <v>143</v>
      </c>
    </row>
    <row r="23" spans="1:8" ht="12.75" customHeight="1" x14ac:dyDescent="0.2">
      <c r="A23" s="35">
        <v>17</v>
      </c>
      <c r="B23" s="22" t="s">
        <v>335</v>
      </c>
      <c r="C23" s="22" t="s">
        <v>336</v>
      </c>
      <c r="D23" s="22" t="s">
        <v>28</v>
      </c>
      <c r="E23" s="36">
        <v>10200</v>
      </c>
      <c r="F23" s="37">
        <v>484.14299999999997</v>
      </c>
      <c r="G23" s="38">
        <v>1.5299480000000001E-2</v>
      </c>
      <c r="H23" s="29" t="s">
        <v>143</v>
      </c>
    </row>
    <row r="24" spans="1:8" ht="12.75" customHeight="1" x14ac:dyDescent="0.2">
      <c r="A24" s="35">
        <v>18</v>
      </c>
      <c r="B24" s="22" t="s">
        <v>273</v>
      </c>
      <c r="C24" s="22" t="s">
        <v>274</v>
      </c>
      <c r="D24" s="22" t="s">
        <v>275</v>
      </c>
      <c r="E24" s="36">
        <v>30400</v>
      </c>
      <c r="F24" s="37">
        <v>479.0736</v>
      </c>
      <c r="G24" s="38">
        <v>1.513929E-2</v>
      </c>
      <c r="H24" s="29" t="s">
        <v>143</v>
      </c>
    </row>
    <row r="25" spans="1:8" ht="12.75" customHeight="1" x14ac:dyDescent="0.2">
      <c r="A25" s="35">
        <v>19</v>
      </c>
      <c r="B25" s="22" t="s">
        <v>323</v>
      </c>
      <c r="C25" s="22" t="s">
        <v>324</v>
      </c>
      <c r="D25" s="22" t="s">
        <v>33</v>
      </c>
      <c r="E25" s="36">
        <v>22800</v>
      </c>
      <c r="F25" s="37">
        <v>454.3356</v>
      </c>
      <c r="G25" s="38">
        <v>1.435754E-2</v>
      </c>
      <c r="H25" s="29" t="s">
        <v>143</v>
      </c>
    </row>
    <row r="26" spans="1:8" ht="12.75" customHeight="1" x14ac:dyDescent="0.2">
      <c r="A26" s="35">
        <v>20</v>
      </c>
      <c r="B26" s="22" t="s">
        <v>347</v>
      </c>
      <c r="C26" s="22" t="s">
        <v>348</v>
      </c>
      <c r="D26" s="22" t="s">
        <v>206</v>
      </c>
      <c r="E26" s="36">
        <v>58000</v>
      </c>
      <c r="F26" s="37">
        <v>417.774</v>
      </c>
      <c r="G26" s="38">
        <v>1.3202149999999999E-2</v>
      </c>
      <c r="H26" s="29" t="s">
        <v>143</v>
      </c>
    </row>
    <row r="27" spans="1:8" ht="12.75" customHeight="1" x14ac:dyDescent="0.2">
      <c r="A27" s="35">
        <v>21</v>
      </c>
      <c r="B27" s="22" t="s">
        <v>443</v>
      </c>
      <c r="C27" s="22" t="s">
        <v>444</v>
      </c>
      <c r="D27" s="22" t="s">
        <v>33</v>
      </c>
      <c r="E27" s="36">
        <v>46900</v>
      </c>
      <c r="F27" s="37">
        <v>344.97295000000003</v>
      </c>
      <c r="G27" s="38">
        <v>1.0901549999999999E-2</v>
      </c>
      <c r="H27" s="29" t="s">
        <v>143</v>
      </c>
    </row>
    <row r="28" spans="1:8" ht="12.75" customHeight="1" x14ac:dyDescent="0.2">
      <c r="A28" s="35">
        <v>22</v>
      </c>
      <c r="B28" s="22" t="s">
        <v>439</v>
      </c>
      <c r="C28" s="22" t="s">
        <v>440</v>
      </c>
      <c r="D28" s="22" t="s">
        <v>423</v>
      </c>
      <c r="E28" s="36">
        <v>12600</v>
      </c>
      <c r="F28" s="37">
        <v>316.81439999999998</v>
      </c>
      <c r="G28" s="38">
        <v>1.001171E-2</v>
      </c>
      <c r="H28" s="29" t="s">
        <v>143</v>
      </c>
    </row>
    <row r="29" spans="1:8" ht="12.75" customHeight="1" x14ac:dyDescent="0.2">
      <c r="A29" s="35">
        <v>23</v>
      </c>
      <c r="B29" s="22" t="s">
        <v>51</v>
      </c>
      <c r="C29" s="22" t="s">
        <v>52</v>
      </c>
      <c r="D29" s="22" t="s">
        <v>53</v>
      </c>
      <c r="E29" s="36">
        <v>21375</v>
      </c>
      <c r="F29" s="37">
        <v>299.99812500000002</v>
      </c>
      <c r="G29" s="38">
        <v>9.4802900000000006E-3</v>
      </c>
      <c r="H29" s="29" t="s">
        <v>143</v>
      </c>
    </row>
    <row r="30" spans="1:8" ht="12.75" customHeight="1" x14ac:dyDescent="0.2">
      <c r="A30" s="35">
        <v>24</v>
      </c>
      <c r="B30" s="22" t="s">
        <v>221</v>
      </c>
      <c r="C30" s="22" t="s">
        <v>222</v>
      </c>
      <c r="D30" s="22" t="s">
        <v>223</v>
      </c>
      <c r="E30" s="36">
        <v>13500</v>
      </c>
      <c r="F30" s="37">
        <v>275.42700000000002</v>
      </c>
      <c r="G30" s="38">
        <v>8.7038199999999993E-3</v>
      </c>
      <c r="H30" s="29" t="s">
        <v>143</v>
      </c>
    </row>
    <row r="31" spans="1:8" ht="12.75" customHeight="1" x14ac:dyDescent="0.2">
      <c r="A31" s="35">
        <v>25</v>
      </c>
      <c r="B31" s="22" t="s">
        <v>331</v>
      </c>
      <c r="C31" s="22" t="s">
        <v>332</v>
      </c>
      <c r="D31" s="22" t="s">
        <v>33</v>
      </c>
      <c r="E31" s="36">
        <v>102375</v>
      </c>
      <c r="F31" s="37">
        <v>264.68032499999998</v>
      </c>
      <c r="G31" s="38">
        <v>8.3642100000000004E-3</v>
      </c>
      <c r="H31" s="29" t="s">
        <v>143</v>
      </c>
    </row>
    <row r="32" spans="1:8" ht="12.75" customHeight="1" x14ac:dyDescent="0.2">
      <c r="A32" s="35">
        <v>26</v>
      </c>
      <c r="B32" s="22" t="s">
        <v>435</v>
      </c>
      <c r="C32" s="22" t="s">
        <v>436</v>
      </c>
      <c r="D32" s="22" t="s">
        <v>194</v>
      </c>
      <c r="E32" s="36">
        <v>15750</v>
      </c>
      <c r="F32" s="37">
        <v>236.76974999999999</v>
      </c>
      <c r="G32" s="38">
        <v>7.4821999999999996E-3</v>
      </c>
      <c r="H32" s="29" t="s">
        <v>143</v>
      </c>
    </row>
    <row r="33" spans="1:8" ht="12.75" customHeight="1" x14ac:dyDescent="0.2">
      <c r="A33" s="35">
        <v>27</v>
      </c>
      <c r="B33" s="22" t="s">
        <v>398</v>
      </c>
      <c r="C33" s="22" t="s">
        <v>399</v>
      </c>
      <c r="D33" s="22" t="s">
        <v>133</v>
      </c>
      <c r="E33" s="36">
        <v>137500</v>
      </c>
      <c r="F33" s="37">
        <v>232.05875</v>
      </c>
      <c r="G33" s="38">
        <v>7.3333299999999999E-3</v>
      </c>
      <c r="H33" s="29" t="s">
        <v>143</v>
      </c>
    </row>
    <row r="34" spans="1:8" ht="12.75" customHeight="1" x14ac:dyDescent="0.2">
      <c r="A34" s="35">
        <v>28</v>
      </c>
      <c r="B34" s="22" t="s">
        <v>429</v>
      </c>
      <c r="C34" s="22" t="s">
        <v>430</v>
      </c>
      <c r="D34" s="22" t="s">
        <v>275</v>
      </c>
      <c r="E34" s="36">
        <v>12375</v>
      </c>
      <c r="F34" s="37">
        <v>221.58674999999999</v>
      </c>
      <c r="G34" s="38">
        <v>7.0023999999999998E-3</v>
      </c>
      <c r="H34" s="29" t="s">
        <v>143</v>
      </c>
    </row>
    <row r="35" spans="1:8" ht="12.75" customHeight="1" x14ac:dyDescent="0.2">
      <c r="A35" s="35">
        <v>29</v>
      </c>
      <c r="B35" s="22" t="s">
        <v>640</v>
      </c>
      <c r="C35" s="22" t="s">
        <v>641</v>
      </c>
      <c r="D35" s="22" t="s">
        <v>33</v>
      </c>
      <c r="E35" s="36">
        <v>192000</v>
      </c>
      <c r="F35" s="37">
        <v>216.6336</v>
      </c>
      <c r="G35" s="38">
        <v>6.8458800000000004E-3</v>
      </c>
      <c r="H35" s="29" t="s">
        <v>143</v>
      </c>
    </row>
    <row r="36" spans="1:8" ht="12.75" customHeight="1" x14ac:dyDescent="0.2">
      <c r="A36" s="35">
        <v>30</v>
      </c>
      <c r="B36" s="22" t="s">
        <v>82</v>
      </c>
      <c r="C36" s="22" t="s">
        <v>83</v>
      </c>
      <c r="D36" s="22" t="s">
        <v>13</v>
      </c>
      <c r="E36" s="36">
        <v>62900</v>
      </c>
      <c r="F36" s="37">
        <v>215.6841</v>
      </c>
      <c r="G36" s="38">
        <v>6.8158699999999999E-3</v>
      </c>
      <c r="H36" s="29" t="s">
        <v>143</v>
      </c>
    </row>
    <row r="37" spans="1:8" ht="12.75" customHeight="1" x14ac:dyDescent="0.2">
      <c r="A37" s="35">
        <v>31</v>
      </c>
      <c r="B37" s="22" t="s">
        <v>343</v>
      </c>
      <c r="C37" s="22" t="s">
        <v>344</v>
      </c>
      <c r="D37" s="22" t="s">
        <v>284</v>
      </c>
      <c r="E37" s="36">
        <v>65475</v>
      </c>
      <c r="F37" s="37">
        <v>213.12112500000001</v>
      </c>
      <c r="G37" s="38">
        <v>6.7348800000000004E-3</v>
      </c>
      <c r="H37" s="29" t="s">
        <v>143</v>
      </c>
    </row>
    <row r="38" spans="1:8" ht="12.75" customHeight="1" x14ac:dyDescent="0.2">
      <c r="A38" s="35">
        <v>32</v>
      </c>
      <c r="B38" s="22" t="s">
        <v>642</v>
      </c>
      <c r="C38" s="22" t="s">
        <v>643</v>
      </c>
      <c r="D38" s="22" t="s">
        <v>33</v>
      </c>
      <c r="E38" s="36">
        <v>168750</v>
      </c>
      <c r="F38" s="37">
        <v>208.760625</v>
      </c>
      <c r="G38" s="38">
        <v>6.59708E-3</v>
      </c>
      <c r="H38" s="29" t="s">
        <v>143</v>
      </c>
    </row>
    <row r="39" spans="1:8" ht="12.75" customHeight="1" x14ac:dyDescent="0.2">
      <c r="A39" s="35">
        <v>33</v>
      </c>
      <c r="B39" s="22" t="s">
        <v>431</v>
      </c>
      <c r="C39" s="22" t="s">
        <v>432</v>
      </c>
      <c r="D39" s="22" t="s">
        <v>203</v>
      </c>
      <c r="E39" s="36">
        <v>17050</v>
      </c>
      <c r="F39" s="37">
        <v>192.54564999999999</v>
      </c>
      <c r="G39" s="38">
        <v>6.0846700000000004E-3</v>
      </c>
      <c r="H39" s="29" t="s">
        <v>143</v>
      </c>
    </row>
    <row r="40" spans="1:8" ht="12.75" customHeight="1" x14ac:dyDescent="0.2">
      <c r="A40" s="35">
        <v>34</v>
      </c>
      <c r="B40" s="22" t="s">
        <v>644</v>
      </c>
      <c r="C40" s="22" t="s">
        <v>645</v>
      </c>
      <c r="D40" s="22" t="s">
        <v>191</v>
      </c>
      <c r="E40" s="36">
        <v>94600</v>
      </c>
      <c r="F40" s="37">
        <v>152.17356000000001</v>
      </c>
      <c r="G40" s="38">
        <v>4.8088599999999999E-3</v>
      </c>
      <c r="H40" s="29" t="s">
        <v>143</v>
      </c>
    </row>
    <row r="41" spans="1:8" ht="12.75" customHeight="1" x14ac:dyDescent="0.2">
      <c r="A41" s="35">
        <v>35</v>
      </c>
      <c r="B41" s="22" t="s">
        <v>394</v>
      </c>
      <c r="C41" s="22" t="s">
        <v>395</v>
      </c>
      <c r="D41" s="22" t="s">
        <v>191</v>
      </c>
      <c r="E41" s="36">
        <v>15600</v>
      </c>
      <c r="F41" s="37">
        <v>134.7216</v>
      </c>
      <c r="G41" s="38">
        <v>4.25736E-3</v>
      </c>
      <c r="H41" s="29" t="s">
        <v>143</v>
      </c>
    </row>
    <row r="42" spans="1:8" ht="12.75" customHeight="1" x14ac:dyDescent="0.2">
      <c r="A42" s="35">
        <v>36</v>
      </c>
      <c r="B42" s="22" t="s">
        <v>333</v>
      </c>
      <c r="C42" s="22" t="s">
        <v>334</v>
      </c>
      <c r="D42" s="22" t="s">
        <v>239</v>
      </c>
      <c r="E42" s="36">
        <v>3800</v>
      </c>
      <c r="F42" s="37">
        <v>130.226</v>
      </c>
      <c r="G42" s="38">
        <v>4.1152899999999997E-3</v>
      </c>
      <c r="H42" s="29" t="s">
        <v>143</v>
      </c>
    </row>
    <row r="43" spans="1:8" ht="12.75" customHeight="1" x14ac:dyDescent="0.2">
      <c r="A43" s="35">
        <v>37</v>
      </c>
      <c r="B43" s="22" t="s">
        <v>417</v>
      </c>
      <c r="C43" s="22" t="s">
        <v>418</v>
      </c>
      <c r="D43" s="22" t="s">
        <v>239</v>
      </c>
      <c r="E43" s="36">
        <v>17600</v>
      </c>
      <c r="F43" s="37">
        <v>119.7152</v>
      </c>
      <c r="G43" s="38">
        <v>3.7831399999999999E-3</v>
      </c>
      <c r="H43" s="29" t="s">
        <v>143</v>
      </c>
    </row>
    <row r="44" spans="1:8" ht="12.75" customHeight="1" x14ac:dyDescent="0.2">
      <c r="A44" s="35">
        <v>38</v>
      </c>
      <c r="B44" s="22" t="s">
        <v>526</v>
      </c>
      <c r="C44" s="22" t="s">
        <v>527</v>
      </c>
      <c r="D44" s="22" t="s">
        <v>22</v>
      </c>
      <c r="E44" s="36">
        <v>18000</v>
      </c>
      <c r="F44" s="37">
        <v>95.552999999999997</v>
      </c>
      <c r="G44" s="38">
        <v>3.0195899999999999E-3</v>
      </c>
      <c r="H44" s="29" t="s">
        <v>143</v>
      </c>
    </row>
    <row r="45" spans="1:8" ht="12.75" customHeight="1" x14ac:dyDescent="0.2">
      <c r="A45" s="35">
        <v>39</v>
      </c>
      <c r="B45" s="22" t="s">
        <v>646</v>
      </c>
      <c r="C45" s="22" t="s">
        <v>647</v>
      </c>
      <c r="D45" s="22" t="s">
        <v>90</v>
      </c>
      <c r="E45" s="36">
        <v>11550</v>
      </c>
      <c r="F45" s="37">
        <v>82.351500000000001</v>
      </c>
      <c r="G45" s="38">
        <v>2.6023999999999999E-3</v>
      </c>
      <c r="H45" s="29" t="s">
        <v>143</v>
      </c>
    </row>
    <row r="46" spans="1:8" ht="12.75" customHeight="1" x14ac:dyDescent="0.2">
      <c r="A46" s="35">
        <v>40</v>
      </c>
      <c r="B46" s="22" t="s">
        <v>648</v>
      </c>
      <c r="C46" s="22" t="s">
        <v>649</v>
      </c>
      <c r="D46" s="22" t="s">
        <v>191</v>
      </c>
      <c r="E46" s="36">
        <v>3500</v>
      </c>
      <c r="F46" s="37">
        <v>70.224000000000004</v>
      </c>
      <c r="G46" s="38">
        <v>2.21916E-3</v>
      </c>
      <c r="H46" s="29" t="s">
        <v>143</v>
      </c>
    </row>
    <row r="47" spans="1:8" ht="12.75" customHeight="1" x14ac:dyDescent="0.2">
      <c r="A47" s="35">
        <v>41</v>
      </c>
      <c r="B47" s="22" t="s">
        <v>209</v>
      </c>
      <c r="C47" s="22" t="s">
        <v>210</v>
      </c>
      <c r="D47" s="22" t="s">
        <v>33</v>
      </c>
      <c r="E47" s="36">
        <v>25000</v>
      </c>
      <c r="F47" s="37">
        <v>48.232500000000002</v>
      </c>
      <c r="G47" s="38">
        <v>1.5242000000000001E-3</v>
      </c>
      <c r="H47" s="29" t="s">
        <v>143</v>
      </c>
    </row>
    <row r="48" spans="1:8" ht="12.75" customHeight="1" x14ac:dyDescent="0.2">
      <c r="A48" s="35">
        <v>42</v>
      </c>
      <c r="B48" s="22" t="s">
        <v>59</v>
      </c>
      <c r="C48" s="22" t="s">
        <v>60</v>
      </c>
      <c r="D48" s="22" t="s">
        <v>61</v>
      </c>
      <c r="E48" s="36">
        <v>6750</v>
      </c>
      <c r="F48" s="37">
        <v>16.166250000000002</v>
      </c>
      <c r="G48" s="38">
        <v>5.1086999999999997E-4</v>
      </c>
      <c r="H48" s="29" t="s">
        <v>143</v>
      </c>
    </row>
    <row r="49" spans="1:8" ht="12.75" customHeight="1" x14ac:dyDescent="0.2">
      <c r="A49" s="35">
        <v>43</v>
      </c>
      <c r="B49" s="22" t="s">
        <v>650</v>
      </c>
      <c r="C49" s="22" t="s">
        <v>651</v>
      </c>
      <c r="D49" s="22" t="s">
        <v>194</v>
      </c>
      <c r="E49" s="36">
        <v>200</v>
      </c>
      <c r="F49" s="37">
        <v>11.379</v>
      </c>
      <c r="G49" s="38">
        <v>3.5959000000000002E-4</v>
      </c>
      <c r="H49" s="29" t="s">
        <v>143</v>
      </c>
    </row>
    <row r="50" spans="1:8" ht="12.75" customHeight="1" x14ac:dyDescent="0.2">
      <c r="A50" s="35">
        <v>44</v>
      </c>
      <c r="B50" s="22" t="s">
        <v>99</v>
      </c>
      <c r="C50" s="22" t="s">
        <v>100</v>
      </c>
      <c r="D50" s="22" t="s">
        <v>38</v>
      </c>
      <c r="E50" s="36">
        <v>250</v>
      </c>
      <c r="F50" s="37">
        <v>7.8230000000000004</v>
      </c>
      <c r="G50" s="38">
        <v>2.4721999999999998E-4</v>
      </c>
      <c r="H50" s="29" t="s">
        <v>143</v>
      </c>
    </row>
    <row r="51" spans="1:8" ht="12.75" customHeight="1" x14ac:dyDescent="0.2">
      <c r="A51" s="35">
        <v>45</v>
      </c>
      <c r="B51" s="22" t="s">
        <v>652</v>
      </c>
      <c r="C51" s="22" t="s">
        <v>653</v>
      </c>
      <c r="D51" s="22" t="s">
        <v>454</v>
      </c>
      <c r="E51" s="36">
        <v>500</v>
      </c>
      <c r="F51" s="37">
        <v>5.7645</v>
      </c>
      <c r="G51" s="38">
        <v>1.8217E-4</v>
      </c>
      <c r="H51" s="29" t="s">
        <v>143</v>
      </c>
    </row>
    <row r="52" spans="1:8" ht="12.75" customHeight="1" x14ac:dyDescent="0.2">
      <c r="A52" s="39"/>
      <c r="B52" s="39"/>
      <c r="C52" s="40" t="s">
        <v>142</v>
      </c>
      <c r="D52" s="39"/>
      <c r="E52" s="39" t="s">
        <v>143</v>
      </c>
      <c r="F52" s="41">
        <f>SUM(F7:F51)</f>
        <v>22953.451434999992</v>
      </c>
      <c r="G52" s="42">
        <f>SUM(G7:G51)</f>
        <v>0.72535590000000005</v>
      </c>
      <c r="H52" s="29" t="s">
        <v>143</v>
      </c>
    </row>
    <row r="53" spans="1:8" ht="12.75" customHeight="1" x14ac:dyDescent="0.2">
      <c r="A53" s="39"/>
      <c r="B53" s="39"/>
      <c r="C53" s="43"/>
      <c r="D53" s="39"/>
      <c r="E53" s="39"/>
      <c r="F53" s="44"/>
      <c r="G53" s="44"/>
      <c r="H53" s="29" t="s">
        <v>143</v>
      </c>
    </row>
    <row r="54" spans="1:8" ht="12.75" customHeight="1" x14ac:dyDescent="0.2">
      <c r="A54" s="39"/>
      <c r="B54" s="39"/>
      <c r="C54" s="40" t="s">
        <v>144</v>
      </c>
      <c r="D54" s="39"/>
      <c r="E54" s="39"/>
      <c r="F54" s="39"/>
      <c r="G54" s="39"/>
      <c r="H54" s="29" t="s">
        <v>143</v>
      </c>
    </row>
    <row r="55" spans="1:8" ht="12.75" customHeight="1" x14ac:dyDescent="0.2">
      <c r="A55" s="39"/>
      <c r="B55" s="39"/>
      <c r="C55" s="40" t="s">
        <v>142</v>
      </c>
      <c r="D55" s="39"/>
      <c r="E55" s="39" t="s">
        <v>143</v>
      </c>
      <c r="F55" s="45" t="s">
        <v>145</v>
      </c>
      <c r="G55" s="42">
        <v>0</v>
      </c>
      <c r="H55" s="29" t="s">
        <v>143</v>
      </c>
    </row>
    <row r="56" spans="1:8" ht="12.75" customHeight="1" x14ac:dyDescent="0.2">
      <c r="A56" s="39"/>
      <c r="B56" s="39"/>
      <c r="C56" s="43"/>
      <c r="D56" s="39"/>
      <c r="E56" s="39"/>
      <c r="F56" s="44"/>
      <c r="G56" s="44"/>
      <c r="H56" s="29" t="s">
        <v>143</v>
      </c>
    </row>
    <row r="57" spans="1:8" ht="12.75" customHeight="1" x14ac:dyDescent="0.2">
      <c r="A57" s="39"/>
      <c r="B57" s="39"/>
      <c r="C57" s="40" t="s">
        <v>146</v>
      </c>
      <c r="D57" s="39"/>
      <c r="E57" s="39"/>
      <c r="F57" s="39"/>
      <c r="G57" s="39"/>
      <c r="H57" s="29" t="s">
        <v>143</v>
      </c>
    </row>
    <row r="58" spans="1:8" ht="12.75" customHeight="1" x14ac:dyDescent="0.2">
      <c r="A58" s="39"/>
      <c r="B58" s="39"/>
      <c r="C58" s="40" t="s">
        <v>142</v>
      </c>
      <c r="D58" s="39"/>
      <c r="E58" s="39" t="s">
        <v>143</v>
      </c>
      <c r="F58" s="45" t="s">
        <v>145</v>
      </c>
      <c r="G58" s="42">
        <v>0</v>
      </c>
      <c r="H58" s="29" t="s">
        <v>143</v>
      </c>
    </row>
    <row r="59" spans="1:8" ht="12.75" customHeight="1" x14ac:dyDescent="0.2">
      <c r="A59" s="39"/>
      <c r="B59" s="39"/>
      <c r="C59" s="43"/>
      <c r="D59" s="39"/>
      <c r="E59" s="39"/>
      <c r="F59" s="44"/>
      <c r="G59" s="44"/>
      <c r="H59" s="29" t="s">
        <v>143</v>
      </c>
    </row>
    <row r="60" spans="1:8" ht="12.75" customHeight="1" x14ac:dyDescent="0.2">
      <c r="A60" s="39"/>
      <c r="B60" s="39"/>
      <c r="C60" s="40" t="s">
        <v>147</v>
      </c>
      <c r="D60" s="39"/>
      <c r="E60" s="39"/>
      <c r="F60" s="39"/>
      <c r="G60" s="39"/>
      <c r="H60" s="29" t="s">
        <v>143</v>
      </c>
    </row>
    <row r="61" spans="1:8" ht="12.75" customHeight="1" x14ac:dyDescent="0.2">
      <c r="A61" s="39"/>
      <c r="B61" s="39"/>
      <c r="C61" s="40" t="s">
        <v>142</v>
      </c>
      <c r="D61" s="39"/>
      <c r="E61" s="39" t="s">
        <v>143</v>
      </c>
      <c r="F61" s="45" t="s">
        <v>145</v>
      </c>
      <c r="G61" s="42">
        <v>0</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148</v>
      </c>
      <c r="D63" s="39"/>
      <c r="E63" s="39"/>
      <c r="F63" s="44"/>
      <c r="G63" s="44"/>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149</v>
      </c>
      <c r="D66" s="39"/>
      <c r="E66" s="39"/>
      <c r="F66" s="44"/>
      <c r="G66" s="44"/>
      <c r="H66" s="29" t="s">
        <v>143</v>
      </c>
    </row>
    <row r="67" spans="1:8" ht="12.75" customHeight="1" x14ac:dyDescent="0.2">
      <c r="A67" s="35">
        <v>1</v>
      </c>
      <c r="B67" s="22"/>
      <c r="C67" s="22" t="s">
        <v>1041</v>
      </c>
      <c r="D67" s="22" t="s">
        <v>534</v>
      </c>
      <c r="E67" s="36">
        <v>-500</v>
      </c>
      <c r="F67" s="37">
        <v>-5.8085000000000004</v>
      </c>
      <c r="G67" s="38">
        <f>F67/$F$166</f>
        <v>-1.8355538299914302E-4</v>
      </c>
      <c r="H67" s="29" t="s">
        <v>143</v>
      </c>
    </row>
    <row r="68" spans="1:8" ht="12.75" customHeight="1" x14ac:dyDescent="0.2">
      <c r="A68" s="35">
        <v>2</v>
      </c>
      <c r="B68" s="22"/>
      <c r="C68" s="22" t="s">
        <v>1042</v>
      </c>
      <c r="D68" s="22" t="s">
        <v>534</v>
      </c>
      <c r="E68" s="36">
        <v>-250</v>
      </c>
      <c r="F68" s="37">
        <v>-7.8555000000000001</v>
      </c>
      <c r="G68" s="38">
        <f t="shared" ref="G68:G111" si="0">F68/$F$166</f>
        <v>-2.4824297342683444E-4</v>
      </c>
      <c r="H68" s="29" t="s">
        <v>143</v>
      </c>
    </row>
    <row r="69" spans="1:8" ht="12.75" customHeight="1" x14ac:dyDescent="0.2">
      <c r="A69" s="35">
        <v>3</v>
      </c>
      <c r="B69" s="22"/>
      <c r="C69" s="22" t="s">
        <v>1043</v>
      </c>
      <c r="D69" s="22" t="s">
        <v>534</v>
      </c>
      <c r="E69" s="36">
        <v>-200</v>
      </c>
      <c r="F69" s="37">
        <v>-11.456</v>
      </c>
      <c r="G69" s="38">
        <f t="shared" si="0"/>
        <v>-3.6202297798711928E-4</v>
      </c>
      <c r="H69" s="29" t="s">
        <v>143</v>
      </c>
    </row>
    <row r="70" spans="1:8" ht="12.75" customHeight="1" x14ac:dyDescent="0.2">
      <c r="A70" s="35">
        <v>4</v>
      </c>
      <c r="B70" s="22"/>
      <c r="C70" s="22" t="s">
        <v>981</v>
      </c>
      <c r="D70" s="22" t="s">
        <v>534</v>
      </c>
      <c r="E70" s="36">
        <v>-6750</v>
      </c>
      <c r="F70" s="37">
        <v>-16.2486</v>
      </c>
      <c r="G70" s="38">
        <f t="shared" si="0"/>
        <v>-5.1347473464747782E-4</v>
      </c>
      <c r="H70" s="29" t="s">
        <v>143</v>
      </c>
    </row>
    <row r="71" spans="1:8" ht="12.75" customHeight="1" x14ac:dyDescent="0.2">
      <c r="A71" s="35">
        <v>5</v>
      </c>
      <c r="B71" s="22"/>
      <c r="C71" s="22" t="s">
        <v>1044</v>
      </c>
      <c r="D71" s="22" t="s">
        <v>534</v>
      </c>
      <c r="E71" s="36">
        <v>-25000</v>
      </c>
      <c r="F71" s="37">
        <v>-48.48</v>
      </c>
      <c r="G71" s="38">
        <f t="shared" si="0"/>
        <v>-1.5320246135488427E-3</v>
      </c>
      <c r="H71" s="29" t="s">
        <v>143</v>
      </c>
    </row>
    <row r="72" spans="1:8" ht="12.75" customHeight="1" x14ac:dyDescent="0.2">
      <c r="A72" s="35">
        <v>6</v>
      </c>
      <c r="B72" s="22"/>
      <c r="C72" s="22" t="s">
        <v>1045</v>
      </c>
      <c r="D72" s="22" t="s">
        <v>534</v>
      </c>
      <c r="E72" s="36">
        <v>-3500</v>
      </c>
      <c r="F72" s="37">
        <v>-70.724500000000006</v>
      </c>
      <c r="G72" s="38">
        <f t="shared" si="0"/>
        <v>-2.2349767900357908E-3</v>
      </c>
      <c r="H72" s="29" t="s">
        <v>143</v>
      </c>
    </row>
    <row r="73" spans="1:8" ht="12.75" customHeight="1" x14ac:dyDescent="0.2">
      <c r="A73" s="35">
        <v>7</v>
      </c>
      <c r="B73" s="22"/>
      <c r="C73" s="22" t="s">
        <v>1046</v>
      </c>
      <c r="D73" s="22" t="s">
        <v>534</v>
      </c>
      <c r="E73" s="36">
        <v>-11550</v>
      </c>
      <c r="F73" s="37">
        <v>-82.963650000000001</v>
      </c>
      <c r="G73" s="38">
        <f t="shared" si="0"/>
        <v>-2.6217482225629426E-3</v>
      </c>
      <c r="H73" s="29" t="s">
        <v>143</v>
      </c>
    </row>
    <row r="74" spans="1:8" ht="12.75" customHeight="1" x14ac:dyDescent="0.2">
      <c r="A74" s="35">
        <v>8</v>
      </c>
      <c r="B74" s="22"/>
      <c r="C74" s="22" t="s">
        <v>978</v>
      </c>
      <c r="D74" s="22" t="s">
        <v>534</v>
      </c>
      <c r="E74" s="36">
        <v>-18000</v>
      </c>
      <c r="F74" s="37">
        <v>-96.021000000000001</v>
      </c>
      <c r="G74" s="38">
        <f t="shared" si="0"/>
        <v>-3.0343757305605081E-3</v>
      </c>
      <c r="H74" s="29" t="s">
        <v>143</v>
      </c>
    </row>
    <row r="75" spans="1:8" ht="12.75" customHeight="1" x14ac:dyDescent="0.2">
      <c r="A75" s="35">
        <v>9</v>
      </c>
      <c r="B75" s="22"/>
      <c r="C75" s="22" t="s">
        <v>1047</v>
      </c>
      <c r="D75" s="22" t="s">
        <v>534</v>
      </c>
      <c r="E75" s="36">
        <v>-17600</v>
      </c>
      <c r="F75" s="37">
        <v>-120.2608</v>
      </c>
      <c r="G75" s="38">
        <f t="shared" si="0"/>
        <v>-3.8003817171013755E-3</v>
      </c>
      <c r="H75" s="29" t="s">
        <v>143</v>
      </c>
    </row>
    <row r="76" spans="1:8" ht="12.75" customHeight="1" x14ac:dyDescent="0.2">
      <c r="A76" s="35">
        <v>10</v>
      </c>
      <c r="B76" s="22"/>
      <c r="C76" s="22" t="s">
        <v>1048</v>
      </c>
      <c r="D76" s="22" t="s">
        <v>534</v>
      </c>
      <c r="E76" s="36">
        <v>-3800</v>
      </c>
      <c r="F76" s="37">
        <v>-131.19120000000001</v>
      </c>
      <c r="G76" s="38">
        <f t="shared" si="0"/>
        <v>-4.1457951213079401E-3</v>
      </c>
      <c r="H76" s="29" t="s">
        <v>143</v>
      </c>
    </row>
    <row r="77" spans="1:8" ht="12.75" customHeight="1" x14ac:dyDescent="0.2">
      <c r="A77" s="35">
        <v>11</v>
      </c>
      <c r="B77" s="22"/>
      <c r="C77" s="22" t="s">
        <v>1049</v>
      </c>
      <c r="D77" s="22" t="s">
        <v>534</v>
      </c>
      <c r="E77" s="36">
        <v>-15600</v>
      </c>
      <c r="F77" s="37">
        <v>-135.56399999999999</v>
      </c>
      <c r="G77" s="38">
        <f t="shared" si="0"/>
        <v>-4.2839807077379392E-3</v>
      </c>
      <c r="H77" s="29" t="s">
        <v>143</v>
      </c>
    </row>
    <row r="78" spans="1:8" ht="12.75" customHeight="1" x14ac:dyDescent="0.2">
      <c r="A78" s="35">
        <v>12</v>
      </c>
      <c r="B78" s="22"/>
      <c r="C78" s="22" t="s">
        <v>1050</v>
      </c>
      <c r="D78" s="22" t="s">
        <v>534</v>
      </c>
      <c r="E78" s="36">
        <v>-94600</v>
      </c>
      <c r="F78" s="37">
        <v>-152.58034000000001</v>
      </c>
      <c r="G78" s="38">
        <f t="shared" si="0"/>
        <v>-4.8217169229300954E-3</v>
      </c>
      <c r="H78" s="29" t="s">
        <v>143</v>
      </c>
    </row>
    <row r="79" spans="1:8" ht="12.75" customHeight="1" x14ac:dyDescent="0.2">
      <c r="A79" s="35">
        <v>13</v>
      </c>
      <c r="B79" s="22"/>
      <c r="C79" s="22" t="s">
        <v>1051</v>
      </c>
      <c r="D79" s="22" t="s">
        <v>534</v>
      </c>
      <c r="E79" s="36">
        <v>-17050</v>
      </c>
      <c r="F79" s="37">
        <v>-193.75620000000001</v>
      </c>
      <c r="G79" s="38">
        <f t="shared" si="0"/>
        <v>-6.1229221829144451E-3</v>
      </c>
      <c r="H79" s="29" t="s">
        <v>143</v>
      </c>
    </row>
    <row r="80" spans="1:8" ht="12.75" customHeight="1" x14ac:dyDescent="0.2">
      <c r="A80" s="35">
        <v>14</v>
      </c>
      <c r="B80" s="22"/>
      <c r="C80" s="22" t="s">
        <v>1052</v>
      </c>
      <c r="D80" s="22" t="s">
        <v>534</v>
      </c>
      <c r="E80" s="36">
        <v>-168750</v>
      </c>
      <c r="F80" s="37">
        <v>-210.26249999999999</v>
      </c>
      <c r="G80" s="38">
        <f t="shared" si="0"/>
        <v>-6.6445405384965659E-3</v>
      </c>
      <c r="H80" s="29" t="s">
        <v>143</v>
      </c>
    </row>
    <row r="81" spans="1:8" ht="12.75" customHeight="1" x14ac:dyDescent="0.2">
      <c r="A81" s="35">
        <v>15</v>
      </c>
      <c r="B81" s="22"/>
      <c r="C81" s="22" t="s">
        <v>1053</v>
      </c>
      <c r="D81" s="22" t="s">
        <v>534</v>
      </c>
      <c r="E81" s="36">
        <v>-65475</v>
      </c>
      <c r="F81" s="37">
        <v>-214.69252499999999</v>
      </c>
      <c r="G81" s="38">
        <f t="shared" si="0"/>
        <v>-6.7845345017522743E-3</v>
      </c>
      <c r="H81" s="29" t="s">
        <v>143</v>
      </c>
    </row>
    <row r="82" spans="1:8" ht="12.75" customHeight="1" x14ac:dyDescent="0.2">
      <c r="A82" s="35">
        <v>16</v>
      </c>
      <c r="B82" s="22"/>
      <c r="C82" s="22" t="s">
        <v>1054</v>
      </c>
      <c r="D82" s="22" t="s">
        <v>534</v>
      </c>
      <c r="E82" s="36">
        <v>-62900</v>
      </c>
      <c r="F82" s="37">
        <v>-217.06790000000001</v>
      </c>
      <c r="G82" s="38">
        <f t="shared" si="0"/>
        <v>-6.8595991256468411E-3</v>
      </c>
      <c r="H82" s="29" t="s">
        <v>143</v>
      </c>
    </row>
    <row r="83" spans="1:8" ht="12.75" customHeight="1" x14ac:dyDescent="0.2">
      <c r="A83" s="35">
        <v>17</v>
      </c>
      <c r="B83" s="22"/>
      <c r="C83" s="22" t="s">
        <v>1055</v>
      </c>
      <c r="D83" s="22" t="s">
        <v>534</v>
      </c>
      <c r="E83" s="36">
        <v>-192000</v>
      </c>
      <c r="F83" s="37">
        <v>-218.3424</v>
      </c>
      <c r="G83" s="38">
        <f t="shared" si="0"/>
        <v>-6.8998748139712631E-3</v>
      </c>
      <c r="H83" s="29" t="s">
        <v>143</v>
      </c>
    </row>
    <row r="84" spans="1:8" ht="12.75" customHeight="1" x14ac:dyDescent="0.2">
      <c r="A84" s="35">
        <v>18</v>
      </c>
      <c r="B84" s="22"/>
      <c r="C84" s="22" t="s">
        <v>1056</v>
      </c>
      <c r="D84" s="22" t="s">
        <v>534</v>
      </c>
      <c r="E84" s="36">
        <v>-12375</v>
      </c>
      <c r="F84" s="37">
        <v>-222.9975</v>
      </c>
      <c r="G84" s="38">
        <f t="shared" si="0"/>
        <v>-7.0469814100630789E-3</v>
      </c>
      <c r="H84" s="29" t="s">
        <v>143</v>
      </c>
    </row>
    <row r="85" spans="1:8" ht="12.75" customHeight="1" x14ac:dyDescent="0.2">
      <c r="A85" s="35">
        <v>19</v>
      </c>
      <c r="B85" s="22"/>
      <c r="C85" s="22" t="s">
        <v>1057</v>
      </c>
      <c r="D85" s="22" t="s">
        <v>534</v>
      </c>
      <c r="E85" s="36">
        <v>-137500</v>
      </c>
      <c r="F85" s="37">
        <v>-233.84625</v>
      </c>
      <c r="G85" s="38">
        <f t="shared" si="0"/>
        <v>-7.3898145789211235E-3</v>
      </c>
      <c r="H85" s="29" t="s">
        <v>143</v>
      </c>
    </row>
    <row r="86" spans="1:8" ht="12.75" customHeight="1" x14ac:dyDescent="0.2">
      <c r="A86" s="35">
        <v>20</v>
      </c>
      <c r="B86" s="22"/>
      <c r="C86" s="22" t="s">
        <v>1058</v>
      </c>
      <c r="D86" s="22" t="s">
        <v>534</v>
      </c>
      <c r="E86" s="36">
        <v>-15750</v>
      </c>
      <c r="F86" s="37">
        <v>-238.26599999999999</v>
      </c>
      <c r="G86" s="38">
        <f t="shared" si="0"/>
        <v>-7.5294838401779819E-3</v>
      </c>
      <c r="H86" s="29" t="s">
        <v>143</v>
      </c>
    </row>
    <row r="87" spans="1:8" ht="12.75" customHeight="1" x14ac:dyDescent="0.2">
      <c r="A87" s="35">
        <v>21</v>
      </c>
      <c r="B87" s="22"/>
      <c r="C87" s="22" t="s">
        <v>987</v>
      </c>
      <c r="D87" s="22" t="s">
        <v>534</v>
      </c>
      <c r="E87" s="36">
        <v>-102375</v>
      </c>
      <c r="F87" s="37">
        <v>-266.56402500000002</v>
      </c>
      <c r="G87" s="38">
        <f t="shared" si="0"/>
        <v>-8.4237344757972163E-3</v>
      </c>
      <c r="H87" s="29" t="s">
        <v>143</v>
      </c>
    </row>
    <row r="88" spans="1:8" ht="12.75" customHeight="1" x14ac:dyDescent="0.2">
      <c r="A88" s="35">
        <v>22</v>
      </c>
      <c r="B88" s="22"/>
      <c r="C88" s="22" t="s">
        <v>1059</v>
      </c>
      <c r="D88" s="22" t="s">
        <v>534</v>
      </c>
      <c r="E88" s="36">
        <v>-13500</v>
      </c>
      <c r="F88" s="37">
        <v>-277.18200000000002</v>
      </c>
      <c r="G88" s="38">
        <f t="shared" si="0"/>
        <v>-8.7592748851628589E-3</v>
      </c>
      <c r="H88" s="29" t="s">
        <v>143</v>
      </c>
    </row>
    <row r="89" spans="1:8" ht="12.75" customHeight="1" x14ac:dyDescent="0.2">
      <c r="A89" s="35">
        <v>23</v>
      </c>
      <c r="B89" s="22"/>
      <c r="C89" s="22" t="s">
        <v>1060</v>
      </c>
      <c r="D89" s="22" t="s">
        <v>534</v>
      </c>
      <c r="E89" s="36">
        <v>-21375</v>
      </c>
      <c r="F89" s="37">
        <v>-301.64400000000001</v>
      </c>
      <c r="G89" s="38">
        <f t="shared" si="0"/>
        <v>-9.5323026511824911E-3</v>
      </c>
      <c r="H89" s="29" t="s">
        <v>143</v>
      </c>
    </row>
    <row r="90" spans="1:8" ht="12.75" customHeight="1" x14ac:dyDescent="0.2">
      <c r="A90" s="35">
        <v>24</v>
      </c>
      <c r="B90" s="22"/>
      <c r="C90" s="22" t="s">
        <v>1061</v>
      </c>
      <c r="D90" s="22" t="s">
        <v>534</v>
      </c>
      <c r="E90" s="36">
        <v>-12600</v>
      </c>
      <c r="F90" s="37">
        <v>-318.98160000000001</v>
      </c>
      <c r="G90" s="38">
        <f t="shared" si="0"/>
        <v>-1.008019105753283E-2</v>
      </c>
      <c r="H90" s="29" t="s">
        <v>143</v>
      </c>
    </row>
    <row r="91" spans="1:8" ht="12.75" customHeight="1" x14ac:dyDescent="0.2">
      <c r="A91" s="35">
        <v>25</v>
      </c>
      <c r="B91" s="22"/>
      <c r="C91" s="22" t="s">
        <v>1062</v>
      </c>
      <c r="D91" s="22" t="s">
        <v>534</v>
      </c>
      <c r="E91" s="36">
        <v>-46900</v>
      </c>
      <c r="F91" s="37">
        <v>-346.54410000000001</v>
      </c>
      <c r="G91" s="38">
        <f t="shared" si="0"/>
        <v>-1.0951198244227136E-2</v>
      </c>
      <c r="H91" s="29" t="s">
        <v>143</v>
      </c>
    </row>
    <row r="92" spans="1:8" ht="12.75" customHeight="1" x14ac:dyDescent="0.2">
      <c r="A92" s="35">
        <v>26</v>
      </c>
      <c r="B92" s="22"/>
      <c r="C92" s="22" t="s">
        <v>989</v>
      </c>
      <c r="D92" s="22" t="s">
        <v>534</v>
      </c>
      <c r="E92" s="36">
        <v>-58000</v>
      </c>
      <c r="F92" s="37">
        <v>-420.55799999999999</v>
      </c>
      <c r="G92" s="38">
        <f t="shared" si="0"/>
        <v>-1.3290123915529584E-2</v>
      </c>
      <c r="H92" s="29" t="s">
        <v>143</v>
      </c>
    </row>
    <row r="93" spans="1:8" ht="12.75" customHeight="1" x14ac:dyDescent="0.2">
      <c r="A93" s="35">
        <v>27</v>
      </c>
      <c r="B93" s="22"/>
      <c r="C93" s="22" t="s">
        <v>983</v>
      </c>
      <c r="D93" s="22" t="s">
        <v>534</v>
      </c>
      <c r="E93" s="36">
        <v>-22800</v>
      </c>
      <c r="F93" s="37">
        <v>-457.11720000000003</v>
      </c>
      <c r="G93" s="38">
        <f t="shared" si="0"/>
        <v>-1.4445437328311243E-2</v>
      </c>
      <c r="H93" s="29" t="s">
        <v>143</v>
      </c>
    </row>
    <row r="94" spans="1:8" ht="12.75" customHeight="1" x14ac:dyDescent="0.2">
      <c r="A94" s="35">
        <v>28</v>
      </c>
      <c r="B94" s="22"/>
      <c r="C94" s="22" t="s">
        <v>1063</v>
      </c>
      <c r="D94" s="22" t="s">
        <v>534</v>
      </c>
      <c r="E94" s="36">
        <v>-30400</v>
      </c>
      <c r="F94" s="37">
        <v>-481.56639999999999</v>
      </c>
      <c r="G94" s="38">
        <f t="shared" si="0"/>
        <v>-1.5218060599383404E-2</v>
      </c>
      <c r="H94" s="29" t="s">
        <v>143</v>
      </c>
    </row>
    <row r="95" spans="1:8" ht="12.75" customHeight="1" x14ac:dyDescent="0.2">
      <c r="A95" s="35">
        <v>29</v>
      </c>
      <c r="B95" s="22"/>
      <c r="C95" s="22" t="s">
        <v>992</v>
      </c>
      <c r="D95" s="22" t="s">
        <v>534</v>
      </c>
      <c r="E95" s="36">
        <v>-10200</v>
      </c>
      <c r="F95" s="37">
        <v>-487.59059999999999</v>
      </c>
      <c r="G95" s="38">
        <f t="shared" si="0"/>
        <v>-1.54084323542708E-2</v>
      </c>
      <c r="H95" s="29" t="s">
        <v>143</v>
      </c>
    </row>
    <row r="96" spans="1:8" ht="12.75" customHeight="1" x14ac:dyDescent="0.2">
      <c r="A96" s="35">
        <v>30</v>
      </c>
      <c r="B96" s="22"/>
      <c r="C96" s="22" t="s">
        <v>1064</v>
      </c>
      <c r="D96" s="22" t="s">
        <v>534</v>
      </c>
      <c r="E96" s="36">
        <v>-34125</v>
      </c>
      <c r="F96" s="37">
        <v>-512.5575</v>
      </c>
      <c r="G96" s="38">
        <f t="shared" si="0"/>
        <v>-1.6197415549898123E-2</v>
      </c>
      <c r="H96" s="29" t="s">
        <v>143</v>
      </c>
    </row>
    <row r="97" spans="1:8" ht="12.75" customHeight="1" x14ac:dyDescent="0.2">
      <c r="A97" s="35">
        <v>31</v>
      </c>
      <c r="B97" s="22"/>
      <c r="C97" s="22" t="s">
        <v>1065</v>
      </c>
      <c r="D97" s="22" t="s">
        <v>534</v>
      </c>
      <c r="E97" s="36">
        <v>-32900</v>
      </c>
      <c r="F97" s="37">
        <v>-528.24239999999998</v>
      </c>
      <c r="G97" s="38">
        <f t="shared" si="0"/>
        <v>-1.6693076706272961E-2</v>
      </c>
      <c r="H97" s="29" t="s">
        <v>143</v>
      </c>
    </row>
    <row r="98" spans="1:8" ht="12.75" customHeight="1" x14ac:dyDescent="0.2">
      <c r="A98" s="35">
        <v>32</v>
      </c>
      <c r="B98" s="22"/>
      <c r="C98" s="22" t="s">
        <v>1066</v>
      </c>
      <c r="D98" s="22" t="s">
        <v>534</v>
      </c>
      <c r="E98" s="36">
        <v>-190500</v>
      </c>
      <c r="F98" s="37">
        <v>-533.01900000000001</v>
      </c>
      <c r="G98" s="38">
        <f t="shared" si="0"/>
        <v>-1.684402284424898E-2</v>
      </c>
      <c r="H98" s="29" t="s">
        <v>143</v>
      </c>
    </row>
    <row r="99" spans="1:8" ht="12.75" customHeight="1" x14ac:dyDescent="0.2">
      <c r="A99" s="35">
        <v>33</v>
      </c>
      <c r="B99" s="22"/>
      <c r="C99" s="22" t="s">
        <v>1067</v>
      </c>
      <c r="D99" s="22" t="s">
        <v>534</v>
      </c>
      <c r="E99" s="36">
        <v>-81200</v>
      </c>
      <c r="F99" s="37">
        <v>-623.33180000000004</v>
      </c>
      <c r="G99" s="38">
        <f t="shared" si="0"/>
        <v>-1.9698012788937801E-2</v>
      </c>
      <c r="H99" s="29" t="s">
        <v>143</v>
      </c>
    </row>
    <row r="100" spans="1:8" ht="12.75" customHeight="1" x14ac:dyDescent="0.2">
      <c r="A100" s="35">
        <v>34</v>
      </c>
      <c r="B100" s="22"/>
      <c r="C100" s="22" t="s">
        <v>1068</v>
      </c>
      <c r="D100" s="22" t="s">
        <v>534</v>
      </c>
      <c r="E100" s="36">
        <v>-115500</v>
      </c>
      <c r="F100" s="37">
        <v>-661.69949999999994</v>
      </c>
      <c r="G100" s="38">
        <f t="shared" si="0"/>
        <v>-2.0910476913633711E-2</v>
      </c>
      <c r="H100" s="29" t="s">
        <v>143</v>
      </c>
    </row>
    <row r="101" spans="1:8" ht="12.75" customHeight="1" x14ac:dyDescent="0.2">
      <c r="A101" s="35">
        <v>35</v>
      </c>
      <c r="B101" s="22"/>
      <c r="C101" s="22" t="s">
        <v>993</v>
      </c>
      <c r="D101" s="22" t="s">
        <v>534</v>
      </c>
      <c r="E101" s="36">
        <v>-35150</v>
      </c>
      <c r="F101" s="37">
        <v>-664.96770000000004</v>
      </c>
      <c r="G101" s="38">
        <f t="shared" si="0"/>
        <v>-2.1013755850143624E-2</v>
      </c>
      <c r="H101" s="29" t="s">
        <v>143</v>
      </c>
    </row>
    <row r="102" spans="1:8" ht="12.75" customHeight="1" x14ac:dyDescent="0.2">
      <c r="A102" s="35">
        <v>36</v>
      </c>
      <c r="B102" s="22"/>
      <c r="C102" s="22" t="s">
        <v>977</v>
      </c>
      <c r="D102" s="22" t="s">
        <v>534</v>
      </c>
      <c r="E102" s="36">
        <v>-27600</v>
      </c>
      <c r="F102" s="37">
        <v>-696.072</v>
      </c>
      <c r="G102" s="38">
        <f t="shared" si="0"/>
        <v>-2.1996688052850044E-2</v>
      </c>
      <c r="H102" s="29" t="s">
        <v>143</v>
      </c>
    </row>
    <row r="103" spans="1:8" ht="12.75" customHeight="1" x14ac:dyDescent="0.2">
      <c r="A103" s="35">
        <v>37</v>
      </c>
      <c r="B103" s="22"/>
      <c r="C103" s="22" t="s">
        <v>1069</v>
      </c>
      <c r="D103" s="22" t="s">
        <v>534</v>
      </c>
      <c r="E103" s="36">
        <v>-19775</v>
      </c>
      <c r="F103" s="37">
        <v>-727.79909999999995</v>
      </c>
      <c r="G103" s="38">
        <f t="shared" si="0"/>
        <v>-2.2999301462844381E-2</v>
      </c>
      <c r="H103" s="29" t="s">
        <v>143</v>
      </c>
    </row>
    <row r="104" spans="1:8" ht="12.75" customHeight="1" x14ac:dyDescent="0.2">
      <c r="A104" s="35">
        <v>38</v>
      </c>
      <c r="B104" s="22"/>
      <c r="C104" s="22" t="s">
        <v>995</v>
      </c>
      <c r="D104" s="22" t="s">
        <v>534</v>
      </c>
      <c r="E104" s="36">
        <v>-99750</v>
      </c>
      <c r="F104" s="37">
        <v>-874.75762499999996</v>
      </c>
      <c r="G104" s="38">
        <f t="shared" si="0"/>
        <v>-2.7643362466780702E-2</v>
      </c>
      <c r="H104" s="29" t="s">
        <v>143</v>
      </c>
    </row>
    <row r="105" spans="1:8" ht="12.75" customHeight="1" x14ac:dyDescent="0.2">
      <c r="A105" s="35">
        <v>39</v>
      </c>
      <c r="B105" s="22"/>
      <c r="C105" s="22" t="s">
        <v>1070</v>
      </c>
      <c r="D105" s="22" t="s">
        <v>534</v>
      </c>
      <c r="E105" s="36">
        <v>-35350</v>
      </c>
      <c r="F105" s="37">
        <v>-1024.1602</v>
      </c>
      <c r="G105" s="38">
        <f t="shared" si="0"/>
        <v>-3.236465830480828E-2</v>
      </c>
      <c r="H105" s="29" t="s">
        <v>143</v>
      </c>
    </row>
    <row r="106" spans="1:8" ht="12.75" customHeight="1" x14ac:dyDescent="0.2">
      <c r="A106" s="35">
        <v>40</v>
      </c>
      <c r="B106" s="22"/>
      <c r="C106" s="22" t="s">
        <v>994</v>
      </c>
      <c r="D106" s="22" t="s">
        <v>534</v>
      </c>
      <c r="E106" s="36">
        <v>-123200</v>
      </c>
      <c r="F106" s="37">
        <v>-1177.9151999999999</v>
      </c>
      <c r="G106" s="38">
        <f t="shared" si="0"/>
        <v>-3.7223495855472521E-2</v>
      </c>
      <c r="H106" s="29" t="s">
        <v>143</v>
      </c>
    </row>
    <row r="107" spans="1:8" ht="12.75" customHeight="1" x14ac:dyDescent="0.2">
      <c r="A107" s="35">
        <v>41</v>
      </c>
      <c r="B107" s="22"/>
      <c r="C107" s="22" t="s">
        <v>991</v>
      </c>
      <c r="D107" s="22" t="s">
        <v>534</v>
      </c>
      <c r="E107" s="36">
        <v>-108125</v>
      </c>
      <c r="F107" s="37">
        <v>-1229.5975000000001</v>
      </c>
      <c r="G107" s="38">
        <f t="shared" si="0"/>
        <v>-3.885671688857515E-2</v>
      </c>
      <c r="H107" s="29" t="s">
        <v>143</v>
      </c>
    </row>
    <row r="108" spans="1:8" ht="12.75" customHeight="1" x14ac:dyDescent="0.2">
      <c r="A108" s="35">
        <v>42</v>
      </c>
      <c r="B108" s="22"/>
      <c r="C108" s="22" t="s">
        <v>1071</v>
      </c>
      <c r="D108" s="22" t="s">
        <v>534</v>
      </c>
      <c r="E108" s="36">
        <v>-125250</v>
      </c>
      <c r="F108" s="37">
        <v>-1258.2615000000001</v>
      </c>
      <c r="G108" s="38">
        <f t="shared" si="0"/>
        <v>-3.9762532761569457E-2</v>
      </c>
      <c r="H108" s="29" t="s">
        <v>143</v>
      </c>
    </row>
    <row r="109" spans="1:8" ht="12.75" customHeight="1" x14ac:dyDescent="0.2">
      <c r="A109" s="35">
        <v>43</v>
      </c>
      <c r="B109" s="22"/>
      <c r="C109" s="22" t="s">
        <v>1072</v>
      </c>
      <c r="D109" s="22" t="s">
        <v>534</v>
      </c>
      <c r="E109" s="36">
        <v>-467200</v>
      </c>
      <c r="F109" s="37">
        <v>-1889.3568</v>
      </c>
      <c r="G109" s="38">
        <f t="shared" si="0"/>
        <v>-5.970588121649914E-2</v>
      </c>
      <c r="H109" s="29" t="s">
        <v>143</v>
      </c>
    </row>
    <row r="110" spans="1:8" ht="12.75" customHeight="1" x14ac:dyDescent="0.2">
      <c r="A110" s="35">
        <v>44</v>
      </c>
      <c r="B110" s="22"/>
      <c r="C110" s="22" t="s">
        <v>996</v>
      </c>
      <c r="D110" s="22" t="s">
        <v>534</v>
      </c>
      <c r="E110" s="36">
        <v>-158200</v>
      </c>
      <c r="F110" s="37">
        <v>-2147.5650000000001</v>
      </c>
      <c r="G110" s="38">
        <f t="shared" si="0"/>
        <v>-6.7865561864604379E-2</v>
      </c>
      <c r="H110" s="29" t="s">
        <v>143</v>
      </c>
    </row>
    <row r="111" spans="1:8" ht="12.75" customHeight="1" x14ac:dyDescent="0.2">
      <c r="A111" s="35">
        <v>45</v>
      </c>
      <c r="B111" s="22"/>
      <c r="C111" s="22" t="s">
        <v>997</v>
      </c>
      <c r="D111" s="22" t="s">
        <v>534</v>
      </c>
      <c r="E111" s="36">
        <v>-186500</v>
      </c>
      <c r="F111" s="37">
        <v>-2561.018</v>
      </c>
      <c r="G111" s="38">
        <f t="shared" si="0"/>
        <v>-8.0931159483119436E-2</v>
      </c>
      <c r="H111" s="29" t="s">
        <v>143</v>
      </c>
    </row>
    <row r="112" spans="1:8" ht="12.75" customHeight="1" x14ac:dyDescent="0.2">
      <c r="A112" s="39"/>
      <c r="B112" s="39"/>
      <c r="C112" s="40" t="s">
        <v>142</v>
      </c>
      <c r="D112" s="39"/>
      <c r="E112" s="39" t="s">
        <v>143</v>
      </c>
      <c r="F112" s="41">
        <f>SUM(F67:F111)</f>
        <v>-23096.454115</v>
      </c>
      <c r="G112" s="42">
        <f>SUM(G67:G111)</f>
        <v>-0.7298749214084459</v>
      </c>
      <c r="H112" s="29" t="s">
        <v>143</v>
      </c>
    </row>
    <row r="113" spans="1:8" ht="12.75" customHeight="1" x14ac:dyDescent="0.2">
      <c r="A113" s="39"/>
      <c r="B113" s="39"/>
      <c r="C113" s="43"/>
      <c r="D113" s="39"/>
      <c r="E113" s="39"/>
      <c r="F113" s="44"/>
      <c r="G113" s="44"/>
      <c r="H113" s="29" t="s">
        <v>143</v>
      </c>
    </row>
    <row r="114" spans="1:8" ht="12.75" customHeight="1" x14ac:dyDescent="0.2">
      <c r="A114" s="39"/>
      <c r="B114" s="39"/>
      <c r="C114" s="40" t="s">
        <v>150</v>
      </c>
      <c r="D114" s="39"/>
      <c r="E114" s="39"/>
      <c r="F114" s="41">
        <f>F52</f>
        <v>22953.451434999992</v>
      </c>
      <c r="G114" s="42">
        <f>G52</f>
        <v>0.72535590000000005</v>
      </c>
      <c r="H114" s="29" t="s">
        <v>143</v>
      </c>
    </row>
    <row r="115" spans="1:8" ht="12.75" customHeight="1" x14ac:dyDescent="0.2">
      <c r="A115" s="39"/>
      <c r="B115" s="39"/>
      <c r="C115" s="43"/>
      <c r="D115" s="39"/>
      <c r="E115" s="39"/>
      <c r="F115" s="44"/>
      <c r="G115" s="44"/>
      <c r="H115" s="29" t="s">
        <v>143</v>
      </c>
    </row>
    <row r="116" spans="1:8" ht="12.75" customHeight="1" x14ac:dyDescent="0.2">
      <c r="A116" s="39"/>
      <c r="B116" s="39"/>
      <c r="C116" s="40" t="s">
        <v>151</v>
      </c>
      <c r="D116" s="39"/>
      <c r="E116" s="39"/>
      <c r="F116" s="44"/>
      <c r="G116" s="44"/>
      <c r="H116" s="29" t="s">
        <v>143</v>
      </c>
    </row>
    <row r="117" spans="1:8" ht="12.75" customHeight="1" x14ac:dyDescent="0.2">
      <c r="A117" s="39"/>
      <c r="B117" s="39"/>
      <c r="C117" s="40" t="s">
        <v>10</v>
      </c>
      <c r="D117" s="39"/>
      <c r="E117" s="39"/>
      <c r="F117" s="44"/>
      <c r="G117" s="44"/>
      <c r="H117" s="29" t="s">
        <v>143</v>
      </c>
    </row>
    <row r="118" spans="1:8" ht="12.75" customHeight="1" x14ac:dyDescent="0.2">
      <c r="A118" s="39"/>
      <c r="B118" s="39"/>
      <c r="C118" s="40" t="s">
        <v>142</v>
      </c>
      <c r="D118" s="39"/>
      <c r="E118" s="39" t="s">
        <v>143</v>
      </c>
      <c r="F118" s="45" t="s">
        <v>145</v>
      </c>
      <c r="G118" s="42">
        <v>0</v>
      </c>
      <c r="H118" s="29" t="s">
        <v>143</v>
      </c>
    </row>
    <row r="119" spans="1:8" ht="12.75" customHeight="1" x14ac:dyDescent="0.2">
      <c r="A119" s="39"/>
      <c r="B119" s="39"/>
      <c r="C119" s="43"/>
      <c r="D119" s="39"/>
      <c r="E119" s="39"/>
      <c r="F119" s="44"/>
      <c r="G119" s="44"/>
      <c r="H119" s="29" t="s">
        <v>143</v>
      </c>
    </row>
    <row r="120" spans="1:8" ht="12.75" customHeight="1" x14ac:dyDescent="0.2">
      <c r="A120" s="39"/>
      <c r="B120" s="39"/>
      <c r="C120" s="40" t="s">
        <v>152</v>
      </c>
      <c r="D120" s="39"/>
      <c r="E120" s="39"/>
      <c r="F120" s="39"/>
      <c r="G120" s="39"/>
      <c r="H120" s="29" t="s">
        <v>143</v>
      </c>
    </row>
    <row r="121" spans="1:8" ht="12.75" customHeight="1" x14ac:dyDescent="0.2">
      <c r="A121" s="39"/>
      <c r="B121" s="39"/>
      <c r="C121" s="40" t="s">
        <v>142</v>
      </c>
      <c r="D121" s="39"/>
      <c r="E121" s="39" t="s">
        <v>143</v>
      </c>
      <c r="F121" s="45" t="s">
        <v>145</v>
      </c>
      <c r="G121" s="42">
        <v>0</v>
      </c>
      <c r="H121" s="29" t="s">
        <v>143</v>
      </c>
    </row>
    <row r="122" spans="1:8" ht="12.75" customHeight="1" x14ac:dyDescent="0.2">
      <c r="A122" s="39"/>
      <c r="B122" s="39"/>
      <c r="C122" s="43"/>
      <c r="D122" s="39"/>
      <c r="E122" s="39"/>
      <c r="F122" s="44"/>
      <c r="G122" s="44"/>
      <c r="H122" s="29" t="s">
        <v>143</v>
      </c>
    </row>
    <row r="123" spans="1:8" ht="12.75" customHeight="1" x14ac:dyDescent="0.2">
      <c r="A123" s="39"/>
      <c r="B123" s="39"/>
      <c r="C123" s="40" t="s">
        <v>153</v>
      </c>
      <c r="D123" s="39"/>
      <c r="E123" s="39"/>
      <c r="F123" s="39"/>
      <c r="G123" s="39"/>
      <c r="H123" s="29" t="s">
        <v>143</v>
      </c>
    </row>
    <row r="124" spans="1:8" ht="12.75" customHeight="1" x14ac:dyDescent="0.2">
      <c r="A124" s="35">
        <v>1</v>
      </c>
      <c r="B124" s="22" t="s">
        <v>654</v>
      </c>
      <c r="C124" s="22" t="s">
        <v>1137</v>
      </c>
      <c r="D124" s="22" t="s">
        <v>610</v>
      </c>
      <c r="E124" s="36">
        <v>1000000</v>
      </c>
      <c r="F124" s="37">
        <v>1026.557</v>
      </c>
      <c r="G124" s="38">
        <v>3.2440400000000001E-2</v>
      </c>
      <c r="H124" s="29">
        <v>5.8102999999999998</v>
      </c>
    </row>
    <row r="125" spans="1:8" ht="12.75" customHeight="1" x14ac:dyDescent="0.2">
      <c r="A125" s="39"/>
      <c r="B125" s="39"/>
      <c r="C125" s="40" t="s">
        <v>142</v>
      </c>
      <c r="D125" s="39"/>
      <c r="E125" s="39" t="s">
        <v>143</v>
      </c>
      <c r="F125" s="41">
        <v>1026.557</v>
      </c>
      <c r="G125" s="42">
        <v>3.2440400000000001E-2</v>
      </c>
      <c r="H125" s="29" t="s">
        <v>143</v>
      </c>
    </row>
    <row r="126" spans="1:8" ht="12.75" customHeight="1" x14ac:dyDescent="0.2">
      <c r="A126" s="39"/>
      <c r="B126" s="39"/>
      <c r="C126" s="43"/>
      <c r="D126" s="39"/>
      <c r="E126" s="39"/>
      <c r="F126" s="44"/>
      <c r="G126" s="44"/>
      <c r="H126" s="29" t="s">
        <v>143</v>
      </c>
    </row>
    <row r="127" spans="1:8" ht="12.75" customHeight="1" x14ac:dyDescent="0.2">
      <c r="A127" s="39"/>
      <c r="B127" s="39"/>
      <c r="C127" s="40" t="s">
        <v>154</v>
      </c>
      <c r="D127" s="39"/>
      <c r="E127" s="39"/>
      <c r="F127" s="44"/>
      <c r="G127" s="44"/>
      <c r="H127" s="29" t="s">
        <v>143</v>
      </c>
    </row>
    <row r="128" spans="1:8" ht="12.75" customHeight="1" x14ac:dyDescent="0.2">
      <c r="A128" s="39"/>
      <c r="B128" s="39"/>
      <c r="C128" s="40" t="s">
        <v>142</v>
      </c>
      <c r="D128" s="39"/>
      <c r="E128" s="39" t="s">
        <v>143</v>
      </c>
      <c r="F128" s="45" t="s">
        <v>145</v>
      </c>
      <c r="G128" s="42">
        <v>0</v>
      </c>
      <c r="H128" s="29" t="s">
        <v>143</v>
      </c>
    </row>
    <row r="129" spans="1:8" ht="12.75" customHeight="1" x14ac:dyDescent="0.2">
      <c r="A129" s="39"/>
      <c r="B129" s="39"/>
      <c r="C129" s="43"/>
      <c r="D129" s="39"/>
      <c r="E129" s="39"/>
      <c r="F129" s="44"/>
      <c r="G129" s="44"/>
      <c r="H129" s="29" t="s">
        <v>143</v>
      </c>
    </row>
    <row r="130" spans="1:8" ht="12.75" customHeight="1" x14ac:dyDescent="0.2">
      <c r="A130" s="39"/>
      <c r="B130" s="39"/>
      <c r="C130" s="40" t="s">
        <v>155</v>
      </c>
      <c r="D130" s="39"/>
      <c r="E130" s="39"/>
      <c r="F130" s="41">
        <v>1026.557</v>
      </c>
      <c r="G130" s="42">
        <v>3.2440400000000001E-2</v>
      </c>
      <c r="H130" s="29" t="s">
        <v>143</v>
      </c>
    </row>
    <row r="131" spans="1:8" ht="12.75" customHeight="1" x14ac:dyDescent="0.2">
      <c r="A131" s="39"/>
      <c r="B131" s="39"/>
      <c r="C131" s="43"/>
      <c r="D131" s="39"/>
      <c r="E131" s="39"/>
      <c r="F131" s="44"/>
      <c r="G131" s="44"/>
      <c r="H131" s="29" t="s">
        <v>143</v>
      </c>
    </row>
    <row r="132" spans="1:8" ht="12.75" customHeight="1" x14ac:dyDescent="0.2">
      <c r="A132" s="39"/>
      <c r="B132" s="39"/>
      <c r="C132" s="40" t="s">
        <v>156</v>
      </c>
      <c r="D132" s="39"/>
      <c r="E132" s="39"/>
      <c r="F132" s="44"/>
      <c r="G132" s="44"/>
      <c r="H132" s="29" t="s">
        <v>143</v>
      </c>
    </row>
    <row r="133" spans="1:8" ht="12.75" customHeight="1" x14ac:dyDescent="0.2">
      <c r="A133" s="39"/>
      <c r="B133" s="39"/>
      <c r="C133" s="40" t="s">
        <v>157</v>
      </c>
      <c r="D133" s="39"/>
      <c r="E133" s="39"/>
      <c r="F133" s="44"/>
      <c r="G133" s="44"/>
      <c r="H133" s="29" t="s">
        <v>143</v>
      </c>
    </row>
    <row r="134" spans="1:8" ht="12.75" customHeight="1" x14ac:dyDescent="0.2">
      <c r="A134" s="39"/>
      <c r="B134" s="39"/>
      <c r="C134" s="40" t="s">
        <v>142</v>
      </c>
      <c r="D134" s="39"/>
      <c r="E134" s="39" t="s">
        <v>143</v>
      </c>
      <c r="F134" s="45" t="s">
        <v>145</v>
      </c>
      <c r="G134" s="42">
        <v>0</v>
      </c>
      <c r="H134" s="29" t="s">
        <v>143</v>
      </c>
    </row>
    <row r="135" spans="1:8" ht="12.75" customHeight="1" x14ac:dyDescent="0.2">
      <c r="A135" s="39"/>
      <c r="B135" s="39"/>
      <c r="C135" s="43"/>
      <c r="D135" s="39"/>
      <c r="E135" s="39"/>
      <c r="F135" s="44"/>
      <c r="G135" s="44"/>
      <c r="H135" s="29" t="s">
        <v>143</v>
      </c>
    </row>
    <row r="136" spans="1:8" ht="12.75" customHeight="1" x14ac:dyDescent="0.2">
      <c r="A136" s="39"/>
      <c r="B136" s="39"/>
      <c r="C136" s="40" t="s">
        <v>158</v>
      </c>
      <c r="D136" s="39"/>
      <c r="E136" s="39"/>
      <c r="F136" s="44"/>
      <c r="G136" s="44"/>
      <c r="H136" s="29" t="s">
        <v>143</v>
      </c>
    </row>
    <row r="137" spans="1:8" ht="12.75" customHeight="1" x14ac:dyDescent="0.2">
      <c r="A137" s="39"/>
      <c r="B137" s="39"/>
      <c r="C137" s="40" t="s">
        <v>142</v>
      </c>
      <c r="D137" s="39"/>
      <c r="E137" s="39" t="s">
        <v>143</v>
      </c>
      <c r="F137" s="45" t="s">
        <v>145</v>
      </c>
      <c r="G137" s="42">
        <v>0</v>
      </c>
      <c r="H137" s="29" t="s">
        <v>143</v>
      </c>
    </row>
    <row r="138" spans="1:8" ht="12.75" customHeight="1" x14ac:dyDescent="0.2">
      <c r="A138" s="39"/>
      <c r="B138" s="39"/>
      <c r="C138" s="43"/>
      <c r="D138" s="39"/>
      <c r="E138" s="39"/>
      <c r="F138" s="44"/>
      <c r="G138" s="44"/>
      <c r="H138" s="29" t="s">
        <v>143</v>
      </c>
    </row>
    <row r="139" spans="1:8" ht="12.75" customHeight="1" x14ac:dyDescent="0.2">
      <c r="A139" s="39"/>
      <c r="B139" s="39"/>
      <c r="C139" s="40" t="s">
        <v>159</v>
      </c>
      <c r="D139" s="39"/>
      <c r="E139" s="39"/>
      <c r="F139" s="44"/>
      <c r="G139" s="44"/>
      <c r="H139" s="29" t="s">
        <v>143</v>
      </c>
    </row>
    <row r="140" spans="1:8" ht="12.75" customHeight="1" x14ac:dyDescent="0.2">
      <c r="A140" s="35">
        <v>1</v>
      </c>
      <c r="B140" s="22" t="s">
        <v>656</v>
      </c>
      <c r="C140" s="22" t="s">
        <v>1138</v>
      </c>
      <c r="D140" s="22" t="s">
        <v>610</v>
      </c>
      <c r="E140" s="36">
        <v>1000000</v>
      </c>
      <c r="F140" s="37">
        <v>990.57799999999997</v>
      </c>
      <c r="G140" s="38">
        <v>3.1303419999999998E-2</v>
      </c>
      <c r="H140" s="29">
        <v>5.4249999999999998</v>
      </c>
    </row>
    <row r="141" spans="1:8" ht="12.75" customHeight="1" x14ac:dyDescent="0.2">
      <c r="A141" s="35">
        <v>2</v>
      </c>
      <c r="B141" s="22" t="s">
        <v>657</v>
      </c>
      <c r="C141" s="22" t="s">
        <v>1139</v>
      </c>
      <c r="D141" s="22" t="s">
        <v>610</v>
      </c>
      <c r="E141" s="36">
        <v>500000</v>
      </c>
      <c r="F141" s="37">
        <v>491.63150000000002</v>
      </c>
      <c r="G141" s="38">
        <v>1.553613E-2</v>
      </c>
      <c r="H141" s="29">
        <v>5.4983000000000004</v>
      </c>
    </row>
    <row r="142" spans="1:8" ht="12.75" customHeight="1" x14ac:dyDescent="0.2">
      <c r="A142" s="35">
        <v>3</v>
      </c>
      <c r="B142" s="22" t="s">
        <v>658</v>
      </c>
      <c r="C142" s="22" t="s">
        <v>1140</v>
      </c>
      <c r="D142" s="22" t="s">
        <v>610</v>
      </c>
      <c r="E142" s="36">
        <v>500000</v>
      </c>
      <c r="F142" s="37">
        <v>490.59050000000002</v>
      </c>
      <c r="G142" s="38">
        <v>1.550323E-2</v>
      </c>
      <c r="H142" s="29">
        <v>5.5125000000000002</v>
      </c>
    </row>
    <row r="143" spans="1:8" ht="12.75" customHeight="1" x14ac:dyDescent="0.2">
      <c r="A143" s="39"/>
      <c r="B143" s="39"/>
      <c r="C143" s="40" t="s">
        <v>142</v>
      </c>
      <c r="D143" s="39"/>
      <c r="E143" s="39" t="s">
        <v>143</v>
      </c>
      <c r="F143" s="41">
        <v>1972.8</v>
      </c>
      <c r="G143" s="42">
        <v>6.234278E-2</v>
      </c>
      <c r="H143" s="29" t="s">
        <v>143</v>
      </c>
    </row>
    <row r="144" spans="1:8" ht="12.75" customHeight="1" x14ac:dyDescent="0.2">
      <c r="A144" s="39"/>
      <c r="B144" s="39"/>
      <c r="C144" s="43"/>
      <c r="D144" s="39"/>
      <c r="E144" s="39"/>
      <c r="F144" s="44"/>
      <c r="G144" s="44"/>
      <c r="H144" s="29" t="s">
        <v>143</v>
      </c>
    </row>
    <row r="145" spans="1:8" ht="12.75" customHeight="1" x14ac:dyDescent="0.2">
      <c r="A145" s="39"/>
      <c r="B145" s="39"/>
      <c r="C145" s="40" t="s">
        <v>160</v>
      </c>
      <c r="D145" s="39"/>
      <c r="E145" s="39"/>
      <c r="F145" s="44"/>
      <c r="G145" s="44"/>
      <c r="H145" s="29" t="s">
        <v>143</v>
      </c>
    </row>
    <row r="146" spans="1:8" ht="12.75" customHeight="1" x14ac:dyDescent="0.2">
      <c r="A146" s="35">
        <v>1</v>
      </c>
      <c r="B146" s="22"/>
      <c r="C146" s="22" t="s">
        <v>161</v>
      </c>
      <c r="D146" s="22"/>
      <c r="E146" s="46"/>
      <c r="F146" s="37">
        <v>1795.4581400029999</v>
      </c>
      <c r="G146" s="38">
        <v>5.6738570000000002E-2</v>
      </c>
      <c r="H146" s="29">
        <v>5.51</v>
      </c>
    </row>
    <row r="147" spans="1:8" ht="12.75" customHeight="1" x14ac:dyDescent="0.2">
      <c r="A147" s="39"/>
      <c r="B147" s="39"/>
      <c r="C147" s="40" t="s">
        <v>142</v>
      </c>
      <c r="D147" s="39"/>
      <c r="E147" s="39" t="s">
        <v>143</v>
      </c>
      <c r="F147" s="41">
        <v>1795.4581400029999</v>
      </c>
      <c r="G147" s="42">
        <v>5.6738570000000002E-2</v>
      </c>
      <c r="H147" s="29" t="s">
        <v>143</v>
      </c>
    </row>
    <row r="148" spans="1:8" ht="12.75" customHeight="1" x14ac:dyDescent="0.2">
      <c r="A148" s="39"/>
      <c r="B148" s="39"/>
      <c r="C148" s="43"/>
      <c r="D148" s="39"/>
      <c r="E148" s="39"/>
      <c r="F148" s="44"/>
      <c r="G148" s="44"/>
      <c r="H148" s="29" t="s">
        <v>143</v>
      </c>
    </row>
    <row r="149" spans="1:8" ht="12.75" customHeight="1" x14ac:dyDescent="0.2">
      <c r="A149" s="39"/>
      <c r="B149" s="39"/>
      <c r="C149" s="40" t="s">
        <v>162</v>
      </c>
      <c r="D149" s="39"/>
      <c r="E149" s="39"/>
      <c r="F149" s="41">
        <v>3768.2581400029999</v>
      </c>
      <c r="G149" s="42">
        <v>0.11908135</v>
      </c>
      <c r="H149" s="29" t="s">
        <v>143</v>
      </c>
    </row>
    <row r="150" spans="1:8" ht="12.75" customHeight="1" x14ac:dyDescent="0.2">
      <c r="A150" s="39"/>
      <c r="B150" s="39"/>
      <c r="C150" s="44"/>
      <c r="D150" s="39"/>
      <c r="E150" s="39"/>
      <c r="F150" s="39"/>
      <c r="G150" s="39"/>
      <c r="H150" s="29" t="s">
        <v>143</v>
      </c>
    </row>
    <row r="151" spans="1:8" ht="12.75" customHeight="1" x14ac:dyDescent="0.2">
      <c r="A151" s="39"/>
      <c r="B151" s="39"/>
      <c r="C151" s="40" t="s">
        <v>163</v>
      </c>
      <c r="D151" s="39"/>
      <c r="E151" s="39"/>
      <c r="F151" s="39"/>
      <c r="G151" s="39"/>
      <c r="H151" s="29" t="s">
        <v>143</v>
      </c>
    </row>
    <row r="152" spans="1:8" ht="12.75" customHeight="1" x14ac:dyDescent="0.2">
      <c r="A152" s="39"/>
      <c r="B152" s="39"/>
      <c r="C152" s="40" t="s">
        <v>164</v>
      </c>
      <c r="D152" s="39"/>
      <c r="E152" s="39"/>
      <c r="F152" s="39"/>
      <c r="G152" s="39"/>
      <c r="H152" s="29" t="s">
        <v>143</v>
      </c>
    </row>
    <row r="153" spans="1:8" ht="12.75" customHeight="1" x14ac:dyDescent="0.2">
      <c r="A153" s="35">
        <v>1</v>
      </c>
      <c r="B153" s="22" t="s">
        <v>494</v>
      </c>
      <c r="C153" s="22" t="s">
        <v>1133</v>
      </c>
      <c r="D153" s="22"/>
      <c r="E153" s="79">
        <v>16785119.468899999</v>
      </c>
      <c r="F153" s="37">
        <v>2578.5804081709998</v>
      </c>
      <c r="G153" s="38">
        <v>8.1486149999999993E-2</v>
      </c>
      <c r="H153" s="29" t="s">
        <v>143</v>
      </c>
    </row>
    <row r="154" spans="1:8" ht="12.75" customHeight="1" x14ac:dyDescent="0.2">
      <c r="A154" s="35">
        <v>2</v>
      </c>
      <c r="B154" s="22" t="s">
        <v>317</v>
      </c>
      <c r="C154" s="22" t="s">
        <v>956</v>
      </c>
      <c r="D154" s="22"/>
      <c r="E154" s="79">
        <v>39454.165000000001</v>
      </c>
      <c r="F154" s="37">
        <v>932.68383526699995</v>
      </c>
      <c r="G154" s="38">
        <v>2.9473900000000001E-2</v>
      </c>
      <c r="H154" s="29" t="s">
        <v>143</v>
      </c>
    </row>
    <row r="155" spans="1:8" ht="12.75" customHeight="1" x14ac:dyDescent="0.2">
      <c r="A155" s="39"/>
      <c r="B155" s="39"/>
      <c r="C155" s="40" t="s">
        <v>142</v>
      </c>
      <c r="D155" s="39"/>
      <c r="E155" s="39" t="s">
        <v>143</v>
      </c>
      <c r="F155" s="41">
        <v>3511.264243438</v>
      </c>
      <c r="G155" s="42">
        <v>0.11096005</v>
      </c>
      <c r="H155" s="29" t="s">
        <v>143</v>
      </c>
    </row>
    <row r="156" spans="1:8" ht="12.75" customHeight="1" x14ac:dyDescent="0.2">
      <c r="A156" s="39"/>
      <c r="B156" s="39"/>
      <c r="C156" s="43"/>
      <c r="D156" s="39"/>
      <c r="E156" s="39"/>
      <c r="F156" s="44"/>
      <c r="G156" s="44"/>
      <c r="H156" s="29" t="s">
        <v>143</v>
      </c>
    </row>
    <row r="157" spans="1:8" ht="12.75" customHeight="1" x14ac:dyDescent="0.2">
      <c r="A157" s="39"/>
      <c r="B157" s="39"/>
      <c r="C157" s="40" t="s">
        <v>165</v>
      </c>
      <c r="D157" s="39"/>
      <c r="E157" s="39"/>
      <c r="F157" s="39"/>
      <c r="G157" s="39"/>
      <c r="H157" s="29" t="s">
        <v>143</v>
      </c>
    </row>
    <row r="158" spans="1:8" ht="12.75" customHeight="1" x14ac:dyDescent="0.2">
      <c r="A158" s="39"/>
      <c r="B158" s="39"/>
      <c r="C158" s="40" t="s">
        <v>166</v>
      </c>
      <c r="D158" s="39"/>
      <c r="E158" s="39"/>
      <c r="F158" s="39"/>
      <c r="G158" s="39"/>
      <c r="H158" s="29" t="s">
        <v>143</v>
      </c>
    </row>
    <row r="159" spans="1:8" ht="12.75" customHeight="1" x14ac:dyDescent="0.2">
      <c r="A159" s="39"/>
      <c r="B159" s="39"/>
      <c r="C159" s="40" t="s">
        <v>142</v>
      </c>
      <c r="D159" s="39"/>
      <c r="E159" s="39" t="s">
        <v>143</v>
      </c>
      <c r="F159" s="45" t="s">
        <v>145</v>
      </c>
      <c r="G159" s="42">
        <v>0</v>
      </c>
      <c r="H159" s="29" t="s">
        <v>143</v>
      </c>
    </row>
    <row r="160" spans="1:8" ht="12.75" customHeight="1" x14ac:dyDescent="0.2">
      <c r="A160" s="39"/>
      <c r="B160" s="39"/>
      <c r="C160" s="43"/>
      <c r="D160" s="39"/>
      <c r="E160" s="39"/>
      <c r="F160" s="44"/>
      <c r="G160" s="44"/>
      <c r="H160" s="29" t="s">
        <v>143</v>
      </c>
    </row>
    <row r="161" spans="1:17" ht="12.75" customHeight="1" x14ac:dyDescent="0.2">
      <c r="A161" s="39"/>
      <c r="B161" s="39"/>
      <c r="C161" s="40" t="s">
        <v>167</v>
      </c>
      <c r="D161" s="39"/>
      <c r="E161" s="39"/>
      <c r="F161" s="44"/>
      <c r="G161" s="44"/>
      <c r="H161" s="29" t="s">
        <v>143</v>
      </c>
    </row>
    <row r="162" spans="1:17" ht="12.75" customHeight="1" x14ac:dyDescent="0.2">
      <c r="A162" s="39"/>
      <c r="B162" s="39"/>
      <c r="C162" s="40" t="s">
        <v>142</v>
      </c>
      <c r="D162" s="39"/>
      <c r="E162" s="39" t="s">
        <v>143</v>
      </c>
      <c r="F162" s="45" t="s">
        <v>145</v>
      </c>
      <c r="G162" s="42">
        <v>0</v>
      </c>
      <c r="H162" s="29" t="s">
        <v>143</v>
      </c>
    </row>
    <row r="163" spans="1:17" ht="12.75" customHeight="1" x14ac:dyDescent="0.2">
      <c r="A163" s="39"/>
      <c r="B163" s="39"/>
      <c r="C163" s="43"/>
      <c r="D163" s="39"/>
      <c r="E163" s="39"/>
      <c r="F163" s="44"/>
      <c r="G163" s="44"/>
      <c r="H163" s="29" t="s">
        <v>143</v>
      </c>
    </row>
    <row r="164" spans="1:17" ht="12.75" customHeight="1" x14ac:dyDescent="0.2">
      <c r="A164" s="46"/>
      <c r="B164" s="22"/>
      <c r="C164" s="22" t="s">
        <v>319</v>
      </c>
      <c r="D164" s="22"/>
      <c r="E164" s="46"/>
      <c r="F164" s="37">
        <v>50.0003204</v>
      </c>
      <c r="G164" s="38">
        <v>1.58007E-3</v>
      </c>
      <c r="H164" s="29" t="s">
        <v>143</v>
      </c>
    </row>
    <row r="165" spans="1:17" ht="12.75" customHeight="1" x14ac:dyDescent="0.2">
      <c r="A165" s="46"/>
      <c r="B165" s="22"/>
      <c r="C165" s="31" t="s">
        <v>1000</v>
      </c>
      <c r="D165" s="22"/>
      <c r="E165" s="46"/>
      <c r="F165" s="37">
        <f>23431.32318439+F112</f>
        <v>334.86906938999891</v>
      </c>
      <c r="G165" s="38">
        <f>F165/F166</f>
        <v>1.0582253643186339E-2</v>
      </c>
      <c r="H165" s="29" t="s">
        <v>143</v>
      </c>
    </row>
    <row r="166" spans="1:17" ht="12.75" customHeight="1" x14ac:dyDescent="0.2">
      <c r="A166" s="43"/>
      <c r="B166" s="43"/>
      <c r="C166" s="40" t="s">
        <v>169</v>
      </c>
      <c r="D166" s="44"/>
      <c r="E166" s="44"/>
      <c r="F166" s="41">
        <f>F165+F164+F155+F149+F130+F114</f>
        <v>31644.400208230989</v>
      </c>
      <c r="G166" s="47">
        <f>G165+G164+G155+G149+G130+G114</f>
        <v>1.0000000236431865</v>
      </c>
      <c r="H166" s="29" t="s">
        <v>143</v>
      </c>
    </row>
    <row r="167" spans="1:17" ht="12.75" customHeight="1" x14ac:dyDescent="0.2">
      <c r="A167" s="48"/>
      <c r="B167" s="48"/>
      <c r="C167" s="49"/>
      <c r="D167" s="50"/>
      <c r="E167" s="50"/>
      <c r="F167" s="51"/>
      <c r="G167" s="52"/>
      <c r="H167" s="53"/>
    </row>
    <row r="168" spans="1:17" x14ac:dyDescent="0.2">
      <c r="A168" s="54"/>
      <c r="B168" s="243" t="s">
        <v>945</v>
      </c>
      <c r="C168" s="243"/>
      <c r="D168" s="243"/>
      <c r="E168" s="243"/>
      <c r="F168" s="243"/>
      <c r="G168" s="243"/>
      <c r="H168" s="243"/>
      <c r="J168" s="56"/>
    </row>
    <row r="169" spans="1:17" x14ac:dyDescent="0.2">
      <c r="A169" s="54"/>
      <c r="B169" s="243" t="s">
        <v>946</v>
      </c>
      <c r="C169" s="243"/>
      <c r="D169" s="243"/>
      <c r="E169" s="243"/>
      <c r="F169" s="243"/>
      <c r="G169" s="243"/>
      <c r="H169" s="243"/>
      <c r="J169" s="56"/>
    </row>
    <row r="170" spans="1:17" x14ac:dyDescent="0.2">
      <c r="A170" s="54"/>
      <c r="B170" s="243" t="s">
        <v>947</v>
      </c>
      <c r="C170" s="243"/>
      <c r="D170" s="243"/>
      <c r="E170" s="243"/>
      <c r="F170" s="243"/>
      <c r="G170" s="243"/>
      <c r="H170" s="243"/>
      <c r="J170" s="56"/>
    </row>
    <row r="171" spans="1:17" s="58" customFormat="1" ht="66.75" customHeight="1" x14ac:dyDescent="0.25">
      <c r="A171" s="57"/>
      <c r="B171" s="244" t="s">
        <v>948</v>
      </c>
      <c r="C171" s="244"/>
      <c r="D171" s="244"/>
      <c r="E171" s="244"/>
      <c r="F171" s="244"/>
      <c r="G171" s="244"/>
      <c r="H171" s="244"/>
      <c r="I171"/>
      <c r="J171" s="56"/>
      <c r="K171"/>
      <c r="L171"/>
      <c r="M171"/>
      <c r="N171"/>
      <c r="O171"/>
      <c r="P171"/>
      <c r="Q171"/>
    </row>
    <row r="172" spans="1:17" x14ac:dyDescent="0.2">
      <c r="A172" s="54"/>
      <c r="B172" s="243" t="s">
        <v>949</v>
      </c>
      <c r="C172" s="243"/>
      <c r="D172" s="243"/>
      <c r="E172" s="243"/>
      <c r="F172" s="243"/>
      <c r="G172" s="243"/>
      <c r="H172" s="243"/>
      <c r="J172" s="56"/>
    </row>
    <row r="173" spans="1:17" x14ac:dyDescent="0.2">
      <c r="A173" s="54"/>
      <c r="B173" s="54"/>
      <c r="C173" s="54"/>
      <c r="D173" s="59"/>
      <c r="E173" s="59"/>
      <c r="F173" s="59"/>
      <c r="G173" s="59"/>
    </row>
    <row r="174" spans="1:17" x14ac:dyDescent="0.2">
      <c r="A174" s="54"/>
      <c r="B174" s="247" t="s">
        <v>170</v>
      </c>
      <c r="C174" s="248"/>
      <c r="D174" s="249"/>
      <c r="E174" s="60"/>
      <c r="F174" s="59"/>
      <c r="G174" s="59"/>
    </row>
    <row r="175" spans="1:17" ht="27.75" customHeight="1" x14ac:dyDescent="0.2">
      <c r="A175" s="54"/>
      <c r="B175" s="240" t="s">
        <v>171</v>
      </c>
      <c r="C175" s="241"/>
      <c r="D175" s="124" t="s">
        <v>1001</v>
      </c>
      <c r="E175" s="60"/>
      <c r="F175" s="59"/>
      <c r="G175" s="59"/>
    </row>
    <row r="176" spans="1:17" ht="12.75" customHeight="1" x14ac:dyDescent="0.2">
      <c r="A176" s="54"/>
      <c r="B176" s="240" t="s">
        <v>950</v>
      </c>
      <c r="C176" s="241"/>
      <c r="D176" s="28" t="s">
        <v>172</v>
      </c>
      <c r="E176" s="60"/>
      <c r="F176" s="59"/>
      <c r="G176" s="59"/>
    </row>
    <row r="177" spans="1:14" x14ac:dyDescent="0.2">
      <c r="A177" s="54"/>
      <c r="B177" s="240" t="s">
        <v>173</v>
      </c>
      <c r="C177" s="241"/>
      <c r="D177" s="61" t="s">
        <v>143</v>
      </c>
      <c r="E177" s="60"/>
      <c r="F177" s="59"/>
      <c r="G177" s="59"/>
    </row>
    <row r="178" spans="1:14" x14ac:dyDescent="0.2">
      <c r="A178" s="62"/>
      <c r="B178" s="63" t="s">
        <v>143</v>
      </c>
      <c r="C178" s="63" t="s">
        <v>951</v>
      </c>
      <c r="D178" s="63" t="s">
        <v>174</v>
      </c>
      <c r="E178" s="62"/>
      <c r="F178" s="62"/>
      <c r="G178" s="62"/>
      <c r="H178" s="62"/>
      <c r="J178" s="56"/>
    </row>
    <row r="179" spans="1:14" x14ac:dyDescent="0.2">
      <c r="A179" s="62"/>
      <c r="B179" s="64" t="s">
        <v>175</v>
      </c>
      <c r="C179" s="65">
        <v>45900</v>
      </c>
      <c r="D179" s="65">
        <v>45930</v>
      </c>
      <c r="E179" s="62"/>
      <c r="F179" s="62"/>
      <c r="G179" s="62"/>
      <c r="J179" s="56"/>
    </row>
    <row r="180" spans="1:14" ht="12.75" customHeight="1" x14ac:dyDescent="0.2">
      <c r="A180" s="66"/>
      <c r="B180" s="67" t="s">
        <v>176</v>
      </c>
      <c r="C180" s="68">
        <v>15.390700000000001</v>
      </c>
      <c r="D180" s="68">
        <v>15.450100000000001</v>
      </c>
      <c r="E180" s="66"/>
      <c r="F180" s="69"/>
      <c r="G180" s="70"/>
    </row>
    <row r="181" spans="1:14" ht="12.75" customHeight="1" x14ac:dyDescent="0.2">
      <c r="A181" s="66"/>
      <c r="B181" s="67" t="s">
        <v>1085</v>
      </c>
      <c r="C181" s="68">
        <v>13.307700000000001</v>
      </c>
      <c r="D181" s="68">
        <v>13.3591</v>
      </c>
      <c r="E181" s="66"/>
      <c r="F181" s="69"/>
      <c r="G181" s="70"/>
    </row>
    <row r="182" spans="1:14" ht="12.75" customHeight="1" x14ac:dyDescent="0.2">
      <c r="A182" s="66"/>
      <c r="B182" s="67" t="s">
        <v>177</v>
      </c>
      <c r="C182" s="68">
        <v>14.5693</v>
      </c>
      <c r="D182" s="68">
        <v>14.615399999999999</v>
      </c>
      <c r="E182" s="66"/>
      <c r="F182" s="69"/>
      <c r="G182" s="70"/>
    </row>
    <row r="183" spans="1:14" ht="12.75" customHeight="1" x14ac:dyDescent="0.2">
      <c r="A183" s="66"/>
      <c r="B183" s="67" t="s">
        <v>1086</v>
      </c>
      <c r="C183" s="68">
        <v>12.8095</v>
      </c>
      <c r="D183" s="68">
        <v>12.85</v>
      </c>
      <c r="E183" s="66"/>
      <c r="F183" s="69"/>
      <c r="G183" s="70"/>
    </row>
    <row r="184" spans="1:14" ht="12.75" customHeight="1" x14ac:dyDescent="0.2">
      <c r="A184" s="66"/>
      <c r="B184" s="66"/>
      <c r="C184" s="66"/>
      <c r="D184" s="66"/>
      <c r="E184" s="66"/>
      <c r="F184" s="66"/>
      <c r="G184" s="66"/>
    </row>
    <row r="185" spans="1:14" x14ac:dyDescent="0.2">
      <c r="A185" s="62"/>
      <c r="B185" s="245" t="s">
        <v>952</v>
      </c>
      <c r="C185" s="246"/>
      <c r="D185" s="71" t="s">
        <v>172</v>
      </c>
      <c r="E185" s="62"/>
      <c r="F185" s="62"/>
      <c r="G185" s="62"/>
    </row>
    <row r="186" spans="1:14" x14ac:dyDescent="0.2">
      <c r="A186" s="72"/>
      <c r="B186" s="73"/>
      <c r="C186" s="73"/>
      <c r="D186" s="73"/>
      <c r="E186" s="72"/>
      <c r="F186" s="72"/>
      <c r="G186" s="72"/>
    </row>
    <row r="187" spans="1:14" ht="29.1" customHeight="1" x14ac:dyDescent="0.2">
      <c r="A187" s="72"/>
      <c r="B187" s="240" t="s">
        <v>178</v>
      </c>
      <c r="C187" s="241"/>
      <c r="D187" s="28" t="s">
        <v>1002</v>
      </c>
      <c r="E187" s="74"/>
      <c r="F187" s="72"/>
      <c r="G187" s="72"/>
    </row>
    <row r="188" spans="1:14" ht="29.1" customHeight="1" x14ac:dyDescent="0.2">
      <c r="A188" s="72"/>
      <c r="B188" s="240" t="s">
        <v>179</v>
      </c>
      <c r="C188" s="241"/>
      <c r="D188" s="28" t="s">
        <v>172</v>
      </c>
      <c r="E188" s="74"/>
      <c r="F188" s="72"/>
      <c r="G188" s="72"/>
      <c r="I188" s="125"/>
    </row>
    <row r="189" spans="1:14" ht="17.100000000000001" customHeight="1" x14ac:dyDescent="0.2">
      <c r="A189" s="72"/>
      <c r="B189" s="240" t="s">
        <v>180</v>
      </c>
      <c r="C189" s="241"/>
      <c r="D189" s="28" t="s">
        <v>172</v>
      </c>
      <c r="E189" s="74"/>
      <c r="F189" s="72"/>
      <c r="G189" s="72"/>
    </row>
    <row r="190" spans="1:14" ht="17.100000000000001" customHeight="1" x14ac:dyDescent="0.2">
      <c r="A190" s="72"/>
      <c r="B190" s="240" t="s">
        <v>181</v>
      </c>
      <c r="C190" s="241"/>
      <c r="D190" s="75">
        <v>9.4546871450500287</v>
      </c>
      <c r="E190" s="72"/>
      <c r="F190" s="55"/>
      <c r="G190" s="76"/>
    </row>
    <row r="191" spans="1:14" x14ac:dyDescent="0.2"/>
    <row r="192" spans="1:14" s="105" customFormat="1" x14ac:dyDescent="0.2">
      <c r="B192" s="106" t="s">
        <v>1038</v>
      </c>
      <c r="C192" s="106"/>
      <c r="D192" s="106"/>
      <c r="E192" s="11"/>
      <c r="F192" s="12"/>
      <c r="I192"/>
      <c r="J192"/>
      <c r="K192"/>
      <c r="L192"/>
      <c r="M192"/>
      <c r="N192"/>
    </row>
    <row r="193" spans="2:16" ht="13.5" customHeight="1" x14ac:dyDescent="0.2">
      <c r="B193" s="279" t="s">
        <v>1003</v>
      </c>
      <c r="C193" s="279" t="s">
        <v>1004</v>
      </c>
      <c r="D193" s="282" t="s">
        <v>1005</v>
      </c>
      <c r="E193" s="283"/>
      <c r="F193" s="284"/>
      <c r="G193" s="272" t="s">
        <v>1006</v>
      </c>
      <c r="H193" s="273"/>
      <c r="I193" s="274"/>
      <c r="J193" s="126"/>
      <c r="K193" s="126"/>
      <c r="L193" s="126"/>
      <c r="M193" s="126"/>
      <c r="N193" s="126"/>
      <c r="O193" s="126"/>
    </row>
    <row r="194" spans="2:16" ht="46.5" customHeight="1" x14ac:dyDescent="0.2">
      <c r="B194" s="280"/>
      <c r="C194" s="280"/>
      <c r="D194" s="275" t="s">
        <v>1007</v>
      </c>
      <c r="E194" s="275" t="s">
        <v>1008</v>
      </c>
      <c r="F194" s="275" t="s">
        <v>1009</v>
      </c>
      <c r="G194" s="277" t="s">
        <v>1010</v>
      </c>
      <c r="H194" s="278"/>
      <c r="I194" s="275" t="s">
        <v>1011</v>
      </c>
      <c r="J194" s="126"/>
      <c r="K194" s="126"/>
      <c r="L194" s="126"/>
      <c r="M194" s="126"/>
      <c r="N194" s="126"/>
      <c r="O194" s="126"/>
    </row>
    <row r="195" spans="2:16" ht="21" customHeight="1" x14ac:dyDescent="0.2">
      <c r="B195" s="281"/>
      <c r="C195" s="281"/>
      <c r="D195" s="276"/>
      <c r="E195" s="276"/>
      <c r="F195" s="276"/>
      <c r="G195" s="127" t="s">
        <v>1012</v>
      </c>
      <c r="H195" s="127" t="s">
        <v>1013</v>
      </c>
      <c r="I195" s="276"/>
      <c r="J195" s="126"/>
      <c r="K195" s="126"/>
      <c r="L195" s="126"/>
      <c r="M195" s="126"/>
      <c r="N195" s="126"/>
      <c r="O195" s="126"/>
    </row>
    <row r="196" spans="2:16" ht="13.5" x14ac:dyDescent="0.25">
      <c r="B196" s="128" t="s">
        <v>1014</v>
      </c>
      <c r="C196" s="129" t="s">
        <v>1015</v>
      </c>
      <c r="D196" s="130">
        <v>48.884799999999998</v>
      </c>
      <c r="E196" s="8">
        <v>1.1152</v>
      </c>
      <c r="F196" s="131">
        <f>D196+E196</f>
        <v>50</v>
      </c>
      <c r="G196" s="9">
        <v>2.1270963690000002</v>
      </c>
      <c r="H196" s="9">
        <v>1.34</v>
      </c>
      <c r="I196" s="9">
        <f>G196+H196</f>
        <v>3.4670963690000001</v>
      </c>
      <c r="J196" s="126"/>
      <c r="K196" s="126"/>
      <c r="L196" s="126"/>
      <c r="M196" s="126"/>
      <c r="N196" s="126"/>
      <c r="O196" s="126"/>
    </row>
    <row r="197" spans="2:16" s="105" customFormat="1" x14ac:dyDescent="0.2">
      <c r="B197" s="132"/>
      <c r="C197" s="133"/>
      <c r="D197" s="134"/>
      <c r="E197" s="13"/>
      <c r="F197" s="135"/>
      <c r="G197" s="132"/>
      <c r="I197"/>
      <c r="J197"/>
      <c r="K197"/>
      <c r="L197"/>
      <c r="M197"/>
      <c r="N197"/>
      <c r="O197"/>
    </row>
    <row r="198" spans="2:16" ht="42" customHeight="1" x14ac:dyDescent="0.2">
      <c r="B198" s="267" t="s">
        <v>1016</v>
      </c>
      <c r="C198" s="267"/>
      <c r="D198" s="267"/>
      <c r="E198" s="267"/>
      <c r="F198" s="267"/>
      <c r="G198" s="267"/>
      <c r="H198" s="267"/>
      <c r="I198" s="267"/>
      <c r="J198" s="136"/>
      <c r="K198" s="126"/>
      <c r="L198" s="126"/>
      <c r="M198" s="126"/>
      <c r="N198" s="126"/>
      <c r="O198" s="126"/>
    </row>
    <row r="199" spans="2:16" ht="13.5" x14ac:dyDescent="0.25">
      <c r="B199" s="137" t="s">
        <v>1017</v>
      </c>
      <c r="I199" s="126"/>
      <c r="J199" s="26"/>
      <c r="K199" s="126"/>
      <c r="L199" s="126"/>
      <c r="M199" s="126"/>
      <c r="N199" s="126"/>
      <c r="O199" s="126"/>
      <c r="P199" s="126"/>
    </row>
    <row r="200" spans="2:16" x14ac:dyDescent="0.2">
      <c r="B200" s="10" t="s">
        <v>1018</v>
      </c>
      <c r="J200" s="26"/>
      <c r="K200" s="126"/>
      <c r="L200" s="126"/>
      <c r="M200" s="126"/>
      <c r="N200" s="126"/>
      <c r="O200" s="126"/>
    </row>
    <row r="201" spans="2:16" x14ac:dyDescent="0.2">
      <c r="B201" s="10"/>
      <c r="J201" s="26"/>
      <c r="K201" s="126"/>
      <c r="L201" s="126"/>
      <c r="M201" s="126"/>
      <c r="N201" s="126"/>
      <c r="O201" s="126"/>
    </row>
    <row r="202" spans="2:16" x14ac:dyDescent="0.2">
      <c r="B202" s="10" t="s">
        <v>1128</v>
      </c>
      <c r="J202" s="26"/>
      <c r="K202" s="126"/>
      <c r="L202" s="126"/>
      <c r="M202" s="126"/>
      <c r="N202" s="126"/>
      <c r="O202" s="126"/>
    </row>
    <row r="203" spans="2:16" x14ac:dyDescent="0.2">
      <c r="B203" s="10"/>
      <c r="J203" s="26"/>
      <c r="K203" s="126"/>
      <c r="L203" s="126"/>
      <c r="M203" s="126"/>
      <c r="N203" s="126"/>
      <c r="O203" s="126"/>
    </row>
    <row r="204" spans="2:16" x14ac:dyDescent="0.2">
      <c r="B204" s="10" t="s">
        <v>1129</v>
      </c>
      <c r="J204" s="26"/>
    </row>
    <row r="205" spans="2:16" s="105" customFormat="1" x14ac:dyDescent="0.2">
      <c r="I205"/>
      <c r="J205"/>
      <c r="K205"/>
      <c r="L205"/>
      <c r="M205"/>
      <c r="N205"/>
      <c r="O205"/>
      <c r="P205"/>
    </row>
    <row r="206" spans="2:16" s="105" customFormat="1" x14ac:dyDescent="0.2">
      <c r="B206" s="257" t="s">
        <v>1029</v>
      </c>
      <c r="C206" s="258"/>
      <c r="D206" s="259"/>
      <c r="I206"/>
      <c r="J206"/>
      <c r="K206"/>
      <c r="L206"/>
      <c r="M206"/>
      <c r="N206"/>
      <c r="O206"/>
      <c r="P206"/>
    </row>
    <row r="207" spans="2:16" s="105" customFormat="1" ht="25.5" x14ac:dyDescent="0.2">
      <c r="B207" s="256" t="s">
        <v>1030</v>
      </c>
      <c r="C207" s="256"/>
      <c r="D207" s="102" t="s">
        <v>635</v>
      </c>
      <c r="I207"/>
      <c r="J207"/>
      <c r="K207"/>
      <c r="L207"/>
      <c r="M207"/>
      <c r="N207"/>
      <c r="O207"/>
      <c r="P207"/>
    </row>
    <row r="208" spans="2:16" s="105" customFormat="1" x14ac:dyDescent="0.2">
      <c r="B208" s="256" t="s">
        <v>1031</v>
      </c>
      <c r="C208" s="256"/>
      <c r="D208" s="81"/>
      <c r="I208"/>
      <c r="J208"/>
      <c r="K208"/>
      <c r="L208"/>
      <c r="M208"/>
      <c r="N208"/>
      <c r="O208"/>
      <c r="P208"/>
    </row>
    <row r="209" spans="2:16" s="105" customFormat="1" x14ac:dyDescent="0.2">
      <c r="B209" s="253"/>
      <c r="C209" s="255"/>
      <c r="D209" s="82"/>
      <c r="I209"/>
      <c r="J209"/>
      <c r="K209"/>
      <c r="L209"/>
      <c r="M209"/>
      <c r="N209"/>
      <c r="O209"/>
      <c r="P209"/>
    </row>
    <row r="210" spans="2:16" s="105" customFormat="1" x14ac:dyDescent="0.2">
      <c r="B210" s="256" t="s">
        <v>1032</v>
      </c>
      <c r="C210" s="256"/>
      <c r="D210" s="83">
        <v>5.5618842629410832</v>
      </c>
      <c r="I210"/>
      <c r="J210"/>
      <c r="K210"/>
      <c r="L210"/>
      <c r="M210"/>
      <c r="N210"/>
      <c r="O210"/>
      <c r="P210"/>
    </row>
    <row r="211" spans="2:16" s="105" customFormat="1" x14ac:dyDescent="0.2">
      <c r="B211" s="253"/>
      <c r="C211" s="255"/>
      <c r="D211" s="82"/>
      <c r="I211"/>
      <c r="J211"/>
      <c r="K211"/>
      <c r="L211"/>
      <c r="M211"/>
      <c r="N211"/>
      <c r="O211"/>
      <c r="P211"/>
    </row>
    <row r="212" spans="2:16" s="105" customFormat="1" x14ac:dyDescent="0.2">
      <c r="B212" s="256" t="s">
        <v>1033</v>
      </c>
      <c r="C212" s="256"/>
      <c r="D212" s="83">
        <v>0.42393298691586273</v>
      </c>
      <c r="I212"/>
      <c r="J212"/>
      <c r="K212"/>
      <c r="L212"/>
      <c r="M212"/>
      <c r="N212"/>
      <c r="O212"/>
      <c r="P212"/>
    </row>
    <row r="213" spans="2:16" s="105" customFormat="1" x14ac:dyDescent="0.2">
      <c r="B213" s="256" t="s">
        <v>1034</v>
      </c>
      <c r="C213" s="256"/>
      <c r="D213" s="83">
        <v>0.44475819072497674</v>
      </c>
      <c r="I213"/>
      <c r="J213"/>
      <c r="K213"/>
      <c r="L213"/>
      <c r="M213"/>
      <c r="N213"/>
      <c r="O213"/>
      <c r="P213"/>
    </row>
    <row r="214" spans="2:16" s="105" customFormat="1" x14ac:dyDescent="0.2">
      <c r="B214" s="253"/>
      <c r="C214" s="255"/>
      <c r="D214" s="82"/>
      <c r="I214"/>
      <c r="J214"/>
      <c r="K214"/>
      <c r="L214"/>
      <c r="M214"/>
      <c r="N214"/>
      <c r="O214"/>
      <c r="P214"/>
    </row>
    <row r="215" spans="2:16" s="105" customFormat="1" x14ac:dyDescent="0.2">
      <c r="B215" s="256" t="s">
        <v>1035</v>
      </c>
      <c r="C215" s="256"/>
      <c r="D215" s="84" t="s">
        <v>1040</v>
      </c>
      <c r="I215"/>
      <c r="J215"/>
      <c r="K215"/>
      <c r="L215"/>
      <c r="M215"/>
      <c r="N215"/>
      <c r="O215"/>
      <c r="P215"/>
    </row>
    <row r="216" spans="2:16" s="105" customFormat="1" x14ac:dyDescent="0.2">
      <c r="B216" s="253" t="s">
        <v>1036</v>
      </c>
      <c r="C216" s="254"/>
      <c r="D216" s="255"/>
      <c r="I216"/>
      <c r="J216"/>
      <c r="K216"/>
      <c r="L216"/>
      <c r="M216"/>
      <c r="N216"/>
      <c r="O216"/>
      <c r="P216"/>
    </row>
    <row r="217" spans="2:16" x14ac:dyDescent="0.2"/>
    <row r="218" spans="2:16" x14ac:dyDescent="0.2">
      <c r="B218" s="239" t="s">
        <v>953</v>
      </c>
      <c r="C218" s="239"/>
    </row>
    <row r="219" spans="2:16" x14ac:dyDescent="0.2"/>
    <row r="220" spans="2:16" ht="153.75" customHeight="1" x14ac:dyDescent="0.2"/>
    <row r="221" spans="2:16" x14ac:dyDescent="0.2"/>
    <row r="222" spans="2:16" x14ac:dyDescent="0.2"/>
    <row r="223" spans="2:16" x14ac:dyDescent="0.2">
      <c r="B223" s="77" t="s">
        <v>954</v>
      </c>
      <c r="C223" s="78"/>
      <c r="D223" s="77"/>
    </row>
    <row r="224" spans="2:16" x14ac:dyDescent="0.2">
      <c r="B224" s="77" t="s">
        <v>1073</v>
      </c>
      <c r="D224" s="77"/>
    </row>
    <row r="225" spans="10:10" ht="165" customHeight="1" x14ac:dyDescent="0.2"/>
    <row r="226" spans="10:10" x14ac:dyDescent="0.2"/>
    <row r="227" spans="10:10" x14ac:dyDescent="0.2">
      <c r="J227" s="26"/>
    </row>
  </sheetData>
  <mergeCells count="39">
    <mergeCell ref="B185:C185"/>
    <mergeCell ref="A1:H1"/>
    <mergeCell ref="A2:H2"/>
    <mergeCell ref="A3:H3"/>
    <mergeCell ref="B189:C189"/>
    <mergeCell ref="B168:H168"/>
    <mergeCell ref="B169:H169"/>
    <mergeCell ref="B170:H170"/>
    <mergeCell ref="B171:H171"/>
    <mergeCell ref="B172:H172"/>
    <mergeCell ref="B174:D174"/>
    <mergeCell ref="B175:C175"/>
    <mergeCell ref="B176:C176"/>
    <mergeCell ref="B177:C177"/>
    <mergeCell ref="B187:C187"/>
    <mergeCell ref="B188:C188"/>
    <mergeCell ref="B193:B195"/>
    <mergeCell ref="C193:C195"/>
    <mergeCell ref="B190:C190"/>
    <mergeCell ref="D193:F193"/>
    <mergeCell ref="G193:I193"/>
    <mergeCell ref="D194:D195"/>
    <mergeCell ref="E194:E195"/>
    <mergeCell ref="F194:F195"/>
    <mergeCell ref="G194:H194"/>
    <mergeCell ref="I194:I195"/>
    <mergeCell ref="B198:I198"/>
    <mergeCell ref="B206:D206"/>
    <mergeCell ref="B207:C207"/>
    <mergeCell ref="B208:C208"/>
    <mergeCell ref="B209:C209"/>
    <mergeCell ref="B215:C215"/>
    <mergeCell ref="B216:D216"/>
    <mergeCell ref="B218:C218"/>
    <mergeCell ref="B210:C210"/>
    <mergeCell ref="B211:C211"/>
    <mergeCell ref="B212:C212"/>
    <mergeCell ref="B213:C213"/>
    <mergeCell ref="B214:C214"/>
  </mergeCells>
  <hyperlinks>
    <hyperlink ref="I1" location="Index!B2" display="Index" xr:uid="{7A100967-C3EE-40B3-B3D1-6DA7B149D1B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F225-32EC-4FAA-8864-0CB416FA1A2F}">
  <sheetPr>
    <outlinePr summaryBelow="0" summaryRight="0"/>
  </sheetPr>
  <dimension ref="A1:Q217"/>
  <sheetViews>
    <sheetView showGridLines="0" workbookViewId="0">
      <selection sqref="A1:H1"/>
    </sheetView>
  </sheetViews>
  <sheetFormatPr defaultRowHeight="12.75" x14ac:dyDescent="0.2"/>
  <cols>
    <col min="1" max="1" width="5.85546875" bestFit="1" customWidth="1"/>
    <col min="2" max="2" width="29.28515625" customWidth="1"/>
    <col min="3" max="3" width="46.28515625" customWidth="1"/>
    <col min="4" max="4" width="17.7109375" bestFit="1" customWidth="1"/>
    <col min="5" max="5" width="9.140625" bestFit="1" customWidth="1"/>
    <col min="6" max="6" width="10.140625" bestFit="1" customWidth="1"/>
    <col min="7" max="7" width="14" bestFit="1" customWidth="1"/>
    <col min="8" max="8" width="8.42578125" bestFit="1" customWidth="1"/>
  </cols>
  <sheetData>
    <row r="1" spans="1:9" ht="15" x14ac:dyDescent="0.2">
      <c r="A1" s="242" t="s">
        <v>0</v>
      </c>
      <c r="B1" s="242"/>
      <c r="C1" s="242"/>
      <c r="D1" s="242"/>
      <c r="E1" s="242"/>
      <c r="F1" s="242"/>
      <c r="G1" s="242"/>
      <c r="H1" s="242"/>
      <c r="I1" s="1" t="s">
        <v>902</v>
      </c>
    </row>
    <row r="2" spans="1:9" ht="15" x14ac:dyDescent="0.2">
      <c r="A2" s="242" t="s">
        <v>659</v>
      </c>
      <c r="B2" s="242"/>
      <c r="C2" s="242"/>
      <c r="D2" s="242"/>
      <c r="E2" s="242"/>
      <c r="F2" s="242"/>
      <c r="G2" s="242"/>
      <c r="H2" s="242"/>
    </row>
    <row r="3" spans="1:9" ht="15" x14ac:dyDescent="0.2">
      <c r="A3" s="242" t="s">
        <v>1171</v>
      </c>
      <c r="B3" s="242"/>
      <c r="C3" s="242"/>
      <c r="D3" s="242"/>
      <c r="E3" s="242"/>
      <c r="F3" s="242"/>
      <c r="G3" s="242"/>
      <c r="H3" s="242"/>
    </row>
    <row r="4" spans="1:9" s="26" customFormat="1" ht="30" x14ac:dyDescent="0.2">
      <c r="A4" s="24" t="s">
        <v>2</v>
      </c>
      <c r="B4" s="24" t="s">
        <v>3</v>
      </c>
      <c r="C4" s="24" t="s">
        <v>4</v>
      </c>
      <c r="D4" s="24" t="s">
        <v>5</v>
      </c>
      <c r="E4" s="24" t="s">
        <v>6</v>
      </c>
      <c r="F4" s="24" t="s">
        <v>7</v>
      </c>
      <c r="G4" s="24" t="s">
        <v>8</v>
      </c>
      <c r="H4" s="25" t="s">
        <v>901</v>
      </c>
    </row>
    <row r="5" spans="1:9" x14ac:dyDescent="0.2">
      <c r="A5" s="27"/>
      <c r="B5" s="27"/>
      <c r="C5" s="28" t="s">
        <v>9</v>
      </c>
      <c r="D5" s="27"/>
      <c r="E5" s="27"/>
      <c r="F5" s="27"/>
      <c r="G5" s="27"/>
      <c r="H5" s="29" t="s">
        <v>143</v>
      </c>
    </row>
    <row r="6" spans="1:9" x14ac:dyDescent="0.2">
      <c r="A6" s="30"/>
      <c r="B6" s="31"/>
      <c r="C6" s="31" t="s">
        <v>10</v>
      </c>
      <c r="D6" s="31"/>
      <c r="E6" s="32"/>
      <c r="F6" s="33"/>
      <c r="G6" s="34"/>
      <c r="H6" s="29" t="s">
        <v>143</v>
      </c>
    </row>
    <row r="7" spans="1:9" x14ac:dyDescent="0.2">
      <c r="A7" s="35">
        <v>1</v>
      </c>
      <c r="B7" s="22" t="s">
        <v>31</v>
      </c>
      <c r="C7" s="22" t="s">
        <v>32</v>
      </c>
      <c r="D7" s="22" t="s">
        <v>33</v>
      </c>
      <c r="E7" s="36">
        <v>770898</v>
      </c>
      <c r="F7" s="37">
        <v>10391.705040000001</v>
      </c>
      <c r="G7" s="38">
        <v>6.1912490000000001E-2</v>
      </c>
      <c r="H7" s="29" t="s">
        <v>143</v>
      </c>
    </row>
    <row r="8" spans="1:9" x14ac:dyDescent="0.2">
      <c r="A8" s="35">
        <v>2</v>
      </c>
      <c r="B8" s="22" t="s">
        <v>321</v>
      </c>
      <c r="C8" s="22" t="s">
        <v>322</v>
      </c>
      <c r="D8" s="22" t="s">
        <v>33</v>
      </c>
      <c r="E8" s="36">
        <v>1013762</v>
      </c>
      <c r="F8" s="37">
        <v>9640.8766199999991</v>
      </c>
      <c r="G8" s="38">
        <v>5.7439150000000001E-2</v>
      </c>
      <c r="H8" s="29" t="s">
        <v>143</v>
      </c>
    </row>
    <row r="9" spans="1:9" x14ac:dyDescent="0.2">
      <c r="A9" s="35">
        <v>3</v>
      </c>
      <c r="B9" s="22" t="s">
        <v>17</v>
      </c>
      <c r="C9" s="22" t="s">
        <v>18</v>
      </c>
      <c r="D9" s="22" t="s">
        <v>19</v>
      </c>
      <c r="E9" s="36">
        <v>554042</v>
      </c>
      <c r="F9" s="37">
        <v>7557.1328800000001</v>
      </c>
      <c r="G9" s="38">
        <v>4.5024460000000002E-2</v>
      </c>
      <c r="H9" s="29" t="s">
        <v>143</v>
      </c>
    </row>
    <row r="10" spans="1:9" x14ac:dyDescent="0.2">
      <c r="A10" s="35">
        <v>4</v>
      </c>
      <c r="B10" s="22" t="s">
        <v>11</v>
      </c>
      <c r="C10" s="22" t="s">
        <v>12</v>
      </c>
      <c r="D10" s="22" t="s">
        <v>13</v>
      </c>
      <c r="E10" s="36">
        <v>390657</v>
      </c>
      <c r="F10" s="37">
        <v>7338.1010880000003</v>
      </c>
      <c r="G10" s="38">
        <v>4.3719500000000001E-2</v>
      </c>
      <c r="H10" s="29" t="s">
        <v>143</v>
      </c>
    </row>
    <row r="11" spans="1:9" x14ac:dyDescent="0.2">
      <c r="A11" s="35">
        <v>5</v>
      </c>
      <c r="B11" s="22" t="s">
        <v>323</v>
      </c>
      <c r="C11" s="22" t="s">
        <v>324</v>
      </c>
      <c r="D11" s="22" t="s">
        <v>33</v>
      </c>
      <c r="E11" s="36">
        <v>303856</v>
      </c>
      <c r="F11" s="37">
        <v>6054.9385119999997</v>
      </c>
      <c r="G11" s="38">
        <v>3.607457E-2</v>
      </c>
      <c r="H11" s="29" t="s">
        <v>143</v>
      </c>
    </row>
    <row r="12" spans="1:9" x14ac:dyDescent="0.2">
      <c r="A12" s="30">
        <v>6</v>
      </c>
      <c r="B12" s="31" t="s">
        <v>969</v>
      </c>
      <c r="C12" s="31" t="s">
        <v>970</v>
      </c>
      <c r="D12" s="31" t="s">
        <v>90</v>
      </c>
      <c r="E12" s="32">
        <v>1075000</v>
      </c>
      <c r="F12" s="33">
        <f>453574750/10^5</f>
        <v>4535.7475000000004</v>
      </c>
      <c r="G12" s="103">
        <f>F12/F167</f>
        <v>2.7023421557669475E-2</v>
      </c>
      <c r="H12" s="29" t="s">
        <v>143</v>
      </c>
    </row>
    <row r="13" spans="1:9" x14ac:dyDescent="0.2">
      <c r="A13" s="35">
        <v>7</v>
      </c>
      <c r="B13" s="22" t="s">
        <v>14</v>
      </c>
      <c r="C13" s="22" t="s">
        <v>15</v>
      </c>
      <c r="D13" s="22" t="s">
        <v>16</v>
      </c>
      <c r="E13" s="36">
        <v>98015</v>
      </c>
      <c r="F13" s="37">
        <v>3586.3688499999998</v>
      </c>
      <c r="G13" s="38">
        <v>2.136714E-2</v>
      </c>
      <c r="H13" s="29" t="s">
        <v>143</v>
      </c>
    </row>
    <row r="14" spans="1:9" x14ac:dyDescent="0.2">
      <c r="A14" s="35">
        <v>8</v>
      </c>
      <c r="B14" s="22" t="s">
        <v>42</v>
      </c>
      <c r="C14" s="22" t="s">
        <v>43</v>
      </c>
      <c r="D14" s="22" t="s">
        <v>33</v>
      </c>
      <c r="E14" s="36">
        <v>394485</v>
      </c>
      <c r="F14" s="37">
        <v>3441.6843825000001</v>
      </c>
      <c r="G14" s="38">
        <v>2.050513E-2</v>
      </c>
      <c r="H14" s="29" t="s">
        <v>143</v>
      </c>
    </row>
    <row r="15" spans="1:9" x14ac:dyDescent="0.2">
      <c r="A15" s="35">
        <v>9</v>
      </c>
      <c r="B15" s="22" t="s">
        <v>329</v>
      </c>
      <c r="C15" s="22" t="s">
        <v>330</v>
      </c>
      <c r="D15" s="22" t="s">
        <v>191</v>
      </c>
      <c r="E15" s="36">
        <v>304395</v>
      </c>
      <c r="F15" s="37">
        <v>3040.6016549999999</v>
      </c>
      <c r="G15" s="38">
        <v>1.8115530000000001E-2</v>
      </c>
      <c r="H15" s="29" t="s">
        <v>143</v>
      </c>
    </row>
    <row r="16" spans="1:9" x14ac:dyDescent="0.2">
      <c r="A16" s="35">
        <v>10</v>
      </c>
      <c r="B16" s="22" t="s">
        <v>343</v>
      </c>
      <c r="C16" s="22" t="s">
        <v>344</v>
      </c>
      <c r="D16" s="22" t="s">
        <v>284</v>
      </c>
      <c r="E16" s="36">
        <v>892400</v>
      </c>
      <c r="F16" s="37">
        <v>2904.7620000000002</v>
      </c>
      <c r="G16" s="38">
        <v>1.7306209999999999E-2</v>
      </c>
      <c r="H16" s="29" t="s">
        <v>143</v>
      </c>
    </row>
    <row r="17" spans="1:8" x14ac:dyDescent="0.2">
      <c r="A17" s="35">
        <v>11</v>
      </c>
      <c r="B17" s="22" t="s">
        <v>333</v>
      </c>
      <c r="C17" s="22" t="s">
        <v>334</v>
      </c>
      <c r="D17" s="22" t="s">
        <v>239</v>
      </c>
      <c r="E17" s="36">
        <v>83375</v>
      </c>
      <c r="F17" s="37">
        <v>2857.26125</v>
      </c>
      <c r="G17" s="38">
        <v>1.702321E-2</v>
      </c>
      <c r="H17" s="29" t="s">
        <v>143</v>
      </c>
    </row>
    <row r="18" spans="1:8" x14ac:dyDescent="0.2">
      <c r="A18" s="35">
        <v>12</v>
      </c>
      <c r="B18" s="22" t="s">
        <v>345</v>
      </c>
      <c r="C18" s="22" t="s">
        <v>346</v>
      </c>
      <c r="D18" s="22" t="s">
        <v>191</v>
      </c>
      <c r="E18" s="36">
        <v>150680</v>
      </c>
      <c r="F18" s="37">
        <v>2427.15344</v>
      </c>
      <c r="G18" s="38">
        <v>1.446068E-2</v>
      </c>
      <c r="H18" s="29" t="s">
        <v>143</v>
      </c>
    </row>
    <row r="19" spans="1:8" x14ac:dyDescent="0.2">
      <c r="A19" s="35">
        <v>13</v>
      </c>
      <c r="B19" s="22" t="s">
        <v>331</v>
      </c>
      <c r="C19" s="22" t="s">
        <v>332</v>
      </c>
      <c r="D19" s="22" t="s">
        <v>33</v>
      </c>
      <c r="E19" s="36">
        <v>936000</v>
      </c>
      <c r="F19" s="37">
        <v>2419.9344000000001</v>
      </c>
      <c r="G19" s="38">
        <v>1.441767E-2</v>
      </c>
      <c r="H19" s="29" t="s">
        <v>143</v>
      </c>
    </row>
    <row r="20" spans="1:8" x14ac:dyDescent="0.2">
      <c r="A20" s="35">
        <v>14</v>
      </c>
      <c r="B20" s="22" t="s">
        <v>642</v>
      </c>
      <c r="C20" s="22" t="s">
        <v>643</v>
      </c>
      <c r="D20" s="22" t="s">
        <v>33</v>
      </c>
      <c r="E20" s="36">
        <v>1917000</v>
      </c>
      <c r="F20" s="37">
        <v>2371.5207</v>
      </c>
      <c r="G20" s="38">
        <v>1.412923E-2</v>
      </c>
      <c r="H20" s="29" t="s">
        <v>143</v>
      </c>
    </row>
    <row r="21" spans="1:8" x14ac:dyDescent="0.2">
      <c r="A21" s="35">
        <v>15</v>
      </c>
      <c r="B21" s="22" t="s">
        <v>439</v>
      </c>
      <c r="C21" s="22" t="s">
        <v>440</v>
      </c>
      <c r="D21" s="22" t="s">
        <v>423</v>
      </c>
      <c r="E21" s="36">
        <v>93106</v>
      </c>
      <c r="F21" s="37">
        <v>2341.057264</v>
      </c>
      <c r="G21" s="38">
        <v>1.394773E-2</v>
      </c>
      <c r="H21" s="29" t="s">
        <v>143</v>
      </c>
    </row>
    <row r="22" spans="1:8" x14ac:dyDescent="0.2">
      <c r="A22" s="35">
        <v>16</v>
      </c>
      <c r="B22" s="22" t="s">
        <v>325</v>
      </c>
      <c r="C22" s="22" t="s">
        <v>326</v>
      </c>
      <c r="D22" s="22" t="s">
        <v>215</v>
      </c>
      <c r="E22" s="36">
        <v>162025</v>
      </c>
      <c r="F22" s="37">
        <v>2336.07645</v>
      </c>
      <c r="G22" s="38">
        <v>1.391805E-2</v>
      </c>
      <c r="H22" s="29" t="s">
        <v>143</v>
      </c>
    </row>
    <row r="23" spans="1:8" x14ac:dyDescent="0.2">
      <c r="A23" s="35">
        <v>17</v>
      </c>
      <c r="B23" s="22" t="s">
        <v>26</v>
      </c>
      <c r="C23" s="22" t="s">
        <v>27</v>
      </c>
      <c r="D23" s="22" t="s">
        <v>28</v>
      </c>
      <c r="E23" s="36">
        <v>522755</v>
      </c>
      <c r="F23" s="37">
        <v>2111.6688224999998</v>
      </c>
      <c r="G23" s="38">
        <v>1.258106E-2</v>
      </c>
      <c r="H23" s="29" t="s">
        <v>143</v>
      </c>
    </row>
    <row r="24" spans="1:8" ht="25.5" x14ac:dyDescent="0.2">
      <c r="A24" s="35">
        <v>18</v>
      </c>
      <c r="B24" s="22" t="s">
        <v>183</v>
      </c>
      <c r="C24" s="22" t="s">
        <v>184</v>
      </c>
      <c r="D24" s="22" t="s">
        <v>185</v>
      </c>
      <c r="E24" s="36">
        <v>90625</v>
      </c>
      <c r="F24" s="37">
        <v>2037.6125</v>
      </c>
      <c r="G24" s="38">
        <v>1.2139840000000001E-2</v>
      </c>
      <c r="H24" s="29" t="s">
        <v>143</v>
      </c>
    </row>
    <row r="25" spans="1:8" x14ac:dyDescent="0.2">
      <c r="A25" s="35">
        <v>19</v>
      </c>
      <c r="B25" s="22" t="s">
        <v>54</v>
      </c>
      <c r="C25" s="22" t="s">
        <v>55</v>
      </c>
      <c r="D25" s="22" t="s">
        <v>56</v>
      </c>
      <c r="E25" s="36">
        <v>35260</v>
      </c>
      <c r="F25" s="37">
        <v>1972.6206999999999</v>
      </c>
      <c r="G25" s="38">
        <v>1.175263E-2</v>
      </c>
      <c r="H25" s="29" t="s">
        <v>143</v>
      </c>
    </row>
    <row r="26" spans="1:8" x14ac:dyDescent="0.2">
      <c r="A26" s="35">
        <v>20</v>
      </c>
      <c r="B26" s="22" t="s">
        <v>62</v>
      </c>
      <c r="C26" s="22" t="s">
        <v>63</v>
      </c>
      <c r="D26" s="22" t="s">
        <v>64</v>
      </c>
      <c r="E26" s="36">
        <v>49936</v>
      </c>
      <c r="F26" s="37">
        <v>1960.73704</v>
      </c>
      <c r="G26" s="38">
        <v>1.1681830000000001E-2</v>
      </c>
      <c r="H26" s="29" t="s">
        <v>143</v>
      </c>
    </row>
    <row r="27" spans="1:8" ht="25.5" x14ac:dyDescent="0.2">
      <c r="A27" s="35">
        <v>21</v>
      </c>
      <c r="B27" s="22" t="s">
        <v>435</v>
      </c>
      <c r="C27" s="22" t="s">
        <v>436</v>
      </c>
      <c r="D27" s="22" t="s">
        <v>194</v>
      </c>
      <c r="E27" s="36">
        <v>128800</v>
      </c>
      <c r="F27" s="37">
        <v>1936.2503999999999</v>
      </c>
      <c r="G27" s="38">
        <v>1.153594E-2</v>
      </c>
      <c r="H27" s="29" t="s">
        <v>143</v>
      </c>
    </row>
    <row r="28" spans="1:8" x14ac:dyDescent="0.2">
      <c r="A28" s="35">
        <v>22</v>
      </c>
      <c r="B28" s="22" t="s">
        <v>648</v>
      </c>
      <c r="C28" s="22" t="s">
        <v>649</v>
      </c>
      <c r="D28" s="22" t="s">
        <v>191</v>
      </c>
      <c r="E28" s="36">
        <v>96500</v>
      </c>
      <c r="F28" s="37">
        <v>1936.1759999999999</v>
      </c>
      <c r="G28" s="38">
        <v>1.1535500000000001E-2</v>
      </c>
      <c r="H28" s="29" t="s">
        <v>143</v>
      </c>
    </row>
    <row r="29" spans="1:8" x14ac:dyDescent="0.2">
      <c r="A29" s="35">
        <v>23</v>
      </c>
      <c r="B29" s="22" t="s">
        <v>497</v>
      </c>
      <c r="C29" s="22" t="s">
        <v>498</v>
      </c>
      <c r="D29" s="22" t="s">
        <v>191</v>
      </c>
      <c r="E29" s="36">
        <v>468690</v>
      </c>
      <c r="F29" s="37">
        <v>1922.8007250000001</v>
      </c>
      <c r="G29" s="38">
        <v>1.145581E-2</v>
      </c>
      <c r="H29" s="29" t="s">
        <v>143</v>
      </c>
    </row>
    <row r="30" spans="1:8" x14ac:dyDescent="0.2">
      <c r="A30" s="35">
        <v>24</v>
      </c>
      <c r="B30" s="22" t="s">
        <v>204</v>
      </c>
      <c r="C30" s="22" t="s">
        <v>205</v>
      </c>
      <c r="D30" s="22" t="s">
        <v>206</v>
      </c>
      <c r="E30" s="36">
        <v>302266</v>
      </c>
      <c r="F30" s="37">
        <v>1866.190284</v>
      </c>
      <c r="G30" s="38">
        <v>1.111853E-2</v>
      </c>
      <c r="H30" s="29" t="s">
        <v>143</v>
      </c>
    </row>
    <row r="31" spans="1:8" x14ac:dyDescent="0.2">
      <c r="A31" s="35">
        <v>25</v>
      </c>
      <c r="B31" s="22" t="s">
        <v>424</v>
      </c>
      <c r="C31" s="22" t="s">
        <v>425</v>
      </c>
      <c r="D31" s="22" t="s">
        <v>215</v>
      </c>
      <c r="E31" s="36">
        <v>130359</v>
      </c>
      <c r="F31" s="37">
        <v>1805.6025090000001</v>
      </c>
      <c r="G31" s="38">
        <v>1.0757559999999999E-2</v>
      </c>
      <c r="H31" s="29" t="s">
        <v>143</v>
      </c>
    </row>
    <row r="32" spans="1:8" x14ac:dyDescent="0.2">
      <c r="A32" s="35">
        <v>26</v>
      </c>
      <c r="B32" s="22" t="s">
        <v>242</v>
      </c>
      <c r="C32" s="22" t="s">
        <v>243</v>
      </c>
      <c r="D32" s="22" t="s">
        <v>191</v>
      </c>
      <c r="E32" s="36">
        <v>288000</v>
      </c>
      <c r="F32" s="37">
        <v>1774.3679999999999</v>
      </c>
      <c r="G32" s="38">
        <v>1.0571469999999999E-2</v>
      </c>
      <c r="H32" s="29" t="s">
        <v>143</v>
      </c>
    </row>
    <row r="33" spans="1:8" ht="25.5" x14ac:dyDescent="0.2">
      <c r="A33" s="35">
        <v>27</v>
      </c>
      <c r="B33" s="22" t="s">
        <v>431</v>
      </c>
      <c r="C33" s="22" t="s">
        <v>432</v>
      </c>
      <c r="D33" s="22" t="s">
        <v>203</v>
      </c>
      <c r="E33" s="36">
        <v>154165</v>
      </c>
      <c r="F33" s="37">
        <v>1740.9853450000001</v>
      </c>
      <c r="G33" s="38">
        <v>1.0372579999999999E-2</v>
      </c>
      <c r="H33" s="29" t="s">
        <v>143</v>
      </c>
    </row>
    <row r="34" spans="1:8" x14ac:dyDescent="0.2">
      <c r="A34" s="35">
        <v>28</v>
      </c>
      <c r="B34" s="22" t="s">
        <v>499</v>
      </c>
      <c r="C34" s="22" t="s">
        <v>500</v>
      </c>
      <c r="D34" s="22" t="s">
        <v>239</v>
      </c>
      <c r="E34" s="36">
        <v>10484</v>
      </c>
      <c r="F34" s="37">
        <v>1680.48036</v>
      </c>
      <c r="G34" s="38">
        <v>1.001209E-2</v>
      </c>
      <c r="H34" s="29" t="s">
        <v>143</v>
      </c>
    </row>
    <row r="35" spans="1:8" x14ac:dyDescent="0.2">
      <c r="A35" s="35">
        <v>29</v>
      </c>
      <c r="B35" s="22" t="s">
        <v>335</v>
      </c>
      <c r="C35" s="22" t="s">
        <v>336</v>
      </c>
      <c r="D35" s="22" t="s">
        <v>28</v>
      </c>
      <c r="E35" s="36">
        <v>31950</v>
      </c>
      <c r="F35" s="37">
        <v>1516.50675</v>
      </c>
      <c r="G35" s="38">
        <v>9.0351600000000004E-3</v>
      </c>
      <c r="H35" s="29" t="s">
        <v>143</v>
      </c>
    </row>
    <row r="36" spans="1:8" x14ac:dyDescent="0.2">
      <c r="A36" s="35">
        <v>30</v>
      </c>
      <c r="B36" s="22" t="s">
        <v>34</v>
      </c>
      <c r="C36" s="22" t="s">
        <v>35</v>
      </c>
      <c r="D36" s="22" t="s">
        <v>19</v>
      </c>
      <c r="E36" s="36">
        <v>429151</v>
      </c>
      <c r="F36" s="37">
        <v>1457.6113714999999</v>
      </c>
      <c r="G36" s="38">
        <v>8.6842699999999991E-3</v>
      </c>
      <c r="H36" s="29" t="s">
        <v>143</v>
      </c>
    </row>
    <row r="37" spans="1:8" x14ac:dyDescent="0.2">
      <c r="A37" s="35">
        <v>31</v>
      </c>
      <c r="B37" s="22" t="s">
        <v>44</v>
      </c>
      <c r="C37" s="22" t="s">
        <v>45</v>
      </c>
      <c r="D37" s="22" t="s">
        <v>46</v>
      </c>
      <c r="E37" s="36">
        <v>17831</v>
      </c>
      <c r="F37" s="37">
        <v>1442.34959</v>
      </c>
      <c r="G37" s="38">
        <v>8.5933399999999997E-3</v>
      </c>
      <c r="H37" s="29" t="s">
        <v>143</v>
      </c>
    </row>
    <row r="38" spans="1:8" x14ac:dyDescent="0.2">
      <c r="A38" s="35">
        <v>32</v>
      </c>
      <c r="B38" s="22" t="s">
        <v>221</v>
      </c>
      <c r="C38" s="22" t="s">
        <v>222</v>
      </c>
      <c r="D38" s="22" t="s">
        <v>223</v>
      </c>
      <c r="E38" s="36">
        <v>67010</v>
      </c>
      <c r="F38" s="37">
        <v>1367.1380200000001</v>
      </c>
      <c r="G38" s="38">
        <v>8.1452399999999998E-3</v>
      </c>
      <c r="H38" s="29" t="s">
        <v>143</v>
      </c>
    </row>
    <row r="39" spans="1:8" x14ac:dyDescent="0.2">
      <c r="A39" s="35">
        <v>33</v>
      </c>
      <c r="B39" s="22" t="s">
        <v>433</v>
      </c>
      <c r="C39" s="22" t="s">
        <v>434</v>
      </c>
      <c r="D39" s="22" t="s">
        <v>215</v>
      </c>
      <c r="E39" s="36">
        <v>43925</v>
      </c>
      <c r="F39" s="37">
        <v>1268.7297000000001</v>
      </c>
      <c r="G39" s="38">
        <v>7.5589300000000002E-3</v>
      </c>
      <c r="H39" s="29" t="s">
        <v>143</v>
      </c>
    </row>
    <row r="40" spans="1:8" ht="25.5" x14ac:dyDescent="0.2">
      <c r="A40" s="35">
        <v>34</v>
      </c>
      <c r="B40" s="22" t="s">
        <v>339</v>
      </c>
      <c r="C40" s="22" t="s">
        <v>340</v>
      </c>
      <c r="D40" s="22" t="s">
        <v>25</v>
      </c>
      <c r="E40" s="36">
        <v>45495</v>
      </c>
      <c r="F40" s="37">
        <v>1254.251655</v>
      </c>
      <c r="G40" s="38">
        <v>7.4726799999999998E-3</v>
      </c>
      <c r="H40" s="29" t="s">
        <v>143</v>
      </c>
    </row>
    <row r="41" spans="1:8" x14ac:dyDescent="0.2">
      <c r="A41" s="35">
        <v>35</v>
      </c>
      <c r="B41" s="22" t="s">
        <v>501</v>
      </c>
      <c r="C41" s="22" t="s">
        <v>502</v>
      </c>
      <c r="D41" s="22" t="s">
        <v>230</v>
      </c>
      <c r="E41" s="36">
        <v>92465</v>
      </c>
      <c r="F41" s="37">
        <v>1224.513995</v>
      </c>
      <c r="G41" s="38">
        <v>7.2954999999999999E-3</v>
      </c>
      <c r="H41" s="29" t="s">
        <v>143</v>
      </c>
    </row>
    <row r="42" spans="1:8" x14ac:dyDescent="0.2">
      <c r="A42" s="35">
        <v>36</v>
      </c>
      <c r="B42" s="22" t="s">
        <v>429</v>
      </c>
      <c r="C42" s="22" t="s">
        <v>430</v>
      </c>
      <c r="D42" s="22" t="s">
        <v>275</v>
      </c>
      <c r="E42" s="36">
        <v>67600</v>
      </c>
      <c r="F42" s="37">
        <v>1210.4456</v>
      </c>
      <c r="G42" s="38">
        <v>7.2116899999999998E-3</v>
      </c>
      <c r="H42" s="29" t="s">
        <v>143</v>
      </c>
    </row>
    <row r="43" spans="1:8" x14ac:dyDescent="0.2">
      <c r="A43" s="35">
        <v>37</v>
      </c>
      <c r="B43" s="22" t="s">
        <v>503</v>
      </c>
      <c r="C43" s="22" t="s">
        <v>504</v>
      </c>
      <c r="D43" s="22" t="s">
        <v>239</v>
      </c>
      <c r="E43" s="36">
        <v>13885</v>
      </c>
      <c r="F43" s="37">
        <v>1205.0097249999999</v>
      </c>
      <c r="G43" s="38">
        <v>7.1792999999999996E-3</v>
      </c>
      <c r="H43" s="29" t="s">
        <v>143</v>
      </c>
    </row>
    <row r="44" spans="1:8" x14ac:dyDescent="0.2">
      <c r="A44" s="35">
        <v>38</v>
      </c>
      <c r="B44" s="22" t="s">
        <v>49</v>
      </c>
      <c r="C44" s="22" t="s">
        <v>50</v>
      </c>
      <c r="D44" s="22" t="s">
        <v>22</v>
      </c>
      <c r="E44" s="36">
        <v>304232</v>
      </c>
      <c r="F44" s="37">
        <v>1182.3976680000001</v>
      </c>
      <c r="G44" s="38">
        <v>7.0445799999999999E-3</v>
      </c>
      <c r="H44" s="29" t="s">
        <v>143</v>
      </c>
    </row>
    <row r="45" spans="1:8" ht="25.5" x14ac:dyDescent="0.2">
      <c r="A45" s="35">
        <v>39</v>
      </c>
      <c r="B45" s="22" t="s">
        <v>23</v>
      </c>
      <c r="C45" s="22" t="s">
        <v>24</v>
      </c>
      <c r="D45" s="22" t="s">
        <v>25</v>
      </c>
      <c r="E45" s="36">
        <v>9450</v>
      </c>
      <c r="F45" s="37">
        <v>1154.979</v>
      </c>
      <c r="G45" s="38">
        <v>6.8812200000000004E-3</v>
      </c>
      <c r="H45" s="29" t="s">
        <v>143</v>
      </c>
    </row>
    <row r="46" spans="1:8" x14ac:dyDescent="0.2">
      <c r="A46" s="35">
        <v>40</v>
      </c>
      <c r="B46" s="22" t="s">
        <v>255</v>
      </c>
      <c r="C46" s="22" t="s">
        <v>256</v>
      </c>
      <c r="D46" s="22" t="s">
        <v>41</v>
      </c>
      <c r="E46" s="36">
        <v>88045</v>
      </c>
      <c r="F46" s="37">
        <v>1143.52846</v>
      </c>
      <c r="G46" s="38">
        <v>6.8129999999999996E-3</v>
      </c>
      <c r="H46" s="29" t="s">
        <v>143</v>
      </c>
    </row>
    <row r="47" spans="1:8" ht="25.5" x14ac:dyDescent="0.2">
      <c r="A47" s="35">
        <v>41</v>
      </c>
      <c r="B47" s="22" t="s">
        <v>271</v>
      </c>
      <c r="C47" s="22" t="s">
        <v>272</v>
      </c>
      <c r="D47" s="22" t="s">
        <v>194</v>
      </c>
      <c r="E47" s="36">
        <v>45975</v>
      </c>
      <c r="F47" s="37">
        <v>1119.813075</v>
      </c>
      <c r="G47" s="38">
        <v>6.67171E-3</v>
      </c>
      <c r="H47" s="29" t="s">
        <v>143</v>
      </c>
    </row>
    <row r="48" spans="1:8" x14ac:dyDescent="0.2">
      <c r="A48" s="35">
        <v>42</v>
      </c>
      <c r="B48" s="22" t="s">
        <v>505</v>
      </c>
      <c r="C48" s="22" t="s">
        <v>506</v>
      </c>
      <c r="D48" s="22" t="s">
        <v>41</v>
      </c>
      <c r="E48" s="36">
        <v>105819</v>
      </c>
      <c r="F48" s="37">
        <v>1046.9202765</v>
      </c>
      <c r="G48" s="38">
        <v>6.2374199999999996E-3</v>
      </c>
      <c r="H48" s="29" t="s">
        <v>143</v>
      </c>
    </row>
    <row r="49" spans="1:8" ht="25.5" x14ac:dyDescent="0.2">
      <c r="A49" s="35">
        <v>43</v>
      </c>
      <c r="B49" s="22" t="s">
        <v>349</v>
      </c>
      <c r="C49" s="22" t="s">
        <v>350</v>
      </c>
      <c r="D49" s="22" t="s">
        <v>194</v>
      </c>
      <c r="E49" s="36">
        <v>65495</v>
      </c>
      <c r="F49" s="37">
        <v>1044.1867850000001</v>
      </c>
      <c r="G49" s="38">
        <v>6.22114E-3</v>
      </c>
      <c r="H49" s="29" t="s">
        <v>143</v>
      </c>
    </row>
    <row r="50" spans="1:8" x14ac:dyDescent="0.2">
      <c r="A50" s="35">
        <v>44</v>
      </c>
      <c r="B50" s="22" t="s">
        <v>507</v>
      </c>
      <c r="C50" s="22" t="s">
        <v>508</v>
      </c>
      <c r="D50" s="22" t="s">
        <v>191</v>
      </c>
      <c r="E50" s="36">
        <v>84691</v>
      </c>
      <c r="F50" s="37">
        <v>1029.84256</v>
      </c>
      <c r="G50" s="38">
        <v>6.1356700000000002E-3</v>
      </c>
      <c r="H50" s="29" t="s">
        <v>143</v>
      </c>
    </row>
    <row r="51" spans="1:8" x14ac:dyDescent="0.2">
      <c r="A51" s="35">
        <v>45</v>
      </c>
      <c r="B51" s="22" t="s">
        <v>299</v>
      </c>
      <c r="C51" s="22" t="s">
        <v>300</v>
      </c>
      <c r="D51" s="22" t="s">
        <v>191</v>
      </c>
      <c r="E51" s="36">
        <v>22663</v>
      </c>
      <c r="F51" s="37">
        <v>1005.4666580000001</v>
      </c>
      <c r="G51" s="38">
        <v>5.9904499999999996E-3</v>
      </c>
      <c r="H51" s="29" t="s">
        <v>143</v>
      </c>
    </row>
    <row r="52" spans="1:8" x14ac:dyDescent="0.2">
      <c r="A52" s="35">
        <v>46</v>
      </c>
      <c r="B52" s="22" t="s">
        <v>186</v>
      </c>
      <c r="C52" s="22" t="s">
        <v>187</v>
      </c>
      <c r="D52" s="22" t="s">
        <v>188</v>
      </c>
      <c r="E52" s="36">
        <v>100000</v>
      </c>
      <c r="F52" s="37">
        <v>969.8</v>
      </c>
      <c r="G52" s="38">
        <v>5.7779499999999996E-3</v>
      </c>
      <c r="H52" s="29" t="s">
        <v>143</v>
      </c>
    </row>
    <row r="53" spans="1:8" x14ac:dyDescent="0.2">
      <c r="A53" s="30">
        <v>47</v>
      </c>
      <c r="B53" s="31" t="s">
        <v>1074</v>
      </c>
      <c r="C53" s="31" t="s">
        <v>1075</v>
      </c>
      <c r="D53" s="31" t="s">
        <v>22</v>
      </c>
      <c r="E53" s="32">
        <v>998132</v>
      </c>
      <c r="F53" s="33">
        <f>95141942.24/10^5</f>
        <v>951.41942239999992</v>
      </c>
      <c r="G53" s="103">
        <f>F53/F167</f>
        <v>5.6684390234839118E-3</v>
      </c>
      <c r="H53" s="29" t="s">
        <v>143</v>
      </c>
    </row>
    <row r="54" spans="1:8" ht="25.5" x14ac:dyDescent="0.2">
      <c r="A54" s="35">
        <v>48</v>
      </c>
      <c r="B54" s="22" t="s">
        <v>509</v>
      </c>
      <c r="C54" s="22" t="s">
        <v>510</v>
      </c>
      <c r="D54" s="22" t="s">
        <v>270</v>
      </c>
      <c r="E54" s="36">
        <v>64590</v>
      </c>
      <c r="F54" s="37">
        <v>948.18119999999999</v>
      </c>
      <c r="G54" s="38">
        <v>5.6491500000000004E-3</v>
      </c>
      <c r="H54" s="29" t="s">
        <v>143</v>
      </c>
    </row>
    <row r="55" spans="1:8" ht="25.5" x14ac:dyDescent="0.2">
      <c r="A55" s="35">
        <v>49</v>
      </c>
      <c r="B55" s="22" t="s">
        <v>192</v>
      </c>
      <c r="C55" s="22" t="s">
        <v>193</v>
      </c>
      <c r="D55" s="22" t="s">
        <v>194</v>
      </c>
      <c r="E55" s="36">
        <v>49565</v>
      </c>
      <c r="F55" s="37">
        <v>947.33584499999995</v>
      </c>
      <c r="G55" s="38">
        <v>5.6441099999999999E-3</v>
      </c>
      <c r="H55" s="29" t="s">
        <v>143</v>
      </c>
    </row>
    <row r="56" spans="1:8" x14ac:dyDescent="0.2">
      <c r="A56" s="35">
        <v>50</v>
      </c>
      <c r="B56" s="22" t="s">
        <v>337</v>
      </c>
      <c r="C56" s="22" t="s">
        <v>338</v>
      </c>
      <c r="D56" s="22" t="s">
        <v>223</v>
      </c>
      <c r="E56" s="36">
        <v>11750</v>
      </c>
      <c r="F56" s="37">
        <v>916.03</v>
      </c>
      <c r="G56" s="38">
        <v>5.45759E-3</v>
      </c>
      <c r="H56" s="29" t="s">
        <v>143</v>
      </c>
    </row>
    <row r="57" spans="1:8" ht="25.5" x14ac:dyDescent="0.2">
      <c r="A57" s="35">
        <v>51</v>
      </c>
      <c r="B57" s="22" t="s">
        <v>293</v>
      </c>
      <c r="C57" s="22" t="s">
        <v>294</v>
      </c>
      <c r="D57" s="22" t="s">
        <v>194</v>
      </c>
      <c r="E57" s="36">
        <v>92306</v>
      </c>
      <c r="F57" s="37">
        <v>906.35261400000002</v>
      </c>
      <c r="G57" s="38">
        <v>5.3999399999999998E-3</v>
      </c>
      <c r="H57" s="29" t="s">
        <v>143</v>
      </c>
    </row>
    <row r="58" spans="1:8" ht="25.5" x14ac:dyDescent="0.2">
      <c r="A58" s="35">
        <v>52</v>
      </c>
      <c r="B58" s="22" t="s">
        <v>67</v>
      </c>
      <c r="C58" s="22" t="s">
        <v>68</v>
      </c>
      <c r="D58" s="22" t="s">
        <v>25</v>
      </c>
      <c r="E58" s="36">
        <v>12790</v>
      </c>
      <c r="F58" s="37">
        <v>805.77</v>
      </c>
      <c r="G58" s="38">
        <v>4.8006799999999999E-3</v>
      </c>
      <c r="H58" s="29" t="s">
        <v>143</v>
      </c>
    </row>
    <row r="59" spans="1:8" x14ac:dyDescent="0.2">
      <c r="A59" s="35">
        <v>53</v>
      </c>
      <c r="B59" s="22" t="s">
        <v>278</v>
      </c>
      <c r="C59" s="22" t="s">
        <v>279</v>
      </c>
      <c r="D59" s="22" t="s">
        <v>90</v>
      </c>
      <c r="E59" s="36">
        <v>53065</v>
      </c>
      <c r="F59" s="37">
        <v>801.334565</v>
      </c>
      <c r="G59" s="38">
        <v>4.7742499999999998E-3</v>
      </c>
      <c r="H59" s="29" t="s">
        <v>143</v>
      </c>
    </row>
    <row r="60" spans="1:8" x14ac:dyDescent="0.2">
      <c r="A60" s="35">
        <v>54</v>
      </c>
      <c r="B60" s="22" t="s">
        <v>511</v>
      </c>
      <c r="C60" s="22" t="s">
        <v>512</v>
      </c>
      <c r="D60" s="22" t="s">
        <v>230</v>
      </c>
      <c r="E60" s="36">
        <v>179000</v>
      </c>
      <c r="F60" s="37">
        <v>794.22299999999996</v>
      </c>
      <c r="G60" s="38">
        <v>4.7318799999999999E-3</v>
      </c>
      <c r="H60" s="29" t="s">
        <v>143</v>
      </c>
    </row>
    <row r="61" spans="1:8" x14ac:dyDescent="0.2">
      <c r="A61" s="35">
        <v>55</v>
      </c>
      <c r="B61" s="22" t="s">
        <v>513</v>
      </c>
      <c r="C61" s="22" t="s">
        <v>514</v>
      </c>
      <c r="D61" s="22" t="s">
        <v>239</v>
      </c>
      <c r="E61" s="36">
        <v>12258</v>
      </c>
      <c r="F61" s="37">
        <v>670.81904999999995</v>
      </c>
      <c r="G61" s="38">
        <v>3.99666E-3</v>
      </c>
      <c r="H61" s="29" t="s">
        <v>143</v>
      </c>
    </row>
    <row r="62" spans="1:8" x14ac:dyDescent="0.2">
      <c r="A62" s="35">
        <v>56</v>
      </c>
      <c r="B62" s="22" t="s">
        <v>515</v>
      </c>
      <c r="C62" s="22" t="s">
        <v>516</v>
      </c>
      <c r="D62" s="22" t="s">
        <v>215</v>
      </c>
      <c r="E62" s="36">
        <v>37921</v>
      </c>
      <c r="F62" s="37">
        <v>531.00776299999995</v>
      </c>
      <c r="G62" s="38">
        <v>3.1636799999999999E-3</v>
      </c>
      <c r="H62" s="29" t="s">
        <v>143</v>
      </c>
    </row>
    <row r="63" spans="1:8" x14ac:dyDescent="0.2">
      <c r="A63" s="35">
        <v>57</v>
      </c>
      <c r="B63" s="22" t="s">
        <v>307</v>
      </c>
      <c r="C63" s="22" t="s">
        <v>308</v>
      </c>
      <c r="D63" s="22" t="s">
        <v>188</v>
      </c>
      <c r="E63" s="36">
        <v>85435</v>
      </c>
      <c r="F63" s="37">
        <v>479.29034999999999</v>
      </c>
      <c r="G63" s="38">
        <v>2.8555500000000001E-3</v>
      </c>
      <c r="H63" s="29" t="s">
        <v>143</v>
      </c>
    </row>
    <row r="64" spans="1:8" ht="25.5" x14ac:dyDescent="0.2">
      <c r="A64" s="35">
        <v>58</v>
      </c>
      <c r="B64" s="22" t="s">
        <v>660</v>
      </c>
      <c r="C64" s="22" t="s">
        <v>661</v>
      </c>
      <c r="D64" s="22" t="s">
        <v>203</v>
      </c>
      <c r="E64" s="36">
        <v>77400</v>
      </c>
      <c r="F64" s="37">
        <v>445.66919999999999</v>
      </c>
      <c r="G64" s="38">
        <v>2.6552400000000001E-3</v>
      </c>
      <c r="H64" s="29" t="s">
        <v>143</v>
      </c>
    </row>
    <row r="65" spans="1:8" x14ac:dyDescent="0.2">
      <c r="A65" s="35">
        <v>59</v>
      </c>
      <c r="B65" s="22" t="s">
        <v>347</v>
      </c>
      <c r="C65" s="22" t="s">
        <v>348</v>
      </c>
      <c r="D65" s="22" t="s">
        <v>206</v>
      </c>
      <c r="E65" s="36">
        <v>60937</v>
      </c>
      <c r="F65" s="37">
        <v>438.92921100000001</v>
      </c>
      <c r="G65" s="38">
        <v>2.61509E-3</v>
      </c>
      <c r="H65" s="29" t="s">
        <v>143</v>
      </c>
    </row>
    <row r="66" spans="1:8" x14ac:dyDescent="0.2">
      <c r="A66" s="35">
        <v>60</v>
      </c>
      <c r="B66" s="22" t="s">
        <v>478</v>
      </c>
      <c r="C66" s="22" t="s">
        <v>479</v>
      </c>
      <c r="D66" s="22" t="s">
        <v>223</v>
      </c>
      <c r="E66" s="36">
        <v>15673</v>
      </c>
      <c r="F66" s="37">
        <v>404.143978</v>
      </c>
      <c r="G66" s="38">
        <v>2.4078400000000001E-3</v>
      </c>
      <c r="H66" s="29" t="s">
        <v>143</v>
      </c>
    </row>
    <row r="67" spans="1:8" x14ac:dyDescent="0.2">
      <c r="A67" s="35">
        <v>61</v>
      </c>
      <c r="B67" s="22" t="s">
        <v>73</v>
      </c>
      <c r="C67" s="22" t="s">
        <v>74</v>
      </c>
      <c r="D67" s="22" t="s">
        <v>75</v>
      </c>
      <c r="E67" s="36">
        <v>222925</v>
      </c>
      <c r="F67" s="37">
        <v>392.9944825</v>
      </c>
      <c r="G67" s="38">
        <v>2.3414099999999999E-3</v>
      </c>
      <c r="H67" s="29" t="s">
        <v>143</v>
      </c>
    </row>
    <row r="68" spans="1:8" x14ac:dyDescent="0.2">
      <c r="A68" s="35">
        <v>62</v>
      </c>
      <c r="B68" s="22" t="s">
        <v>224</v>
      </c>
      <c r="C68" s="22" t="s">
        <v>225</v>
      </c>
      <c r="D68" s="22" t="s">
        <v>64</v>
      </c>
      <c r="E68" s="36">
        <v>4880</v>
      </c>
      <c r="F68" s="37">
        <v>355.55680000000001</v>
      </c>
      <c r="G68" s="38">
        <v>2.1183600000000001E-3</v>
      </c>
      <c r="H68" s="29" t="s">
        <v>143</v>
      </c>
    </row>
    <row r="69" spans="1:8" x14ac:dyDescent="0.2">
      <c r="A69" s="35">
        <v>63</v>
      </c>
      <c r="B69" s="22" t="s">
        <v>82</v>
      </c>
      <c r="C69" s="22" t="s">
        <v>83</v>
      </c>
      <c r="D69" s="22" t="s">
        <v>13</v>
      </c>
      <c r="E69" s="36">
        <v>97907</v>
      </c>
      <c r="F69" s="37">
        <v>335.72310299999998</v>
      </c>
      <c r="G69" s="38">
        <v>2.0002000000000002E-3</v>
      </c>
      <c r="H69" s="29" t="s">
        <v>143</v>
      </c>
    </row>
    <row r="70" spans="1:8" x14ac:dyDescent="0.2">
      <c r="A70" s="39"/>
      <c r="B70" s="39"/>
      <c r="C70" s="40" t="s">
        <v>142</v>
      </c>
      <c r="D70" s="39"/>
      <c r="E70" s="39" t="s">
        <v>143</v>
      </c>
      <c r="F70" s="41">
        <f>SUM(F7:F69)</f>
        <v>128758.68618990001</v>
      </c>
      <c r="G70" s="42">
        <f>SUM(G7:G69)</f>
        <v>0.76712833058115348</v>
      </c>
      <c r="H70" s="29" t="s">
        <v>143</v>
      </c>
    </row>
    <row r="71" spans="1:8" x14ac:dyDescent="0.2">
      <c r="A71" s="39"/>
      <c r="B71" s="39"/>
      <c r="C71" s="43"/>
      <c r="D71" s="39"/>
      <c r="E71" s="39"/>
      <c r="F71" s="44"/>
      <c r="G71" s="44"/>
      <c r="H71" s="29" t="s">
        <v>143</v>
      </c>
    </row>
    <row r="72" spans="1:8" x14ac:dyDescent="0.2">
      <c r="A72" s="39"/>
      <c r="B72" s="39"/>
      <c r="C72" s="40" t="s">
        <v>144</v>
      </c>
      <c r="D72" s="39"/>
      <c r="E72" s="39"/>
      <c r="F72" s="39"/>
      <c r="G72" s="39"/>
      <c r="H72" s="29" t="s">
        <v>143</v>
      </c>
    </row>
    <row r="73" spans="1:8" x14ac:dyDescent="0.2">
      <c r="A73" s="39"/>
      <c r="B73" s="39"/>
      <c r="C73" s="40" t="s">
        <v>142</v>
      </c>
      <c r="D73" s="39"/>
      <c r="E73" s="39" t="s">
        <v>143</v>
      </c>
      <c r="F73" s="45" t="s">
        <v>145</v>
      </c>
      <c r="G73" s="42">
        <v>0</v>
      </c>
      <c r="H73" s="29" t="s">
        <v>143</v>
      </c>
    </row>
    <row r="74" spans="1:8" x14ac:dyDescent="0.2">
      <c r="A74" s="39"/>
      <c r="B74" s="39"/>
      <c r="C74" s="43"/>
      <c r="D74" s="39"/>
      <c r="E74" s="39"/>
      <c r="F74" s="44"/>
      <c r="G74" s="44"/>
      <c r="H74" s="29" t="s">
        <v>143</v>
      </c>
    </row>
    <row r="75" spans="1:8" x14ac:dyDescent="0.2">
      <c r="A75" s="39"/>
      <c r="B75" s="39"/>
      <c r="C75" s="40" t="s">
        <v>146</v>
      </c>
      <c r="D75" s="39"/>
      <c r="E75" s="39"/>
      <c r="F75" s="39"/>
      <c r="G75" s="39"/>
      <c r="H75" s="29" t="s">
        <v>143</v>
      </c>
    </row>
    <row r="76" spans="1:8" x14ac:dyDescent="0.2">
      <c r="A76" s="39"/>
      <c r="B76" s="39"/>
      <c r="C76" s="40" t="s">
        <v>142</v>
      </c>
      <c r="D76" s="39"/>
      <c r="E76" s="39" t="s">
        <v>143</v>
      </c>
      <c r="F76" s="45" t="s">
        <v>145</v>
      </c>
      <c r="G76" s="42">
        <v>0</v>
      </c>
      <c r="H76" s="29" t="s">
        <v>143</v>
      </c>
    </row>
    <row r="77" spans="1:8" x14ac:dyDescent="0.2">
      <c r="A77" s="39"/>
      <c r="B77" s="39"/>
      <c r="C77" s="43"/>
      <c r="D77" s="39"/>
      <c r="E77" s="39"/>
      <c r="F77" s="44"/>
      <c r="G77" s="44"/>
      <c r="H77" s="29" t="s">
        <v>143</v>
      </c>
    </row>
    <row r="78" spans="1:8" x14ac:dyDescent="0.2">
      <c r="A78" s="39"/>
      <c r="B78" s="39"/>
      <c r="C78" s="40" t="s">
        <v>147</v>
      </c>
      <c r="D78" s="39"/>
      <c r="E78" s="39"/>
      <c r="F78" s="39"/>
      <c r="G78" s="39"/>
      <c r="H78" s="29" t="s">
        <v>143</v>
      </c>
    </row>
    <row r="79" spans="1:8" x14ac:dyDescent="0.2">
      <c r="A79" s="39"/>
      <c r="B79" s="39"/>
      <c r="C79" s="40" t="s">
        <v>142</v>
      </c>
      <c r="D79" s="39"/>
      <c r="E79" s="39" t="s">
        <v>143</v>
      </c>
      <c r="F79" s="45" t="s">
        <v>145</v>
      </c>
      <c r="G79" s="42">
        <v>0</v>
      </c>
      <c r="H79" s="29" t="s">
        <v>143</v>
      </c>
    </row>
    <row r="80" spans="1:8" x14ac:dyDescent="0.2">
      <c r="A80" s="39"/>
      <c r="B80" s="39"/>
      <c r="C80" s="43"/>
      <c r="D80" s="39"/>
      <c r="E80" s="39"/>
      <c r="F80" s="44"/>
      <c r="G80" s="44"/>
      <c r="H80" s="29" t="s">
        <v>143</v>
      </c>
    </row>
    <row r="81" spans="1:8" x14ac:dyDescent="0.2">
      <c r="A81" s="39"/>
      <c r="B81" s="39"/>
      <c r="C81" s="40" t="s">
        <v>148</v>
      </c>
      <c r="D81" s="39"/>
      <c r="E81" s="39"/>
      <c r="F81" s="44"/>
      <c r="G81" s="44"/>
      <c r="H81" s="29" t="s">
        <v>143</v>
      </c>
    </row>
    <row r="82" spans="1:8" x14ac:dyDescent="0.2">
      <c r="A82" s="39"/>
      <c r="B82" s="39"/>
      <c r="C82" s="40" t="s">
        <v>142</v>
      </c>
      <c r="D82" s="39"/>
      <c r="E82" s="39" t="s">
        <v>143</v>
      </c>
      <c r="F82" s="45" t="s">
        <v>145</v>
      </c>
      <c r="G82" s="42">
        <v>0</v>
      </c>
      <c r="H82" s="29" t="s">
        <v>143</v>
      </c>
    </row>
    <row r="83" spans="1:8" x14ac:dyDescent="0.2">
      <c r="A83" s="27"/>
      <c r="B83" s="27"/>
      <c r="C83" s="112"/>
      <c r="D83" s="27"/>
      <c r="E83" s="27"/>
      <c r="F83" s="61"/>
      <c r="G83" s="61"/>
      <c r="H83" s="29" t="s">
        <v>143</v>
      </c>
    </row>
    <row r="84" spans="1:8" x14ac:dyDescent="0.2">
      <c r="A84" s="27"/>
      <c r="B84" s="27"/>
      <c r="C84" s="28" t="s">
        <v>972</v>
      </c>
      <c r="D84" s="27"/>
      <c r="E84" s="27"/>
      <c r="F84" s="27"/>
      <c r="G84" s="27"/>
      <c r="H84" s="29" t="s">
        <v>143</v>
      </c>
    </row>
    <row r="85" spans="1:8" ht="25.5" x14ac:dyDescent="0.2">
      <c r="A85" s="30">
        <v>1</v>
      </c>
      <c r="B85" s="31" t="s">
        <v>973</v>
      </c>
      <c r="C85" s="31" t="s">
        <v>974</v>
      </c>
      <c r="D85" s="31" t="s">
        <v>975</v>
      </c>
      <c r="E85" s="32">
        <v>750</v>
      </c>
      <c r="F85" s="33">
        <f>87646330.13/10^5</f>
        <v>876.4633012999999</v>
      </c>
      <c r="G85" s="34">
        <f>F85/F167</f>
        <v>5.2218597421608169E-3</v>
      </c>
      <c r="H85" s="29">
        <v>7.21</v>
      </c>
    </row>
    <row r="86" spans="1:8" x14ac:dyDescent="0.2">
      <c r="A86" s="27"/>
      <c r="B86" s="27"/>
      <c r="C86" s="28" t="s">
        <v>142</v>
      </c>
      <c r="D86" s="27"/>
      <c r="E86" s="27" t="s">
        <v>143</v>
      </c>
      <c r="F86" s="113">
        <f>SUM(F85)</f>
        <v>876.4633012999999</v>
      </c>
      <c r="G86" s="114">
        <f>SUM(G85)</f>
        <v>5.2218597421608169E-3</v>
      </c>
      <c r="H86" s="29" t="s">
        <v>143</v>
      </c>
    </row>
    <row r="87" spans="1:8" x14ac:dyDescent="0.2">
      <c r="A87" s="27"/>
      <c r="B87" s="27"/>
      <c r="C87" s="112"/>
      <c r="D87" s="27"/>
      <c r="E87" s="27"/>
      <c r="F87" s="61"/>
      <c r="G87" s="61"/>
      <c r="H87" s="29" t="s">
        <v>143</v>
      </c>
    </row>
    <row r="88" spans="1:8" x14ac:dyDescent="0.2">
      <c r="A88" s="39"/>
      <c r="B88" s="39"/>
      <c r="C88" s="40" t="s">
        <v>149</v>
      </c>
      <c r="D88" s="39"/>
      <c r="E88" s="39"/>
      <c r="F88" s="44"/>
      <c r="G88" s="38"/>
      <c r="H88" s="29" t="s">
        <v>143</v>
      </c>
    </row>
    <row r="89" spans="1:8" ht="25.5" x14ac:dyDescent="0.2">
      <c r="A89" s="35">
        <v>1</v>
      </c>
      <c r="B89" s="22"/>
      <c r="C89" s="22" t="s">
        <v>1076</v>
      </c>
      <c r="D89" s="22" t="s">
        <v>534</v>
      </c>
      <c r="E89" s="36">
        <v>-77400</v>
      </c>
      <c r="F89" s="37">
        <v>-448.14600000000002</v>
      </c>
      <c r="G89" s="38">
        <f>F89/$F$167</f>
        <v>-2.6699983359707181E-3</v>
      </c>
      <c r="H89" s="29" t="s">
        <v>143</v>
      </c>
    </row>
    <row r="90" spans="1:8" x14ac:dyDescent="0.2">
      <c r="A90" s="35">
        <v>2</v>
      </c>
      <c r="B90" s="22"/>
      <c r="C90" s="22" t="s">
        <v>998</v>
      </c>
      <c r="D90" s="22" t="s">
        <v>534</v>
      </c>
      <c r="E90" s="36">
        <v>-11750</v>
      </c>
      <c r="F90" s="37">
        <v>-922.14</v>
      </c>
      <c r="G90" s="38">
        <f t="shared" ref="G90:G101" si="0">F90/$F$167</f>
        <v>-5.4939958529854954E-3</v>
      </c>
      <c r="H90" s="29" t="s">
        <v>143</v>
      </c>
    </row>
    <row r="91" spans="1:8" x14ac:dyDescent="0.2">
      <c r="A91" s="35">
        <v>3</v>
      </c>
      <c r="B91" s="22"/>
      <c r="C91" s="22" t="s">
        <v>1070</v>
      </c>
      <c r="D91" s="22" t="s">
        <v>534</v>
      </c>
      <c r="E91" s="36">
        <v>-43925</v>
      </c>
      <c r="F91" s="37">
        <v>-1272.5951</v>
      </c>
      <c r="G91" s="38">
        <f t="shared" si="0"/>
        <v>-7.5819639121279432E-3</v>
      </c>
      <c r="H91" s="29" t="s">
        <v>143</v>
      </c>
    </row>
    <row r="92" spans="1:8" x14ac:dyDescent="0.2">
      <c r="A92" s="35">
        <v>4</v>
      </c>
      <c r="B92" s="22"/>
      <c r="C92" s="22" t="s">
        <v>992</v>
      </c>
      <c r="D92" s="22" t="s">
        <v>534</v>
      </c>
      <c r="E92" s="36">
        <v>-31950</v>
      </c>
      <c r="F92" s="37">
        <v>-1527.30585</v>
      </c>
      <c r="G92" s="38">
        <f t="shared" si="0"/>
        <v>-9.0994989981353011E-3</v>
      </c>
      <c r="H92" s="29" t="s">
        <v>143</v>
      </c>
    </row>
    <row r="93" spans="1:8" x14ac:dyDescent="0.2">
      <c r="A93" s="35">
        <v>5</v>
      </c>
      <c r="B93" s="22"/>
      <c r="C93" s="22" t="s">
        <v>1058</v>
      </c>
      <c r="D93" s="22" t="s">
        <v>534</v>
      </c>
      <c r="E93" s="36">
        <v>-128625</v>
      </c>
      <c r="F93" s="37">
        <v>-1945.8389999999999</v>
      </c>
      <c r="G93" s="38">
        <f t="shared" si="0"/>
        <v>-1.1593067643283496E-2</v>
      </c>
      <c r="H93" s="29" t="s">
        <v>143</v>
      </c>
    </row>
    <row r="94" spans="1:8" x14ac:dyDescent="0.2">
      <c r="A94" s="35">
        <v>6</v>
      </c>
      <c r="B94" s="22"/>
      <c r="C94" s="22" t="s">
        <v>1045</v>
      </c>
      <c r="D94" s="22" t="s">
        <v>534</v>
      </c>
      <c r="E94" s="36">
        <v>-96500</v>
      </c>
      <c r="F94" s="37">
        <v>-1949.9755</v>
      </c>
      <c r="G94" s="38">
        <f t="shared" si="0"/>
        <v>-1.1617712397708936E-2</v>
      </c>
      <c r="H94" s="29" t="s">
        <v>143</v>
      </c>
    </row>
    <row r="95" spans="1:8" x14ac:dyDescent="0.2">
      <c r="A95" s="35">
        <v>7</v>
      </c>
      <c r="B95" s="22"/>
      <c r="C95" s="22" t="s">
        <v>997</v>
      </c>
      <c r="D95" s="22" t="s">
        <v>534</v>
      </c>
      <c r="E95" s="36">
        <v>-147000</v>
      </c>
      <c r="F95" s="37">
        <v>-2018.604</v>
      </c>
      <c r="G95" s="38">
        <f t="shared" si="0"/>
        <v>-1.2026592496605648E-2</v>
      </c>
      <c r="H95" s="29" t="s">
        <v>143</v>
      </c>
    </row>
    <row r="96" spans="1:8" x14ac:dyDescent="0.2">
      <c r="A96" s="35">
        <v>8</v>
      </c>
      <c r="B96" s="22"/>
      <c r="C96" s="22" t="s">
        <v>983</v>
      </c>
      <c r="D96" s="22" t="s">
        <v>534</v>
      </c>
      <c r="E96" s="36">
        <v>-110800</v>
      </c>
      <c r="F96" s="37">
        <v>-2221.4292</v>
      </c>
      <c r="G96" s="38">
        <f t="shared" si="0"/>
        <v>-1.3234999905112984E-2</v>
      </c>
      <c r="H96" s="29" t="s">
        <v>143</v>
      </c>
    </row>
    <row r="97" spans="1:8" x14ac:dyDescent="0.2">
      <c r="A97" s="35">
        <v>9</v>
      </c>
      <c r="B97" s="22"/>
      <c r="C97" s="22" t="s">
        <v>1052</v>
      </c>
      <c r="D97" s="22" t="s">
        <v>534</v>
      </c>
      <c r="E97" s="36">
        <v>-1917000</v>
      </c>
      <c r="F97" s="37">
        <v>-2388.5819999999999</v>
      </c>
      <c r="G97" s="38">
        <f t="shared" si="0"/>
        <v>-1.4230875574767172E-2</v>
      </c>
      <c r="H97" s="29" t="s">
        <v>143</v>
      </c>
    </row>
    <row r="98" spans="1:8" x14ac:dyDescent="0.2">
      <c r="A98" s="35">
        <v>10</v>
      </c>
      <c r="B98" s="22"/>
      <c r="C98" s="22" t="s">
        <v>993</v>
      </c>
      <c r="D98" s="22" t="s">
        <v>534</v>
      </c>
      <c r="E98" s="36">
        <v>-128725</v>
      </c>
      <c r="F98" s="37">
        <v>-2435.2195499999998</v>
      </c>
      <c r="G98" s="38">
        <f t="shared" si="0"/>
        <v>-1.4508736318573322E-2</v>
      </c>
      <c r="H98" s="29" t="s">
        <v>143</v>
      </c>
    </row>
    <row r="99" spans="1:8" x14ac:dyDescent="0.2">
      <c r="A99" s="35">
        <v>11</v>
      </c>
      <c r="B99" s="22"/>
      <c r="C99" s="22" t="s">
        <v>987</v>
      </c>
      <c r="D99" s="22" t="s">
        <v>534</v>
      </c>
      <c r="E99" s="36">
        <v>-936000</v>
      </c>
      <c r="F99" s="37">
        <v>-2437.1568000000002</v>
      </c>
      <c r="G99" s="38">
        <f t="shared" si="0"/>
        <v>-1.4520278214018913E-2</v>
      </c>
      <c r="H99" s="29" t="s">
        <v>143</v>
      </c>
    </row>
    <row r="100" spans="1:8" ht="25.5" x14ac:dyDescent="0.2">
      <c r="A100" s="35">
        <v>12</v>
      </c>
      <c r="B100" s="22"/>
      <c r="C100" s="22" t="s">
        <v>1053</v>
      </c>
      <c r="D100" s="22" t="s">
        <v>534</v>
      </c>
      <c r="E100" s="36">
        <v>-892400</v>
      </c>
      <c r="F100" s="37">
        <v>-2926.1795999999999</v>
      </c>
      <c r="G100" s="38">
        <f t="shared" si="0"/>
        <v>-1.7433815459139343E-2</v>
      </c>
      <c r="H100" s="29" t="s">
        <v>143</v>
      </c>
    </row>
    <row r="101" spans="1:8" x14ac:dyDescent="0.2">
      <c r="A101" s="35">
        <v>13</v>
      </c>
      <c r="B101" s="22"/>
      <c r="C101" s="22" t="s">
        <v>996</v>
      </c>
      <c r="D101" s="22" t="s">
        <v>534</v>
      </c>
      <c r="E101" s="36">
        <v>-226800</v>
      </c>
      <c r="F101" s="37">
        <v>-3078.81</v>
      </c>
      <c r="G101" s="38">
        <f t="shared" si="0"/>
        <v>-1.8343168469137302E-2</v>
      </c>
      <c r="H101" s="29" t="s">
        <v>143</v>
      </c>
    </row>
    <row r="102" spans="1:8" x14ac:dyDescent="0.2">
      <c r="A102" s="39"/>
      <c r="B102" s="39"/>
      <c r="C102" s="40" t="s">
        <v>142</v>
      </c>
      <c r="D102" s="39"/>
      <c r="E102" s="39" t="s">
        <v>143</v>
      </c>
      <c r="F102" s="41">
        <v>-25571.982599999999</v>
      </c>
      <c r="G102" s="42">
        <v>-0.15235472</v>
      </c>
      <c r="H102" s="29" t="s">
        <v>143</v>
      </c>
    </row>
    <row r="103" spans="1:8" x14ac:dyDescent="0.2">
      <c r="A103" s="39"/>
      <c r="B103" s="39"/>
      <c r="C103" s="43"/>
      <c r="D103" s="39"/>
      <c r="E103" s="39"/>
      <c r="F103" s="44"/>
      <c r="G103" s="44"/>
      <c r="H103" s="29" t="s">
        <v>143</v>
      </c>
    </row>
    <row r="104" spans="1:8" x14ac:dyDescent="0.2">
      <c r="A104" s="39"/>
      <c r="B104" s="39"/>
      <c r="C104" s="40" t="s">
        <v>150</v>
      </c>
      <c r="D104" s="39"/>
      <c r="E104" s="39"/>
      <c r="F104" s="41">
        <f>F86+F70</f>
        <v>129635.14949120001</v>
      </c>
      <c r="G104" s="42">
        <f>G86+G70</f>
        <v>0.77235019032331431</v>
      </c>
      <c r="H104" s="29" t="s">
        <v>143</v>
      </c>
    </row>
    <row r="105" spans="1:8" x14ac:dyDescent="0.2">
      <c r="A105" s="39"/>
      <c r="B105" s="39"/>
      <c r="C105" s="43"/>
      <c r="D105" s="39"/>
      <c r="E105" s="39"/>
      <c r="F105" s="44"/>
      <c r="G105" s="44"/>
      <c r="H105" s="29" t="s">
        <v>143</v>
      </c>
    </row>
    <row r="106" spans="1:8" x14ac:dyDescent="0.2">
      <c r="A106" s="39"/>
      <c r="B106" s="39"/>
      <c r="C106" s="40" t="s">
        <v>151</v>
      </c>
      <c r="D106" s="39"/>
      <c r="E106" s="39"/>
      <c r="F106" s="44"/>
      <c r="G106" s="44"/>
      <c r="H106" s="29" t="s">
        <v>143</v>
      </c>
    </row>
    <row r="107" spans="1:8" x14ac:dyDescent="0.2">
      <c r="A107" s="39"/>
      <c r="B107" s="39"/>
      <c r="C107" s="40" t="s">
        <v>10</v>
      </c>
      <c r="D107" s="39"/>
      <c r="E107" s="39"/>
      <c r="F107" s="44"/>
      <c r="G107" s="44"/>
      <c r="H107" s="29" t="s">
        <v>143</v>
      </c>
    </row>
    <row r="108" spans="1:8" x14ac:dyDescent="0.2">
      <c r="A108" s="35">
        <v>1</v>
      </c>
      <c r="B108" s="22" t="s">
        <v>662</v>
      </c>
      <c r="C108" s="22" t="s">
        <v>663</v>
      </c>
      <c r="D108" s="22" t="s">
        <v>540</v>
      </c>
      <c r="E108" s="36">
        <v>2500</v>
      </c>
      <c r="F108" s="37">
        <v>2552.8150000000001</v>
      </c>
      <c r="G108" s="38">
        <v>1.520936E-2</v>
      </c>
      <c r="H108" s="29">
        <v>6.89</v>
      </c>
    </row>
    <row r="109" spans="1:8" x14ac:dyDescent="0.2">
      <c r="A109" s="35">
        <v>2</v>
      </c>
      <c r="B109" s="22" t="s">
        <v>550</v>
      </c>
      <c r="C109" s="22" t="s">
        <v>551</v>
      </c>
      <c r="D109" s="22" t="s">
        <v>537</v>
      </c>
      <c r="E109" s="36">
        <v>150</v>
      </c>
      <c r="F109" s="37">
        <v>1550.5260000000001</v>
      </c>
      <c r="G109" s="38">
        <v>9.2378400000000006E-3</v>
      </c>
      <c r="H109" s="29">
        <v>7.4092000000000002</v>
      </c>
    </row>
    <row r="110" spans="1:8" ht="25.5" x14ac:dyDescent="0.2">
      <c r="A110" s="35">
        <v>3</v>
      </c>
      <c r="B110" s="22" t="s">
        <v>558</v>
      </c>
      <c r="C110" s="22" t="s">
        <v>559</v>
      </c>
      <c r="D110" s="22" t="s">
        <v>540</v>
      </c>
      <c r="E110" s="36">
        <v>1500</v>
      </c>
      <c r="F110" s="37">
        <v>1524.5084999999999</v>
      </c>
      <c r="G110" s="38">
        <v>9.0828300000000001E-3</v>
      </c>
      <c r="H110" s="29">
        <v>6.81</v>
      </c>
    </row>
    <row r="111" spans="1:8" ht="25.5" x14ac:dyDescent="0.2">
      <c r="A111" s="35">
        <v>4</v>
      </c>
      <c r="B111" s="22" t="s">
        <v>664</v>
      </c>
      <c r="C111" s="22" t="s">
        <v>665</v>
      </c>
      <c r="D111" s="22" t="s">
        <v>537</v>
      </c>
      <c r="E111" s="36">
        <v>1500</v>
      </c>
      <c r="F111" s="37">
        <v>1509.5429999999999</v>
      </c>
      <c r="G111" s="38">
        <v>8.9936700000000005E-3</v>
      </c>
      <c r="H111" s="29">
        <v>6.6849999999999996</v>
      </c>
    </row>
    <row r="112" spans="1:8" ht="25.5" x14ac:dyDescent="0.2">
      <c r="A112" s="35">
        <v>5</v>
      </c>
      <c r="B112" s="22" t="s">
        <v>541</v>
      </c>
      <c r="C112" s="22" t="s">
        <v>542</v>
      </c>
      <c r="D112" s="22" t="s">
        <v>540</v>
      </c>
      <c r="E112" s="36">
        <v>1500</v>
      </c>
      <c r="F112" s="37">
        <v>1495.6695</v>
      </c>
      <c r="G112" s="38">
        <v>8.9110100000000005E-3</v>
      </c>
      <c r="H112" s="29">
        <v>6.77</v>
      </c>
    </row>
    <row r="113" spans="1:8" ht="25.5" x14ac:dyDescent="0.2">
      <c r="A113" s="35">
        <v>6</v>
      </c>
      <c r="B113" s="22" t="s">
        <v>575</v>
      </c>
      <c r="C113" s="22" t="s">
        <v>576</v>
      </c>
      <c r="D113" s="22" t="s">
        <v>540</v>
      </c>
      <c r="E113" s="36">
        <v>1000</v>
      </c>
      <c r="F113" s="37">
        <v>1039.6669999999999</v>
      </c>
      <c r="G113" s="38">
        <v>6.1942100000000003E-3</v>
      </c>
      <c r="H113" s="29">
        <v>7.25</v>
      </c>
    </row>
    <row r="114" spans="1:8" x14ac:dyDescent="0.2">
      <c r="A114" s="35">
        <v>7</v>
      </c>
      <c r="B114" s="22" t="s">
        <v>598</v>
      </c>
      <c r="C114" s="22" t="s">
        <v>599</v>
      </c>
      <c r="D114" s="22" t="s">
        <v>540</v>
      </c>
      <c r="E114" s="36">
        <v>1000</v>
      </c>
      <c r="F114" s="37">
        <v>1006.89</v>
      </c>
      <c r="G114" s="38">
        <v>5.9989300000000004E-3</v>
      </c>
      <c r="H114" s="29">
        <v>6.5513000000000003</v>
      </c>
    </row>
    <row r="115" spans="1:8" x14ac:dyDescent="0.2">
      <c r="A115" s="35">
        <v>8</v>
      </c>
      <c r="B115" s="22" t="s">
        <v>666</v>
      </c>
      <c r="C115" s="22" t="s">
        <v>667</v>
      </c>
      <c r="D115" s="22" t="s">
        <v>537</v>
      </c>
      <c r="E115" s="36">
        <v>100</v>
      </c>
      <c r="F115" s="37">
        <v>1002.033</v>
      </c>
      <c r="G115" s="38">
        <v>5.9699899999999997E-3</v>
      </c>
      <c r="H115" s="29">
        <v>6.125</v>
      </c>
    </row>
    <row r="116" spans="1:8" x14ac:dyDescent="0.2">
      <c r="A116" s="35">
        <v>9</v>
      </c>
      <c r="B116" s="22" t="s">
        <v>589</v>
      </c>
      <c r="C116" s="22" t="s">
        <v>590</v>
      </c>
      <c r="D116" s="22" t="s">
        <v>537</v>
      </c>
      <c r="E116" s="36">
        <v>50</v>
      </c>
      <c r="F116" s="37">
        <v>497.38400000000001</v>
      </c>
      <c r="G116" s="38">
        <v>2.96335E-3</v>
      </c>
      <c r="H116" s="29">
        <v>6.74</v>
      </c>
    </row>
    <row r="117" spans="1:8" x14ac:dyDescent="0.2">
      <c r="A117" s="39"/>
      <c r="B117" s="39"/>
      <c r="C117" s="40" t="s">
        <v>142</v>
      </c>
      <c r="D117" s="39"/>
      <c r="E117" s="39" t="s">
        <v>143</v>
      </c>
      <c r="F117" s="41">
        <v>12179.036</v>
      </c>
      <c r="G117" s="42">
        <v>7.2561189999999998E-2</v>
      </c>
      <c r="H117" s="29" t="s">
        <v>143</v>
      </c>
    </row>
    <row r="118" spans="1:8" x14ac:dyDescent="0.2">
      <c r="A118" s="39"/>
      <c r="B118" s="39"/>
      <c r="C118" s="43"/>
      <c r="D118" s="39"/>
      <c r="E118" s="39"/>
      <c r="F118" s="44"/>
      <c r="G118" s="44"/>
      <c r="H118" s="29" t="s">
        <v>143</v>
      </c>
    </row>
    <row r="119" spans="1:8" x14ac:dyDescent="0.2">
      <c r="A119" s="39"/>
      <c r="B119" s="39"/>
      <c r="C119" s="40" t="s">
        <v>152</v>
      </c>
      <c r="D119" s="39"/>
      <c r="E119" s="39"/>
      <c r="F119" s="39"/>
      <c r="G119" s="39"/>
      <c r="H119" s="29" t="s">
        <v>143</v>
      </c>
    </row>
    <row r="120" spans="1:8" x14ac:dyDescent="0.2">
      <c r="A120" s="39"/>
      <c r="B120" s="39"/>
      <c r="C120" s="40" t="s">
        <v>142</v>
      </c>
      <c r="D120" s="39"/>
      <c r="E120" s="39" t="s">
        <v>143</v>
      </c>
      <c r="F120" s="45" t="s">
        <v>145</v>
      </c>
      <c r="G120" s="42">
        <v>0</v>
      </c>
      <c r="H120" s="29" t="s">
        <v>143</v>
      </c>
    </row>
    <row r="121" spans="1:8" x14ac:dyDescent="0.2">
      <c r="A121" s="39"/>
      <c r="B121" s="39"/>
      <c r="C121" s="43"/>
      <c r="D121" s="39"/>
      <c r="E121" s="39"/>
      <c r="F121" s="44"/>
      <c r="G121" s="44"/>
      <c r="H121" s="29" t="s">
        <v>143</v>
      </c>
    </row>
    <row r="122" spans="1:8" x14ac:dyDescent="0.2">
      <c r="A122" s="39"/>
      <c r="B122" s="39"/>
      <c r="C122" s="40" t="s">
        <v>153</v>
      </c>
      <c r="D122" s="39"/>
      <c r="E122" s="39"/>
      <c r="F122" s="39"/>
      <c r="G122" s="39"/>
      <c r="H122" s="29" t="s">
        <v>143</v>
      </c>
    </row>
    <row r="123" spans="1:8" x14ac:dyDescent="0.2">
      <c r="A123" s="35">
        <v>1</v>
      </c>
      <c r="B123" s="22" t="s">
        <v>608</v>
      </c>
      <c r="C123" s="22" t="s">
        <v>1136</v>
      </c>
      <c r="D123" s="22" t="s">
        <v>610</v>
      </c>
      <c r="E123" s="36">
        <v>8500000</v>
      </c>
      <c r="F123" s="37">
        <v>8748.4634999999998</v>
      </c>
      <c r="G123" s="38">
        <v>5.2122259999999997E-2</v>
      </c>
      <c r="H123" s="29">
        <v>6.7552000000000003</v>
      </c>
    </row>
    <row r="124" spans="1:8" x14ac:dyDescent="0.2">
      <c r="A124" s="35">
        <v>2</v>
      </c>
      <c r="B124" s="22" t="s">
        <v>668</v>
      </c>
      <c r="C124" s="22" t="s">
        <v>1141</v>
      </c>
      <c r="D124" s="22" t="s">
        <v>610</v>
      </c>
      <c r="E124" s="36">
        <v>3000000</v>
      </c>
      <c r="F124" s="37">
        <v>3134.34</v>
      </c>
      <c r="G124" s="38">
        <v>1.8674010000000001E-2</v>
      </c>
      <c r="H124" s="29">
        <v>6.3794000000000004</v>
      </c>
    </row>
    <row r="125" spans="1:8" x14ac:dyDescent="0.2">
      <c r="A125" s="35">
        <v>3</v>
      </c>
      <c r="B125" s="22" t="s">
        <v>611</v>
      </c>
      <c r="C125" s="22" t="s">
        <v>1135</v>
      </c>
      <c r="D125" s="22" t="s">
        <v>610</v>
      </c>
      <c r="E125" s="36">
        <v>3000000</v>
      </c>
      <c r="F125" s="37">
        <v>3093.5970000000002</v>
      </c>
      <c r="G125" s="38">
        <v>1.843127E-2</v>
      </c>
      <c r="H125" s="29">
        <v>6.9898999999999996</v>
      </c>
    </row>
    <row r="126" spans="1:8" x14ac:dyDescent="0.2">
      <c r="A126" s="35">
        <v>4</v>
      </c>
      <c r="B126" s="22" t="s">
        <v>654</v>
      </c>
      <c r="C126" s="22" t="s">
        <v>655</v>
      </c>
      <c r="D126" s="22" t="s">
        <v>610</v>
      </c>
      <c r="E126" s="36">
        <v>3000000</v>
      </c>
      <c r="F126" s="37">
        <v>3079.6709999999998</v>
      </c>
      <c r="G126" s="38">
        <v>1.8348300000000001E-2</v>
      </c>
      <c r="H126" s="29">
        <v>5.8102999999999998</v>
      </c>
    </row>
    <row r="127" spans="1:8" x14ac:dyDescent="0.2">
      <c r="A127" s="35">
        <v>5</v>
      </c>
      <c r="B127" s="22" t="s">
        <v>617</v>
      </c>
      <c r="C127" s="22" t="s">
        <v>618</v>
      </c>
      <c r="D127" s="22" t="s">
        <v>610</v>
      </c>
      <c r="E127" s="36">
        <v>1500000</v>
      </c>
      <c r="F127" s="37">
        <v>1511.4960000000001</v>
      </c>
      <c r="G127" s="38">
        <v>9.0053100000000007E-3</v>
      </c>
      <c r="H127" s="29">
        <v>7.4123999999999999</v>
      </c>
    </row>
    <row r="128" spans="1:8" x14ac:dyDescent="0.2">
      <c r="A128" s="35">
        <v>6</v>
      </c>
      <c r="B128" s="22" t="s">
        <v>669</v>
      </c>
      <c r="C128" s="22" t="s">
        <v>670</v>
      </c>
      <c r="D128" s="22" t="s">
        <v>610</v>
      </c>
      <c r="E128" s="36">
        <v>1000000</v>
      </c>
      <c r="F128" s="37">
        <v>1036.299</v>
      </c>
      <c r="G128" s="38">
        <v>6.1741399999999998E-3</v>
      </c>
      <c r="H128" s="29">
        <v>6.3365</v>
      </c>
    </row>
    <row r="129" spans="1:8" ht="25.5" x14ac:dyDescent="0.2">
      <c r="A129" s="35">
        <v>7</v>
      </c>
      <c r="B129" s="22" t="s">
        <v>622</v>
      </c>
      <c r="C129" s="22" t="s">
        <v>623</v>
      </c>
      <c r="D129" s="22" t="s">
        <v>610</v>
      </c>
      <c r="E129" s="36">
        <v>500000</v>
      </c>
      <c r="F129" s="37">
        <v>506.41199999999998</v>
      </c>
      <c r="G129" s="38">
        <v>3.0171400000000002E-3</v>
      </c>
      <c r="H129" s="29">
        <v>7.3651</v>
      </c>
    </row>
    <row r="130" spans="1:8" ht="25.5" x14ac:dyDescent="0.2">
      <c r="A130" s="35">
        <v>8</v>
      </c>
      <c r="B130" s="22" t="s">
        <v>621</v>
      </c>
      <c r="C130" s="31" t="s">
        <v>999</v>
      </c>
      <c r="D130" s="22" t="s">
        <v>610</v>
      </c>
      <c r="E130" s="36">
        <v>500000</v>
      </c>
      <c r="F130" s="37">
        <v>504.97699999999998</v>
      </c>
      <c r="G130" s="38">
        <v>3.0085899999999998E-3</v>
      </c>
      <c r="H130" s="29">
        <v>6.8044040093347622</v>
      </c>
    </row>
    <row r="131" spans="1:8" x14ac:dyDescent="0.2">
      <c r="A131" s="39"/>
      <c r="B131" s="39"/>
      <c r="C131" s="40" t="s">
        <v>142</v>
      </c>
      <c r="D131" s="39"/>
      <c r="E131" s="39" t="s">
        <v>143</v>
      </c>
      <c r="F131" s="41">
        <v>21615.255499999999</v>
      </c>
      <c r="G131" s="42">
        <v>0.12878102</v>
      </c>
      <c r="H131" s="29" t="s">
        <v>143</v>
      </c>
    </row>
    <row r="132" spans="1:8" x14ac:dyDescent="0.2">
      <c r="A132" s="39"/>
      <c r="B132" s="39"/>
      <c r="C132" s="43"/>
      <c r="D132" s="39"/>
      <c r="E132" s="39"/>
      <c r="F132" s="44"/>
      <c r="G132" s="44"/>
      <c r="H132" s="29" t="s">
        <v>143</v>
      </c>
    </row>
    <row r="133" spans="1:8" x14ac:dyDescent="0.2">
      <c r="A133" s="39"/>
      <c r="B133" s="39"/>
      <c r="C133" s="40" t="s">
        <v>154</v>
      </c>
      <c r="D133" s="39"/>
      <c r="E133" s="39"/>
      <c r="F133" s="44"/>
      <c r="G133" s="44"/>
      <c r="H133" s="29" t="s">
        <v>143</v>
      </c>
    </row>
    <row r="134" spans="1:8" x14ac:dyDescent="0.2">
      <c r="A134" s="39"/>
      <c r="B134" s="39"/>
      <c r="C134" s="40" t="s">
        <v>142</v>
      </c>
      <c r="D134" s="39"/>
      <c r="E134" s="39" t="s">
        <v>143</v>
      </c>
      <c r="F134" s="45" t="s">
        <v>145</v>
      </c>
      <c r="G134" s="42">
        <v>0</v>
      </c>
      <c r="H134" s="29" t="s">
        <v>143</v>
      </c>
    </row>
    <row r="135" spans="1:8" x14ac:dyDescent="0.2">
      <c r="A135" s="39"/>
      <c r="B135" s="39"/>
      <c r="C135" s="43"/>
      <c r="D135" s="39"/>
      <c r="E135" s="39"/>
      <c r="F135" s="44"/>
      <c r="G135" s="44"/>
      <c r="H135" s="29" t="s">
        <v>143</v>
      </c>
    </row>
    <row r="136" spans="1:8" x14ac:dyDescent="0.2">
      <c r="A136" s="39"/>
      <c r="B136" s="39"/>
      <c r="C136" s="40" t="s">
        <v>155</v>
      </c>
      <c r="D136" s="39"/>
      <c r="E136" s="39"/>
      <c r="F136" s="41">
        <v>33794.291499999999</v>
      </c>
      <c r="G136" s="42">
        <v>0.20134220999999999</v>
      </c>
      <c r="H136" s="29" t="s">
        <v>143</v>
      </c>
    </row>
    <row r="137" spans="1:8" x14ac:dyDescent="0.2">
      <c r="A137" s="39"/>
      <c r="B137" s="39"/>
      <c r="C137" s="43"/>
      <c r="D137" s="39"/>
      <c r="E137" s="39"/>
      <c r="F137" s="44"/>
      <c r="G137" s="44"/>
      <c r="H137" s="29" t="s">
        <v>143</v>
      </c>
    </row>
    <row r="138" spans="1:8" x14ac:dyDescent="0.2">
      <c r="A138" s="39"/>
      <c r="B138" s="39"/>
      <c r="C138" s="40" t="s">
        <v>156</v>
      </c>
      <c r="D138" s="39"/>
      <c r="E138" s="39"/>
      <c r="F138" s="44"/>
      <c r="G138" s="44"/>
      <c r="H138" s="29" t="s">
        <v>143</v>
      </c>
    </row>
    <row r="139" spans="1:8" x14ac:dyDescent="0.2">
      <c r="A139" s="39"/>
      <c r="B139" s="39"/>
      <c r="C139" s="40" t="s">
        <v>157</v>
      </c>
      <c r="D139" s="39"/>
      <c r="E139" s="39"/>
      <c r="F139" s="44"/>
      <c r="G139" s="44"/>
      <c r="H139" s="29" t="s">
        <v>143</v>
      </c>
    </row>
    <row r="140" spans="1:8" x14ac:dyDescent="0.2">
      <c r="A140" s="39"/>
      <c r="B140" s="39"/>
      <c r="C140" s="40" t="s">
        <v>142</v>
      </c>
      <c r="D140" s="39"/>
      <c r="E140" s="39" t="s">
        <v>143</v>
      </c>
      <c r="F140" s="45" t="s">
        <v>145</v>
      </c>
      <c r="G140" s="42">
        <v>0</v>
      </c>
      <c r="H140" s="29" t="s">
        <v>143</v>
      </c>
    </row>
    <row r="141" spans="1:8" x14ac:dyDescent="0.2">
      <c r="A141" s="39"/>
      <c r="B141" s="39"/>
      <c r="C141" s="43"/>
      <c r="D141" s="39"/>
      <c r="E141" s="39"/>
      <c r="F141" s="44"/>
      <c r="G141" s="44"/>
      <c r="H141" s="29" t="s">
        <v>143</v>
      </c>
    </row>
    <row r="142" spans="1:8" x14ac:dyDescent="0.2">
      <c r="A142" s="39"/>
      <c r="B142" s="39"/>
      <c r="C142" s="40" t="s">
        <v>158</v>
      </c>
      <c r="D142" s="39"/>
      <c r="E142" s="39"/>
      <c r="F142" s="44"/>
      <c r="G142" s="44"/>
      <c r="H142" s="29" t="s">
        <v>143</v>
      </c>
    </row>
    <row r="143" spans="1:8" x14ac:dyDescent="0.2">
      <c r="A143" s="39"/>
      <c r="B143" s="39"/>
      <c r="C143" s="40" t="s">
        <v>142</v>
      </c>
      <c r="D143" s="39"/>
      <c r="E143" s="39" t="s">
        <v>143</v>
      </c>
      <c r="F143" s="45" t="s">
        <v>145</v>
      </c>
      <c r="G143" s="42">
        <v>0</v>
      </c>
      <c r="H143" s="29" t="s">
        <v>143</v>
      </c>
    </row>
    <row r="144" spans="1:8" x14ac:dyDescent="0.2">
      <c r="A144" s="39"/>
      <c r="B144" s="39"/>
      <c r="C144" s="43"/>
      <c r="D144" s="39"/>
      <c r="E144" s="39"/>
      <c r="F144" s="44"/>
      <c r="G144" s="44"/>
      <c r="H144" s="29" t="s">
        <v>143</v>
      </c>
    </row>
    <row r="145" spans="1:8" x14ac:dyDescent="0.2">
      <c r="A145" s="39"/>
      <c r="B145" s="39"/>
      <c r="C145" s="40" t="s">
        <v>159</v>
      </c>
      <c r="D145" s="39"/>
      <c r="E145" s="39"/>
      <c r="F145" s="44"/>
      <c r="G145" s="44"/>
      <c r="H145" s="29" t="s">
        <v>143</v>
      </c>
    </row>
    <row r="146" spans="1:8" x14ac:dyDescent="0.2">
      <c r="A146" s="39"/>
      <c r="B146" s="39"/>
      <c r="C146" s="40" t="s">
        <v>142</v>
      </c>
      <c r="D146" s="39"/>
      <c r="E146" s="39" t="s">
        <v>143</v>
      </c>
      <c r="F146" s="45" t="s">
        <v>145</v>
      </c>
      <c r="G146" s="42">
        <v>0</v>
      </c>
      <c r="H146" s="29" t="s">
        <v>143</v>
      </c>
    </row>
    <row r="147" spans="1:8" x14ac:dyDescent="0.2">
      <c r="A147" s="39"/>
      <c r="B147" s="39"/>
      <c r="C147" s="43"/>
      <c r="D147" s="39"/>
      <c r="E147" s="39"/>
      <c r="F147" s="44"/>
      <c r="G147" s="44"/>
      <c r="H147" s="29" t="s">
        <v>143</v>
      </c>
    </row>
    <row r="148" spans="1:8" x14ac:dyDescent="0.2">
      <c r="A148" s="39"/>
      <c r="B148" s="39"/>
      <c r="C148" s="40" t="s">
        <v>160</v>
      </c>
      <c r="D148" s="39"/>
      <c r="E148" s="39"/>
      <c r="F148" s="44"/>
      <c r="G148" s="44"/>
      <c r="H148" s="29" t="s">
        <v>143</v>
      </c>
    </row>
    <row r="149" spans="1:8" x14ac:dyDescent="0.2">
      <c r="A149" s="35">
        <v>1</v>
      </c>
      <c r="B149" s="22"/>
      <c r="C149" s="22" t="s">
        <v>161</v>
      </c>
      <c r="D149" s="22"/>
      <c r="E149" s="46"/>
      <c r="F149" s="37">
        <v>2726.7571049899998</v>
      </c>
      <c r="G149" s="38">
        <v>1.6245679999999998E-2</v>
      </c>
      <c r="H149" s="29">
        <v>5.51</v>
      </c>
    </row>
    <row r="150" spans="1:8" x14ac:dyDescent="0.2">
      <c r="A150" s="39"/>
      <c r="B150" s="39"/>
      <c r="C150" s="40" t="s">
        <v>142</v>
      </c>
      <c r="D150" s="39"/>
      <c r="E150" s="39" t="s">
        <v>143</v>
      </c>
      <c r="F150" s="41">
        <v>2726.7571049899998</v>
      </c>
      <c r="G150" s="42">
        <v>1.6245679999999998E-2</v>
      </c>
      <c r="H150" s="29" t="s">
        <v>143</v>
      </c>
    </row>
    <row r="151" spans="1:8" x14ac:dyDescent="0.2">
      <c r="A151" s="39"/>
      <c r="B151" s="39"/>
      <c r="C151" s="43"/>
      <c r="D151" s="39"/>
      <c r="E151" s="39"/>
      <c r="F151" s="44"/>
      <c r="G151" s="44"/>
      <c r="H151" s="29" t="s">
        <v>143</v>
      </c>
    </row>
    <row r="152" spans="1:8" x14ac:dyDescent="0.2">
      <c r="A152" s="39"/>
      <c r="B152" s="39"/>
      <c r="C152" s="40" t="s">
        <v>162</v>
      </c>
      <c r="D152" s="39"/>
      <c r="E152" s="39"/>
      <c r="F152" s="41">
        <v>2726.7571049899998</v>
      </c>
      <c r="G152" s="42">
        <v>1.6245679999999998E-2</v>
      </c>
      <c r="H152" s="29" t="s">
        <v>143</v>
      </c>
    </row>
    <row r="153" spans="1:8" x14ac:dyDescent="0.2">
      <c r="A153" s="39"/>
      <c r="B153" s="39"/>
      <c r="C153" s="44"/>
      <c r="D153" s="39"/>
      <c r="E153" s="39"/>
      <c r="F153" s="39"/>
      <c r="G153" s="39"/>
      <c r="H153" s="29" t="s">
        <v>143</v>
      </c>
    </row>
    <row r="154" spans="1:8" x14ac:dyDescent="0.2">
      <c r="A154" s="39"/>
      <c r="B154" s="39"/>
      <c r="C154" s="40" t="s">
        <v>163</v>
      </c>
      <c r="D154" s="39"/>
      <c r="E154" s="39"/>
      <c r="F154" s="39"/>
      <c r="G154" s="39"/>
      <c r="H154" s="29" t="s">
        <v>143</v>
      </c>
    </row>
    <row r="155" spans="1:8" x14ac:dyDescent="0.2">
      <c r="A155" s="39"/>
      <c r="B155" s="39"/>
      <c r="C155" s="40" t="s">
        <v>164</v>
      </c>
      <c r="D155" s="39"/>
      <c r="E155" s="39"/>
      <c r="F155" s="39"/>
      <c r="G155" s="39"/>
      <c r="H155" s="29" t="s">
        <v>143</v>
      </c>
    </row>
    <row r="156" spans="1:8" x14ac:dyDescent="0.2">
      <c r="A156" s="39"/>
      <c r="B156" s="39"/>
      <c r="C156" s="40" t="s">
        <v>142</v>
      </c>
      <c r="D156" s="39"/>
      <c r="E156" s="39" t="s">
        <v>143</v>
      </c>
      <c r="F156" s="45" t="s">
        <v>145</v>
      </c>
      <c r="G156" s="42">
        <v>0</v>
      </c>
      <c r="H156" s="29" t="s">
        <v>143</v>
      </c>
    </row>
    <row r="157" spans="1:8" x14ac:dyDescent="0.2">
      <c r="A157" s="39"/>
      <c r="B157" s="39"/>
      <c r="C157" s="43"/>
      <c r="D157" s="39"/>
      <c r="E157" s="39"/>
      <c r="F157" s="44"/>
      <c r="G157" s="44"/>
      <c r="H157" s="29" t="s">
        <v>143</v>
      </c>
    </row>
    <row r="158" spans="1:8" x14ac:dyDescent="0.2">
      <c r="A158" s="39"/>
      <c r="B158" s="39"/>
      <c r="C158" s="40" t="s">
        <v>165</v>
      </c>
      <c r="D158" s="39"/>
      <c r="E158" s="39"/>
      <c r="F158" s="39"/>
      <c r="G158" s="39"/>
      <c r="H158" s="29" t="s">
        <v>143</v>
      </c>
    </row>
    <row r="159" spans="1:8" x14ac:dyDescent="0.2">
      <c r="A159" s="39"/>
      <c r="B159" s="39"/>
      <c r="C159" s="40" t="s">
        <v>166</v>
      </c>
      <c r="D159" s="39"/>
      <c r="E159" s="39"/>
      <c r="F159" s="39"/>
      <c r="G159" s="39"/>
      <c r="H159" s="29" t="s">
        <v>143</v>
      </c>
    </row>
    <row r="160" spans="1:8" x14ac:dyDescent="0.2">
      <c r="A160" s="39"/>
      <c r="B160" s="39"/>
      <c r="C160" s="40" t="s">
        <v>142</v>
      </c>
      <c r="D160" s="39"/>
      <c r="E160" s="39" t="s">
        <v>143</v>
      </c>
      <c r="F160" s="45" t="s">
        <v>145</v>
      </c>
      <c r="G160" s="42">
        <v>0</v>
      </c>
      <c r="H160" s="29" t="s">
        <v>143</v>
      </c>
    </row>
    <row r="161" spans="1:17" x14ac:dyDescent="0.2">
      <c r="A161" s="39"/>
      <c r="B161" s="39"/>
      <c r="C161" s="43"/>
      <c r="D161" s="39"/>
      <c r="E161" s="39"/>
      <c r="F161" s="44"/>
      <c r="G161" s="44"/>
      <c r="H161" s="29" t="s">
        <v>143</v>
      </c>
    </row>
    <row r="162" spans="1:17" x14ac:dyDescent="0.2">
      <c r="A162" s="39"/>
      <c r="B162" s="39"/>
      <c r="C162" s="40" t="s">
        <v>167</v>
      </c>
      <c r="D162" s="39"/>
      <c r="E162" s="39"/>
      <c r="F162" s="44"/>
      <c r="G162" s="44"/>
      <c r="H162" s="29" t="s">
        <v>143</v>
      </c>
    </row>
    <row r="163" spans="1:17" x14ac:dyDescent="0.2">
      <c r="A163" s="39"/>
      <c r="B163" s="39"/>
      <c r="C163" s="40" t="s">
        <v>142</v>
      </c>
      <c r="D163" s="39"/>
      <c r="E163" s="39" t="s">
        <v>143</v>
      </c>
      <c r="F163" s="45" t="s">
        <v>145</v>
      </c>
      <c r="G163" s="42">
        <v>0</v>
      </c>
      <c r="H163" s="29" t="s">
        <v>143</v>
      </c>
    </row>
    <row r="164" spans="1:17" x14ac:dyDescent="0.2">
      <c r="A164" s="39"/>
      <c r="B164" s="39"/>
      <c r="C164" s="43"/>
      <c r="D164" s="39"/>
      <c r="E164" s="39"/>
      <c r="F164" s="44"/>
      <c r="G164" s="44"/>
      <c r="H164" s="29" t="s">
        <v>143</v>
      </c>
    </row>
    <row r="165" spans="1:17" x14ac:dyDescent="0.2">
      <c r="A165" s="46"/>
      <c r="B165" s="22"/>
      <c r="C165" s="22" t="s">
        <v>319</v>
      </c>
      <c r="D165" s="22"/>
      <c r="E165" s="46"/>
      <c r="F165" s="37">
        <v>1525.0017722</v>
      </c>
      <c r="G165" s="38">
        <v>9.08577E-3</v>
      </c>
      <c r="H165" s="29" t="s">
        <v>143</v>
      </c>
    </row>
    <row r="166" spans="1:17" x14ac:dyDescent="0.2">
      <c r="A166" s="46"/>
      <c r="B166" s="22"/>
      <c r="C166" s="31" t="s">
        <v>1000</v>
      </c>
      <c r="D166" s="22"/>
      <c r="E166" s="46"/>
      <c r="F166" s="37">
        <f>25735.83115823+F102</f>
        <v>163.8485582300018</v>
      </c>
      <c r="G166" s="38">
        <f>F166/F167</f>
        <v>9.7618940663378917E-4</v>
      </c>
      <c r="H166" s="29" t="s">
        <v>143</v>
      </c>
    </row>
    <row r="167" spans="1:17" x14ac:dyDescent="0.2">
      <c r="A167" s="43"/>
      <c r="B167" s="43"/>
      <c r="C167" s="40" t="s">
        <v>169</v>
      </c>
      <c r="D167" s="44"/>
      <c r="E167" s="44"/>
      <c r="F167" s="41">
        <f>F166+F165+F152+F136+F104</f>
        <v>167845.04842662002</v>
      </c>
      <c r="G167" s="47">
        <f>G166+G165+G152+G136+G104</f>
        <v>1.0000000397299482</v>
      </c>
      <c r="H167" s="29" t="s">
        <v>143</v>
      </c>
    </row>
    <row r="168" spans="1:17" x14ac:dyDescent="0.2">
      <c r="A168" s="48"/>
      <c r="B168" s="48"/>
      <c r="C168" s="49"/>
      <c r="D168" s="50"/>
      <c r="E168" s="50"/>
      <c r="F168" s="51"/>
      <c r="G168" s="52"/>
      <c r="H168" s="53"/>
    </row>
    <row r="169" spans="1:17" x14ac:dyDescent="0.2">
      <c r="A169" s="54"/>
      <c r="B169" s="243" t="s">
        <v>945</v>
      </c>
      <c r="C169" s="243"/>
      <c r="D169" s="243"/>
      <c r="E169" s="243"/>
      <c r="F169" s="243"/>
      <c r="G169" s="243"/>
      <c r="H169" s="243"/>
      <c r="J169" s="56"/>
    </row>
    <row r="170" spans="1:17" x14ac:dyDescent="0.2">
      <c r="A170" s="54"/>
      <c r="B170" s="243" t="s">
        <v>946</v>
      </c>
      <c r="C170" s="243"/>
      <c r="D170" s="243"/>
      <c r="E170" s="243"/>
      <c r="F170" s="243"/>
      <c r="G170" s="243"/>
      <c r="H170" s="243"/>
      <c r="J170" s="56"/>
    </row>
    <row r="171" spans="1:17" x14ac:dyDescent="0.2">
      <c r="A171" s="54"/>
      <c r="B171" s="243" t="s">
        <v>947</v>
      </c>
      <c r="C171" s="243"/>
      <c r="D171" s="243"/>
      <c r="E171" s="243"/>
      <c r="F171" s="243"/>
      <c r="G171" s="243"/>
      <c r="H171" s="243"/>
      <c r="J171" s="56"/>
    </row>
    <row r="172" spans="1:17" s="58" customFormat="1" ht="56.25" customHeight="1" x14ac:dyDescent="0.25">
      <c r="A172" s="57"/>
      <c r="B172" s="244" t="s">
        <v>948</v>
      </c>
      <c r="C172" s="244"/>
      <c r="D172" s="244"/>
      <c r="E172" s="244"/>
      <c r="F172" s="244"/>
      <c r="G172" s="244"/>
      <c r="H172" s="244"/>
      <c r="I172"/>
      <c r="J172" s="56"/>
      <c r="K172"/>
      <c r="L172"/>
      <c r="M172"/>
      <c r="N172"/>
      <c r="O172"/>
      <c r="P172"/>
      <c r="Q172"/>
    </row>
    <row r="173" spans="1:17" x14ac:dyDescent="0.2">
      <c r="A173" s="54"/>
      <c r="B173" s="243" t="s">
        <v>949</v>
      </c>
      <c r="C173" s="243"/>
      <c r="D173" s="243"/>
      <c r="E173" s="243"/>
      <c r="F173" s="243"/>
      <c r="G173" s="243"/>
      <c r="H173" s="243"/>
      <c r="J173" s="56"/>
    </row>
    <row r="174" spans="1:17" x14ac:dyDescent="0.2">
      <c r="A174" s="54"/>
      <c r="B174" s="54"/>
      <c r="C174" s="54"/>
      <c r="D174" s="59"/>
      <c r="E174" s="59"/>
      <c r="F174" s="59"/>
      <c r="G174" s="59"/>
    </row>
    <row r="175" spans="1:17" x14ac:dyDescent="0.2">
      <c r="A175" s="54"/>
      <c r="B175" s="247" t="s">
        <v>170</v>
      </c>
      <c r="C175" s="248"/>
      <c r="D175" s="249"/>
      <c r="E175" s="60"/>
      <c r="F175" s="59"/>
      <c r="G175" s="59"/>
    </row>
    <row r="176" spans="1:17" x14ac:dyDescent="0.2">
      <c r="A176" s="54"/>
      <c r="B176" s="240" t="s">
        <v>171</v>
      </c>
      <c r="C176" s="241"/>
      <c r="D176" s="28" t="s">
        <v>172</v>
      </c>
      <c r="E176" s="60"/>
      <c r="F176" s="59"/>
      <c r="G176" s="59"/>
    </row>
    <row r="177" spans="1:10" x14ac:dyDescent="0.2">
      <c r="A177" s="54"/>
      <c r="B177" s="240" t="s">
        <v>950</v>
      </c>
      <c r="C177" s="241"/>
      <c r="D177" s="28" t="s">
        <v>172</v>
      </c>
      <c r="E177" s="60"/>
      <c r="F177" s="59"/>
      <c r="G177" s="59"/>
    </row>
    <row r="178" spans="1:10" x14ac:dyDescent="0.2">
      <c r="A178" s="54"/>
      <c r="B178" s="240" t="s">
        <v>173</v>
      </c>
      <c r="C178" s="241"/>
      <c r="D178" s="61" t="s">
        <v>143</v>
      </c>
      <c r="E178" s="60"/>
      <c r="F178" s="59"/>
      <c r="G178" s="59"/>
    </row>
    <row r="179" spans="1:10" x14ac:dyDescent="0.2">
      <c r="A179" s="62"/>
      <c r="B179" s="63" t="s">
        <v>143</v>
      </c>
      <c r="C179" s="63" t="s">
        <v>951</v>
      </c>
      <c r="D179" s="63" t="s">
        <v>174</v>
      </c>
      <c r="E179" s="62"/>
      <c r="F179" s="62"/>
      <c r="G179" s="62"/>
      <c r="H179" s="62"/>
      <c r="J179" s="56"/>
    </row>
    <row r="180" spans="1:10" x14ac:dyDescent="0.2">
      <c r="A180" s="62"/>
      <c r="B180" s="64" t="s">
        <v>175</v>
      </c>
      <c r="C180" s="65">
        <v>45900</v>
      </c>
      <c r="D180" s="65">
        <v>45930</v>
      </c>
      <c r="E180" s="62"/>
      <c r="F180" s="62"/>
      <c r="G180" s="62"/>
      <c r="J180" s="56"/>
    </row>
    <row r="181" spans="1:10" x14ac:dyDescent="0.2">
      <c r="A181" s="66"/>
      <c r="B181" s="67" t="s">
        <v>176</v>
      </c>
      <c r="C181" s="68">
        <v>40.662399999999998</v>
      </c>
      <c r="D181" s="68">
        <v>41.1447</v>
      </c>
      <c r="E181" s="66"/>
      <c r="F181" s="69"/>
      <c r="G181" s="70"/>
    </row>
    <row r="182" spans="1:10" x14ac:dyDescent="0.2">
      <c r="A182" s="66"/>
      <c r="B182" s="91" t="s">
        <v>1077</v>
      </c>
      <c r="C182" s="68">
        <v>18.668299999999999</v>
      </c>
      <c r="D182" s="68">
        <v>18.752099999999999</v>
      </c>
      <c r="E182" s="66"/>
      <c r="F182" s="69"/>
      <c r="G182" s="70"/>
    </row>
    <row r="183" spans="1:10" x14ac:dyDescent="0.2">
      <c r="A183" s="66"/>
      <c r="B183" s="67" t="s">
        <v>177</v>
      </c>
      <c r="C183" s="68">
        <v>34.601900000000001</v>
      </c>
      <c r="D183" s="68">
        <v>34.970300000000002</v>
      </c>
      <c r="E183" s="66"/>
      <c r="F183" s="69"/>
      <c r="G183" s="70"/>
    </row>
    <row r="184" spans="1:10" x14ac:dyDescent="0.2">
      <c r="A184" s="66"/>
      <c r="B184" s="91" t="s">
        <v>1078</v>
      </c>
      <c r="C184" s="68">
        <v>15.243499999999999</v>
      </c>
      <c r="D184" s="68">
        <v>15.2928</v>
      </c>
      <c r="E184" s="66"/>
      <c r="F184" s="69"/>
      <c r="G184" s="70"/>
    </row>
    <row r="185" spans="1:10" x14ac:dyDescent="0.2">
      <c r="A185" s="66"/>
      <c r="B185" s="66"/>
      <c r="C185" s="66"/>
      <c r="D185" s="66"/>
      <c r="E185" s="66"/>
      <c r="F185" s="66"/>
      <c r="G185" s="66"/>
    </row>
    <row r="186" spans="1:10" x14ac:dyDescent="0.2">
      <c r="A186" s="66"/>
      <c r="B186" s="285" t="s">
        <v>952</v>
      </c>
      <c r="C186" s="286"/>
      <c r="D186" s="115" t="s">
        <v>143</v>
      </c>
      <c r="E186" s="66"/>
      <c r="F186" s="66"/>
      <c r="G186" s="66"/>
    </row>
    <row r="187" spans="1:10" x14ac:dyDescent="0.2">
      <c r="A187" s="66"/>
      <c r="B187" s="116" t="s">
        <v>175</v>
      </c>
      <c r="C187" s="117" t="s">
        <v>633</v>
      </c>
      <c r="D187" s="117" t="s">
        <v>634</v>
      </c>
      <c r="E187" s="66"/>
      <c r="F187" s="66"/>
      <c r="G187" s="66"/>
    </row>
    <row r="188" spans="1:10" x14ac:dyDescent="0.2">
      <c r="A188" s="66"/>
      <c r="B188" s="91" t="s">
        <v>1077</v>
      </c>
      <c r="C188" s="118">
        <v>0.14000000000000001</v>
      </c>
      <c r="D188" s="119" t="s">
        <v>671</v>
      </c>
      <c r="E188" s="66"/>
      <c r="F188" s="69"/>
      <c r="G188" s="70"/>
    </row>
    <row r="189" spans="1:10" x14ac:dyDescent="0.2">
      <c r="A189" s="66"/>
      <c r="B189" s="91" t="s">
        <v>1078</v>
      </c>
      <c r="C189" s="118">
        <v>0.115</v>
      </c>
      <c r="D189" s="118">
        <v>0.115</v>
      </c>
      <c r="E189" s="66"/>
      <c r="F189" s="69"/>
      <c r="G189" s="70"/>
    </row>
    <row r="190" spans="1:10" x14ac:dyDescent="0.2">
      <c r="A190" s="62"/>
      <c r="B190" s="120"/>
      <c r="C190" s="120"/>
      <c r="D190" s="121"/>
      <c r="E190" s="62"/>
      <c r="F190" s="122"/>
      <c r="G190" s="123"/>
    </row>
    <row r="191" spans="1:10" x14ac:dyDescent="0.2">
      <c r="A191" s="72"/>
      <c r="B191" s="240" t="s">
        <v>178</v>
      </c>
      <c r="C191" s="241"/>
      <c r="D191" s="28" t="s">
        <v>1002</v>
      </c>
      <c r="E191" s="74"/>
      <c r="F191" s="72"/>
      <c r="G191" s="72"/>
    </row>
    <row r="192" spans="1:10" x14ac:dyDescent="0.2">
      <c r="A192" s="72"/>
      <c r="B192" s="240" t="s">
        <v>179</v>
      </c>
      <c r="C192" s="241"/>
      <c r="D192" s="28" t="s">
        <v>172</v>
      </c>
      <c r="E192" s="74"/>
      <c r="F192" s="72"/>
      <c r="G192" s="72"/>
    </row>
    <row r="193" spans="1:7" ht="17.100000000000001" customHeight="1" x14ac:dyDescent="0.2">
      <c r="A193" s="72"/>
      <c r="B193" s="240" t="s">
        <v>180</v>
      </c>
      <c r="C193" s="241"/>
      <c r="D193" s="28" t="s">
        <v>172</v>
      </c>
      <c r="E193" s="74"/>
      <c r="F193" s="72"/>
      <c r="G193" s="72"/>
    </row>
    <row r="194" spans="1:7" ht="17.100000000000001" customHeight="1" x14ac:dyDescent="0.2">
      <c r="A194" s="72"/>
      <c r="B194" s="240" t="s">
        <v>181</v>
      </c>
      <c r="C194" s="241"/>
      <c r="D194" s="75">
        <v>2.9921940760809043</v>
      </c>
      <c r="E194" s="72"/>
      <c r="F194" s="55"/>
      <c r="G194" s="76"/>
    </row>
    <row r="196" spans="1:7" x14ac:dyDescent="0.2">
      <c r="B196" s="257" t="s">
        <v>1029</v>
      </c>
      <c r="C196" s="258"/>
      <c r="D196" s="259"/>
      <c r="F196" s="72"/>
      <c r="G196" s="72"/>
    </row>
    <row r="197" spans="1:7" ht="25.5" x14ac:dyDescent="0.2">
      <c r="B197" s="256" t="s">
        <v>1030</v>
      </c>
      <c r="C197" s="256"/>
      <c r="D197" s="102" t="s">
        <v>659</v>
      </c>
    </row>
    <row r="198" spans="1:7" x14ac:dyDescent="0.2">
      <c r="B198" s="256" t="s">
        <v>1031</v>
      </c>
      <c r="C198" s="256"/>
      <c r="D198" s="81"/>
    </row>
    <row r="199" spans="1:7" x14ac:dyDescent="0.2">
      <c r="B199" s="253"/>
      <c r="C199" s="255"/>
      <c r="D199" s="82"/>
    </row>
    <row r="200" spans="1:7" x14ac:dyDescent="0.2">
      <c r="B200" s="256" t="s">
        <v>1032</v>
      </c>
      <c r="C200" s="256"/>
      <c r="D200" s="83">
        <v>6.6298308650839139</v>
      </c>
    </row>
    <row r="201" spans="1:7" x14ac:dyDescent="0.2">
      <c r="B201" s="253"/>
      <c r="C201" s="255"/>
      <c r="D201" s="82"/>
    </row>
    <row r="202" spans="1:7" x14ac:dyDescent="0.2">
      <c r="B202" s="256" t="s">
        <v>1033</v>
      </c>
      <c r="C202" s="256"/>
      <c r="D202" s="83">
        <v>4.3320622420393562</v>
      </c>
    </row>
    <row r="203" spans="1:7" x14ac:dyDescent="0.2">
      <c r="B203" s="256" t="s">
        <v>1034</v>
      </c>
      <c r="C203" s="256"/>
      <c r="D203" s="83">
        <v>6.6733978118455672</v>
      </c>
    </row>
    <row r="204" spans="1:7" x14ac:dyDescent="0.2">
      <c r="B204" s="253"/>
      <c r="C204" s="255"/>
      <c r="D204" s="82"/>
    </row>
    <row r="205" spans="1:7" x14ac:dyDescent="0.2">
      <c r="B205" s="256" t="s">
        <v>1035</v>
      </c>
      <c r="C205" s="256"/>
      <c r="D205" s="84" t="s">
        <v>1040</v>
      </c>
    </row>
    <row r="206" spans="1:7" x14ac:dyDescent="0.2">
      <c r="B206" s="253" t="s">
        <v>1036</v>
      </c>
      <c r="C206" s="254"/>
      <c r="D206" s="255"/>
    </row>
    <row r="208" spans="1:7" x14ac:dyDescent="0.2">
      <c r="B208" s="239" t="s">
        <v>953</v>
      </c>
      <c r="C208" s="239"/>
    </row>
    <row r="210" spans="2:10" ht="153.75" customHeight="1" x14ac:dyDescent="0.2"/>
    <row r="213" spans="2:10" x14ac:dyDescent="0.2">
      <c r="B213" s="77" t="s">
        <v>954</v>
      </c>
      <c r="C213" s="78"/>
      <c r="D213" s="77"/>
    </row>
    <row r="214" spans="2:10" x14ac:dyDescent="0.2">
      <c r="B214" s="77" t="s">
        <v>1079</v>
      </c>
      <c r="D214" s="77"/>
    </row>
    <row r="215" spans="2:10" ht="165" customHeight="1" x14ac:dyDescent="0.2"/>
    <row r="217" spans="2:10" x14ac:dyDescent="0.2">
      <c r="J217" s="26"/>
    </row>
  </sheetData>
  <mergeCells count="29">
    <mergeCell ref="A1:H1"/>
    <mergeCell ref="A2:H2"/>
    <mergeCell ref="A3:H3"/>
    <mergeCell ref="B192:C192"/>
    <mergeCell ref="B169:H169"/>
    <mergeCell ref="B170:H170"/>
    <mergeCell ref="B171:H171"/>
    <mergeCell ref="B172:H172"/>
    <mergeCell ref="B173:H173"/>
    <mergeCell ref="B175:D175"/>
    <mergeCell ref="B176:C176"/>
    <mergeCell ref="B177:C177"/>
    <mergeCell ref="B178:C178"/>
    <mergeCell ref="B191:C191"/>
    <mergeCell ref="B186:C186"/>
    <mergeCell ref="B196:D196"/>
    <mergeCell ref="B197:C197"/>
    <mergeCell ref="B193:C193"/>
    <mergeCell ref="B194:C194"/>
    <mergeCell ref="B198:C198"/>
    <mergeCell ref="B204:C204"/>
    <mergeCell ref="B205:C205"/>
    <mergeCell ref="B206:D206"/>
    <mergeCell ref="B208:C208"/>
    <mergeCell ref="B199:C199"/>
    <mergeCell ref="B200:C200"/>
    <mergeCell ref="B201:C201"/>
    <mergeCell ref="B202:C202"/>
    <mergeCell ref="B203:C203"/>
  </mergeCells>
  <hyperlinks>
    <hyperlink ref="I1" location="Index!B2" display="Index" xr:uid="{40B384B1-B472-4BF5-8544-AB55EDD1AF68}"/>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6C2C-2FFF-4E3E-B8BB-52B345D3F11C}">
  <sheetPr>
    <outlinePr summaryBelow="0" summaryRight="0"/>
  </sheetPr>
  <dimension ref="A1:S168"/>
  <sheetViews>
    <sheetView showGridLines="0" workbookViewId="0">
      <selection sqref="A1:H1"/>
    </sheetView>
  </sheetViews>
  <sheetFormatPr defaultRowHeight="12.75" customHeight="1" x14ac:dyDescent="0.2"/>
  <cols>
    <col min="1" max="1" width="5.85546875" bestFit="1" customWidth="1"/>
    <col min="2" max="2" width="19.5703125" bestFit="1" customWidth="1"/>
    <col min="3" max="3" width="39.140625" bestFit="1" customWidth="1"/>
    <col min="4" max="4" width="17.7109375" bestFit="1" customWidth="1"/>
    <col min="5" max="5" width="8.7109375" bestFit="1" customWidth="1"/>
    <col min="6" max="6" width="10.140625" bestFit="1" customWidth="1"/>
    <col min="7" max="7" width="14" bestFit="1" customWidth="1"/>
    <col min="8" max="8" width="8.42578125" bestFit="1" customWidth="1"/>
    <col min="10" max="10" width="12.5703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672</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650000</v>
      </c>
      <c r="F7" s="37">
        <v>6181.5</v>
      </c>
      <c r="G7" s="38">
        <v>6.9145410000000004E-2</v>
      </c>
      <c r="H7" s="29" t="s">
        <v>143</v>
      </c>
    </row>
    <row r="8" spans="1:9" ht="12.75" customHeight="1" x14ac:dyDescent="0.2">
      <c r="A8" s="35">
        <v>2</v>
      </c>
      <c r="B8" s="22" t="s">
        <v>31</v>
      </c>
      <c r="C8" s="22" t="s">
        <v>32</v>
      </c>
      <c r="D8" s="22" t="s">
        <v>33</v>
      </c>
      <c r="E8" s="36">
        <v>265000</v>
      </c>
      <c r="F8" s="37">
        <v>3572.2</v>
      </c>
      <c r="G8" s="38">
        <v>3.9958140000000003E-2</v>
      </c>
      <c r="H8" s="29" t="s">
        <v>143</v>
      </c>
    </row>
    <row r="9" spans="1:9" ht="12.75" customHeight="1" x14ac:dyDescent="0.2">
      <c r="A9" s="35">
        <v>3</v>
      </c>
      <c r="B9" s="22" t="s">
        <v>20</v>
      </c>
      <c r="C9" s="22" t="s">
        <v>21</v>
      </c>
      <c r="D9" s="22" t="s">
        <v>22</v>
      </c>
      <c r="E9" s="36">
        <v>950000</v>
      </c>
      <c r="F9" s="37">
        <v>3234.2750000000001</v>
      </c>
      <c r="G9" s="38">
        <v>3.6178149999999999E-2</v>
      </c>
      <c r="H9" s="29" t="s">
        <v>143</v>
      </c>
    </row>
    <row r="10" spans="1:9" ht="12.75" customHeight="1" x14ac:dyDescent="0.2">
      <c r="A10" s="35">
        <v>4</v>
      </c>
      <c r="B10" s="22" t="s">
        <v>325</v>
      </c>
      <c r="C10" s="22" t="s">
        <v>326</v>
      </c>
      <c r="D10" s="22" t="s">
        <v>215</v>
      </c>
      <c r="E10" s="36">
        <v>211000</v>
      </c>
      <c r="F10" s="37">
        <v>3042.1979999999999</v>
      </c>
      <c r="G10" s="38">
        <v>3.4029610000000002E-2</v>
      </c>
      <c r="H10" s="29" t="s">
        <v>143</v>
      </c>
    </row>
    <row r="11" spans="1:9" x14ac:dyDescent="0.2">
      <c r="A11" s="30">
        <v>5</v>
      </c>
      <c r="B11" s="31" t="s">
        <v>969</v>
      </c>
      <c r="C11" s="31" t="s">
        <v>970</v>
      </c>
      <c r="D11" s="31" t="s">
        <v>90</v>
      </c>
      <c r="E11" s="32">
        <v>350000</v>
      </c>
      <c r="F11" s="33">
        <f>303615342.91/10^5</f>
        <v>3036.1534291000003</v>
      </c>
      <c r="G11" s="103">
        <f>F11/F128</f>
        <v>3.3961992769707759E-2</v>
      </c>
      <c r="H11" s="29" t="s">
        <v>143</v>
      </c>
    </row>
    <row r="12" spans="1:9" ht="12.75" customHeight="1" x14ac:dyDescent="0.2">
      <c r="A12" s="35">
        <v>6</v>
      </c>
      <c r="B12" s="22" t="s">
        <v>421</v>
      </c>
      <c r="C12" s="22" t="s">
        <v>422</v>
      </c>
      <c r="D12" s="22" t="s">
        <v>423</v>
      </c>
      <c r="E12" s="36">
        <v>660000</v>
      </c>
      <c r="F12" s="37">
        <v>2650.23</v>
      </c>
      <c r="G12" s="38">
        <v>2.9645109999999999E-2</v>
      </c>
      <c r="H12" s="29" t="s">
        <v>143</v>
      </c>
    </row>
    <row r="13" spans="1:9" ht="12.75" customHeight="1" x14ac:dyDescent="0.2">
      <c r="A13" s="35">
        <v>7</v>
      </c>
      <c r="B13" s="22" t="s">
        <v>42</v>
      </c>
      <c r="C13" s="22" t="s">
        <v>43</v>
      </c>
      <c r="D13" s="22" t="s">
        <v>33</v>
      </c>
      <c r="E13" s="36">
        <v>297000</v>
      </c>
      <c r="F13" s="37">
        <v>2591.1765</v>
      </c>
      <c r="G13" s="38">
        <v>2.898454E-2</v>
      </c>
      <c r="H13" s="29" t="s">
        <v>143</v>
      </c>
    </row>
    <row r="14" spans="1:9" ht="12.75" customHeight="1" x14ac:dyDescent="0.2">
      <c r="A14" s="35">
        <v>8</v>
      </c>
      <c r="B14" s="22" t="s">
        <v>29</v>
      </c>
      <c r="C14" s="22" t="s">
        <v>30</v>
      </c>
      <c r="D14" s="22" t="s">
        <v>22</v>
      </c>
      <c r="E14" s="36">
        <v>875000</v>
      </c>
      <c r="F14" s="37">
        <v>2452.1875</v>
      </c>
      <c r="G14" s="38">
        <v>2.7429829999999999E-2</v>
      </c>
      <c r="H14" s="29" t="s">
        <v>143</v>
      </c>
    </row>
    <row r="15" spans="1:9" ht="12.75" customHeight="1" x14ac:dyDescent="0.2">
      <c r="A15" s="35">
        <v>9</v>
      </c>
      <c r="B15" s="22" t="s">
        <v>59</v>
      </c>
      <c r="C15" s="22" t="s">
        <v>60</v>
      </c>
      <c r="D15" s="22" t="s">
        <v>61</v>
      </c>
      <c r="E15" s="36">
        <v>1000000</v>
      </c>
      <c r="F15" s="37">
        <v>2395</v>
      </c>
      <c r="G15" s="38">
        <v>2.679014E-2</v>
      </c>
      <c r="H15" s="29" t="s">
        <v>143</v>
      </c>
    </row>
    <row r="16" spans="1:9" ht="12.75" customHeight="1" x14ac:dyDescent="0.2">
      <c r="A16" s="35">
        <v>10</v>
      </c>
      <c r="B16" s="22" t="s">
        <v>673</v>
      </c>
      <c r="C16" s="22" t="s">
        <v>674</v>
      </c>
      <c r="D16" s="22" t="s">
        <v>675</v>
      </c>
      <c r="E16" s="36">
        <v>600000</v>
      </c>
      <c r="F16" s="37">
        <v>2339.6999999999998</v>
      </c>
      <c r="G16" s="38">
        <v>2.617156E-2</v>
      </c>
      <c r="H16" s="29" t="s">
        <v>143</v>
      </c>
    </row>
    <row r="17" spans="1:8" ht="12.75" customHeight="1" x14ac:dyDescent="0.2">
      <c r="A17" s="35">
        <v>11</v>
      </c>
      <c r="B17" s="22" t="s">
        <v>499</v>
      </c>
      <c r="C17" s="22" t="s">
        <v>500</v>
      </c>
      <c r="D17" s="22" t="s">
        <v>239</v>
      </c>
      <c r="E17" s="36">
        <v>14500</v>
      </c>
      <c r="F17" s="37">
        <v>2324.2049999999999</v>
      </c>
      <c r="G17" s="38">
        <v>2.5998239999999999E-2</v>
      </c>
      <c r="H17" s="29" t="s">
        <v>143</v>
      </c>
    </row>
    <row r="18" spans="1:8" ht="12.75" customHeight="1" x14ac:dyDescent="0.2">
      <c r="A18" s="35">
        <v>12</v>
      </c>
      <c r="B18" s="22" t="s">
        <v>73</v>
      </c>
      <c r="C18" s="22" t="s">
        <v>74</v>
      </c>
      <c r="D18" s="22" t="s">
        <v>75</v>
      </c>
      <c r="E18" s="36">
        <v>1175000</v>
      </c>
      <c r="F18" s="37">
        <v>2071.4074999999998</v>
      </c>
      <c r="G18" s="38">
        <v>2.317048E-2</v>
      </c>
      <c r="H18" s="29" t="s">
        <v>143</v>
      </c>
    </row>
    <row r="19" spans="1:8" ht="12.75" customHeight="1" x14ac:dyDescent="0.2">
      <c r="A19" s="35">
        <v>13</v>
      </c>
      <c r="B19" s="22" t="s">
        <v>14</v>
      </c>
      <c r="C19" s="22" t="s">
        <v>15</v>
      </c>
      <c r="D19" s="22" t="s">
        <v>16</v>
      </c>
      <c r="E19" s="36">
        <v>55000</v>
      </c>
      <c r="F19" s="37">
        <v>2012.45</v>
      </c>
      <c r="G19" s="38">
        <v>2.2510990000000002E-2</v>
      </c>
      <c r="H19" s="29" t="s">
        <v>143</v>
      </c>
    </row>
    <row r="20" spans="1:8" ht="12.75" customHeight="1" x14ac:dyDescent="0.2">
      <c r="A20" s="35">
        <v>14</v>
      </c>
      <c r="B20" s="22" t="s">
        <v>195</v>
      </c>
      <c r="C20" s="22" t="s">
        <v>196</v>
      </c>
      <c r="D20" s="22" t="s">
        <v>19</v>
      </c>
      <c r="E20" s="36">
        <v>420000</v>
      </c>
      <c r="F20" s="37">
        <v>1862.28</v>
      </c>
      <c r="G20" s="38">
        <v>2.0831209999999999E-2</v>
      </c>
      <c r="H20" s="29" t="s">
        <v>143</v>
      </c>
    </row>
    <row r="21" spans="1:8" ht="12.75" customHeight="1" x14ac:dyDescent="0.2">
      <c r="A21" s="35">
        <v>15</v>
      </c>
      <c r="B21" s="22" t="s">
        <v>11</v>
      </c>
      <c r="C21" s="22" t="s">
        <v>12</v>
      </c>
      <c r="D21" s="22" t="s">
        <v>13</v>
      </c>
      <c r="E21" s="36">
        <v>95000</v>
      </c>
      <c r="F21" s="37">
        <v>1784.48</v>
      </c>
      <c r="G21" s="38">
        <v>1.9960950000000002E-2</v>
      </c>
      <c r="H21" s="29" t="s">
        <v>143</v>
      </c>
    </row>
    <row r="22" spans="1:8" ht="12.75" customHeight="1" x14ac:dyDescent="0.2">
      <c r="A22" s="35">
        <v>16</v>
      </c>
      <c r="B22" s="22" t="s">
        <v>513</v>
      </c>
      <c r="C22" s="22" t="s">
        <v>514</v>
      </c>
      <c r="D22" s="22" t="s">
        <v>239</v>
      </c>
      <c r="E22" s="36">
        <v>31000</v>
      </c>
      <c r="F22" s="37">
        <v>1696.4749999999999</v>
      </c>
      <c r="G22" s="38">
        <v>1.897654E-2</v>
      </c>
      <c r="H22" s="29" t="s">
        <v>143</v>
      </c>
    </row>
    <row r="23" spans="1:8" ht="12.75" customHeight="1" x14ac:dyDescent="0.2">
      <c r="A23" s="35">
        <v>17</v>
      </c>
      <c r="B23" s="22" t="s">
        <v>17</v>
      </c>
      <c r="C23" s="22" t="s">
        <v>18</v>
      </c>
      <c r="D23" s="22" t="s">
        <v>19</v>
      </c>
      <c r="E23" s="36">
        <v>120000</v>
      </c>
      <c r="F23" s="37">
        <v>1636.8</v>
      </c>
      <c r="G23" s="38">
        <v>1.8309019999999999E-2</v>
      </c>
      <c r="H23" s="29" t="s">
        <v>143</v>
      </c>
    </row>
    <row r="24" spans="1:8" ht="12.75" customHeight="1" x14ac:dyDescent="0.2">
      <c r="A24" s="35">
        <v>18</v>
      </c>
      <c r="B24" s="22" t="s">
        <v>439</v>
      </c>
      <c r="C24" s="22" t="s">
        <v>440</v>
      </c>
      <c r="D24" s="22" t="s">
        <v>423</v>
      </c>
      <c r="E24" s="36">
        <v>65000</v>
      </c>
      <c r="F24" s="37">
        <v>1634.36</v>
      </c>
      <c r="G24" s="38">
        <v>1.828173E-2</v>
      </c>
      <c r="H24" s="29" t="s">
        <v>143</v>
      </c>
    </row>
    <row r="25" spans="1:8" ht="12.75" customHeight="1" x14ac:dyDescent="0.2">
      <c r="A25" s="35">
        <v>19</v>
      </c>
      <c r="B25" s="22" t="s">
        <v>515</v>
      </c>
      <c r="C25" s="22" t="s">
        <v>516</v>
      </c>
      <c r="D25" s="22" t="s">
        <v>215</v>
      </c>
      <c r="E25" s="36">
        <v>115000</v>
      </c>
      <c r="F25" s="37">
        <v>1610.345</v>
      </c>
      <c r="G25" s="38">
        <v>1.8013100000000001E-2</v>
      </c>
      <c r="H25" s="29" t="s">
        <v>143</v>
      </c>
    </row>
    <row r="26" spans="1:8" ht="12.75" customHeight="1" x14ac:dyDescent="0.2">
      <c r="A26" s="35">
        <v>20</v>
      </c>
      <c r="B26" s="22" t="s">
        <v>424</v>
      </c>
      <c r="C26" s="22" t="s">
        <v>425</v>
      </c>
      <c r="D26" s="22" t="s">
        <v>215</v>
      </c>
      <c r="E26" s="36">
        <v>115000</v>
      </c>
      <c r="F26" s="37">
        <v>1592.865</v>
      </c>
      <c r="G26" s="38">
        <v>1.7817570000000001E-2</v>
      </c>
      <c r="H26" s="29" t="s">
        <v>143</v>
      </c>
    </row>
    <row r="27" spans="1:8" ht="12.75" customHeight="1" x14ac:dyDescent="0.2">
      <c r="A27" s="35">
        <v>21</v>
      </c>
      <c r="B27" s="22" t="s">
        <v>280</v>
      </c>
      <c r="C27" s="22" t="s">
        <v>281</v>
      </c>
      <c r="D27" s="22" t="s">
        <v>22</v>
      </c>
      <c r="E27" s="36">
        <v>1700000</v>
      </c>
      <c r="F27" s="37">
        <v>1467.44</v>
      </c>
      <c r="G27" s="38">
        <v>1.6414580000000002E-2</v>
      </c>
      <c r="H27" s="29" t="s">
        <v>143</v>
      </c>
    </row>
    <row r="28" spans="1:8" ht="12.75" customHeight="1" x14ac:dyDescent="0.2">
      <c r="A28" s="35">
        <v>22</v>
      </c>
      <c r="B28" s="22" t="s">
        <v>331</v>
      </c>
      <c r="C28" s="22" t="s">
        <v>332</v>
      </c>
      <c r="D28" s="22" t="s">
        <v>33</v>
      </c>
      <c r="E28" s="36">
        <v>550000</v>
      </c>
      <c r="F28" s="37">
        <v>1421.97</v>
      </c>
      <c r="G28" s="38">
        <v>1.590596E-2</v>
      </c>
      <c r="H28" s="29" t="s">
        <v>143</v>
      </c>
    </row>
    <row r="29" spans="1:8" ht="12.75" customHeight="1" x14ac:dyDescent="0.2">
      <c r="A29" s="35">
        <v>23</v>
      </c>
      <c r="B29" s="22" t="s">
        <v>26</v>
      </c>
      <c r="C29" s="22" t="s">
        <v>27</v>
      </c>
      <c r="D29" s="22" t="s">
        <v>28</v>
      </c>
      <c r="E29" s="36">
        <v>350000</v>
      </c>
      <c r="F29" s="37">
        <v>1413.825</v>
      </c>
      <c r="G29" s="38">
        <v>1.5814849999999998E-2</v>
      </c>
      <c r="H29" s="29" t="s">
        <v>143</v>
      </c>
    </row>
    <row r="30" spans="1:8" ht="12.75" customHeight="1" x14ac:dyDescent="0.2">
      <c r="A30" s="35">
        <v>24</v>
      </c>
      <c r="B30" s="22" t="s">
        <v>503</v>
      </c>
      <c r="C30" s="22" t="s">
        <v>504</v>
      </c>
      <c r="D30" s="22" t="s">
        <v>239</v>
      </c>
      <c r="E30" s="36">
        <v>16000</v>
      </c>
      <c r="F30" s="37">
        <v>1388.56</v>
      </c>
      <c r="G30" s="38">
        <v>1.5532239999999999E-2</v>
      </c>
      <c r="H30" s="29" t="s">
        <v>143</v>
      </c>
    </row>
    <row r="31" spans="1:8" ht="12.75" customHeight="1" x14ac:dyDescent="0.2">
      <c r="A31" s="35">
        <v>25</v>
      </c>
      <c r="B31" s="22" t="s">
        <v>676</v>
      </c>
      <c r="C31" s="22" t="s">
        <v>677</v>
      </c>
      <c r="D31" s="22" t="s">
        <v>454</v>
      </c>
      <c r="E31" s="36">
        <v>23000</v>
      </c>
      <c r="F31" s="37">
        <v>1377.93</v>
      </c>
      <c r="G31" s="38">
        <v>1.5413339999999999E-2</v>
      </c>
      <c r="H31" s="29" t="s">
        <v>143</v>
      </c>
    </row>
    <row r="32" spans="1:8" ht="12.75" customHeight="1" x14ac:dyDescent="0.2">
      <c r="A32" s="35">
        <v>26</v>
      </c>
      <c r="B32" s="22" t="s">
        <v>398</v>
      </c>
      <c r="C32" s="22" t="s">
        <v>399</v>
      </c>
      <c r="D32" s="22" t="s">
        <v>133</v>
      </c>
      <c r="E32" s="36">
        <v>800000</v>
      </c>
      <c r="F32" s="37">
        <v>1350.16</v>
      </c>
      <c r="G32" s="38">
        <v>1.51027E-2</v>
      </c>
      <c r="H32" s="29" t="s">
        <v>143</v>
      </c>
    </row>
    <row r="33" spans="1:8" ht="12.75" customHeight="1" x14ac:dyDescent="0.2">
      <c r="A33" s="35">
        <v>27</v>
      </c>
      <c r="B33" s="22" t="s">
        <v>678</v>
      </c>
      <c r="C33" s="22" t="s">
        <v>679</v>
      </c>
      <c r="D33" s="22" t="s">
        <v>22</v>
      </c>
      <c r="E33" s="36">
        <v>825000</v>
      </c>
      <c r="F33" s="37">
        <v>1336.0875000000001</v>
      </c>
      <c r="G33" s="38">
        <v>1.494529E-2</v>
      </c>
      <c r="H33" s="29" t="s">
        <v>143</v>
      </c>
    </row>
    <row r="34" spans="1:8" ht="25.5" x14ac:dyDescent="0.2">
      <c r="A34" s="30">
        <v>28</v>
      </c>
      <c r="B34" s="31" t="s">
        <v>1074</v>
      </c>
      <c r="C34" s="31" t="s">
        <v>1080</v>
      </c>
      <c r="D34" s="31" t="s">
        <v>90</v>
      </c>
      <c r="E34" s="32">
        <v>1100000</v>
      </c>
      <c r="F34" s="33">
        <f>128682000/10^5</f>
        <v>1286.82</v>
      </c>
      <c r="G34" s="103">
        <f>F34/F128</f>
        <v>1.4394190727334258E-2</v>
      </c>
      <c r="H34" s="29" t="s">
        <v>143</v>
      </c>
    </row>
    <row r="35" spans="1:8" ht="12.75" customHeight="1" x14ac:dyDescent="0.2">
      <c r="A35" s="35">
        <v>29</v>
      </c>
      <c r="B35" s="22" t="s">
        <v>333</v>
      </c>
      <c r="C35" s="22" t="s">
        <v>334</v>
      </c>
      <c r="D35" s="22" t="s">
        <v>239</v>
      </c>
      <c r="E35" s="36">
        <v>37000</v>
      </c>
      <c r="F35" s="37">
        <v>1267.99</v>
      </c>
      <c r="G35" s="38">
        <v>1.418356E-2</v>
      </c>
      <c r="H35" s="29" t="s">
        <v>143</v>
      </c>
    </row>
    <row r="36" spans="1:8" ht="12.75" customHeight="1" x14ac:dyDescent="0.2">
      <c r="A36" s="35">
        <v>30</v>
      </c>
      <c r="B36" s="22" t="s">
        <v>62</v>
      </c>
      <c r="C36" s="22" t="s">
        <v>63</v>
      </c>
      <c r="D36" s="22" t="s">
        <v>64</v>
      </c>
      <c r="E36" s="36">
        <v>32000</v>
      </c>
      <c r="F36" s="37">
        <v>1256.48</v>
      </c>
      <c r="G36" s="38">
        <v>1.4054809999999999E-2</v>
      </c>
      <c r="H36" s="29" t="s">
        <v>143</v>
      </c>
    </row>
    <row r="37" spans="1:8" ht="12.75" customHeight="1" x14ac:dyDescent="0.2">
      <c r="A37" s="35">
        <v>31</v>
      </c>
      <c r="B37" s="22" t="s">
        <v>291</v>
      </c>
      <c r="C37" s="22" t="s">
        <v>292</v>
      </c>
      <c r="D37" s="22" t="s">
        <v>254</v>
      </c>
      <c r="E37" s="36">
        <v>225000</v>
      </c>
      <c r="F37" s="37">
        <v>1211.0625</v>
      </c>
      <c r="G37" s="38">
        <v>1.354678E-2</v>
      </c>
      <c r="H37" s="29" t="s">
        <v>143</v>
      </c>
    </row>
    <row r="38" spans="1:8" ht="12.75" customHeight="1" x14ac:dyDescent="0.2">
      <c r="A38" s="35">
        <v>32</v>
      </c>
      <c r="B38" s="22" t="s">
        <v>349</v>
      </c>
      <c r="C38" s="22" t="s">
        <v>350</v>
      </c>
      <c r="D38" s="22" t="s">
        <v>194</v>
      </c>
      <c r="E38" s="36">
        <v>75000</v>
      </c>
      <c r="F38" s="37">
        <v>1195.7249999999999</v>
      </c>
      <c r="G38" s="38">
        <v>1.337522E-2</v>
      </c>
      <c r="H38" s="29" t="s">
        <v>143</v>
      </c>
    </row>
    <row r="39" spans="1:8" ht="12.75" customHeight="1" x14ac:dyDescent="0.2">
      <c r="A39" s="35">
        <v>33</v>
      </c>
      <c r="B39" s="22" t="s">
        <v>680</v>
      </c>
      <c r="C39" s="22" t="s">
        <v>681</v>
      </c>
      <c r="D39" s="22" t="s">
        <v>19</v>
      </c>
      <c r="E39" s="36">
        <v>575000</v>
      </c>
      <c r="F39" s="37">
        <v>1147.93</v>
      </c>
      <c r="G39" s="38">
        <v>1.2840590000000001E-2</v>
      </c>
      <c r="H39" s="29" t="s">
        <v>143</v>
      </c>
    </row>
    <row r="40" spans="1:8" ht="12.75" customHeight="1" x14ac:dyDescent="0.2">
      <c r="A40" s="35">
        <v>34</v>
      </c>
      <c r="B40" s="22" t="s">
        <v>354</v>
      </c>
      <c r="C40" s="22" t="s">
        <v>355</v>
      </c>
      <c r="D40" s="22" t="s">
        <v>188</v>
      </c>
      <c r="E40" s="36">
        <v>175000</v>
      </c>
      <c r="F40" s="37">
        <v>1097.1624999999999</v>
      </c>
      <c r="G40" s="38">
        <v>1.2272709999999999E-2</v>
      </c>
      <c r="H40" s="29" t="s">
        <v>143</v>
      </c>
    </row>
    <row r="41" spans="1:8" ht="12.75" customHeight="1" x14ac:dyDescent="0.2">
      <c r="A41" s="35">
        <v>35</v>
      </c>
      <c r="B41" s="22" t="s">
        <v>484</v>
      </c>
      <c r="C41" s="22" t="s">
        <v>485</v>
      </c>
      <c r="D41" s="22" t="s">
        <v>223</v>
      </c>
      <c r="E41" s="36">
        <v>81000</v>
      </c>
      <c r="F41" s="37">
        <v>1056.3209999999999</v>
      </c>
      <c r="G41" s="38">
        <v>1.1815859999999999E-2</v>
      </c>
      <c r="H41" s="29" t="s">
        <v>143</v>
      </c>
    </row>
    <row r="42" spans="1:8" ht="12.75" customHeight="1" x14ac:dyDescent="0.2">
      <c r="A42" s="35">
        <v>36</v>
      </c>
      <c r="B42" s="22" t="s">
        <v>433</v>
      </c>
      <c r="C42" s="22" t="s">
        <v>434</v>
      </c>
      <c r="D42" s="22" t="s">
        <v>215</v>
      </c>
      <c r="E42" s="36">
        <v>35000</v>
      </c>
      <c r="F42" s="37">
        <v>1010.94</v>
      </c>
      <c r="G42" s="38">
        <v>1.1308240000000001E-2</v>
      </c>
      <c r="H42" s="29" t="s">
        <v>143</v>
      </c>
    </row>
    <row r="43" spans="1:8" ht="12.75" customHeight="1" x14ac:dyDescent="0.2">
      <c r="A43" s="35">
        <v>37</v>
      </c>
      <c r="B43" s="22" t="s">
        <v>682</v>
      </c>
      <c r="C43" s="22" t="s">
        <v>683</v>
      </c>
      <c r="D43" s="22" t="s">
        <v>191</v>
      </c>
      <c r="E43" s="36">
        <v>265000</v>
      </c>
      <c r="F43" s="37">
        <v>988.05250000000001</v>
      </c>
      <c r="G43" s="38">
        <v>1.105222E-2</v>
      </c>
      <c r="H43" s="29" t="s">
        <v>143</v>
      </c>
    </row>
    <row r="44" spans="1:8" ht="12.75" customHeight="1" x14ac:dyDescent="0.2">
      <c r="A44" s="35">
        <v>38</v>
      </c>
      <c r="B44" s="22" t="s">
        <v>189</v>
      </c>
      <c r="C44" s="22" t="s">
        <v>190</v>
      </c>
      <c r="D44" s="22" t="s">
        <v>191</v>
      </c>
      <c r="E44" s="36">
        <v>350000</v>
      </c>
      <c r="F44" s="37">
        <v>963.55</v>
      </c>
      <c r="G44" s="38">
        <v>1.077814E-2</v>
      </c>
      <c r="H44" s="29" t="s">
        <v>143</v>
      </c>
    </row>
    <row r="45" spans="1:8" ht="12.75" customHeight="1" x14ac:dyDescent="0.2">
      <c r="A45" s="35">
        <v>39</v>
      </c>
      <c r="B45" s="22" t="s">
        <v>327</v>
      </c>
      <c r="C45" s="22" t="s">
        <v>328</v>
      </c>
      <c r="D45" s="22" t="s">
        <v>33</v>
      </c>
      <c r="E45" s="36">
        <v>85000</v>
      </c>
      <c r="F45" s="37">
        <v>961.86</v>
      </c>
      <c r="G45" s="38">
        <v>1.075923E-2</v>
      </c>
      <c r="H45" s="29" t="s">
        <v>143</v>
      </c>
    </row>
    <row r="46" spans="1:8" ht="12.75" customHeight="1" x14ac:dyDescent="0.2">
      <c r="A46" s="35">
        <v>40</v>
      </c>
      <c r="B46" s="22" t="s">
        <v>216</v>
      </c>
      <c r="C46" s="22" t="s">
        <v>217</v>
      </c>
      <c r="D46" s="22" t="s">
        <v>215</v>
      </c>
      <c r="E46" s="36">
        <v>60000</v>
      </c>
      <c r="F46" s="37">
        <v>954.6</v>
      </c>
      <c r="G46" s="38">
        <v>1.067802E-2</v>
      </c>
      <c r="H46" s="29" t="s">
        <v>143</v>
      </c>
    </row>
    <row r="47" spans="1:8" ht="12.75" customHeight="1" x14ac:dyDescent="0.2">
      <c r="A47" s="35">
        <v>41</v>
      </c>
      <c r="B47" s="22" t="s">
        <v>335</v>
      </c>
      <c r="C47" s="22" t="s">
        <v>336</v>
      </c>
      <c r="D47" s="22" t="s">
        <v>28</v>
      </c>
      <c r="E47" s="36">
        <v>20000</v>
      </c>
      <c r="F47" s="37">
        <v>949.3</v>
      </c>
      <c r="G47" s="38">
        <v>1.061874E-2</v>
      </c>
      <c r="H47" s="29" t="s">
        <v>143</v>
      </c>
    </row>
    <row r="48" spans="1:8" ht="12.75" customHeight="1" x14ac:dyDescent="0.2">
      <c r="A48" s="35">
        <v>42</v>
      </c>
      <c r="B48" s="22" t="s">
        <v>684</v>
      </c>
      <c r="C48" s="22" t="s">
        <v>685</v>
      </c>
      <c r="D48" s="22" t="s">
        <v>19</v>
      </c>
      <c r="E48" s="36">
        <v>625000</v>
      </c>
      <c r="F48" s="37">
        <v>936.1875</v>
      </c>
      <c r="G48" s="38">
        <v>1.047206E-2</v>
      </c>
      <c r="H48" s="29" t="s">
        <v>143</v>
      </c>
    </row>
    <row r="49" spans="1:8" ht="12.75" customHeight="1" x14ac:dyDescent="0.2">
      <c r="A49" s="35">
        <v>43</v>
      </c>
      <c r="B49" s="22" t="s">
        <v>686</v>
      </c>
      <c r="C49" s="22" t="s">
        <v>687</v>
      </c>
      <c r="D49" s="22" t="s">
        <v>215</v>
      </c>
      <c r="E49" s="36">
        <v>18000</v>
      </c>
      <c r="F49" s="37">
        <v>928.35</v>
      </c>
      <c r="G49" s="38">
        <v>1.03844E-2</v>
      </c>
      <c r="H49" s="29" t="s">
        <v>143</v>
      </c>
    </row>
    <row r="50" spans="1:8" ht="12.75" customHeight="1" x14ac:dyDescent="0.2">
      <c r="A50" s="35">
        <v>44</v>
      </c>
      <c r="B50" s="22" t="s">
        <v>23</v>
      </c>
      <c r="C50" s="22" t="s">
        <v>24</v>
      </c>
      <c r="D50" s="22" t="s">
        <v>25</v>
      </c>
      <c r="E50" s="36">
        <v>7500</v>
      </c>
      <c r="F50" s="37">
        <v>916.65</v>
      </c>
      <c r="G50" s="38">
        <v>1.025352E-2</v>
      </c>
      <c r="H50" s="29" t="s">
        <v>143</v>
      </c>
    </row>
    <row r="51" spans="1:8" ht="12.75" customHeight="1" x14ac:dyDescent="0.2">
      <c r="A51" s="35">
        <v>45</v>
      </c>
      <c r="B51" s="22" t="s">
        <v>688</v>
      </c>
      <c r="C51" s="22" t="s">
        <v>689</v>
      </c>
      <c r="D51" s="22" t="s">
        <v>61</v>
      </c>
      <c r="E51" s="36">
        <v>220000</v>
      </c>
      <c r="F51" s="37">
        <v>910.36</v>
      </c>
      <c r="G51" s="38">
        <v>1.018316E-2</v>
      </c>
      <c r="H51" s="29" t="s">
        <v>143</v>
      </c>
    </row>
    <row r="52" spans="1:8" ht="12.75" customHeight="1" x14ac:dyDescent="0.2">
      <c r="A52" s="35">
        <v>46</v>
      </c>
      <c r="B52" s="22" t="s">
        <v>323</v>
      </c>
      <c r="C52" s="22" t="s">
        <v>324</v>
      </c>
      <c r="D52" s="22" t="s">
        <v>33</v>
      </c>
      <c r="E52" s="36">
        <v>45000</v>
      </c>
      <c r="F52" s="37">
        <v>896.71500000000003</v>
      </c>
      <c r="G52" s="38">
        <v>1.0030529999999999E-2</v>
      </c>
      <c r="H52" s="29" t="s">
        <v>143</v>
      </c>
    </row>
    <row r="53" spans="1:8" ht="12.75" customHeight="1" x14ac:dyDescent="0.2">
      <c r="A53" s="35">
        <v>47</v>
      </c>
      <c r="B53" s="22" t="s">
        <v>690</v>
      </c>
      <c r="C53" s="22" t="s">
        <v>691</v>
      </c>
      <c r="D53" s="22" t="s">
        <v>254</v>
      </c>
      <c r="E53" s="36">
        <v>75000</v>
      </c>
      <c r="F53" s="37">
        <v>875.17499999999995</v>
      </c>
      <c r="G53" s="38">
        <v>9.7895900000000008E-3</v>
      </c>
      <c r="H53" s="29" t="s">
        <v>143</v>
      </c>
    </row>
    <row r="54" spans="1:8" ht="12.75" customHeight="1" x14ac:dyDescent="0.2">
      <c r="A54" s="35">
        <v>48</v>
      </c>
      <c r="B54" s="22" t="s">
        <v>692</v>
      </c>
      <c r="C54" s="22" t="s">
        <v>693</v>
      </c>
      <c r="D54" s="22" t="s">
        <v>215</v>
      </c>
      <c r="E54" s="36">
        <v>32000</v>
      </c>
      <c r="F54" s="37">
        <v>849.53599999999994</v>
      </c>
      <c r="G54" s="38">
        <v>9.5027900000000005E-3</v>
      </c>
      <c r="H54" s="29" t="s">
        <v>143</v>
      </c>
    </row>
    <row r="55" spans="1:8" ht="12.75" customHeight="1" x14ac:dyDescent="0.2">
      <c r="A55" s="35">
        <v>49</v>
      </c>
      <c r="B55" s="22" t="s">
        <v>694</v>
      </c>
      <c r="C55" s="22" t="s">
        <v>695</v>
      </c>
      <c r="D55" s="22" t="s">
        <v>223</v>
      </c>
      <c r="E55" s="36">
        <v>14000</v>
      </c>
      <c r="F55" s="37">
        <v>774.55</v>
      </c>
      <c r="G55" s="38">
        <v>8.6640099999999998E-3</v>
      </c>
      <c r="H55" s="29" t="s">
        <v>143</v>
      </c>
    </row>
    <row r="56" spans="1:8" ht="12.75" customHeight="1" x14ac:dyDescent="0.2">
      <c r="A56" s="35">
        <v>50</v>
      </c>
      <c r="B56" s="22" t="s">
        <v>696</v>
      </c>
      <c r="C56" s="22" t="s">
        <v>697</v>
      </c>
      <c r="D56" s="22" t="s">
        <v>194</v>
      </c>
      <c r="E56" s="36">
        <v>15333</v>
      </c>
      <c r="F56" s="37">
        <v>712.98450000000003</v>
      </c>
      <c r="G56" s="38">
        <v>7.9753500000000008E-3</v>
      </c>
      <c r="H56" s="29" t="s">
        <v>143</v>
      </c>
    </row>
    <row r="57" spans="1:8" ht="12.75" customHeight="1" x14ac:dyDescent="0.2">
      <c r="A57" s="35">
        <v>51</v>
      </c>
      <c r="B57" s="22" t="s">
        <v>329</v>
      </c>
      <c r="C57" s="22" t="s">
        <v>330</v>
      </c>
      <c r="D57" s="22" t="s">
        <v>191</v>
      </c>
      <c r="E57" s="36">
        <v>60000</v>
      </c>
      <c r="F57" s="37">
        <v>599.34</v>
      </c>
      <c r="G57" s="38">
        <v>6.70413E-3</v>
      </c>
      <c r="H57" s="29" t="s">
        <v>143</v>
      </c>
    </row>
    <row r="58" spans="1:8" ht="12.75" customHeight="1" x14ac:dyDescent="0.2">
      <c r="A58" s="35">
        <v>52</v>
      </c>
      <c r="B58" s="22" t="s">
        <v>698</v>
      </c>
      <c r="C58" s="22" t="s">
        <v>699</v>
      </c>
      <c r="D58" s="22" t="s">
        <v>46</v>
      </c>
      <c r="E58" s="36">
        <v>25000</v>
      </c>
      <c r="F58" s="37">
        <v>587.5</v>
      </c>
      <c r="G58" s="38">
        <v>6.5716899999999998E-3</v>
      </c>
      <c r="H58" s="29" t="s">
        <v>143</v>
      </c>
    </row>
    <row r="59" spans="1:8" ht="12.75" customHeight="1" x14ac:dyDescent="0.2">
      <c r="A59" s="35">
        <v>53</v>
      </c>
      <c r="B59" s="22" t="s">
        <v>700</v>
      </c>
      <c r="C59" s="22" t="s">
        <v>701</v>
      </c>
      <c r="D59" s="22" t="s">
        <v>185</v>
      </c>
      <c r="E59" s="36">
        <v>10000</v>
      </c>
      <c r="F59" s="37">
        <v>481.05</v>
      </c>
      <c r="G59" s="38">
        <v>5.3809599999999997E-3</v>
      </c>
      <c r="H59" s="29" t="s">
        <v>143</v>
      </c>
    </row>
    <row r="60" spans="1:8" ht="12.75" customHeight="1" x14ac:dyDescent="0.2">
      <c r="A60" s="35">
        <v>54</v>
      </c>
      <c r="B60" s="22" t="s">
        <v>242</v>
      </c>
      <c r="C60" s="22" t="s">
        <v>243</v>
      </c>
      <c r="D60" s="22" t="s">
        <v>191</v>
      </c>
      <c r="E60" s="36">
        <v>75000</v>
      </c>
      <c r="F60" s="37">
        <v>462.07499999999999</v>
      </c>
      <c r="G60" s="38">
        <v>5.16871E-3</v>
      </c>
      <c r="H60" s="29" t="s">
        <v>143</v>
      </c>
    </row>
    <row r="61" spans="1:8" ht="12.75" customHeight="1" x14ac:dyDescent="0.2">
      <c r="A61" s="39"/>
      <c r="B61" s="39"/>
      <c r="C61" s="40" t="s">
        <v>142</v>
      </c>
      <c r="D61" s="39"/>
      <c r="E61" s="39" t="s">
        <v>143</v>
      </c>
      <c r="F61" s="41">
        <f>SUM(F7:F60)</f>
        <v>84754.52692910003</v>
      </c>
      <c r="G61" s="42">
        <f>SUM(G7:G60)</f>
        <v>0.94805248349704185</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144</v>
      </c>
      <c r="D63" s="39"/>
      <c r="E63" s="39"/>
      <c r="F63" s="39"/>
      <c r="G63" s="39"/>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146</v>
      </c>
      <c r="D66" s="39"/>
      <c r="E66" s="39"/>
      <c r="F66" s="39"/>
      <c r="G66" s="39"/>
      <c r="H66" s="29" t="s">
        <v>143</v>
      </c>
    </row>
    <row r="67" spans="1:8" ht="12.75" customHeight="1" x14ac:dyDescent="0.2">
      <c r="A67" s="35">
        <v>1</v>
      </c>
      <c r="B67" s="22" t="s">
        <v>703</v>
      </c>
      <c r="C67" s="31" t="s">
        <v>1081</v>
      </c>
      <c r="D67" s="22"/>
      <c r="E67" s="36">
        <v>200000</v>
      </c>
      <c r="F67" s="37">
        <v>1.9999999999999999E-6</v>
      </c>
      <c r="G67" s="46" t="s">
        <v>141</v>
      </c>
      <c r="H67" s="29" t="s">
        <v>143</v>
      </c>
    </row>
    <row r="68" spans="1:8" ht="12.75" customHeight="1" x14ac:dyDescent="0.2">
      <c r="A68" s="35">
        <v>2</v>
      </c>
      <c r="B68" s="22" t="s">
        <v>705</v>
      </c>
      <c r="C68" s="31" t="s">
        <v>1082</v>
      </c>
      <c r="D68" s="22"/>
      <c r="E68" s="36">
        <v>50000</v>
      </c>
      <c r="F68" s="37">
        <v>4.9999999999999998E-7</v>
      </c>
      <c r="G68" s="46" t="s">
        <v>141</v>
      </c>
      <c r="H68" s="29" t="s">
        <v>143</v>
      </c>
    </row>
    <row r="69" spans="1:8" ht="12.75" customHeight="1" x14ac:dyDescent="0.2">
      <c r="A69" s="35">
        <v>3</v>
      </c>
      <c r="B69" s="22" t="s">
        <v>704</v>
      </c>
      <c r="C69" s="31" t="s">
        <v>1083</v>
      </c>
      <c r="D69" s="22"/>
      <c r="E69" s="36">
        <v>50000</v>
      </c>
      <c r="F69" s="37">
        <v>4.9999999999999998E-7</v>
      </c>
      <c r="G69" s="46" t="s">
        <v>141</v>
      </c>
      <c r="H69" s="29" t="s">
        <v>143</v>
      </c>
    </row>
    <row r="70" spans="1:8" ht="12.75" customHeight="1" x14ac:dyDescent="0.2">
      <c r="A70" s="35">
        <v>4</v>
      </c>
      <c r="B70" s="22" t="s">
        <v>702</v>
      </c>
      <c r="C70" s="31" t="s">
        <v>1084</v>
      </c>
      <c r="D70" s="22"/>
      <c r="E70" s="36">
        <v>20</v>
      </c>
      <c r="F70" s="37">
        <v>0</v>
      </c>
      <c r="G70" s="46" t="s">
        <v>141</v>
      </c>
      <c r="H70" s="29" t="s">
        <v>143</v>
      </c>
    </row>
    <row r="71" spans="1:8" ht="12.75" customHeight="1" x14ac:dyDescent="0.2">
      <c r="A71" s="39"/>
      <c r="B71" s="39"/>
      <c r="C71" s="40" t="s">
        <v>142</v>
      </c>
      <c r="D71" s="39"/>
      <c r="E71" s="39" t="s">
        <v>143</v>
      </c>
      <c r="F71" s="45" t="s">
        <v>145</v>
      </c>
      <c r="G71" s="42">
        <v>0</v>
      </c>
      <c r="H71" s="29" t="s">
        <v>143</v>
      </c>
    </row>
    <row r="72" spans="1:8" ht="12.75" customHeight="1" x14ac:dyDescent="0.2">
      <c r="A72" s="39"/>
      <c r="B72" s="39"/>
      <c r="C72" s="43"/>
      <c r="D72" s="39"/>
      <c r="E72" s="39"/>
      <c r="F72" s="44"/>
      <c r="G72" s="44"/>
      <c r="H72" s="29" t="s">
        <v>143</v>
      </c>
    </row>
    <row r="73" spans="1:8" ht="12.75" customHeight="1" x14ac:dyDescent="0.2">
      <c r="A73" s="39"/>
      <c r="B73" s="39"/>
      <c r="C73" s="40" t="s">
        <v>147</v>
      </c>
      <c r="D73" s="39"/>
      <c r="E73" s="39"/>
      <c r="F73" s="39"/>
      <c r="G73" s="39"/>
      <c r="H73" s="29" t="s">
        <v>143</v>
      </c>
    </row>
    <row r="74" spans="1:8" ht="12.75" customHeight="1" x14ac:dyDescent="0.2">
      <c r="A74" s="39"/>
      <c r="B74" s="39"/>
      <c r="C74" s="40" t="s">
        <v>142</v>
      </c>
      <c r="D74" s="39"/>
      <c r="E74" s="39" t="s">
        <v>143</v>
      </c>
      <c r="F74" s="45" t="s">
        <v>145</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148</v>
      </c>
      <c r="D76" s="39"/>
      <c r="E76" s="39"/>
      <c r="F76" s="44"/>
      <c r="G76" s="44"/>
      <c r="H76" s="29" t="s">
        <v>143</v>
      </c>
    </row>
    <row r="77" spans="1:8" ht="12.75" customHeight="1" x14ac:dyDescent="0.2">
      <c r="A77" s="39"/>
      <c r="B77" s="39"/>
      <c r="C77" s="40" t="s">
        <v>142</v>
      </c>
      <c r="D77" s="39"/>
      <c r="E77" s="39" t="s">
        <v>143</v>
      </c>
      <c r="F77" s="45" t="s">
        <v>145</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149</v>
      </c>
      <c r="D79" s="39"/>
      <c r="E79" s="39"/>
      <c r="F79" s="44"/>
      <c r="G79" s="44"/>
      <c r="H79" s="29" t="s">
        <v>143</v>
      </c>
    </row>
    <row r="80" spans="1:8" ht="12.75" customHeight="1" x14ac:dyDescent="0.2">
      <c r="A80" s="39"/>
      <c r="B80" s="39"/>
      <c r="C80" s="40" t="s">
        <v>142</v>
      </c>
      <c r="D80" s="39"/>
      <c r="E80" s="39" t="s">
        <v>143</v>
      </c>
      <c r="F80" s="45" t="s">
        <v>145</v>
      </c>
      <c r="G80" s="42">
        <v>0</v>
      </c>
      <c r="H80" s="29" t="s">
        <v>143</v>
      </c>
    </row>
    <row r="81" spans="1:8" ht="12.75" customHeight="1" x14ac:dyDescent="0.2">
      <c r="A81" s="39"/>
      <c r="B81" s="39"/>
      <c r="C81" s="43"/>
      <c r="D81" s="39"/>
      <c r="E81" s="39"/>
      <c r="F81" s="44"/>
      <c r="G81" s="44"/>
      <c r="H81" s="29" t="s">
        <v>143</v>
      </c>
    </row>
    <row r="82" spans="1:8" ht="12.75" customHeight="1" x14ac:dyDescent="0.2">
      <c r="A82" s="39"/>
      <c r="B82" s="39"/>
      <c r="C82" s="40" t="s">
        <v>150</v>
      </c>
      <c r="D82" s="39"/>
      <c r="E82" s="39"/>
      <c r="F82" s="41">
        <f>F61</f>
        <v>84754.52692910003</v>
      </c>
      <c r="G82" s="42">
        <f>G61</f>
        <v>0.94805248349704185</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151</v>
      </c>
      <c r="D84" s="39"/>
      <c r="E84" s="39"/>
      <c r="F84" s="44"/>
      <c r="G84" s="44"/>
      <c r="H84" s="29" t="s">
        <v>143</v>
      </c>
    </row>
    <row r="85" spans="1:8" ht="12.75" customHeight="1" x14ac:dyDescent="0.2">
      <c r="A85" s="39"/>
      <c r="B85" s="39"/>
      <c r="C85" s="40" t="s">
        <v>10</v>
      </c>
      <c r="D85" s="39"/>
      <c r="E85" s="39"/>
      <c r="F85" s="44"/>
      <c r="G85" s="44"/>
      <c r="H85" s="29" t="s">
        <v>143</v>
      </c>
    </row>
    <row r="86" spans="1:8" ht="12.75" customHeight="1" x14ac:dyDescent="0.2">
      <c r="A86" s="39"/>
      <c r="B86" s="39"/>
      <c r="C86" s="40" t="s">
        <v>142</v>
      </c>
      <c r="D86" s="39"/>
      <c r="E86" s="39" t="s">
        <v>143</v>
      </c>
      <c r="F86" s="45" t="s">
        <v>145</v>
      </c>
      <c r="G86" s="42">
        <v>0</v>
      </c>
      <c r="H86" s="29" t="s">
        <v>143</v>
      </c>
    </row>
    <row r="87" spans="1:8" ht="12.75" customHeight="1" x14ac:dyDescent="0.2">
      <c r="A87" s="39"/>
      <c r="B87" s="39"/>
      <c r="C87" s="43"/>
      <c r="D87" s="39"/>
      <c r="E87" s="39"/>
      <c r="F87" s="44"/>
      <c r="G87" s="44"/>
      <c r="H87" s="29" t="s">
        <v>143</v>
      </c>
    </row>
    <row r="88" spans="1:8" ht="12.75" customHeight="1" x14ac:dyDescent="0.2">
      <c r="A88" s="39"/>
      <c r="B88" s="39"/>
      <c r="C88" s="40" t="s">
        <v>152</v>
      </c>
      <c r="D88" s="39"/>
      <c r="E88" s="39"/>
      <c r="F88" s="39"/>
      <c r="G88" s="39"/>
      <c r="H88" s="29" t="s">
        <v>143</v>
      </c>
    </row>
    <row r="89" spans="1:8" ht="12.75" customHeight="1" x14ac:dyDescent="0.2">
      <c r="A89" s="39"/>
      <c r="B89" s="39"/>
      <c r="C89" s="40" t="s">
        <v>142</v>
      </c>
      <c r="D89" s="39"/>
      <c r="E89" s="39" t="s">
        <v>143</v>
      </c>
      <c r="F89" s="45" t="s">
        <v>145</v>
      </c>
      <c r="G89" s="42">
        <v>0</v>
      </c>
      <c r="H89" s="29" t="s">
        <v>143</v>
      </c>
    </row>
    <row r="90" spans="1:8" ht="12.75" customHeight="1" x14ac:dyDescent="0.2">
      <c r="A90" s="39"/>
      <c r="B90" s="39"/>
      <c r="C90" s="43"/>
      <c r="D90" s="39"/>
      <c r="E90" s="39"/>
      <c r="F90" s="44"/>
      <c r="G90" s="44"/>
      <c r="H90" s="29" t="s">
        <v>143</v>
      </c>
    </row>
    <row r="91" spans="1:8" ht="12.75" customHeight="1" x14ac:dyDescent="0.2">
      <c r="A91" s="39"/>
      <c r="B91" s="39"/>
      <c r="C91" s="40" t="s">
        <v>153</v>
      </c>
      <c r="D91" s="39"/>
      <c r="E91" s="39"/>
      <c r="F91" s="39"/>
      <c r="G91" s="39"/>
      <c r="H91" s="29" t="s">
        <v>143</v>
      </c>
    </row>
    <row r="92" spans="1:8" ht="12.75" customHeight="1" x14ac:dyDescent="0.2">
      <c r="A92" s="39"/>
      <c r="B92" s="39"/>
      <c r="C92" s="40" t="s">
        <v>142</v>
      </c>
      <c r="D92" s="39"/>
      <c r="E92" s="39" t="s">
        <v>143</v>
      </c>
      <c r="F92" s="45" t="s">
        <v>145</v>
      </c>
      <c r="G92" s="42">
        <v>0</v>
      </c>
      <c r="H92" s="29" t="s">
        <v>143</v>
      </c>
    </row>
    <row r="93" spans="1:8" ht="12.75" customHeight="1" x14ac:dyDescent="0.2">
      <c r="A93" s="39"/>
      <c r="B93" s="39"/>
      <c r="C93" s="43"/>
      <c r="D93" s="39"/>
      <c r="E93" s="39"/>
      <c r="F93" s="44"/>
      <c r="G93" s="44"/>
      <c r="H93" s="29" t="s">
        <v>143</v>
      </c>
    </row>
    <row r="94" spans="1:8" ht="12.75" customHeight="1" x14ac:dyDescent="0.2">
      <c r="A94" s="39"/>
      <c r="B94" s="39"/>
      <c r="C94" s="40" t="s">
        <v>154</v>
      </c>
      <c r="D94" s="39"/>
      <c r="E94" s="39"/>
      <c r="F94" s="44"/>
      <c r="G94" s="44"/>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39"/>
      <c r="C96" s="43"/>
      <c r="D96" s="39"/>
      <c r="E96" s="39"/>
      <c r="F96" s="44"/>
      <c r="G96" s="44"/>
      <c r="H96" s="29" t="s">
        <v>143</v>
      </c>
    </row>
    <row r="97" spans="1:8" ht="12.75" customHeight="1" x14ac:dyDescent="0.2">
      <c r="A97" s="39"/>
      <c r="B97" s="39"/>
      <c r="C97" s="40" t="s">
        <v>155</v>
      </c>
      <c r="D97" s="39"/>
      <c r="E97" s="39"/>
      <c r="F97" s="41">
        <v>0</v>
      </c>
      <c r="G97" s="42">
        <v>0</v>
      </c>
      <c r="H97" s="29" t="s">
        <v>143</v>
      </c>
    </row>
    <row r="98" spans="1:8" ht="12.75" customHeight="1" x14ac:dyDescent="0.2">
      <c r="A98" s="39"/>
      <c r="B98" s="39"/>
      <c r="C98" s="43"/>
      <c r="D98" s="39"/>
      <c r="E98" s="39"/>
      <c r="F98" s="44"/>
      <c r="G98" s="44"/>
      <c r="H98" s="29" t="s">
        <v>143</v>
      </c>
    </row>
    <row r="99" spans="1:8" ht="12.75" customHeight="1" x14ac:dyDescent="0.2">
      <c r="A99" s="39"/>
      <c r="B99" s="39"/>
      <c r="C99" s="40" t="s">
        <v>156</v>
      </c>
      <c r="D99" s="39"/>
      <c r="E99" s="39"/>
      <c r="F99" s="44"/>
      <c r="G99" s="44"/>
      <c r="H99" s="29" t="s">
        <v>143</v>
      </c>
    </row>
    <row r="100" spans="1:8" ht="12.75" customHeight="1" x14ac:dyDescent="0.2">
      <c r="A100" s="39"/>
      <c r="B100" s="39"/>
      <c r="C100" s="40" t="s">
        <v>157</v>
      </c>
      <c r="D100" s="39"/>
      <c r="E100" s="39"/>
      <c r="F100" s="44"/>
      <c r="G100" s="44"/>
      <c r="H100" s="29" t="s">
        <v>143</v>
      </c>
    </row>
    <row r="101" spans="1:8" ht="12.75" customHeight="1" x14ac:dyDescent="0.2">
      <c r="A101" s="39"/>
      <c r="B101" s="39"/>
      <c r="C101" s="40" t="s">
        <v>142</v>
      </c>
      <c r="D101" s="39"/>
      <c r="E101" s="39" t="s">
        <v>143</v>
      </c>
      <c r="F101" s="45" t="s">
        <v>145</v>
      </c>
      <c r="G101" s="42">
        <v>0</v>
      </c>
      <c r="H101" s="29" t="s">
        <v>143</v>
      </c>
    </row>
    <row r="102" spans="1:8" ht="12.75" customHeight="1" x14ac:dyDescent="0.2">
      <c r="A102" s="39"/>
      <c r="B102" s="39"/>
      <c r="C102" s="43"/>
      <c r="D102" s="39"/>
      <c r="E102" s="39"/>
      <c r="F102" s="44"/>
      <c r="G102" s="44"/>
      <c r="H102" s="29" t="s">
        <v>143</v>
      </c>
    </row>
    <row r="103" spans="1:8" ht="12.75" customHeight="1" x14ac:dyDescent="0.2">
      <c r="A103" s="39"/>
      <c r="B103" s="39"/>
      <c r="C103" s="40" t="s">
        <v>158</v>
      </c>
      <c r="D103" s="39"/>
      <c r="E103" s="39"/>
      <c r="F103" s="44"/>
      <c r="G103" s="44"/>
      <c r="H103" s="29" t="s">
        <v>143</v>
      </c>
    </row>
    <row r="104" spans="1:8" ht="12.75" customHeight="1" x14ac:dyDescent="0.2">
      <c r="A104" s="39"/>
      <c r="B104" s="39"/>
      <c r="C104" s="40" t="s">
        <v>142</v>
      </c>
      <c r="D104" s="39"/>
      <c r="E104" s="39" t="s">
        <v>143</v>
      </c>
      <c r="F104" s="45" t="s">
        <v>145</v>
      </c>
      <c r="G104" s="42">
        <v>0</v>
      </c>
      <c r="H104" s="29" t="s">
        <v>143</v>
      </c>
    </row>
    <row r="105" spans="1:8" ht="12.75" customHeight="1" x14ac:dyDescent="0.2">
      <c r="A105" s="39"/>
      <c r="B105" s="39"/>
      <c r="C105" s="43"/>
      <c r="D105" s="39"/>
      <c r="E105" s="39"/>
      <c r="F105" s="44"/>
      <c r="G105" s="44"/>
      <c r="H105" s="29" t="s">
        <v>143</v>
      </c>
    </row>
    <row r="106" spans="1:8" ht="12.75" customHeight="1" x14ac:dyDescent="0.2">
      <c r="A106" s="39"/>
      <c r="B106" s="39"/>
      <c r="C106" s="40" t="s">
        <v>159</v>
      </c>
      <c r="D106" s="39"/>
      <c r="E106" s="39"/>
      <c r="F106" s="44"/>
      <c r="G106" s="44"/>
      <c r="H106" s="29" t="s">
        <v>143</v>
      </c>
    </row>
    <row r="107" spans="1:8" ht="12.75" customHeight="1" x14ac:dyDescent="0.2">
      <c r="A107" s="39"/>
      <c r="B107" s="39"/>
      <c r="C107" s="40" t="s">
        <v>142</v>
      </c>
      <c r="D107" s="39"/>
      <c r="E107" s="39" t="s">
        <v>143</v>
      </c>
      <c r="F107" s="45" t="s">
        <v>145</v>
      </c>
      <c r="G107" s="42">
        <v>0</v>
      </c>
      <c r="H107" s="29" t="s">
        <v>143</v>
      </c>
    </row>
    <row r="108" spans="1:8" ht="12.75" customHeight="1" x14ac:dyDescent="0.2">
      <c r="A108" s="39"/>
      <c r="B108" s="39"/>
      <c r="C108" s="43"/>
      <c r="D108" s="39"/>
      <c r="E108" s="39"/>
      <c r="F108" s="44"/>
      <c r="G108" s="44"/>
      <c r="H108" s="29" t="s">
        <v>143</v>
      </c>
    </row>
    <row r="109" spans="1:8" ht="12.75" customHeight="1" x14ac:dyDescent="0.2">
      <c r="A109" s="39"/>
      <c r="B109" s="39"/>
      <c r="C109" s="40" t="s">
        <v>160</v>
      </c>
      <c r="D109" s="39"/>
      <c r="E109" s="39"/>
      <c r="F109" s="44"/>
      <c r="G109" s="44"/>
      <c r="H109" s="29" t="s">
        <v>143</v>
      </c>
    </row>
    <row r="110" spans="1:8" ht="12.75" customHeight="1" x14ac:dyDescent="0.2">
      <c r="A110" s="35">
        <v>1</v>
      </c>
      <c r="B110" s="22"/>
      <c r="C110" s="22" t="s">
        <v>161</v>
      </c>
      <c r="D110" s="22"/>
      <c r="E110" s="46"/>
      <c r="F110" s="37">
        <v>4127.4509699930004</v>
      </c>
      <c r="G110" s="38">
        <v>4.6169099999999998E-2</v>
      </c>
      <c r="H110" s="29">
        <v>5.51</v>
      </c>
    </row>
    <row r="111" spans="1:8" ht="12.75" customHeight="1" x14ac:dyDescent="0.2">
      <c r="A111" s="39"/>
      <c r="B111" s="39"/>
      <c r="C111" s="40" t="s">
        <v>142</v>
      </c>
      <c r="D111" s="39"/>
      <c r="E111" s="39" t="s">
        <v>143</v>
      </c>
      <c r="F111" s="41">
        <v>4127.4509699930004</v>
      </c>
      <c r="G111" s="42">
        <v>4.6169099999999998E-2</v>
      </c>
      <c r="H111" s="29" t="s">
        <v>143</v>
      </c>
    </row>
    <row r="112" spans="1:8" ht="12.75" customHeight="1" x14ac:dyDescent="0.2">
      <c r="A112" s="39"/>
      <c r="B112" s="39"/>
      <c r="C112" s="43"/>
      <c r="D112" s="39"/>
      <c r="E112" s="39"/>
      <c r="F112" s="44"/>
      <c r="G112" s="44"/>
      <c r="H112" s="29" t="s">
        <v>143</v>
      </c>
    </row>
    <row r="113" spans="1:10" ht="12.75" customHeight="1" x14ac:dyDescent="0.2">
      <c r="A113" s="39"/>
      <c r="B113" s="39"/>
      <c r="C113" s="40" t="s">
        <v>162</v>
      </c>
      <c r="D113" s="39"/>
      <c r="E113" s="39"/>
      <c r="F113" s="41">
        <v>4127.4509699930004</v>
      </c>
      <c r="G113" s="42">
        <v>4.6169099999999998E-2</v>
      </c>
      <c r="H113" s="29" t="s">
        <v>143</v>
      </c>
    </row>
    <row r="114" spans="1:10" ht="12.75" customHeight="1" x14ac:dyDescent="0.2">
      <c r="A114" s="39"/>
      <c r="B114" s="39"/>
      <c r="C114" s="44"/>
      <c r="D114" s="39"/>
      <c r="E114" s="39"/>
      <c r="F114" s="39"/>
      <c r="G114" s="39"/>
      <c r="H114" s="29" t="s">
        <v>143</v>
      </c>
    </row>
    <row r="115" spans="1:10" ht="12.75" customHeight="1" x14ac:dyDescent="0.2">
      <c r="A115" s="39"/>
      <c r="B115" s="39"/>
      <c r="C115" s="40" t="s">
        <v>163</v>
      </c>
      <c r="D115" s="39"/>
      <c r="E115" s="39"/>
      <c r="F115" s="39"/>
      <c r="G115" s="39"/>
      <c r="H115" s="29" t="s">
        <v>143</v>
      </c>
    </row>
    <row r="116" spans="1:10" ht="12.75" customHeight="1" x14ac:dyDescent="0.2">
      <c r="A116" s="39"/>
      <c r="B116" s="39"/>
      <c r="C116" s="40" t="s">
        <v>164</v>
      </c>
      <c r="D116" s="39"/>
      <c r="E116" s="39"/>
      <c r="F116" s="39"/>
      <c r="G116" s="39"/>
      <c r="H116" s="29" t="s">
        <v>143</v>
      </c>
    </row>
    <row r="117" spans="1:10" ht="12.75" customHeight="1" x14ac:dyDescent="0.2">
      <c r="A117" s="39"/>
      <c r="B117" s="39"/>
      <c r="C117" s="40" t="s">
        <v>142</v>
      </c>
      <c r="D117" s="39"/>
      <c r="E117" s="39" t="s">
        <v>143</v>
      </c>
      <c r="F117" s="45" t="s">
        <v>145</v>
      </c>
      <c r="G117" s="42">
        <v>0</v>
      </c>
      <c r="H117" s="29" t="s">
        <v>143</v>
      </c>
    </row>
    <row r="118" spans="1:10" ht="12.75" customHeight="1" x14ac:dyDescent="0.2">
      <c r="A118" s="39"/>
      <c r="B118" s="39"/>
      <c r="C118" s="43"/>
      <c r="D118" s="39"/>
      <c r="E118" s="39"/>
      <c r="F118" s="44"/>
      <c r="G118" s="44"/>
      <c r="H118" s="29" t="s">
        <v>143</v>
      </c>
    </row>
    <row r="119" spans="1:10" ht="12.75" customHeight="1" x14ac:dyDescent="0.2">
      <c r="A119" s="39"/>
      <c r="B119" s="39"/>
      <c r="C119" s="40" t="s">
        <v>165</v>
      </c>
      <c r="D119" s="39"/>
      <c r="E119" s="39"/>
      <c r="F119" s="39"/>
      <c r="G119" s="39"/>
      <c r="H119" s="29" t="s">
        <v>143</v>
      </c>
    </row>
    <row r="120" spans="1:10" ht="12.75" customHeight="1" x14ac:dyDescent="0.2">
      <c r="A120" s="39"/>
      <c r="B120" s="39"/>
      <c r="C120" s="40" t="s">
        <v>166</v>
      </c>
      <c r="D120" s="39"/>
      <c r="E120" s="39"/>
      <c r="F120" s="39"/>
      <c r="G120" s="39"/>
      <c r="H120" s="29" t="s">
        <v>143</v>
      </c>
    </row>
    <row r="121" spans="1:10" ht="12.75" customHeight="1" x14ac:dyDescent="0.2">
      <c r="A121" s="39"/>
      <c r="B121" s="39"/>
      <c r="C121" s="40" t="s">
        <v>142</v>
      </c>
      <c r="D121" s="39"/>
      <c r="E121" s="39" t="s">
        <v>143</v>
      </c>
      <c r="F121" s="45" t="s">
        <v>145</v>
      </c>
      <c r="G121" s="42">
        <v>0</v>
      </c>
      <c r="H121" s="29" t="s">
        <v>143</v>
      </c>
    </row>
    <row r="122" spans="1:10" ht="12.75" customHeight="1" x14ac:dyDescent="0.2">
      <c r="A122" s="39"/>
      <c r="B122" s="39"/>
      <c r="C122" s="43"/>
      <c r="D122" s="39"/>
      <c r="E122" s="39"/>
      <c r="F122" s="44"/>
      <c r="G122" s="44"/>
      <c r="H122" s="29" t="s">
        <v>143</v>
      </c>
    </row>
    <row r="123" spans="1:10" ht="12.75" customHeight="1" x14ac:dyDescent="0.2">
      <c r="A123" s="39"/>
      <c r="B123" s="39"/>
      <c r="C123" s="40" t="s">
        <v>167</v>
      </c>
      <c r="D123" s="39"/>
      <c r="E123" s="39"/>
      <c r="F123" s="44"/>
      <c r="G123" s="44"/>
      <c r="H123" s="29" t="s">
        <v>143</v>
      </c>
    </row>
    <row r="124" spans="1:10" ht="12.75" customHeight="1" x14ac:dyDescent="0.2">
      <c r="A124" s="39"/>
      <c r="B124" s="39"/>
      <c r="C124" s="40" t="s">
        <v>142</v>
      </c>
      <c r="D124" s="39"/>
      <c r="E124" s="39" t="s">
        <v>143</v>
      </c>
      <c r="F124" s="45" t="s">
        <v>145</v>
      </c>
      <c r="G124" s="42">
        <v>0</v>
      </c>
      <c r="H124" s="29" t="s">
        <v>143</v>
      </c>
    </row>
    <row r="125" spans="1:10" ht="12.75" customHeight="1" x14ac:dyDescent="0.2">
      <c r="A125" s="39"/>
      <c r="B125" s="39"/>
      <c r="C125" s="43"/>
      <c r="D125" s="39"/>
      <c r="E125" s="39"/>
      <c r="F125" s="44"/>
      <c r="G125" s="44"/>
      <c r="H125" s="29" t="s">
        <v>143</v>
      </c>
    </row>
    <row r="126" spans="1:10" ht="12.75" customHeight="1" x14ac:dyDescent="0.2">
      <c r="A126" s="46"/>
      <c r="B126" s="22"/>
      <c r="C126" s="22" t="s">
        <v>319</v>
      </c>
      <c r="D126" s="22"/>
      <c r="E126" s="46"/>
      <c r="F126" s="37">
        <v>1399.9999749999999</v>
      </c>
      <c r="G126" s="38">
        <v>1.5660210000000001E-2</v>
      </c>
      <c r="H126" s="29" t="s">
        <v>143</v>
      </c>
      <c r="J126" s="104"/>
    </row>
    <row r="127" spans="1:10" ht="12.75" customHeight="1" x14ac:dyDescent="0.2">
      <c r="A127" s="46"/>
      <c r="B127" s="22"/>
      <c r="C127" s="22" t="s">
        <v>168</v>
      </c>
      <c r="D127" s="22"/>
      <c r="E127" s="46"/>
      <c r="F127" s="37">
        <v>-883.41255174000003</v>
      </c>
      <c r="G127" s="38">
        <v>-9.88173E-3</v>
      </c>
      <c r="H127" s="29" t="s">
        <v>143</v>
      </c>
    </row>
    <row r="128" spans="1:10" ht="12.75" customHeight="1" x14ac:dyDescent="0.2">
      <c r="A128" s="43"/>
      <c r="B128" s="43"/>
      <c r="C128" s="40" t="s">
        <v>169</v>
      </c>
      <c r="D128" s="44"/>
      <c r="E128" s="44"/>
      <c r="F128" s="41">
        <f>F127+F126+F113+F97+F82</f>
        <v>89398.565322353024</v>
      </c>
      <c r="G128" s="47">
        <f>G127+G126+G113+G97+G82</f>
        <v>1.0000000634970418</v>
      </c>
      <c r="H128" s="29" t="s">
        <v>143</v>
      </c>
    </row>
    <row r="129" spans="1:17" ht="12.75" customHeight="1" x14ac:dyDescent="0.2">
      <c r="A129" s="48"/>
      <c r="B129" s="48"/>
      <c r="C129" s="49"/>
      <c r="D129" s="50"/>
      <c r="E129" s="50"/>
      <c r="F129" s="51"/>
      <c r="G129" s="52"/>
      <c r="H129" s="53"/>
    </row>
    <row r="130" spans="1:17" x14ac:dyDescent="0.2">
      <c r="A130" s="54"/>
      <c r="B130" s="243" t="s">
        <v>945</v>
      </c>
      <c r="C130" s="243"/>
      <c r="D130" s="243"/>
      <c r="E130" s="243"/>
      <c r="F130" s="243"/>
      <c r="G130" s="243"/>
      <c r="H130" s="243"/>
      <c r="J130" s="56"/>
    </row>
    <row r="131" spans="1:17" x14ac:dyDescent="0.2">
      <c r="A131" s="54"/>
      <c r="B131" s="243" t="s">
        <v>946</v>
      </c>
      <c r="C131" s="243"/>
      <c r="D131" s="243"/>
      <c r="E131" s="243"/>
      <c r="F131" s="243"/>
      <c r="G131" s="243"/>
      <c r="H131" s="243"/>
      <c r="J131" s="56"/>
    </row>
    <row r="132" spans="1:17" x14ac:dyDescent="0.2">
      <c r="A132" s="54"/>
      <c r="B132" s="243" t="s">
        <v>947</v>
      </c>
      <c r="C132" s="243"/>
      <c r="D132" s="243"/>
      <c r="E132" s="243"/>
      <c r="F132" s="243"/>
      <c r="G132" s="243"/>
      <c r="H132" s="243"/>
      <c r="J132" s="56"/>
    </row>
    <row r="133" spans="1:17" s="58" customFormat="1" ht="66.75" customHeight="1" x14ac:dyDescent="0.25">
      <c r="A133" s="57"/>
      <c r="B133" s="244" t="s">
        <v>948</v>
      </c>
      <c r="C133" s="244"/>
      <c r="D133" s="244"/>
      <c r="E133" s="244"/>
      <c r="F133" s="244"/>
      <c r="G133" s="244"/>
      <c r="H133" s="244"/>
      <c r="I133"/>
      <c r="J133" s="56"/>
      <c r="K133"/>
      <c r="L133"/>
      <c r="M133"/>
      <c r="N133"/>
      <c r="O133"/>
      <c r="P133"/>
      <c r="Q133"/>
    </row>
    <row r="134" spans="1:17" x14ac:dyDescent="0.2">
      <c r="A134" s="54"/>
      <c r="B134" s="243" t="s">
        <v>949</v>
      </c>
      <c r="C134" s="243"/>
      <c r="D134" s="243"/>
      <c r="E134" s="243"/>
      <c r="F134" s="243"/>
      <c r="G134" s="243"/>
      <c r="H134" s="243"/>
      <c r="J134" s="56"/>
    </row>
    <row r="135" spans="1:17" x14ac:dyDescent="0.2">
      <c r="A135" s="54"/>
      <c r="B135" s="54"/>
      <c r="C135" s="54"/>
      <c r="D135" s="59"/>
      <c r="E135" s="59"/>
      <c r="F135" s="59"/>
      <c r="G135" s="59"/>
    </row>
    <row r="136" spans="1:17" x14ac:dyDescent="0.2">
      <c r="A136" s="54"/>
      <c r="B136" s="247" t="s">
        <v>170</v>
      </c>
      <c r="C136" s="248"/>
      <c r="D136" s="249"/>
      <c r="E136" s="60"/>
      <c r="F136" s="59"/>
      <c r="G136" s="59"/>
    </row>
    <row r="137" spans="1:17" ht="27.75" customHeight="1" x14ac:dyDescent="0.2">
      <c r="A137" s="54"/>
      <c r="B137" s="240" t="s">
        <v>171</v>
      </c>
      <c r="C137" s="241"/>
      <c r="D137" s="28" t="s">
        <v>1001</v>
      </c>
      <c r="E137" s="60"/>
      <c r="F137" s="59"/>
      <c r="G137" s="59"/>
    </row>
    <row r="138" spans="1:17" ht="12.75" customHeight="1" x14ac:dyDescent="0.2">
      <c r="A138" s="54"/>
      <c r="B138" s="240" t="s">
        <v>950</v>
      </c>
      <c r="C138" s="241"/>
      <c r="D138" s="28" t="str">
        <f>"Rs. "&amp;TEXT(F74,"0.00")&amp;" lacs/ #"</f>
        <v>Rs. 0.00 lacs/ #</v>
      </c>
      <c r="E138" s="60"/>
      <c r="F138" s="59"/>
      <c r="G138" s="59"/>
    </row>
    <row r="139" spans="1:17" x14ac:dyDescent="0.2">
      <c r="A139" s="54"/>
      <c r="B139" s="240" t="s">
        <v>173</v>
      </c>
      <c r="C139" s="241"/>
      <c r="D139" s="61" t="s">
        <v>143</v>
      </c>
      <c r="E139" s="60"/>
      <c r="F139" s="59"/>
      <c r="G139" s="59"/>
    </row>
    <row r="140" spans="1:17" x14ac:dyDescent="0.2">
      <c r="A140" s="62"/>
      <c r="B140" s="63" t="s">
        <v>143</v>
      </c>
      <c r="C140" s="63" t="s">
        <v>951</v>
      </c>
      <c r="D140" s="63" t="s">
        <v>174</v>
      </c>
      <c r="E140" s="62"/>
      <c r="F140" s="62"/>
      <c r="G140" s="62"/>
      <c r="H140" s="62"/>
      <c r="J140" s="56"/>
    </row>
    <row r="141" spans="1:17" x14ac:dyDescent="0.2">
      <c r="A141" s="62"/>
      <c r="B141" s="64" t="s">
        <v>175</v>
      </c>
      <c r="C141" s="65">
        <v>45900</v>
      </c>
      <c r="D141" s="65">
        <v>45930</v>
      </c>
      <c r="E141" s="62"/>
      <c r="F141" s="62"/>
      <c r="G141" s="62"/>
      <c r="J141" s="56"/>
    </row>
    <row r="142" spans="1:17" ht="12.75" customHeight="1" x14ac:dyDescent="0.2">
      <c r="A142" s="66"/>
      <c r="B142" s="91" t="s">
        <v>176</v>
      </c>
      <c r="C142" s="68">
        <v>143.45189999999999</v>
      </c>
      <c r="D142" s="68">
        <v>146.3502</v>
      </c>
      <c r="E142" s="66"/>
      <c r="F142" s="69"/>
      <c r="G142" s="70"/>
    </row>
    <row r="143" spans="1:17" ht="12.75" customHeight="1" x14ac:dyDescent="0.2">
      <c r="A143" s="66"/>
      <c r="B143" s="91" t="s">
        <v>1085</v>
      </c>
      <c r="C143" s="68">
        <v>63.986600000000003</v>
      </c>
      <c r="D143" s="68">
        <v>65.279399999999995</v>
      </c>
      <c r="E143" s="66"/>
      <c r="F143" s="69"/>
      <c r="G143" s="70"/>
    </row>
    <row r="144" spans="1:17" ht="12.75" customHeight="1" x14ac:dyDescent="0.2">
      <c r="A144" s="66"/>
      <c r="B144" s="91" t="s">
        <v>177</v>
      </c>
      <c r="C144" s="68">
        <v>131.26240000000001</v>
      </c>
      <c r="D144" s="68">
        <v>133.78020000000001</v>
      </c>
      <c r="E144" s="66"/>
      <c r="F144" s="69"/>
      <c r="G144" s="70"/>
    </row>
    <row r="145" spans="1:19" ht="12.75" customHeight="1" x14ac:dyDescent="0.2">
      <c r="A145" s="66"/>
      <c r="B145" s="91" t="s">
        <v>1086</v>
      </c>
      <c r="C145" s="68">
        <v>38.170400000000001</v>
      </c>
      <c r="D145" s="68">
        <v>38.9026</v>
      </c>
      <c r="E145" s="66"/>
      <c r="F145" s="69"/>
      <c r="G145" s="70"/>
    </row>
    <row r="146" spans="1:19" ht="12.75" customHeight="1" x14ac:dyDescent="0.2">
      <c r="A146" s="66"/>
      <c r="B146" s="66"/>
      <c r="C146" s="66"/>
      <c r="D146" s="66"/>
      <c r="E146" s="66"/>
      <c r="F146" s="66"/>
      <c r="G146" s="66"/>
    </row>
    <row r="147" spans="1:19" x14ac:dyDescent="0.2">
      <c r="A147" s="62"/>
      <c r="B147" s="245" t="s">
        <v>952</v>
      </c>
      <c r="C147" s="246"/>
      <c r="D147" s="71" t="s">
        <v>172</v>
      </c>
      <c r="E147" s="62"/>
      <c r="F147" s="62"/>
      <c r="G147" s="62"/>
    </row>
    <row r="148" spans="1:19" x14ac:dyDescent="0.2">
      <c r="A148" s="72"/>
      <c r="B148" s="73"/>
      <c r="C148" s="73"/>
      <c r="D148" s="73"/>
      <c r="E148" s="72"/>
      <c r="F148" s="72"/>
      <c r="G148" s="72"/>
    </row>
    <row r="149" spans="1:19" x14ac:dyDescent="0.2">
      <c r="A149" s="72"/>
      <c r="B149" s="240" t="s">
        <v>178</v>
      </c>
      <c r="C149" s="241"/>
      <c r="D149" s="28" t="s">
        <v>172</v>
      </c>
      <c r="E149" s="74"/>
      <c r="F149" s="72"/>
      <c r="G149" s="72"/>
    </row>
    <row r="150" spans="1:19" x14ac:dyDescent="0.2">
      <c r="A150" s="72"/>
      <c r="B150" s="240" t="s">
        <v>179</v>
      </c>
      <c r="C150" s="241"/>
      <c r="D150" s="28" t="s">
        <v>172</v>
      </c>
      <c r="E150" s="74"/>
      <c r="F150" s="72"/>
      <c r="G150" s="72"/>
    </row>
    <row r="151" spans="1:19" ht="17.100000000000001" customHeight="1" x14ac:dyDescent="0.2">
      <c r="A151" s="72"/>
      <c r="B151" s="240" t="s">
        <v>180</v>
      </c>
      <c r="C151" s="241"/>
      <c r="D151" s="28" t="s">
        <v>172</v>
      </c>
      <c r="E151" s="74"/>
      <c r="F151" s="72"/>
      <c r="G151" s="72"/>
    </row>
    <row r="152" spans="1:19" ht="17.100000000000001" customHeight="1" x14ac:dyDescent="0.2">
      <c r="A152" s="72"/>
      <c r="B152" s="240" t="s">
        <v>181</v>
      </c>
      <c r="C152" s="241"/>
      <c r="D152" s="75">
        <v>0.59889016414523499</v>
      </c>
      <c r="E152" s="72"/>
      <c r="F152" s="55"/>
      <c r="G152" s="76"/>
    </row>
    <row r="153" spans="1:19" x14ac:dyDescent="0.2"/>
    <row r="154" spans="1:19" s="105" customFormat="1" x14ac:dyDescent="0.2">
      <c r="B154" s="106" t="s">
        <v>1038</v>
      </c>
      <c r="C154" s="106"/>
      <c r="D154" s="106"/>
      <c r="E154" s="11"/>
      <c r="F154" s="12"/>
      <c r="I154"/>
      <c r="J154"/>
      <c r="K154"/>
      <c r="L154"/>
      <c r="M154"/>
      <c r="N154"/>
    </row>
    <row r="155" spans="1:19" s="105" customFormat="1" ht="63.75" x14ac:dyDescent="0.2">
      <c r="B155" s="107" t="s">
        <v>1087</v>
      </c>
      <c r="C155" s="108" t="s">
        <v>1088</v>
      </c>
      <c r="D155" s="108" t="s">
        <v>1089</v>
      </c>
      <c r="E155" s="108" t="s">
        <v>1090</v>
      </c>
      <c r="F155" s="108" t="s">
        <v>1091</v>
      </c>
      <c r="I155"/>
      <c r="J155"/>
      <c r="K155"/>
      <c r="L155"/>
      <c r="M155"/>
      <c r="N155"/>
    </row>
    <row r="156" spans="1:19" s="105" customFormat="1" ht="25.5" x14ac:dyDescent="0.2">
      <c r="B156" s="109" t="s">
        <v>1092</v>
      </c>
      <c r="C156" s="110" t="s">
        <v>1093</v>
      </c>
      <c r="D156" s="14">
        <v>0</v>
      </c>
      <c r="E156" s="15">
        <v>0</v>
      </c>
      <c r="F156" s="111">
        <v>241.97234</v>
      </c>
      <c r="I156"/>
      <c r="J156"/>
      <c r="K156"/>
      <c r="L156"/>
      <c r="M156"/>
      <c r="N156"/>
    </row>
    <row r="157" spans="1:19" s="105" customFormat="1" ht="25.5" x14ac:dyDescent="0.2">
      <c r="B157" s="109" t="s">
        <v>1094</v>
      </c>
      <c r="C157" s="110" t="s">
        <v>1093</v>
      </c>
      <c r="D157" s="14">
        <v>0</v>
      </c>
      <c r="E157" s="15">
        <v>0</v>
      </c>
      <c r="F157" s="111">
        <v>23.186299999999999</v>
      </c>
      <c r="I157"/>
      <c r="J157"/>
      <c r="K157"/>
      <c r="L157"/>
      <c r="M157"/>
      <c r="N157"/>
      <c r="O157"/>
      <c r="P157"/>
      <c r="Q157"/>
      <c r="R157"/>
      <c r="S157"/>
    </row>
    <row r="158" spans="1:19" x14ac:dyDescent="0.2"/>
    <row r="159" spans="1:19" x14ac:dyDescent="0.2">
      <c r="B159" s="239" t="s">
        <v>953</v>
      </c>
      <c r="C159" s="239"/>
    </row>
    <row r="160" spans="1:19" x14ac:dyDescent="0.2"/>
    <row r="161" spans="2:10" ht="153.75" customHeight="1" x14ac:dyDescent="0.2"/>
    <row r="162" spans="2:10" x14ac:dyDescent="0.2"/>
    <row r="163" spans="2:10" x14ac:dyDescent="0.2"/>
    <row r="164" spans="2:10" x14ac:dyDescent="0.2">
      <c r="B164" s="77" t="s">
        <v>954</v>
      </c>
      <c r="C164" s="78"/>
      <c r="D164" s="77" t="s">
        <v>957</v>
      </c>
    </row>
    <row r="165" spans="2:10" x14ac:dyDescent="0.2">
      <c r="B165" s="77" t="s">
        <v>1095</v>
      </c>
      <c r="D165" s="77" t="s">
        <v>1132</v>
      </c>
    </row>
    <row r="166" spans="2:10" ht="165" customHeight="1" x14ac:dyDescent="0.2"/>
    <row r="167" spans="2:10" x14ac:dyDescent="0.2"/>
    <row r="168" spans="2:10" x14ac:dyDescent="0.2">
      <c r="J168" s="26"/>
    </row>
  </sheetData>
  <mergeCells count="18">
    <mergeCell ref="B159:C159"/>
    <mergeCell ref="B152:C152"/>
    <mergeCell ref="A1:H1"/>
    <mergeCell ref="A2:H2"/>
    <mergeCell ref="A3:H3"/>
    <mergeCell ref="B151:C151"/>
    <mergeCell ref="B130:H130"/>
    <mergeCell ref="B131:H131"/>
    <mergeCell ref="B132:H132"/>
    <mergeCell ref="B133:H133"/>
    <mergeCell ref="B134:H134"/>
    <mergeCell ref="B136:D136"/>
    <mergeCell ref="B137:C137"/>
    <mergeCell ref="B138:C138"/>
    <mergeCell ref="B139:C139"/>
    <mergeCell ref="B149:C149"/>
    <mergeCell ref="B150:C150"/>
    <mergeCell ref="B147:C147"/>
  </mergeCells>
  <hyperlinks>
    <hyperlink ref="I1" location="Index!B2" display="Index" xr:uid="{B5F1C9D3-722D-4391-9B8D-735F559DE3B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64FE-692E-4ADA-9CE1-E5C6A86A6F4E}">
  <sheetPr>
    <outlinePr summaryBelow="0" summaryRight="0"/>
  </sheetPr>
  <dimension ref="A1:Q220"/>
  <sheetViews>
    <sheetView showGridLines="0" workbookViewId="0">
      <selection sqref="A1:H1"/>
    </sheetView>
  </sheetViews>
  <sheetFormatPr defaultRowHeight="12.75" customHeight="1" x14ac:dyDescent="0.2"/>
  <cols>
    <col min="1" max="1" width="5.85546875" bestFit="1" customWidth="1"/>
    <col min="2" max="2" width="24.7109375" customWidth="1"/>
    <col min="3" max="3" width="39.7109375"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706</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11</v>
      </c>
      <c r="C7" s="22" t="s">
        <v>12</v>
      </c>
      <c r="D7" s="22" t="s">
        <v>13</v>
      </c>
      <c r="E7" s="36">
        <v>557920</v>
      </c>
      <c r="F7" s="37">
        <v>10479.969279999999</v>
      </c>
      <c r="G7" s="38">
        <v>9.0918020000000002E-2</v>
      </c>
      <c r="H7" s="29" t="s">
        <v>143</v>
      </c>
    </row>
    <row r="8" spans="1:9" ht="12.75" customHeight="1" x14ac:dyDescent="0.2">
      <c r="A8" s="35">
        <v>2</v>
      </c>
      <c r="B8" s="22" t="s">
        <v>17</v>
      </c>
      <c r="C8" s="22" t="s">
        <v>18</v>
      </c>
      <c r="D8" s="22" t="s">
        <v>19</v>
      </c>
      <c r="E8" s="36">
        <v>683165</v>
      </c>
      <c r="F8" s="37">
        <v>9318.3706000000002</v>
      </c>
      <c r="G8" s="38">
        <v>8.0840679999999998E-2</v>
      </c>
      <c r="H8" s="29" t="s">
        <v>143</v>
      </c>
    </row>
    <row r="9" spans="1:9" ht="12.75" customHeight="1" x14ac:dyDescent="0.2">
      <c r="A9" s="35">
        <v>3</v>
      </c>
      <c r="B9" s="22" t="s">
        <v>31</v>
      </c>
      <c r="C9" s="22" t="s">
        <v>32</v>
      </c>
      <c r="D9" s="22" t="s">
        <v>33</v>
      </c>
      <c r="E9" s="36">
        <v>631645</v>
      </c>
      <c r="F9" s="37">
        <v>8514.5745999999999</v>
      </c>
      <c r="G9" s="38">
        <v>7.3867420000000003E-2</v>
      </c>
      <c r="H9" s="29" t="s">
        <v>143</v>
      </c>
    </row>
    <row r="10" spans="1:9" ht="12.75" customHeight="1" x14ac:dyDescent="0.2">
      <c r="A10" s="35">
        <v>4</v>
      </c>
      <c r="B10" s="22" t="s">
        <v>321</v>
      </c>
      <c r="C10" s="22" t="s">
        <v>322</v>
      </c>
      <c r="D10" s="22" t="s">
        <v>33</v>
      </c>
      <c r="E10" s="36">
        <v>608815</v>
      </c>
      <c r="F10" s="37">
        <v>5789.8306499999999</v>
      </c>
      <c r="G10" s="38">
        <v>5.022915E-2</v>
      </c>
      <c r="H10" s="29" t="s">
        <v>143</v>
      </c>
    </row>
    <row r="11" spans="1:9" ht="12.75" customHeight="1" x14ac:dyDescent="0.2">
      <c r="A11" s="35">
        <v>5</v>
      </c>
      <c r="B11" s="22" t="s">
        <v>42</v>
      </c>
      <c r="C11" s="22" t="s">
        <v>43</v>
      </c>
      <c r="D11" s="22" t="s">
        <v>33</v>
      </c>
      <c r="E11" s="36">
        <v>538465</v>
      </c>
      <c r="F11" s="37">
        <v>4697.8378924999997</v>
      </c>
      <c r="G11" s="38">
        <v>4.0755670000000001E-2</v>
      </c>
      <c r="H11" s="29" t="s">
        <v>143</v>
      </c>
    </row>
    <row r="12" spans="1:9" ht="12.75" customHeight="1" x14ac:dyDescent="0.2">
      <c r="A12" s="35">
        <v>6</v>
      </c>
      <c r="B12" s="22" t="s">
        <v>327</v>
      </c>
      <c r="C12" s="22" t="s">
        <v>328</v>
      </c>
      <c r="D12" s="22" t="s">
        <v>33</v>
      </c>
      <c r="E12" s="36">
        <v>374375</v>
      </c>
      <c r="F12" s="37">
        <v>4236.4274999999998</v>
      </c>
      <c r="G12" s="38">
        <v>3.6752739999999999E-2</v>
      </c>
      <c r="H12" s="29" t="s">
        <v>143</v>
      </c>
    </row>
    <row r="13" spans="1:9" ht="12.75" customHeight="1" x14ac:dyDescent="0.2">
      <c r="A13" s="35">
        <v>7</v>
      </c>
      <c r="B13" s="22" t="s">
        <v>323</v>
      </c>
      <c r="C13" s="22" t="s">
        <v>324</v>
      </c>
      <c r="D13" s="22" t="s">
        <v>33</v>
      </c>
      <c r="E13" s="36">
        <v>140795</v>
      </c>
      <c r="F13" s="37">
        <v>2805.6219649999998</v>
      </c>
      <c r="G13" s="38">
        <v>2.4339920000000001E-2</v>
      </c>
      <c r="H13" s="29" t="s">
        <v>143</v>
      </c>
    </row>
    <row r="14" spans="1:9" ht="12.75" customHeight="1" x14ac:dyDescent="0.2">
      <c r="A14" s="35">
        <v>8</v>
      </c>
      <c r="B14" s="22" t="s">
        <v>14</v>
      </c>
      <c r="C14" s="22" t="s">
        <v>15</v>
      </c>
      <c r="D14" s="22" t="s">
        <v>16</v>
      </c>
      <c r="E14" s="36">
        <v>75000</v>
      </c>
      <c r="F14" s="37">
        <v>2744.25</v>
      </c>
      <c r="G14" s="38">
        <v>2.3807490000000001E-2</v>
      </c>
      <c r="H14" s="29" t="s">
        <v>143</v>
      </c>
    </row>
    <row r="15" spans="1:9" ht="12.75" customHeight="1" x14ac:dyDescent="0.2">
      <c r="A15" s="35">
        <v>9</v>
      </c>
      <c r="B15" s="22" t="s">
        <v>333</v>
      </c>
      <c r="C15" s="22" t="s">
        <v>334</v>
      </c>
      <c r="D15" s="22" t="s">
        <v>239</v>
      </c>
      <c r="E15" s="36">
        <v>76195</v>
      </c>
      <c r="F15" s="37">
        <v>2611.2026500000002</v>
      </c>
      <c r="G15" s="38">
        <v>2.265325E-2</v>
      </c>
      <c r="H15" s="29" t="s">
        <v>143</v>
      </c>
    </row>
    <row r="16" spans="1:9" ht="12.75" customHeight="1" x14ac:dyDescent="0.2">
      <c r="A16" s="35">
        <v>10</v>
      </c>
      <c r="B16" s="22" t="s">
        <v>329</v>
      </c>
      <c r="C16" s="22" t="s">
        <v>330</v>
      </c>
      <c r="D16" s="22" t="s">
        <v>191</v>
      </c>
      <c r="E16" s="36">
        <v>190500</v>
      </c>
      <c r="F16" s="37">
        <v>1902.9045000000001</v>
      </c>
      <c r="G16" s="38">
        <v>1.6508479999999999E-2</v>
      </c>
      <c r="H16" s="29" t="s">
        <v>143</v>
      </c>
    </row>
    <row r="17" spans="1:8" ht="12.75" customHeight="1" x14ac:dyDescent="0.2">
      <c r="A17" s="35">
        <v>11</v>
      </c>
      <c r="B17" s="22" t="s">
        <v>439</v>
      </c>
      <c r="C17" s="22" t="s">
        <v>440</v>
      </c>
      <c r="D17" s="22" t="s">
        <v>423</v>
      </c>
      <c r="E17" s="36">
        <v>72645</v>
      </c>
      <c r="F17" s="37">
        <v>1826.5858800000001</v>
      </c>
      <c r="G17" s="38">
        <v>1.584638E-2</v>
      </c>
      <c r="H17" s="29" t="s">
        <v>143</v>
      </c>
    </row>
    <row r="18" spans="1:8" ht="12.75" customHeight="1" x14ac:dyDescent="0.2">
      <c r="A18" s="35">
        <v>12</v>
      </c>
      <c r="B18" s="22" t="s">
        <v>421</v>
      </c>
      <c r="C18" s="22" t="s">
        <v>422</v>
      </c>
      <c r="D18" s="22" t="s">
        <v>423</v>
      </c>
      <c r="E18" s="36">
        <v>284800</v>
      </c>
      <c r="F18" s="37">
        <v>1143.6143999999999</v>
      </c>
      <c r="G18" s="38">
        <v>9.9213200000000008E-3</v>
      </c>
      <c r="H18" s="29" t="s">
        <v>143</v>
      </c>
    </row>
    <row r="19" spans="1:8" ht="12.75" customHeight="1" x14ac:dyDescent="0.2">
      <c r="A19" s="35">
        <v>13</v>
      </c>
      <c r="B19" s="22" t="s">
        <v>426</v>
      </c>
      <c r="C19" s="22" t="s">
        <v>427</v>
      </c>
      <c r="D19" s="22" t="s">
        <v>428</v>
      </c>
      <c r="E19" s="36">
        <v>149800</v>
      </c>
      <c r="F19" s="37">
        <v>1141.4011</v>
      </c>
      <c r="G19" s="38">
        <v>9.9021200000000004E-3</v>
      </c>
      <c r="H19" s="29" t="s">
        <v>143</v>
      </c>
    </row>
    <row r="20" spans="1:8" ht="12.75" customHeight="1" x14ac:dyDescent="0.2">
      <c r="A20" s="35">
        <v>14</v>
      </c>
      <c r="B20" s="22" t="s">
        <v>345</v>
      </c>
      <c r="C20" s="22" t="s">
        <v>346</v>
      </c>
      <c r="D20" s="22" t="s">
        <v>191</v>
      </c>
      <c r="E20" s="36">
        <v>69390</v>
      </c>
      <c r="F20" s="37">
        <v>1117.7341200000001</v>
      </c>
      <c r="G20" s="38">
        <v>9.6968000000000002E-3</v>
      </c>
      <c r="H20" s="29" t="s">
        <v>143</v>
      </c>
    </row>
    <row r="21" spans="1:8" ht="12.75" customHeight="1" x14ac:dyDescent="0.2">
      <c r="A21" s="35">
        <v>15</v>
      </c>
      <c r="B21" s="22" t="s">
        <v>331</v>
      </c>
      <c r="C21" s="22" t="s">
        <v>332</v>
      </c>
      <c r="D21" s="22" t="s">
        <v>33</v>
      </c>
      <c r="E21" s="36">
        <v>406575</v>
      </c>
      <c r="F21" s="37">
        <v>1051.159005</v>
      </c>
      <c r="G21" s="38">
        <v>9.1192400000000007E-3</v>
      </c>
      <c r="H21" s="29" t="s">
        <v>143</v>
      </c>
    </row>
    <row r="22" spans="1:8" ht="12.75" customHeight="1" x14ac:dyDescent="0.2">
      <c r="A22" s="35">
        <v>16</v>
      </c>
      <c r="B22" s="22" t="s">
        <v>521</v>
      </c>
      <c r="C22" s="22" t="s">
        <v>522</v>
      </c>
      <c r="D22" s="22" t="s">
        <v>133</v>
      </c>
      <c r="E22" s="36">
        <v>89100</v>
      </c>
      <c r="F22" s="37">
        <v>1018.1457</v>
      </c>
      <c r="G22" s="38">
        <v>8.8328299999999998E-3</v>
      </c>
      <c r="H22" s="29" t="s">
        <v>143</v>
      </c>
    </row>
    <row r="23" spans="1:8" ht="12.75" customHeight="1" x14ac:dyDescent="0.2">
      <c r="A23" s="35">
        <v>17</v>
      </c>
      <c r="B23" s="22" t="s">
        <v>325</v>
      </c>
      <c r="C23" s="22" t="s">
        <v>326</v>
      </c>
      <c r="D23" s="22" t="s">
        <v>215</v>
      </c>
      <c r="E23" s="36">
        <v>69247</v>
      </c>
      <c r="F23" s="37">
        <v>998.40324599999997</v>
      </c>
      <c r="G23" s="38">
        <v>8.6615600000000004E-3</v>
      </c>
      <c r="H23" s="29" t="s">
        <v>143</v>
      </c>
    </row>
    <row r="24" spans="1:8" ht="12.75" customHeight="1" x14ac:dyDescent="0.2">
      <c r="A24" s="35">
        <v>18</v>
      </c>
      <c r="B24" s="22" t="s">
        <v>26</v>
      </c>
      <c r="C24" s="22" t="s">
        <v>27</v>
      </c>
      <c r="D24" s="22" t="s">
        <v>28</v>
      </c>
      <c r="E24" s="36">
        <v>236850</v>
      </c>
      <c r="F24" s="37">
        <v>956.75557500000002</v>
      </c>
      <c r="G24" s="38">
        <v>8.3002500000000003E-3</v>
      </c>
      <c r="H24" s="29" t="s">
        <v>143</v>
      </c>
    </row>
    <row r="25" spans="1:8" ht="12.75" customHeight="1" x14ac:dyDescent="0.2">
      <c r="A25" s="35">
        <v>19</v>
      </c>
      <c r="B25" s="22" t="s">
        <v>103</v>
      </c>
      <c r="C25" s="22" t="s">
        <v>104</v>
      </c>
      <c r="D25" s="22" t="s">
        <v>25</v>
      </c>
      <c r="E25" s="36">
        <v>163440</v>
      </c>
      <c r="F25" s="37">
        <v>931.52628000000004</v>
      </c>
      <c r="G25" s="38">
        <v>8.0813699999999992E-3</v>
      </c>
      <c r="H25" s="29" t="s">
        <v>143</v>
      </c>
    </row>
    <row r="26" spans="1:8" ht="12.75" customHeight="1" x14ac:dyDescent="0.2">
      <c r="A26" s="35">
        <v>20</v>
      </c>
      <c r="B26" s="22" t="s">
        <v>183</v>
      </c>
      <c r="C26" s="22" t="s">
        <v>184</v>
      </c>
      <c r="D26" s="22" t="s">
        <v>185</v>
      </c>
      <c r="E26" s="36">
        <v>40450</v>
      </c>
      <c r="F26" s="37">
        <v>909.4778</v>
      </c>
      <c r="G26" s="38">
        <v>7.8900900000000006E-3</v>
      </c>
      <c r="H26" s="29" t="s">
        <v>143</v>
      </c>
    </row>
    <row r="27" spans="1:8" ht="12.75" customHeight="1" x14ac:dyDescent="0.2">
      <c r="A27" s="35">
        <v>21</v>
      </c>
      <c r="B27" s="22" t="s">
        <v>54</v>
      </c>
      <c r="C27" s="22" t="s">
        <v>55</v>
      </c>
      <c r="D27" s="22" t="s">
        <v>56</v>
      </c>
      <c r="E27" s="36">
        <v>15572</v>
      </c>
      <c r="F27" s="37">
        <v>871.17553999999996</v>
      </c>
      <c r="G27" s="38">
        <v>7.5577999999999999E-3</v>
      </c>
      <c r="H27" s="29" t="s">
        <v>143</v>
      </c>
    </row>
    <row r="28" spans="1:8" ht="12.75" customHeight="1" x14ac:dyDescent="0.2">
      <c r="A28" s="35">
        <v>22</v>
      </c>
      <c r="B28" s="22" t="s">
        <v>62</v>
      </c>
      <c r="C28" s="22" t="s">
        <v>63</v>
      </c>
      <c r="D28" s="22" t="s">
        <v>64</v>
      </c>
      <c r="E28" s="36">
        <v>21695</v>
      </c>
      <c r="F28" s="37">
        <v>851.85417500000005</v>
      </c>
      <c r="G28" s="38">
        <v>7.3901799999999997E-3</v>
      </c>
      <c r="H28" s="29" t="s">
        <v>143</v>
      </c>
    </row>
    <row r="29" spans="1:8" ht="12.75" customHeight="1" x14ac:dyDescent="0.2">
      <c r="A29" s="35">
        <v>23</v>
      </c>
      <c r="B29" s="22" t="s">
        <v>497</v>
      </c>
      <c r="C29" s="22" t="s">
        <v>498</v>
      </c>
      <c r="D29" s="22" t="s">
        <v>191</v>
      </c>
      <c r="E29" s="36">
        <v>206960</v>
      </c>
      <c r="F29" s="37">
        <v>849.05340000000001</v>
      </c>
      <c r="G29" s="38">
        <v>7.3658899999999999E-3</v>
      </c>
      <c r="H29" s="29" t="s">
        <v>143</v>
      </c>
    </row>
    <row r="30" spans="1:8" ht="12.75" customHeight="1" x14ac:dyDescent="0.2">
      <c r="A30" s="35">
        <v>24</v>
      </c>
      <c r="B30" s="22" t="s">
        <v>242</v>
      </c>
      <c r="C30" s="22" t="s">
        <v>243</v>
      </c>
      <c r="D30" s="22" t="s">
        <v>191</v>
      </c>
      <c r="E30" s="36">
        <v>136775</v>
      </c>
      <c r="F30" s="37">
        <v>842.67077500000005</v>
      </c>
      <c r="G30" s="38">
        <v>7.3105100000000001E-3</v>
      </c>
      <c r="H30" s="29" t="s">
        <v>143</v>
      </c>
    </row>
    <row r="31" spans="1:8" ht="12.75" customHeight="1" x14ac:dyDescent="0.2">
      <c r="A31" s="35">
        <v>25</v>
      </c>
      <c r="B31" s="22" t="s">
        <v>204</v>
      </c>
      <c r="C31" s="22" t="s">
        <v>205</v>
      </c>
      <c r="D31" s="22" t="s">
        <v>206</v>
      </c>
      <c r="E31" s="36">
        <v>133990</v>
      </c>
      <c r="F31" s="37">
        <v>827.25426000000004</v>
      </c>
      <c r="G31" s="38">
        <v>7.1767699999999999E-3</v>
      </c>
      <c r="H31" s="29" t="s">
        <v>143</v>
      </c>
    </row>
    <row r="32" spans="1:8" ht="12.75" customHeight="1" x14ac:dyDescent="0.2">
      <c r="A32" s="35">
        <v>26</v>
      </c>
      <c r="B32" s="22" t="s">
        <v>424</v>
      </c>
      <c r="C32" s="22" t="s">
        <v>425</v>
      </c>
      <c r="D32" s="22" t="s">
        <v>215</v>
      </c>
      <c r="E32" s="36">
        <v>57908</v>
      </c>
      <c r="F32" s="37">
        <v>802.083708</v>
      </c>
      <c r="G32" s="38">
        <v>6.9584E-3</v>
      </c>
      <c r="H32" s="29" t="s">
        <v>143</v>
      </c>
    </row>
    <row r="33" spans="1:8" ht="12.75" customHeight="1" x14ac:dyDescent="0.2">
      <c r="A33" s="35">
        <v>27</v>
      </c>
      <c r="B33" s="22" t="s">
        <v>431</v>
      </c>
      <c r="C33" s="22" t="s">
        <v>432</v>
      </c>
      <c r="D33" s="22" t="s">
        <v>203</v>
      </c>
      <c r="E33" s="36">
        <v>70985</v>
      </c>
      <c r="F33" s="37">
        <v>801.63360499999999</v>
      </c>
      <c r="G33" s="38">
        <v>6.9544999999999997E-3</v>
      </c>
      <c r="H33" s="29" t="s">
        <v>143</v>
      </c>
    </row>
    <row r="34" spans="1:8" ht="12.75" customHeight="1" x14ac:dyDescent="0.2">
      <c r="A34" s="35">
        <v>28</v>
      </c>
      <c r="B34" s="22" t="s">
        <v>499</v>
      </c>
      <c r="C34" s="22" t="s">
        <v>500</v>
      </c>
      <c r="D34" s="22" t="s">
        <v>239</v>
      </c>
      <c r="E34" s="36">
        <v>4631</v>
      </c>
      <c r="F34" s="37">
        <v>742.30299000000002</v>
      </c>
      <c r="G34" s="38">
        <v>6.43978E-3</v>
      </c>
      <c r="H34" s="29" t="s">
        <v>143</v>
      </c>
    </row>
    <row r="35" spans="1:8" ht="12.75" customHeight="1" x14ac:dyDescent="0.2">
      <c r="A35" s="35">
        <v>29</v>
      </c>
      <c r="B35" s="22" t="s">
        <v>34</v>
      </c>
      <c r="C35" s="22" t="s">
        <v>35</v>
      </c>
      <c r="D35" s="22" t="s">
        <v>19</v>
      </c>
      <c r="E35" s="36">
        <v>196850</v>
      </c>
      <c r="F35" s="37">
        <v>668.60102500000005</v>
      </c>
      <c r="G35" s="38">
        <v>5.8003899999999999E-3</v>
      </c>
      <c r="H35" s="29" t="s">
        <v>143</v>
      </c>
    </row>
    <row r="36" spans="1:8" ht="12.75" customHeight="1" x14ac:dyDescent="0.2">
      <c r="A36" s="35">
        <v>30</v>
      </c>
      <c r="B36" s="22" t="s">
        <v>221</v>
      </c>
      <c r="C36" s="22" t="s">
        <v>222</v>
      </c>
      <c r="D36" s="22" t="s">
        <v>223</v>
      </c>
      <c r="E36" s="36">
        <v>31350</v>
      </c>
      <c r="F36" s="37">
        <v>639.60270000000003</v>
      </c>
      <c r="G36" s="38">
        <v>5.5488200000000003E-3</v>
      </c>
      <c r="H36" s="29" t="s">
        <v>143</v>
      </c>
    </row>
    <row r="37" spans="1:8" ht="12.75" customHeight="1" x14ac:dyDescent="0.2">
      <c r="A37" s="35">
        <v>31</v>
      </c>
      <c r="B37" s="22" t="s">
        <v>44</v>
      </c>
      <c r="C37" s="22" t="s">
        <v>45</v>
      </c>
      <c r="D37" s="22" t="s">
        <v>46</v>
      </c>
      <c r="E37" s="36">
        <v>7830</v>
      </c>
      <c r="F37" s="37">
        <v>633.36869999999999</v>
      </c>
      <c r="G37" s="38">
        <v>5.4947299999999998E-3</v>
      </c>
      <c r="H37" s="29" t="s">
        <v>143</v>
      </c>
    </row>
    <row r="38" spans="1:8" ht="12.75" customHeight="1" x14ac:dyDescent="0.2">
      <c r="A38" s="35">
        <v>32</v>
      </c>
      <c r="B38" s="22" t="s">
        <v>20</v>
      </c>
      <c r="C38" s="22" t="s">
        <v>21</v>
      </c>
      <c r="D38" s="22" t="s">
        <v>22</v>
      </c>
      <c r="E38" s="36">
        <v>178500</v>
      </c>
      <c r="F38" s="37">
        <v>607.70325000000003</v>
      </c>
      <c r="G38" s="38">
        <v>5.2720700000000002E-3</v>
      </c>
      <c r="H38" s="29" t="s">
        <v>143</v>
      </c>
    </row>
    <row r="39" spans="1:8" ht="12.75" customHeight="1" x14ac:dyDescent="0.2">
      <c r="A39" s="35">
        <v>33</v>
      </c>
      <c r="B39" s="22" t="s">
        <v>343</v>
      </c>
      <c r="C39" s="22" t="s">
        <v>344</v>
      </c>
      <c r="D39" s="22" t="s">
        <v>284</v>
      </c>
      <c r="E39" s="36">
        <v>184300</v>
      </c>
      <c r="F39" s="37">
        <v>599.89649999999995</v>
      </c>
      <c r="G39" s="38">
        <v>5.2043499999999999E-3</v>
      </c>
      <c r="H39" s="29" t="s">
        <v>143</v>
      </c>
    </row>
    <row r="40" spans="1:8" ht="12.75" customHeight="1" x14ac:dyDescent="0.2">
      <c r="A40" s="35">
        <v>34</v>
      </c>
      <c r="B40" s="22" t="s">
        <v>707</v>
      </c>
      <c r="C40" s="22" t="s">
        <v>708</v>
      </c>
      <c r="D40" s="22" t="s">
        <v>194</v>
      </c>
      <c r="E40" s="36">
        <v>52250</v>
      </c>
      <c r="F40" s="37">
        <v>566.33775000000003</v>
      </c>
      <c r="G40" s="38">
        <v>4.9132100000000003E-3</v>
      </c>
      <c r="H40" s="29" t="s">
        <v>143</v>
      </c>
    </row>
    <row r="41" spans="1:8" ht="12.75" customHeight="1" x14ac:dyDescent="0.2">
      <c r="A41" s="35">
        <v>35</v>
      </c>
      <c r="B41" s="22" t="s">
        <v>339</v>
      </c>
      <c r="C41" s="22" t="s">
        <v>340</v>
      </c>
      <c r="D41" s="22" t="s">
        <v>25</v>
      </c>
      <c r="E41" s="36">
        <v>19670</v>
      </c>
      <c r="F41" s="37">
        <v>542.28223000000003</v>
      </c>
      <c r="G41" s="38">
        <v>4.7045200000000002E-3</v>
      </c>
      <c r="H41" s="29" t="s">
        <v>143</v>
      </c>
    </row>
    <row r="42" spans="1:8" ht="12.75" customHeight="1" x14ac:dyDescent="0.2">
      <c r="A42" s="35">
        <v>36</v>
      </c>
      <c r="B42" s="22" t="s">
        <v>501</v>
      </c>
      <c r="C42" s="22" t="s">
        <v>502</v>
      </c>
      <c r="D42" s="22" t="s">
        <v>230</v>
      </c>
      <c r="E42" s="36">
        <v>40895</v>
      </c>
      <c r="F42" s="37">
        <v>541.57248500000003</v>
      </c>
      <c r="G42" s="38">
        <v>4.6983600000000004E-3</v>
      </c>
      <c r="H42" s="29" t="s">
        <v>143</v>
      </c>
    </row>
    <row r="43" spans="1:8" ht="12.75" customHeight="1" x14ac:dyDescent="0.2">
      <c r="A43" s="35">
        <v>37</v>
      </c>
      <c r="B43" s="22" t="s">
        <v>429</v>
      </c>
      <c r="C43" s="22" t="s">
        <v>430</v>
      </c>
      <c r="D43" s="22" t="s">
        <v>275</v>
      </c>
      <c r="E43" s="36">
        <v>29763</v>
      </c>
      <c r="F43" s="37">
        <v>532.93627800000002</v>
      </c>
      <c r="G43" s="38">
        <v>4.6234400000000004E-3</v>
      </c>
      <c r="H43" s="29" t="s">
        <v>143</v>
      </c>
    </row>
    <row r="44" spans="1:8" ht="12.75" customHeight="1" x14ac:dyDescent="0.2">
      <c r="A44" s="35">
        <v>38</v>
      </c>
      <c r="B44" s="22" t="s">
        <v>23</v>
      </c>
      <c r="C44" s="22" t="s">
        <v>24</v>
      </c>
      <c r="D44" s="22" t="s">
        <v>25</v>
      </c>
      <c r="E44" s="36">
        <v>4300</v>
      </c>
      <c r="F44" s="37">
        <v>525.54600000000005</v>
      </c>
      <c r="G44" s="38">
        <v>4.5593300000000003E-3</v>
      </c>
      <c r="H44" s="29" t="s">
        <v>143</v>
      </c>
    </row>
    <row r="45" spans="1:8" ht="12.75" customHeight="1" x14ac:dyDescent="0.2">
      <c r="A45" s="35">
        <v>39</v>
      </c>
      <c r="B45" s="22" t="s">
        <v>503</v>
      </c>
      <c r="C45" s="22" t="s">
        <v>504</v>
      </c>
      <c r="D45" s="22" t="s">
        <v>239</v>
      </c>
      <c r="E45" s="36">
        <v>5950</v>
      </c>
      <c r="F45" s="37">
        <v>516.37075000000004</v>
      </c>
      <c r="G45" s="38">
        <v>4.4797300000000003E-3</v>
      </c>
      <c r="H45" s="29" t="s">
        <v>143</v>
      </c>
    </row>
    <row r="46" spans="1:8" ht="12.75" customHeight="1" x14ac:dyDescent="0.2">
      <c r="A46" s="35">
        <v>40</v>
      </c>
      <c r="B46" s="22" t="s">
        <v>49</v>
      </c>
      <c r="C46" s="22" t="s">
        <v>50</v>
      </c>
      <c r="D46" s="22" t="s">
        <v>22</v>
      </c>
      <c r="E46" s="36">
        <v>131380</v>
      </c>
      <c r="F46" s="37">
        <v>510.60836999999998</v>
      </c>
      <c r="G46" s="38">
        <v>4.4297399999999997E-3</v>
      </c>
      <c r="H46" s="29" t="s">
        <v>143</v>
      </c>
    </row>
    <row r="47" spans="1:8" ht="12.75" customHeight="1" x14ac:dyDescent="0.2">
      <c r="A47" s="35">
        <v>41</v>
      </c>
      <c r="B47" s="22" t="s">
        <v>255</v>
      </c>
      <c r="C47" s="22" t="s">
        <v>256</v>
      </c>
      <c r="D47" s="22" t="s">
        <v>41</v>
      </c>
      <c r="E47" s="36">
        <v>39000</v>
      </c>
      <c r="F47" s="37">
        <v>506.53199999999998</v>
      </c>
      <c r="G47" s="38">
        <v>4.3943699999999999E-3</v>
      </c>
      <c r="H47" s="29" t="s">
        <v>143</v>
      </c>
    </row>
    <row r="48" spans="1:8" ht="12.75" customHeight="1" x14ac:dyDescent="0.2">
      <c r="A48" s="35">
        <v>42</v>
      </c>
      <c r="B48" s="22" t="s">
        <v>505</v>
      </c>
      <c r="C48" s="22" t="s">
        <v>506</v>
      </c>
      <c r="D48" s="22" t="s">
        <v>41</v>
      </c>
      <c r="E48" s="36">
        <v>51163</v>
      </c>
      <c r="F48" s="37">
        <v>506.18114050000003</v>
      </c>
      <c r="G48" s="38">
        <v>4.3913299999999997E-3</v>
      </c>
      <c r="H48" s="29" t="s">
        <v>143</v>
      </c>
    </row>
    <row r="49" spans="1:8" ht="12.75" customHeight="1" x14ac:dyDescent="0.2">
      <c r="A49" s="35">
        <v>43</v>
      </c>
      <c r="B49" s="22" t="s">
        <v>271</v>
      </c>
      <c r="C49" s="22" t="s">
        <v>272</v>
      </c>
      <c r="D49" s="22" t="s">
        <v>194</v>
      </c>
      <c r="E49" s="36">
        <v>19915</v>
      </c>
      <c r="F49" s="37">
        <v>485.06965500000001</v>
      </c>
      <c r="G49" s="38">
        <v>4.2081799999999997E-3</v>
      </c>
      <c r="H49" s="29" t="s">
        <v>143</v>
      </c>
    </row>
    <row r="50" spans="1:8" ht="12.75" customHeight="1" x14ac:dyDescent="0.2">
      <c r="A50" s="35">
        <v>44</v>
      </c>
      <c r="B50" s="22" t="s">
        <v>507</v>
      </c>
      <c r="C50" s="22" t="s">
        <v>508</v>
      </c>
      <c r="D50" s="22" t="s">
        <v>191</v>
      </c>
      <c r="E50" s="36">
        <v>37591</v>
      </c>
      <c r="F50" s="37">
        <v>457.10656</v>
      </c>
      <c r="G50" s="38">
        <v>3.9655899999999997E-3</v>
      </c>
      <c r="H50" s="29" t="s">
        <v>143</v>
      </c>
    </row>
    <row r="51" spans="1:8" ht="12.75" customHeight="1" x14ac:dyDescent="0.2">
      <c r="A51" s="35">
        <v>45</v>
      </c>
      <c r="B51" s="22" t="s">
        <v>349</v>
      </c>
      <c r="C51" s="22" t="s">
        <v>350</v>
      </c>
      <c r="D51" s="22" t="s">
        <v>194</v>
      </c>
      <c r="E51" s="36">
        <v>28077</v>
      </c>
      <c r="F51" s="37">
        <v>447.63161100000002</v>
      </c>
      <c r="G51" s="38">
        <v>3.88339E-3</v>
      </c>
      <c r="H51" s="29" t="s">
        <v>143</v>
      </c>
    </row>
    <row r="52" spans="1:8" ht="12.75" customHeight="1" x14ac:dyDescent="0.2">
      <c r="A52" s="35">
        <v>46</v>
      </c>
      <c r="B52" s="22" t="s">
        <v>299</v>
      </c>
      <c r="C52" s="22" t="s">
        <v>300</v>
      </c>
      <c r="D52" s="22" t="s">
        <v>191</v>
      </c>
      <c r="E52" s="36">
        <v>9999</v>
      </c>
      <c r="F52" s="37">
        <v>443.615634</v>
      </c>
      <c r="G52" s="38">
        <v>3.8485500000000001E-3</v>
      </c>
      <c r="H52" s="29" t="s">
        <v>143</v>
      </c>
    </row>
    <row r="53" spans="1:8" ht="12.75" customHeight="1" x14ac:dyDescent="0.2">
      <c r="A53" s="35">
        <v>47</v>
      </c>
      <c r="B53" s="22" t="s">
        <v>186</v>
      </c>
      <c r="C53" s="22" t="s">
        <v>187</v>
      </c>
      <c r="D53" s="22" t="s">
        <v>188</v>
      </c>
      <c r="E53" s="36">
        <v>45500</v>
      </c>
      <c r="F53" s="37">
        <v>441.25900000000001</v>
      </c>
      <c r="G53" s="38">
        <v>3.8281000000000001E-3</v>
      </c>
      <c r="H53" s="29" t="s">
        <v>143</v>
      </c>
    </row>
    <row r="54" spans="1:8" ht="12.75" customHeight="1" x14ac:dyDescent="0.2">
      <c r="A54" s="35">
        <v>48</v>
      </c>
      <c r="B54" s="22" t="s">
        <v>192</v>
      </c>
      <c r="C54" s="22" t="s">
        <v>193</v>
      </c>
      <c r="D54" s="22" t="s">
        <v>194</v>
      </c>
      <c r="E54" s="36">
        <v>21695</v>
      </c>
      <c r="F54" s="37">
        <v>414.65653500000002</v>
      </c>
      <c r="G54" s="38">
        <v>3.5973200000000002E-3</v>
      </c>
      <c r="H54" s="29" t="s">
        <v>143</v>
      </c>
    </row>
    <row r="55" spans="1:8" ht="12.75" customHeight="1" x14ac:dyDescent="0.2">
      <c r="A55" s="35">
        <v>49</v>
      </c>
      <c r="B55" s="22" t="s">
        <v>509</v>
      </c>
      <c r="C55" s="22" t="s">
        <v>510</v>
      </c>
      <c r="D55" s="22" t="s">
        <v>270</v>
      </c>
      <c r="E55" s="36">
        <v>27880</v>
      </c>
      <c r="F55" s="37">
        <v>409.27839999999998</v>
      </c>
      <c r="G55" s="38">
        <v>3.5506600000000002E-3</v>
      </c>
      <c r="H55" s="29" t="s">
        <v>143</v>
      </c>
    </row>
    <row r="56" spans="1:8" ht="12.75" customHeight="1" x14ac:dyDescent="0.2">
      <c r="A56" s="35">
        <v>50</v>
      </c>
      <c r="B56" s="22" t="s">
        <v>293</v>
      </c>
      <c r="C56" s="22" t="s">
        <v>294</v>
      </c>
      <c r="D56" s="22" t="s">
        <v>194</v>
      </c>
      <c r="E56" s="36">
        <v>40450</v>
      </c>
      <c r="F56" s="37">
        <v>397.17854999999997</v>
      </c>
      <c r="G56" s="38">
        <v>3.44569E-3</v>
      </c>
      <c r="H56" s="29" t="s">
        <v>143</v>
      </c>
    </row>
    <row r="57" spans="1:8" ht="12.75" customHeight="1" x14ac:dyDescent="0.2">
      <c r="A57" s="35">
        <v>51</v>
      </c>
      <c r="B57" s="22" t="s">
        <v>335</v>
      </c>
      <c r="C57" s="22" t="s">
        <v>336</v>
      </c>
      <c r="D57" s="22" t="s">
        <v>28</v>
      </c>
      <c r="E57" s="36">
        <v>7500</v>
      </c>
      <c r="F57" s="37">
        <v>355.98750000000001</v>
      </c>
      <c r="G57" s="38">
        <v>3.0883400000000002E-3</v>
      </c>
      <c r="H57" s="29" t="s">
        <v>143</v>
      </c>
    </row>
    <row r="58" spans="1:8" ht="12.75" customHeight="1" x14ac:dyDescent="0.2">
      <c r="A58" s="35">
        <v>52</v>
      </c>
      <c r="B58" s="22" t="s">
        <v>511</v>
      </c>
      <c r="C58" s="22" t="s">
        <v>512</v>
      </c>
      <c r="D58" s="22" t="s">
        <v>230</v>
      </c>
      <c r="E58" s="36">
        <v>79615</v>
      </c>
      <c r="F58" s="37">
        <v>353.251755</v>
      </c>
      <c r="G58" s="38">
        <v>3.0645999999999998E-3</v>
      </c>
      <c r="H58" s="29" t="s">
        <v>143</v>
      </c>
    </row>
    <row r="59" spans="1:8" ht="12.75" customHeight="1" x14ac:dyDescent="0.2">
      <c r="A59" s="35">
        <v>53</v>
      </c>
      <c r="B59" s="22" t="s">
        <v>278</v>
      </c>
      <c r="C59" s="22" t="s">
        <v>279</v>
      </c>
      <c r="D59" s="22" t="s">
        <v>90</v>
      </c>
      <c r="E59" s="36">
        <v>22700</v>
      </c>
      <c r="F59" s="37">
        <v>342.79270000000002</v>
      </c>
      <c r="G59" s="38">
        <v>2.97387E-3</v>
      </c>
      <c r="H59" s="29" t="s">
        <v>143</v>
      </c>
    </row>
    <row r="60" spans="1:8" ht="12.75" customHeight="1" x14ac:dyDescent="0.2">
      <c r="A60" s="35">
        <v>54</v>
      </c>
      <c r="B60" s="22" t="s">
        <v>648</v>
      </c>
      <c r="C60" s="22" t="s">
        <v>649</v>
      </c>
      <c r="D60" s="22" t="s">
        <v>191</v>
      </c>
      <c r="E60" s="36">
        <v>16500</v>
      </c>
      <c r="F60" s="37">
        <v>331.05599999999998</v>
      </c>
      <c r="G60" s="38">
        <v>2.8720500000000001E-3</v>
      </c>
      <c r="H60" s="29" t="s">
        <v>143</v>
      </c>
    </row>
    <row r="61" spans="1:8" ht="12.75" customHeight="1" x14ac:dyDescent="0.2">
      <c r="A61" s="35">
        <v>55</v>
      </c>
      <c r="B61" s="22" t="s">
        <v>513</v>
      </c>
      <c r="C61" s="22" t="s">
        <v>514</v>
      </c>
      <c r="D61" s="22" t="s">
        <v>239</v>
      </c>
      <c r="E61" s="36">
        <v>5553</v>
      </c>
      <c r="F61" s="37">
        <v>303.887925</v>
      </c>
      <c r="G61" s="38">
        <v>2.63635E-3</v>
      </c>
      <c r="H61" s="29" t="s">
        <v>143</v>
      </c>
    </row>
    <row r="62" spans="1:8" ht="12.75" customHeight="1" x14ac:dyDescent="0.2">
      <c r="A62" s="35">
        <v>56</v>
      </c>
      <c r="B62" s="22" t="s">
        <v>515</v>
      </c>
      <c r="C62" s="22" t="s">
        <v>516</v>
      </c>
      <c r="D62" s="22" t="s">
        <v>215</v>
      </c>
      <c r="E62" s="36">
        <v>16840</v>
      </c>
      <c r="F62" s="37">
        <v>235.81052</v>
      </c>
      <c r="G62" s="38">
        <v>2.0457499999999998E-3</v>
      </c>
      <c r="H62" s="29" t="s">
        <v>143</v>
      </c>
    </row>
    <row r="63" spans="1:8" ht="12.75" customHeight="1" x14ac:dyDescent="0.2">
      <c r="A63" s="35">
        <v>57</v>
      </c>
      <c r="B63" s="22" t="s">
        <v>307</v>
      </c>
      <c r="C63" s="22" t="s">
        <v>308</v>
      </c>
      <c r="D63" s="22" t="s">
        <v>188</v>
      </c>
      <c r="E63" s="36">
        <v>40970</v>
      </c>
      <c r="F63" s="37">
        <v>229.8417</v>
      </c>
      <c r="G63" s="38">
        <v>1.9939699999999999E-3</v>
      </c>
      <c r="H63" s="29" t="s">
        <v>143</v>
      </c>
    </row>
    <row r="64" spans="1:8" ht="12.75" customHeight="1" x14ac:dyDescent="0.2">
      <c r="A64" s="35">
        <v>58</v>
      </c>
      <c r="B64" s="22" t="s">
        <v>82</v>
      </c>
      <c r="C64" s="22" t="s">
        <v>83</v>
      </c>
      <c r="D64" s="22" t="s">
        <v>13</v>
      </c>
      <c r="E64" s="36">
        <v>66300</v>
      </c>
      <c r="F64" s="37">
        <v>227.34270000000001</v>
      </c>
      <c r="G64" s="38">
        <v>1.9722899999999998E-3</v>
      </c>
      <c r="H64" s="29" t="s">
        <v>143</v>
      </c>
    </row>
    <row r="65" spans="1:8" ht="12.75" customHeight="1" x14ac:dyDescent="0.2">
      <c r="A65" s="35">
        <v>59</v>
      </c>
      <c r="B65" s="22" t="s">
        <v>478</v>
      </c>
      <c r="C65" s="22" t="s">
        <v>479</v>
      </c>
      <c r="D65" s="22" t="s">
        <v>223</v>
      </c>
      <c r="E65" s="36">
        <v>7355</v>
      </c>
      <c r="F65" s="37">
        <v>189.65602999999999</v>
      </c>
      <c r="G65" s="38">
        <v>1.6453399999999999E-3</v>
      </c>
      <c r="H65" s="29" t="s">
        <v>143</v>
      </c>
    </row>
    <row r="66" spans="1:8" ht="12.75" customHeight="1" x14ac:dyDescent="0.2">
      <c r="A66" s="35">
        <v>60</v>
      </c>
      <c r="B66" s="22" t="s">
        <v>347</v>
      </c>
      <c r="C66" s="22" t="s">
        <v>348</v>
      </c>
      <c r="D66" s="22" t="s">
        <v>206</v>
      </c>
      <c r="E66" s="36">
        <v>26250</v>
      </c>
      <c r="F66" s="37">
        <v>189.07875000000001</v>
      </c>
      <c r="G66" s="38">
        <v>1.6403399999999999E-3</v>
      </c>
      <c r="H66" s="29" t="s">
        <v>143</v>
      </c>
    </row>
    <row r="67" spans="1:8" ht="12.75" customHeight="1" x14ac:dyDescent="0.2">
      <c r="A67" s="35">
        <v>61</v>
      </c>
      <c r="B67" s="22" t="s">
        <v>73</v>
      </c>
      <c r="C67" s="22" t="s">
        <v>74</v>
      </c>
      <c r="D67" s="22" t="s">
        <v>75</v>
      </c>
      <c r="E67" s="36">
        <v>107000</v>
      </c>
      <c r="F67" s="37">
        <v>188.63030000000001</v>
      </c>
      <c r="G67" s="38">
        <v>1.63645E-3</v>
      </c>
      <c r="H67" s="29" t="s">
        <v>143</v>
      </c>
    </row>
    <row r="68" spans="1:8" ht="12.75" customHeight="1" x14ac:dyDescent="0.2">
      <c r="A68" s="35">
        <v>62</v>
      </c>
      <c r="B68" s="22" t="s">
        <v>224</v>
      </c>
      <c r="C68" s="22" t="s">
        <v>225</v>
      </c>
      <c r="D68" s="22" t="s">
        <v>64</v>
      </c>
      <c r="E68" s="36">
        <v>2250</v>
      </c>
      <c r="F68" s="37">
        <v>163.935</v>
      </c>
      <c r="G68" s="38">
        <v>1.4222E-3</v>
      </c>
      <c r="H68" s="29" t="s">
        <v>143</v>
      </c>
    </row>
    <row r="69" spans="1:8" ht="12.75" customHeight="1" x14ac:dyDescent="0.2">
      <c r="A69" s="35">
        <v>63</v>
      </c>
      <c r="B69" s="22" t="s">
        <v>394</v>
      </c>
      <c r="C69" s="22" t="s">
        <v>395</v>
      </c>
      <c r="D69" s="22" t="s">
        <v>191</v>
      </c>
      <c r="E69" s="36">
        <v>18200</v>
      </c>
      <c r="F69" s="37">
        <v>157.17519999999999</v>
      </c>
      <c r="G69" s="38">
        <v>1.36356E-3</v>
      </c>
      <c r="H69" s="29" t="s">
        <v>143</v>
      </c>
    </row>
    <row r="70" spans="1:8" ht="12.75" customHeight="1" x14ac:dyDescent="0.2">
      <c r="A70" s="35">
        <v>64</v>
      </c>
      <c r="B70" s="22" t="s">
        <v>650</v>
      </c>
      <c r="C70" s="22" t="s">
        <v>651</v>
      </c>
      <c r="D70" s="22" t="s">
        <v>194</v>
      </c>
      <c r="E70" s="36">
        <v>300</v>
      </c>
      <c r="F70" s="37">
        <v>17.0685</v>
      </c>
      <c r="G70" s="38">
        <v>1.4808000000000001E-4</v>
      </c>
      <c r="H70" s="29" t="s">
        <v>143</v>
      </c>
    </row>
    <row r="71" spans="1:8" ht="12.75" customHeight="1" x14ac:dyDescent="0.2">
      <c r="A71" s="39"/>
      <c r="B71" s="39"/>
      <c r="C71" s="40" t="s">
        <v>142</v>
      </c>
      <c r="D71" s="39"/>
      <c r="E71" s="39" t="s">
        <v>143</v>
      </c>
      <c r="F71" s="41">
        <v>85462.670899999997</v>
      </c>
      <c r="G71" s="42">
        <v>0.74142366999999998</v>
      </c>
      <c r="H71" s="29" t="s">
        <v>143</v>
      </c>
    </row>
    <row r="72" spans="1:8" ht="12.75" customHeight="1" x14ac:dyDescent="0.2">
      <c r="A72" s="39"/>
      <c r="B72" s="39"/>
      <c r="C72" s="43"/>
      <c r="D72" s="39"/>
      <c r="E72" s="39"/>
      <c r="F72" s="44"/>
      <c r="G72" s="44"/>
      <c r="H72" s="29" t="s">
        <v>143</v>
      </c>
    </row>
    <row r="73" spans="1:8" ht="12.75" customHeight="1" x14ac:dyDescent="0.2">
      <c r="A73" s="39"/>
      <c r="B73" s="39"/>
      <c r="C73" s="40" t="s">
        <v>144</v>
      </c>
      <c r="D73" s="39"/>
      <c r="E73" s="39"/>
      <c r="F73" s="39"/>
      <c r="G73" s="39"/>
      <c r="H73" s="29" t="s">
        <v>143</v>
      </c>
    </row>
    <row r="74" spans="1:8" ht="12.75" customHeight="1" x14ac:dyDescent="0.2">
      <c r="A74" s="39"/>
      <c r="B74" s="39"/>
      <c r="C74" s="40" t="s">
        <v>142</v>
      </c>
      <c r="D74" s="39"/>
      <c r="E74" s="39" t="s">
        <v>143</v>
      </c>
      <c r="F74" s="45" t="s">
        <v>145</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146</v>
      </c>
      <c r="D76" s="39"/>
      <c r="E76" s="39"/>
      <c r="F76" s="39"/>
      <c r="G76" s="39"/>
      <c r="H76" s="29" t="s">
        <v>143</v>
      </c>
    </row>
    <row r="77" spans="1:8" ht="12.75" customHeight="1" x14ac:dyDescent="0.2">
      <c r="A77" s="39"/>
      <c r="B77" s="39"/>
      <c r="C77" s="40" t="s">
        <v>142</v>
      </c>
      <c r="D77" s="39"/>
      <c r="E77" s="39" t="s">
        <v>143</v>
      </c>
      <c r="F77" s="45" t="s">
        <v>145</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147</v>
      </c>
      <c r="D79" s="39"/>
      <c r="E79" s="39"/>
      <c r="F79" s="39"/>
      <c r="G79" s="39"/>
      <c r="H79" s="29" t="s">
        <v>143</v>
      </c>
    </row>
    <row r="80" spans="1:8" ht="12.75" customHeight="1" x14ac:dyDescent="0.2">
      <c r="A80" s="39"/>
      <c r="B80" s="39"/>
      <c r="C80" s="40" t="s">
        <v>142</v>
      </c>
      <c r="D80" s="39"/>
      <c r="E80" s="39" t="s">
        <v>143</v>
      </c>
      <c r="F80" s="45" t="s">
        <v>145</v>
      </c>
      <c r="G80" s="42">
        <v>0</v>
      </c>
      <c r="H80" s="29" t="s">
        <v>143</v>
      </c>
    </row>
    <row r="81" spans="1:8" ht="12.75" customHeight="1" x14ac:dyDescent="0.2">
      <c r="A81" s="39"/>
      <c r="B81" s="39"/>
      <c r="C81" s="43"/>
      <c r="D81" s="39"/>
      <c r="E81" s="39"/>
      <c r="F81" s="44"/>
      <c r="G81" s="44"/>
      <c r="H81" s="29" t="s">
        <v>143</v>
      </c>
    </row>
    <row r="82" spans="1:8" ht="12.75" customHeight="1" x14ac:dyDescent="0.2">
      <c r="A82" s="39"/>
      <c r="B82" s="39"/>
      <c r="C82" s="40" t="s">
        <v>148</v>
      </c>
      <c r="D82" s="39"/>
      <c r="E82" s="39"/>
      <c r="F82" s="44"/>
      <c r="G82" s="44"/>
      <c r="H82" s="29" t="s">
        <v>143</v>
      </c>
    </row>
    <row r="83" spans="1:8" ht="12.75" customHeight="1" x14ac:dyDescent="0.2">
      <c r="A83" s="39"/>
      <c r="B83" s="39"/>
      <c r="C83" s="40" t="s">
        <v>142</v>
      </c>
      <c r="D83" s="39"/>
      <c r="E83" s="39" t="s">
        <v>143</v>
      </c>
      <c r="F83" s="45" t="s">
        <v>145</v>
      </c>
      <c r="G83" s="42">
        <v>0</v>
      </c>
      <c r="H83" s="29" t="s">
        <v>143</v>
      </c>
    </row>
    <row r="84" spans="1:8" ht="12.75" customHeight="1" x14ac:dyDescent="0.2">
      <c r="A84" s="39"/>
      <c r="B84" s="39"/>
      <c r="C84" s="43"/>
      <c r="D84" s="39"/>
      <c r="E84" s="39"/>
      <c r="F84" s="44"/>
      <c r="G84" s="44"/>
      <c r="H84" s="29" t="s">
        <v>143</v>
      </c>
    </row>
    <row r="85" spans="1:8" ht="12.75" customHeight="1" x14ac:dyDescent="0.2">
      <c r="A85" s="39"/>
      <c r="B85" s="39"/>
      <c r="C85" s="40" t="s">
        <v>149</v>
      </c>
      <c r="D85" s="39"/>
      <c r="E85" s="39"/>
      <c r="F85" s="44"/>
      <c r="G85" s="44"/>
      <c r="H85" s="29" t="s">
        <v>143</v>
      </c>
    </row>
    <row r="86" spans="1:8" ht="12.75" customHeight="1" x14ac:dyDescent="0.2">
      <c r="A86" s="35">
        <v>1</v>
      </c>
      <c r="B86" s="22"/>
      <c r="C86" s="22" t="s">
        <v>1043</v>
      </c>
      <c r="D86" s="22" t="s">
        <v>534</v>
      </c>
      <c r="E86" s="36">
        <v>-300</v>
      </c>
      <c r="F86" s="37">
        <v>-17.184000000000001</v>
      </c>
      <c r="G86" s="38">
        <f>F86/$F$175</f>
        <v>-1.4907823311783848E-4</v>
      </c>
      <c r="H86" s="29" t="s">
        <v>143</v>
      </c>
    </row>
    <row r="87" spans="1:8" ht="12.75" customHeight="1" x14ac:dyDescent="0.2">
      <c r="A87" s="35">
        <v>2</v>
      </c>
      <c r="B87" s="22"/>
      <c r="C87" s="22" t="s">
        <v>1096</v>
      </c>
      <c r="D87" s="22" t="s">
        <v>534</v>
      </c>
      <c r="E87" s="36">
        <v>-7425</v>
      </c>
      <c r="F87" s="37">
        <v>-46.079549999999998</v>
      </c>
      <c r="G87" s="38">
        <f t="shared" ref="G87:G109" si="0">F87/$F$175</f>
        <v>-3.9975895582315484E-4</v>
      </c>
      <c r="H87" s="29" t="s">
        <v>143</v>
      </c>
    </row>
    <row r="88" spans="1:8" ht="12.75" customHeight="1" x14ac:dyDescent="0.2">
      <c r="A88" s="35">
        <v>3</v>
      </c>
      <c r="B88" s="22"/>
      <c r="C88" s="22" t="s">
        <v>1049</v>
      </c>
      <c r="D88" s="22" t="s">
        <v>534</v>
      </c>
      <c r="E88" s="36">
        <v>-18200</v>
      </c>
      <c r="F88" s="37">
        <v>-158.15799999999999</v>
      </c>
      <c r="G88" s="38">
        <f t="shared" si="0"/>
        <v>-1.3720853813693607E-3</v>
      </c>
      <c r="H88" s="29" t="s">
        <v>143</v>
      </c>
    </row>
    <row r="89" spans="1:8" ht="12.75" customHeight="1" x14ac:dyDescent="0.2">
      <c r="A89" s="35">
        <v>4</v>
      </c>
      <c r="B89" s="22"/>
      <c r="C89" s="22" t="s">
        <v>1045</v>
      </c>
      <c r="D89" s="22" t="s">
        <v>534</v>
      </c>
      <c r="E89" s="36">
        <v>-16500</v>
      </c>
      <c r="F89" s="37">
        <v>-333.41550000000001</v>
      </c>
      <c r="G89" s="38">
        <f t="shared" si="0"/>
        <v>-2.8925159237721525E-3</v>
      </c>
      <c r="H89" s="29" t="s">
        <v>143</v>
      </c>
    </row>
    <row r="90" spans="1:8" ht="12.75" customHeight="1" x14ac:dyDescent="0.2">
      <c r="A90" s="35">
        <v>5</v>
      </c>
      <c r="B90" s="22"/>
      <c r="C90" s="22" t="s">
        <v>992</v>
      </c>
      <c r="D90" s="22" t="s">
        <v>534</v>
      </c>
      <c r="E90" s="36">
        <v>-7500</v>
      </c>
      <c r="F90" s="37">
        <v>-358.52249999999998</v>
      </c>
      <c r="G90" s="38">
        <f t="shared" si="0"/>
        <v>-3.1103294246386313E-3</v>
      </c>
      <c r="H90" s="29" t="s">
        <v>143</v>
      </c>
    </row>
    <row r="91" spans="1:8" ht="12.75" customHeight="1" x14ac:dyDescent="0.2">
      <c r="A91" s="35">
        <v>6</v>
      </c>
      <c r="B91" s="22"/>
      <c r="C91" s="22" t="s">
        <v>1097</v>
      </c>
      <c r="D91" s="22" t="s">
        <v>534</v>
      </c>
      <c r="E91" s="36">
        <v>-52250</v>
      </c>
      <c r="F91" s="37">
        <v>-569.00250000000005</v>
      </c>
      <c r="G91" s="38">
        <f t="shared" si="0"/>
        <v>-4.9363295705093626E-3</v>
      </c>
      <c r="H91" s="29" t="s">
        <v>143</v>
      </c>
    </row>
    <row r="92" spans="1:8" ht="12.75" customHeight="1" x14ac:dyDescent="0.2">
      <c r="A92" s="35">
        <v>7</v>
      </c>
      <c r="B92" s="22"/>
      <c r="C92" s="22" t="s">
        <v>1071</v>
      </c>
      <c r="D92" s="22" t="s">
        <v>534</v>
      </c>
      <c r="E92" s="36">
        <v>-58500</v>
      </c>
      <c r="F92" s="37">
        <v>-587.69100000000003</v>
      </c>
      <c r="G92" s="38">
        <f t="shared" si="0"/>
        <v>-5.0984599568933663E-3</v>
      </c>
      <c r="H92" s="29" t="s">
        <v>143</v>
      </c>
    </row>
    <row r="93" spans="1:8" ht="12.75" customHeight="1" x14ac:dyDescent="0.2">
      <c r="A93" s="35">
        <v>8</v>
      </c>
      <c r="B93" s="22"/>
      <c r="C93" s="22" t="s">
        <v>1068</v>
      </c>
      <c r="D93" s="22" t="s">
        <v>534</v>
      </c>
      <c r="E93" s="36">
        <v>-105000</v>
      </c>
      <c r="F93" s="37">
        <v>-601.54499999999996</v>
      </c>
      <c r="G93" s="38">
        <f t="shared" si="0"/>
        <v>-5.2186490770990534E-3</v>
      </c>
      <c r="H93" s="29" t="s">
        <v>143</v>
      </c>
    </row>
    <row r="94" spans="1:8" ht="12.75" customHeight="1" x14ac:dyDescent="0.2">
      <c r="A94" s="35">
        <v>9</v>
      </c>
      <c r="B94" s="22"/>
      <c r="C94" s="22" t="s">
        <v>1053</v>
      </c>
      <c r="D94" s="22" t="s">
        <v>534</v>
      </c>
      <c r="E94" s="36">
        <v>-184300</v>
      </c>
      <c r="F94" s="37">
        <v>-604.31970000000001</v>
      </c>
      <c r="G94" s="38">
        <f t="shared" si="0"/>
        <v>-5.2427207352363945E-3</v>
      </c>
      <c r="H94" s="29" t="s">
        <v>143</v>
      </c>
    </row>
    <row r="95" spans="1:8" ht="12.75" customHeight="1" x14ac:dyDescent="0.2">
      <c r="A95" s="35">
        <v>10</v>
      </c>
      <c r="B95" s="22"/>
      <c r="C95" s="22" t="s">
        <v>1098</v>
      </c>
      <c r="D95" s="22" t="s">
        <v>534</v>
      </c>
      <c r="E95" s="36">
        <v>-178500</v>
      </c>
      <c r="F95" s="37">
        <v>-611.63025000000005</v>
      </c>
      <c r="G95" s="38">
        <f t="shared" si="0"/>
        <v>-5.306142748569706E-3</v>
      </c>
      <c r="H95" s="29" t="s">
        <v>143</v>
      </c>
    </row>
    <row r="96" spans="1:8" ht="12.75" customHeight="1" x14ac:dyDescent="0.2">
      <c r="A96" s="35">
        <v>11</v>
      </c>
      <c r="B96" s="22"/>
      <c r="C96" s="22" t="s">
        <v>1061</v>
      </c>
      <c r="D96" s="22" t="s">
        <v>534</v>
      </c>
      <c r="E96" s="36">
        <v>-31500</v>
      </c>
      <c r="F96" s="37">
        <v>-797.45399999999995</v>
      </c>
      <c r="G96" s="38">
        <f t="shared" si="0"/>
        <v>-6.9182398343082376E-3</v>
      </c>
      <c r="H96" s="29" t="s">
        <v>143</v>
      </c>
    </row>
    <row r="97" spans="1:8" ht="12.75" customHeight="1" x14ac:dyDescent="0.2">
      <c r="A97" s="35">
        <v>12</v>
      </c>
      <c r="B97" s="22"/>
      <c r="C97" s="22" t="s">
        <v>985</v>
      </c>
      <c r="D97" s="22" t="s">
        <v>534</v>
      </c>
      <c r="E97" s="36">
        <v>-89100</v>
      </c>
      <c r="F97" s="37">
        <v>-1023.8481</v>
      </c>
      <c r="G97" s="38">
        <f t="shared" si="0"/>
        <v>-8.8823013110484166E-3</v>
      </c>
      <c r="H97" s="29" t="s">
        <v>143</v>
      </c>
    </row>
    <row r="98" spans="1:8" ht="12.75" customHeight="1" x14ac:dyDescent="0.2">
      <c r="A98" s="35">
        <v>13</v>
      </c>
      <c r="B98" s="22"/>
      <c r="C98" s="22" t="s">
        <v>987</v>
      </c>
      <c r="D98" s="22" t="s">
        <v>534</v>
      </c>
      <c r="E98" s="36">
        <v>-406575</v>
      </c>
      <c r="F98" s="37">
        <v>-1058.639985</v>
      </c>
      <c r="G98" s="38">
        <f t="shared" si="0"/>
        <v>-9.1841351531479886E-3</v>
      </c>
      <c r="H98" s="29" t="s">
        <v>143</v>
      </c>
    </row>
    <row r="99" spans="1:8" ht="12.75" customHeight="1" x14ac:dyDescent="0.2">
      <c r="A99" s="35">
        <v>14</v>
      </c>
      <c r="B99" s="22"/>
      <c r="C99" s="22" t="s">
        <v>983</v>
      </c>
      <c r="D99" s="22" t="s">
        <v>534</v>
      </c>
      <c r="E99" s="36">
        <v>-55200</v>
      </c>
      <c r="F99" s="37">
        <v>-1106.7048</v>
      </c>
      <c r="G99" s="38">
        <f t="shared" si="0"/>
        <v>-9.6011170953812144E-3</v>
      </c>
      <c r="H99" s="29" t="s">
        <v>143</v>
      </c>
    </row>
    <row r="100" spans="1:8" ht="12.75" customHeight="1" x14ac:dyDescent="0.2">
      <c r="A100" s="35">
        <v>15</v>
      </c>
      <c r="B100" s="22"/>
      <c r="C100" s="22" t="s">
        <v>1067</v>
      </c>
      <c r="D100" s="22" t="s">
        <v>534</v>
      </c>
      <c r="E100" s="36">
        <v>-149800</v>
      </c>
      <c r="F100" s="37">
        <v>-1149.9396999999999</v>
      </c>
      <c r="G100" s="38">
        <f t="shared" si="0"/>
        <v>-9.9761975481876871E-3</v>
      </c>
      <c r="H100" s="29" t="s">
        <v>143</v>
      </c>
    </row>
    <row r="101" spans="1:8" ht="12.75" customHeight="1" x14ac:dyDescent="0.2">
      <c r="A101" s="35">
        <v>16</v>
      </c>
      <c r="B101" s="22"/>
      <c r="C101" s="22" t="s">
        <v>1072</v>
      </c>
      <c r="D101" s="22" t="s">
        <v>534</v>
      </c>
      <c r="E101" s="36">
        <v>-284800</v>
      </c>
      <c r="F101" s="37">
        <v>-1151.7311999999999</v>
      </c>
      <c r="G101" s="38">
        <f t="shared" si="0"/>
        <v>-9.9917395439180542E-3</v>
      </c>
      <c r="H101" s="29" t="s">
        <v>143</v>
      </c>
    </row>
    <row r="102" spans="1:8" ht="12.75" customHeight="1" x14ac:dyDescent="0.2">
      <c r="A102" s="35">
        <v>17</v>
      </c>
      <c r="B102" s="22"/>
      <c r="C102" s="22" t="s">
        <v>1069</v>
      </c>
      <c r="D102" s="22" t="s">
        <v>534</v>
      </c>
      <c r="E102" s="36">
        <v>-31500</v>
      </c>
      <c r="F102" s="37">
        <v>-1159.326</v>
      </c>
      <c r="G102" s="38">
        <f t="shared" si="0"/>
        <v>-1.0057627542340037E-2</v>
      </c>
      <c r="H102" s="29" t="s">
        <v>143</v>
      </c>
    </row>
    <row r="103" spans="1:8" ht="12.75" customHeight="1" x14ac:dyDescent="0.2">
      <c r="A103" s="35">
        <v>18</v>
      </c>
      <c r="B103" s="22"/>
      <c r="C103" s="22" t="s">
        <v>1048</v>
      </c>
      <c r="D103" s="22" t="s">
        <v>534</v>
      </c>
      <c r="E103" s="36">
        <v>-39000</v>
      </c>
      <c r="F103" s="37">
        <v>-1346.4359999999999</v>
      </c>
      <c r="G103" s="38">
        <f t="shared" si="0"/>
        <v>-1.1680883373268735E-2</v>
      </c>
      <c r="H103" s="29" t="s">
        <v>143</v>
      </c>
    </row>
    <row r="104" spans="1:8" ht="12.75" customHeight="1" x14ac:dyDescent="0.2">
      <c r="A104" s="35">
        <v>19</v>
      </c>
      <c r="B104" s="22"/>
      <c r="C104" s="22" t="s">
        <v>994</v>
      </c>
      <c r="D104" s="22" t="s">
        <v>534</v>
      </c>
      <c r="E104" s="36">
        <v>-148500</v>
      </c>
      <c r="F104" s="37">
        <v>-1419.8085000000001</v>
      </c>
      <c r="G104" s="38">
        <f t="shared" si="0"/>
        <v>-1.2317419840880387E-2</v>
      </c>
      <c r="H104" s="29" t="s">
        <v>143</v>
      </c>
    </row>
    <row r="105" spans="1:8" ht="12.75" customHeight="1" x14ac:dyDescent="0.2">
      <c r="A105" s="35">
        <v>20</v>
      </c>
      <c r="B105" s="22"/>
      <c r="C105" s="22" t="s">
        <v>995</v>
      </c>
      <c r="D105" s="22" t="s">
        <v>534</v>
      </c>
      <c r="E105" s="36">
        <v>-364500</v>
      </c>
      <c r="F105" s="37">
        <v>-3196.4827500000001</v>
      </c>
      <c r="G105" s="38">
        <f t="shared" si="0"/>
        <v>-2.7730796122069915E-2</v>
      </c>
      <c r="H105" s="29" t="s">
        <v>143</v>
      </c>
    </row>
    <row r="106" spans="1:8" ht="12.75" customHeight="1" x14ac:dyDescent="0.2">
      <c r="A106" s="35">
        <v>21</v>
      </c>
      <c r="B106" s="22"/>
      <c r="C106" s="22" t="s">
        <v>991</v>
      </c>
      <c r="D106" s="22" t="s">
        <v>534</v>
      </c>
      <c r="E106" s="36">
        <v>-374375</v>
      </c>
      <c r="F106" s="37">
        <v>-4257.3924999999999</v>
      </c>
      <c r="G106" s="38">
        <f t="shared" si="0"/>
        <v>-3.6934622415568968E-2</v>
      </c>
      <c r="H106" s="29" t="s">
        <v>143</v>
      </c>
    </row>
    <row r="107" spans="1:8" ht="12.75" customHeight="1" x14ac:dyDescent="0.2">
      <c r="A107" s="35">
        <v>22</v>
      </c>
      <c r="B107" s="22"/>
      <c r="C107" s="22" t="s">
        <v>996</v>
      </c>
      <c r="D107" s="22" t="s">
        <v>534</v>
      </c>
      <c r="E107" s="36">
        <v>-389900</v>
      </c>
      <c r="F107" s="37">
        <v>-5292.8924999999999</v>
      </c>
      <c r="G107" s="38">
        <f t="shared" si="0"/>
        <v>-4.5918008728041131E-2</v>
      </c>
      <c r="H107" s="29" t="s">
        <v>143</v>
      </c>
    </row>
    <row r="108" spans="1:8" ht="12.75" customHeight="1" x14ac:dyDescent="0.2">
      <c r="A108" s="35">
        <v>23</v>
      </c>
      <c r="B108" s="22"/>
      <c r="C108" s="22" t="s">
        <v>997</v>
      </c>
      <c r="D108" s="22" t="s">
        <v>534</v>
      </c>
      <c r="E108" s="36">
        <v>-507000</v>
      </c>
      <c r="F108" s="37">
        <v>-6962.1239999999998</v>
      </c>
      <c r="G108" s="38">
        <f t="shared" si="0"/>
        <v>-6.0399275178497323E-2</v>
      </c>
      <c r="H108" s="29" t="s">
        <v>143</v>
      </c>
    </row>
    <row r="109" spans="1:8" ht="12.75" customHeight="1" x14ac:dyDescent="0.2">
      <c r="A109" s="35">
        <v>24</v>
      </c>
      <c r="B109" s="22"/>
      <c r="C109" s="22" t="s">
        <v>993</v>
      </c>
      <c r="D109" s="22" t="s">
        <v>534</v>
      </c>
      <c r="E109" s="36">
        <v>-439850</v>
      </c>
      <c r="F109" s="37">
        <v>-8321.0823</v>
      </c>
      <c r="G109" s="38">
        <f t="shared" si="0"/>
        <v>-7.2188794629429676E-2</v>
      </c>
      <c r="H109" s="29" t="s">
        <v>143</v>
      </c>
    </row>
    <row r="110" spans="1:8" ht="12.75" customHeight="1" x14ac:dyDescent="0.2">
      <c r="A110" s="39"/>
      <c r="B110" s="39"/>
      <c r="C110" s="40" t="s">
        <v>142</v>
      </c>
      <c r="D110" s="39"/>
      <c r="E110" s="39" t="s">
        <v>143</v>
      </c>
      <c r="F110" s="41">
        <f>SUM(F86:F109)</f>
        <v>-42131.410335</v>
      </c>
      <c r="G110" s="42">
        <f>SUM(G86:G109)</f>
        <v>-0.36550722832311677</v>
      </c>
      <c r="H110" s="29" t="s">
        <v>143</v>
      </c>
    </row>
    <row r="111" spans="1:8" ht="12.75" customHeight="1" x14ac:dyDescent="0.2">
      <c r="A111" s="39"/>
      <c r="B111" s="39"/>
      <c r="C111" s="43"/>
      <c r="D111" s="39"/>
      <c r="E111" s="39"/>
      <c r="F111" s="44"/>
      <c r="G111" s="44"/>
      <c r="H111" s="29" t="s">
        <v>143</v>
      </c>
    </row>
    <row r="112" spans="1:8" ht="12.75" customHeight="1" x14ac:dyDescent="0.2">
      <c r="A112" s="39"/>
      <c r="B112" s="39"/>
      <c r="C112" s="40" t="s">
        <v>150</v>
      </c>
      <c r="D112" s="39"/>
      <c r="E112" s="39"/>
      <c r="F112" s="41">
        <f>F71+F80</f>
        <v>85462.670899999997</v>
      </c>
      <c r="G112" s="42">
        <f>G71+G80</f>
        <v>0.74142366999999998</v>
      </c>
      <c r="H112" s="29" t="s">
        <v>143</v>
      </c>
    </row>
    <row r="113" spans="1:8" ht="12.75" customHeight="1" x14ac:dyDescent="0.2">
      <c r="A113" s="39"/>
      <c r="B113" s="39"/>
      <c r="C113" s="43"/>
      <c r="D113" s="39"/>
      <c r="E113" s="39"/>
      <c r="F113" s="44"/>
      <c r="G113" s="44"/>
      <c r="H113" s="29" t="s">
        <v>143</v>
      </c>
    </row>
    <row r="114" spans="1:8" ht="12.75" customHeight="1" x14ac:dyDescent="0.2">
      <c r="A114" s="39"/>
      <c r="B114" s="39"/>
      <c r="C114" s="40" t="s">
        <v>151</v>
      </c>
      <c r="D114" s="39"/>
      <c r="E114" s="39"/>
      <c r="F114" s="44"/>
      <c r="G114" s="44"/>
      <c r="H114" s="29" t="s">
        <v>143</v>
      </c>
    </row>
    <row r="115" spans="1:8" ht="12.75" customHeight="1" x14ac:dyDescent="0.2">
      <c r="A115" s="39"/>
      <c r="B115" s="39"/>
      <c r="C115" s="40" t="s">
        <v>10</v>
      </c>
      <c r="D115" s="39"/>
      <c r="E115" s="39"/>
      <c r="F115" s="44"/>
      <c r="G115" s="44"/>
      <c r="H115" s="29" t="s">
        <v>143</v>
      </c>
    </row>
    <row r="116" spans="1:8" ht="12.75" customHeight="1" x14ac:dyDescent="0.2">
      <c r="A116" s="35">
        <v>1</v>
      </c>
      <c r="B116" s="22" t="s">
        <v>709</v>
      </c>
      <c r="C116" s="22" t="s">
        <v>710</v>
      </c>
      <c r="D116" s="22" t="s">
        <v>537</v>
      </c>
      <c r="E116" s="36">
        <v>250</v>
      </c>
      <c r="F116" s="37">
        <v>2493.7849999999999</v>
      </c>
      <c r="G116" s="38">
        <v>2.1634609999999999E-2</v>
      </c>
      <c r="H116" s="29">
        <v>6.8049999999999997</v>
      </c>
    </row>
    <row r="117" spans="1:8" ht="12.75" customHeight="1" x14ac:dyDescent="0.2">
      <c r="A117" s="35">
        <v>2</v>
      </c>
      <c r="B117" s="22" t="s">
        <v>711</v>
      </c>
      <c r="C117" s="22" t="s">
        <v>712</v>
      </c>
      <c r="D117" s="22" t="s">
        <v>537</v>
      </c>
      <c r="E117" s="36">
        <v>1500</v>
      </c>
      <c r="F117" s="37">
        <v>1510.2045000000001</v>
      </c>
      <c r="G117" s="38">
        <v>1.3101639999999999E-2</v>
      </c>
      <c r="H117" s="29">
        <v>6.6</v>
      </c>
    </row>
    <row r="118" spans="1:8" ht="12.75" customHeight="1" x14ac:dyDescent="0.2">
      <c r="A118" s="35">
        <v>3</v>
      </c>
      <c r="B118" s="22" t="s">
        <v>535</v>
      </c>
      <c r="C118" s="22" t="s">
        <v>536</v>
      </c>
      <c r="D118" s="22" t="s">
        <v>537</v>
      </c>
      <c r="E118" s="36">
        <v>1000</v>
      </c>
      <c r="F118" s="37">
        <v>1017.319</v>
      </c>
      <c r="G118" s="38">
        <v>8.8256600000000008E-3</v>
      </c>
      <c r="H118" s="29">
        <v>6.8095999999999997</v>
      </c>
    </row>
    <row r="119" spans="1:8" ht="12.75" customHeight="1" x14ac:dyDescent="0.2">
      <c r="A119" s="35">
        <v>4</v>
      </c>
      <c r="B119" s="22" t="s">
        <v>713</v>
      </c>
      <c r="C119" s="22" t="s">
        <v>714</v>
      </c>
      <c r="D119" s="22" t="s">
        <v>540</v>
      </c>
      <c r="E119" s="36">
        <v>100</v>
      </c>
      <c r="F119" s="37">
        <v>1007.848</v>
      </c>
      <c r="G119" s="38">
        <v>8.7434899999999996E-3</v>
      </c>
      <c r="H119" s="29">
        <v>6.42</v>
      </c>
    </row>
    <row r="120" spans="1:8" ht="12.75" customHeight="1" x14ac:dyDescent="0.2">
      <c r="A120" s="35">
        <v>5</v>
      </c>
      <c r="B120" s="22" t="s">
        <v>715</v>
      </c>
      <c r="C120" s="22" t="s">
        <v>716</v>
      </c>
      <c r="D120" s="22" t="s">
        <v>540</v>
      </c>
      <c r="E120" s="36">
        <v>1000</v>
      </c>
      <c r="F120" s="37">
        <v>1006.792</v>
      </c>
      <c r="G120" s="38">
        <v>8.7343300000000002E-3</v>
      </c>
      <c r="H120" s="29">
        <v>6.67</v>
      </c>
    </row>
    <row r="121" spans="1:8" ht="12.75" customHeight="1" x14ac:dyDescent="0.2">
      <c r="A121" s="35">
        <v>6</v>
      </c>
      <c r="B121" s="22" t="s">
        <v>717</v>
      </c>
      <c r="C121" s="22" t="s">
        <v>718</v>
      </c>
      <c r="D121" s="22" t="s">
        <v>540</v>
      </c>
      <c r="E121" s="36">
        <v>100</v>
      </c>
      <c r="F121" s="37">
        <v>1006.3819999999999</v>
      </c>
      <c r="G121" s="38">
        <v>8.7307800000000005E-3</v>
      </c>
      <c r="H121" s="29">
        <v>6.6524000000000001</v>
      </c>
    </row>
    <row r="122" spans="1:8" ht="12.75" customHeight="1" x14ac:dyDescent="0.2">
      <c r="A122" s="39"/>
      <c r="B122" s="39"/>
      <c r="C122" s="40" t="s">
        <v>142</v>
      </c>
      <c r="D122" s="39"/>
      <c r="E122" s="39" t="s">
        <v>143</v>
      </c>
      <c r="F122" s="41">
        <v>8042.3305</v>
      </c>
      <c r="G122" s="42">
        <v>6.9770509999999994E-2</v>
      </c>
      <c r="H122" s="29" t="s">
        <v>143</v>
      </c>
    </row>
    <row r="123" spans="1:8" ht="12.75" customHeight="1" x14ac:dyDescent="0.2">
      <c r="A123" s="39"/>
      <c r="B123" s="39"/>
      <c r="C123" s="43"/>
      <c r="D123" s="39"/>
      <c r="E123" s="39"/>
      <c r="F123" s="44"/>
      <c r="G123" s="44"/>
      <c r="H123" s="29" t="s">
        <v>143</v>
      </c>
    </row>
    <row r="124" spans="1:8" ht="12.75" customHeight="1" x14ac:dyDescent="0.2">
      <c r="A124" s="39"/>
      <c r="B124" s="39"/>
      <c r="C124" s="40" t="s">
        <v>152</v>
      </c>
      <c r="D124" s="39"/>
      <c r="E124" s="39"/>
      <c r="F124" s="39"/>
      <c r="G124" s="39"/>
      <c r="H124" s="29" t="s">
        <v>143</v>
      </c>
    </row>
    <row r="125" spans="1:8" ht="12.75" customHeight="1" x14ac:dyDescent="0.2">
      <c r="A125" s="39"/>
      <c r="B125" s="39"/>
      <c r="C125" s="40" t="s">
        <v>142</v>
      </c>
      <c r="D125" s="39"/>
      <c r="E125" s="39" t="s">
        <v>143</v>
      </c>
      <c r="F125" s="45" t="s">
        <v>145</v>
      </c>
      <c r="G125" s="42">
        <v>0</v>
      </c>
      <c r="H125" s="29" t="s">
        <v>143</v>
      </c>
    </row>
    <row r="126" spans="1:8" ht="12.75" customHeight="1" x14ac:dyDescent="0.2">
      <c r="A126" s="39"/>
      <c r="B126" s="39"/>
      <c r="C126" s="43"/>
      <c r="D126" s="39"/>
      <c r="E126" s="39"/>
      <c r="F126" s="44"/>
      <c r="G126" s="44"/>
      <c r="H126" s="29" t="s">
        <v>143</v>
      </c>
    </row>
    <row r="127" spans="1:8" ht="12.75" customHeight="1" x14ac:dyDescent="0.2">
      <c r="A127" s="39"/>
      <c r="B127" s="39"/>
      <c r="C127" s="40" t="s">
        <v>153</v>
      </c>
      <c r="D127" s="39"/>
      <c r="E127" s="39"/>
      <c r="F127" s="39"/>
      <c r="G127" s="39"/>
      <c r="H127" s="29" t="s">
        <v>143</v>
      </c>
    </row>
    <row r="128" spans="1:8" ht="12.75" customHeight="1" x14ac:dyDescent="0.2">
      <c r="A128" s="35">
        <v>1</v>
      </c>
      <c r="B128" s="22" t="s">
        <v>608</v>
      </c>
      <c r="C128" s="22" t="s">
        <v>1136</v>
      </c>
      <c r="D128" s="22" t="s">
        <v>610</v>
      </c>
      <c r="E128" s="36">
        <v>6500000</v>
      </c>
      <c r="F128" s="37">
        <v>6690.0015000000003</v>
      </c>
      <c r="G128" s="38">
        <v>5.80385E-2</v>
      </c>
      <c r="H128" s="29">
        <v>6.7552000000000003</v>
      </c>
    </row>
    <row r="129" spans="1:8" ht="12.75" customHeight="1" x14ac:dyDescent="0.2">
      <c r="A129" s="35">
        <v>2</v>
      </c>
      <c r="B129" s="22" t="s">
        <v>719</v>
      </c>
      <c r="C129" s="22" t="s">
        <v>1142</v>
      </c>
      <c r="D129" s="22" t="s">
        <v>610</v>
      </c>
      <c r="E129" s="36">
        <v>1500000</v>
      </c>
      <c r="F129" s="37">
        <v>1559.6505</v>
      </c>
      <c r="G129" s="38">
        <v>1.353061E-2</v>
      </c>
      <c r="H129" s="29">
        <v>6.0162000000000004</v>
      </c>
    </row>
    <row r="130" spans="1:8" ht="12.75" customHeight="1" x14ac:dyDescent="0.2">
      <c r="A130" s="35">
        <v>3</v>
      </c>
      <c r="B130" s="22" t="s">
        <v>611</v>
      </c>
      <c r="C130" s="22" t="s">
        <v>1135</v>
      </c>
      <c r="D130" s="22" t="s">
        <v>610</v>
      </c>
      <c r="E130" s="36">
        <v>1500000</v>
      </c>
      <c r="F130" s="37">
        <v>1546.7985000000001</v>
      </c>
      <c r="G130" s="38">
        <v>1.341911E-2</v>
      </c>
      <c r="H130" s="29">
        <v>6.9898999999999996</v>
      </c>
    </row>
    <row r="131" spans="1:8" ht="12.75" customHeight="1" x14ac:dyDescent="0.2">
      <c r="A131" s="35">
        <v>4</v>
      </c>
      <c r="B131" s="22" t="s">
        <v>721</v>
      </c>
      <c r="C131" s="22" t="s">
        <v>722</v>
      </c>
      <c r="D131" s="22" t="s">
        <v>610</v>
      </c>
      <c r="E131" s="36">
        <v>500000</v>
      </c>
      <c r="F131" s="37">
        <v>515.90599999999995</v>
      </c>
      <c r="G131" s="38">
        <v>4.4757E-3</v>
      </c>
      <c r="H131" s="29">
        <v>6.1489000000000003</v>
      </c>
    </row>
    <row r="132" spans="1:8" ht="12.75" customHeight="1" x14ac:dyDescent="0.2">
      <c r="A132" s="39"/>
      <c r="B132" s="39"/>
      <c r="C132" s="40" t="s">
        <v>142</v>
      </c>
      <c r="D132" s="39"/>
      <c r="E132" s="39" t="s">
        <v>143</v>
      </c>
      <c r="F132" s="41">
        <v>10312.3565</v>
      </c>
      <c r="G132" s="42">
        <v>8.9463920000000002E-2</v>
      </c>
      <c r="H132" s="29" t="s">
        <v>143</v>
      </c>
    </row>
    <row r="133" spans="1:8" ht="12.75" customHeight="1" x14ac:dyDescent="0.2">
      <c r="A133" s="39"/>
      <c r="B133" s="39"/>
      <c r="C133" s="43"/>
      <c r="D133" s="39"/>
      <c r="E133" s="39"/>
      <c r="F133" s="44"/>
      <c r="G133" s="44"/>
      <c r="H133" s="29" t="s">
        <v>143</v>
      </c>
    </row>
    <row r="134" spans="1:8" ht="12.75" customHeight="1" x14ac:dyDescent="0.2">
      <c r="A134" s="39"/>
      <c r="B134" s="39"/>
      <c r="C134" s="40" t="s">
        <v>154</v>
      </c>
      <c r="D134" s="39"/>
      <c r="E134" s="39"/>
      <c r="F134" s="44"/>
      <c r="G134" s="44"/>
      <c r="H134" s="29" t="s">
        <v>143</v>
      </c>
    </row>
    <row r="135" spans="1:8" ht="12.75" customHeight="1" x14ac:dyDescent="0.2">
      <c r="A135" s="39"/>
      <c r="B135" s="39"/>
      <c r="C135" s="40" t="s">
        <v>142</v>
      </c>
      <c r="D135" s="39"/>
      <c r="E135" s="39" t="s">
        <v>143</v>
      </c>
      <c r="F135" s="45" t="s">
        <v>145</v>
      </c>
      <c r="G135" s="42">
        <v>0</v>
      </c>
      <c r="H135" s="29" t="s">
        <v>143</v>
      </c>
    </row>
    <row r="136" spans="1:8" ht="12.75" customHeight="1" x14ac:dyDescent="0.2">
      <c r="A136" s="87"/>
      <c r="B136" s="87"/>
      <c r="C136" s="71"/>
      <c r="D136" s="87"/>
      <c r="E136" s="87"/>
      <c r="F136" s="88"/>
      <c r="G136" s="89"/>
      <c r="H136" s="90"/>
    </row>
    <row r="137" spans="1:8" ht="12.75" customHeight="1" x14ac:dyDescent="0.2">
      <c r="A137" s="39"/>
      <c r="B137" s="39"/>
      <c r="C137" s="40" t="s">
        <v>1170</v>
      </c>
      <c r="D137" s="39"/>
      <c r="E137" s="39"/>
      <c r="F137" s="39"/>
      <c r="G137" s="39"/>
      <c r="H137" s="29" t="s">
        <v>143</v>
      </c>
    </row>
    <row r="138" spans="1:8" ht="12.75" customHeight="1" x14ac:dyDescent="0.2">
      <c r="A138" s="35">
        <v>1</v>
      </c>
      <c r="B138" s="22" t="s">
        <v>315</v>
      </c>
      <c r="C138" s="22" t="s">
        <v>316</v>
      </c>
      <c r="D138" s="22" t="s">
        <v>239</v>
      </c>
      <c r="E138" s="36">
        <v>36400</v>
      </c>
      <c r="F138" s="37">
        <v>3.6554335999999998</v>
      </c>
      <c r="G138" s="38" t="s">
        <v>141</v>
      </c>
      <c r="H138" s="29" t="s">
        <v>143</v>
      </c>
    </row>
    <row r="139" spans="1:8" ht="12.75" customHeight="1" x14ac:dyDescent="0.2">
      <c r="A139" s="39"/>
      <c r="B139" s="39"/>
      <c r="C139" s="40" t="s">
        <v>142</v>
      </c>
      <c r="D139" s="39"/>
      <c r="E139" s="39" t="s">
        <v>143</v>
      </c>
      <c r="F139" s="41">
        <f>F138</f>
        <v>3.6554335999999998</v>
      </c>
      <c r="G139" s="42">
        <v>0</v>
      </c>
      <c r="H139" s="29" t="s">
        <v>143</v>
      </c>
    </row>
    <row r="140" spans="1:8" ht="12.75" customHeight="1" x14ac:dyDescent="0.2">
      <c r="A140" s="39"/>
      <c r="B140" s="39"/>
      <c r="C140" s="43"/>
      <c r="D140" s="39"/>
      <c r="E140" s="39"/>
      <c r="F140" s="44"/>
      <c r="G140" s="44"/>
      <c r="H140" s="29" t="s">
        <v>143</v>
      </c>
    </row>
    <row r="141" spans="1:8" ht="12.75" customHeight="1" x14ac:dyDescent="0.2">
      <c r="A141" s="39"/>
      <c r="B141" s="39"/>
      <c r="C141" s="40" t="s">
        <v>155</v>
      </c>
      <c r="D141" s="39"/>
      <c r="E141" s="39"/>
      <c r="F141" s="41">
        <f>F139+F132+F122</f>
        <v>18358.342433600003</v>
      </c>
      <c r="G141" s="42">
        <v>0.15923443000000001</v>
      </c>
      <c r="H141" s="29" t="s">
        <v>143</v>
      </c>
    </row>
    <row r="142" spans="1:8" ht="12.75" customHeight="1" x14ac:dyDescent="0.2">
      <c r="A142" s="39"/>
      <c r="B142" s="39"/>
      <c r="C142" s="43"/>
      <c r="D142" s="39"/>
      <c r="E142" s="39"/>
      <c r="F142" s="44"/>
      <c r="G142" s="44"/>
      <c r="H142" s="29" t="s">
        <v>143</v>
      </c>
    </row>
    <row r="143" spans="1:8" ht="12.75" customHeight="1" x14ac:dyDescent="0.2">
      <c r="A143" s="39"/>
      <c r="B143" s="39"/>
      <c r="C143" s="40" t="s">
        <v>156</v>
      </c>
      <c r="D143" s="39"/>
      <c r="E143" s="39"/>
      <c r="F143" s="44"/>
      <c r="G143" s="44"/>
      <c r="H143" s="29" t="s">
        <v>143</v>
      </c>
    </row>
    <row r="144" spans="1:8" ht="12.75" customHeight="1" x14ac:dyDescent="0.2">
      <c r="A144" s="39"/>
      <c r="B144" s="39"/>
      <c r="C144" s="40" t="s">
        <v>157</v>
      </c>
      <c r="D144" s="39"/>
      <c r="E144" s="39"/>
      <c r="F144" s="44"/>
      <c r="G144" s="44"/>
      <c r="H144" s="29" t="s">
        <v>143</v>
      </c>
    </row>
    <row r="145" spans="1:8" ht="12.75" customHeight="1" x14ac:dyDescent="0.2">
      <c r="A145" s="35">
        <v>1</v>
      </c>
      <c r="B145" s="22" t="s">
        <v>723</v>
      </c>
      <c r="C145" s="22" t="s">
        <v>724</v>
      </c>
      <c r="D145" s="22" t="s">
        <v>630</v>
      </c>
      <c r="E145" s="36">
        <v>500</v>
      </c>
      <c r="F145" s="37">
        <v>2475.0025000000001</v>
      </c>
      <c r="G145" s="38">
        <v>2.147166E-2</v>
      </c>
      <c r="H145" s="29">
        <v>5.76</v>
      </c>
    </row>
    <row r="146" spans="1:8" ht="12.75" customHeight="1" x14ac:dyDescent="0.2">
      <c r="A146" s="35">
        <v>2</v>
      </c>
      <c r="B146" s="22" t="s">
        <v>628</v>
      </c>
      <c r="C146" s="22" t="s">
        <v>629</v>
      </c>
      <c r="D146" s="22" t="s">
        <v>630</v>
      </c>
      <c r="E146" s="36">
        <v>500</v>
      </c>
      <c r="F146" s="37">
        <v>2465.3200000000002</v>
      </c>
      <c r="G146" s="38">
        <v>2.1387659999999999E-2</v>
      </c>
      <c r="H146" s="29">
        <v>5.7050000000000001</v>
      </c>
    </row>
    <row r="147" spans="1:8" ht="12.75" customHeight="1" x14ac:dyDescent="0.2">
      <c r="A147" s="39"/>
      <c r="B147" s="39"/>
      <c r="C147" s="40" t="s">
        <v>142</v>
      </c>
      <c r="D147" s="39"/>
      <c r="E147" s="39" t="s">
        <v>143</v>
      </c>
      <c r="F147" s="41">
        <v>4940.3225000000002</v>
      </c>
      <c r="G147" s="42">
        <v>4.2859319999999999E-2</v>
      </c>
      <c r="H147" s="29" t="s">
        <v>143</v>
      </c>
    </row>
    <row r="148" spans="1:8" ht="12.75" customHeight="1" x14ac:dyDescent="0.2">
      <c r="A148" s="39"/>
      <c r="B148" s="39"/>
      <c r="C148" s="43"/>
      <c r="D148" s="39"/>
      <c r="E148" s="39"/>
      <c r="F148" s="44"/>
      <c r="G148" s="44"/>
      <c r="H148" s="29" t="s">
        <v>143</v>
      </c>
    </row>
    <row r="149" spans="1:8" ht="12.75" customHeight="1" x14ac:dyDescent="0.2">
      <c r="A149" s="39"/>
      <c r="B149" s="39"/>
      <c r="C149" s="40" t="s">
        <v>158</v>
      </c>
      <c r="D149" s="39"/>
      <c r="E149" s="39"/>
      <c r="F149" s="44"/>
      <c r="G149" s="44"/>
      <c r="H149" s="29" t="s">
        <v>143</v>
      </c>
    </row>
    <row r="150" spans="1:8" ht="12.75" customHeight="1" x14ac:dyDescent="0.2">
      <c r="A150" s="39"/>
      <c r="B150" s="39"/>
      <c r="C150" s="40" t="s">
        <v>142</v>
      </c>
      <c r="D150" s="39"/>
      <c r="E150" s="39" t="s">
        <v>143</v>
      </c>
      <c r="F150" s="45" t="s">
        <v>145</v>
      </c>
      <c r="G150" s="42">
        <v>0</v>
      </c>
      <c r="H150" s="29" t="s">
        <v>143</v>
      </c>
    </row>
    <row r="151" spans="1:8" ht="12.75" customHeight="1" x14ac:dyDescent="0.2">
      <c r="A151" s="39"/>
      <c r="B151" s="39"/>
      <c r="C151" s="43"/>
      <c r="D151" s="39"/>
      <c r="E151" s="39"/>
      <c r="F151" s="44"/>
      <c r="G151" s="44"/>
      <c r="H151" s="29" t="s">
        <v>143</v>
      </c>
    </row>
    <row r="152" spans="1:8" ht="12.75" customHeight="1" x14ac:dyDescent="0.2">
      <c r="A152" s="39"/>
      <c r="B152" s="39"/>
      <c r="C152" s="40" t="s">
        <v>159</v>
      </c>
      <c r="D152" s="39"/>
      <c r="E152" s="39"/>
      <c r="F152" s="44"/>
      <c r="G152" s="44"/>
      <c r="H152" s="29" t="s">
        <v>143</v>
      </c>
    </row>
    <row r="153" spans="1:8" ht="12.75" customHeight="1" x14ac:dyDescent="0.2">
      <c r="A153" s="35">
        <v>1</v>
      </c>
      <c r="B153" s="22" t="s">
        <v>725</v>
      </c>
      <c r="C153" s="22" t="s">
        <v>726</v>
      </c>
      <c r="D153" s="22" t="s">
        <v>610</v>
      </c>
      <c r="E153" s="36">
        <v>2500000</v>
      </c>
      <c r="F153" s="37">
        <v>2471.5149999999999</v>
      </c>
      <c r="G153" s="38">
        <v>2.1441399999999999E-2</v>
      </c>
      <c r="H153" s="29">
        <v>5.3935000000000004</v>
      </c>
    </row>
    <row r="154" spans="1:8" ht="12.75" customHeight="1" x14ac:dyDescent="0.2">
      <c r="A154" s="39"/>
      <c r="B154" s="39"/>
      <c r="C154" s="40" t="s">
        <v>142</v>
      </c>
      <c r="D154" s="39"/>
      <c r="E154" s="39" t="s">
        <v>143</v>
      </c>
      <c r="F154" s="41">
        <v>2471.5149999999999</v>
      </c>
      <c r="G154" s="42">
        <v>2.1441399999999999E-2</v>
      </c>
      <c r="H154" s="29" t="s">
        <v>143</v>
      </c>
    </row>
    <row r="155" spans="1:8" ht="12.75" customHeight="1" x14ac:dyDescent="0.2">
      <c r="A155" s="39"/>
      <c r="B155" s="39"/>
      <c r="C155" s="43"/>
      <c r="D155" s="39"/>
      <c r="E155" s="39"/>
      <c r="F155" s="44"/>
      <c r="G155" s="44"/>
      <c r="H155" s="29" t="s">
        <v>143</v>
      </c>
    </row>
    <row r="156" spans="1:8" ht="12.75" customHeight="1" x14ac:dyDescent="0.2">
      <c r="A156" s="39"/>
      <c r="B156" s="39"/>
      <c r="C156" s="40" t="s">
        <v>160</v>
      </c>
      <c r="D156" s="39"/>
      <c r="E156" s="39"/>
      <c r="F156" s="44"/>
      <c r="G156" s="44"/>
      <c r="H156" s="29" t="s">
        <v>143</v>
      </c>
    </row>
    <row r="157" spans="1:8" ht="12.75" customHeight="1" x14ac:dyDescent="0.2">
      <c r="A157" s="35">
        <v>1</v>
      </c>
      <c r="B157" s="22"/>
      <c r="C157" s="22" t="s">
        <v>161</v>
      </c>
      <c r="D157" s="22"/>
      <c r="E157" s="46"/>
      <c r="F157" s="37">
        <v>1310.440067003</v>
      </c>
      <c r="G157" s="38">
        <v>1.13686E-2</v>
      </c>
      <c r="H157" s="29">
        <v>5.51</v>
      </c>
    </row>
    <row r="158" spans="1:8" ht="12.75" customHeight="1" x14ac:dyDescent="0.2">
      <c r="A158" s="39"/>
      <c r="B158" s="39"/>
      <c r="C158" s="40" t="s">
        <v>142</v>
      </c>
      <c r="D158" s="39"/>
      <c r="E158" s="39" t="s">
        <v>143</v>
      </c>
      <c r="F158" s="41">
        <v>1310.440067003</v>
      </c>
      <c r="G158" s="42">
        <v>1.13686E-2</v>
      </c>
      <c r="H158" s="29" t="s">
        <v>143</v>
      </c>
    </row>
    <row r="159" spans="1:8" ht="12.75" customHeight="1" x14ac:dyDescent="0.2">
      <c r="A159" s="39"/>
      <c r="B159" s="39"/>
      <c r="C159" s="43"/>
      <c r="D159" s="39"/>
      <c r="E159" s="39"/>
      <c r="F159" s="44"/>
      <c r="G159" s="44"/>
      <c r="H159" s="29" t="s">
        <v>143</v>
      </c>
    </row>
    <row r="160" spans="1:8" ht="12.75" customHeight="1" x14ac:dyDescent="0.2">
      <c r="A160" s="39"/>
      <c r="B160" s="39"/>
      <c r="C160" s="40" t="s">
        <v>162</v>
      </c>
      <c r="D160" s="39"/>
      <c r="E160" s="39"/>
      <c r="F160" s="41">
        <v>8722.2775670030005</v>
      </c>
      <c r="G160" s="42">
        <v>7.5669319999999998E-2</v>
      </c>
      <c r="H160" s="29" t="s">
        <v>143</v>
      </c>
    </row>
    <row r="161" spans="1:8" ht="12.75" customHeight="1" x14ac:dyDescent="0.2">
      <c r="A161" s="39"/>
      <c r="B161" s="39"/>
      <c r="C161" s="44"/>
      <c r="D161" s="39"/>
      <c r="E161" s="39"/>
      <c r="F161" s="39"/>
      <c r="G161" s="39"/>
      <c r="H161" s="29" t="s">
        <v>143</v>
      </c>
    </row>
    <row r="162" spans="1:8" ht="12.75" customHeight="1" x14ac:dyDescent="0.2">
      <c r="A162" s="39"/>
      <c r="B162" s="39"/>
      <c r="C162" s="40" t="s">
        <v>163</v>
      </c>
      <c r="D162" s="39"/>
      <c r="E162" s="39"/>
      <c r="F162" s="39"/>
      <c r="G162" s="39"/>
      <c r="H162" s="29" t="s">
        <v>143</v>
      </c>
    </row>
    <row r="163" spans="1:8" ht="12.75" customHeight="1" x14ac:dyDescent="0.2">
      <c r="A163" s="39"/>
      <c r="B163" s="39"/>
      <c r="C163" s="40" t="s">
        <v>164</v>
      </c>
      <c r="D163" s="39"/>
      <c r="E163" s="39"/>
      <c r="F163" s="39"/>
      <c r="G163" s="39"/>
      <c r="H163" s="29" t="s">
        <v>143</v>
      </c>
    </row>
    <row r="164" spans="1:8" ht="12.75" customHeight="1" x14ac:dyDescent="0.2">
      <c r="A164" s="39"/>
      <c r="B164" s="39"/>
      <c r="C164" s="40" t="s">
        <v>142</v>
      </c>
      <c r="D164" s="39"/>
      <c r="E164" s="39" t="s">
        <v>143</v>
      </c>
      <c r="F164" s="45" t="s">
        <v>145</v>
      </c>
      <c r="G164" s="42">
        <v>0</v>
      </c>
      <c r="H164" s="29" t="s">
        <v>143</v>
      </c>
    </row>
    <row r="165" spans="1:8" ht="12.75" customHeight="1" x14ac:dyDescent="0.2">
      <c r="A165" s="39"/>
      <c r="B165" s="39"/>
      <c r="C165" s="43"/>
      <c r="D165" s="39"/>
      <c r="E165" s="39"/>
      <c r="F165" s="44"/>
      <c r="G165" s="44"/>
      <c r="H165" s="29" t="s">
        <v>143</v>
      </c>
    </row>
    <row r="166" spans="1:8" ht="12.75" customHeight="1" x14ac:dyDescent="0.2">
      <c r="A166" s="39"/>
      <c r="B166" s="39"/>
      <c r="C166" s="40" t="s">
        <v>165</v>
      </c>
      <c r="D166" s="39"/>
      <c r="E166" s="39"/>
      <c r="F166" s="39"/>
      <c r="G166" s="39"/>
      <c r="H166" s="29" t="s">
        <v>143</v>
      </c>
    </row>
    <row r="167" spans="1:8" ht="12.75" customHeight="1" x14ac:dyDescent="0.2">
      <c r="A167" s="39"/>
      <c r="B167" s="39"/>
      <c r="C167" s="40" t="s">
        <v>166</v>
      </c>
      <c r="D167" s="39"/>
      <c r="E167" s="39"/>
      <c r="F167" s="39"/>
      <c r="G167" s="39"/>
      <c r="H167" s="29" t="s">
        <v>143</v>
      </c>
    </row>
    <row r="168" spans="1:8" ht="12.75" customHeight="1" x14ac:dyDescent="0.2">
      <c r="A168" s="39"/>
      <c r="B168" s="39"/>
      <c r="C168" s="40" t="s">
        <v>142</v>
      </c>
      <c r="D168" s="39"/>
      <c r="E168" s="39" t="s">
        <v>143</v>
      </c>
      <c r="F168" s="45" t="s">
        <v>145</v>
      </c>
      <c r="G168" s="42">
        <v>0</v>
      </c>
      <c r="H168" s="29" t="s">
        <v>143</v>
      </c>
    </row>
    <row r="169" spans="1:8" ht="12.75" customHeight="1" x14ac:dyDescent="0.2">
      <c r="A169" s="39"/>
      <c r="B169" s="39"/>
      <c r="C169" s="43"/>
      <c r="D169" s="39"/>
      <c r="E169" s="39"/>
      <c r="F169" s="44"/>
      <c r="G169" s="44"/>
      <c r="H169" s="29" t="s">
        <v>143</v>
      </c>
    </row>
    <row r="170" spans="1:8" ht="12.75" customHeight="1" x14ac:dyDescent="0.2">
      <c r="A170" s="39"/>
      <c r="B170" s="39"/>
      <c r="C170" s="40" t="s">
        <v>167</v>
      </c>
      <c r="D170" s="39"/>
      <c r="E170" s="39"/>
      <c r="F170" s="44"/>
      <c r="G170" s="44"/>
      <c r="H170" s="29" t="s">
        <v>143</v>
      </c>
    </row>
    <row r="171" spans="1:8" ht="12.75" customHeight="1" x14ac:dyDescent="0.2">
      <c r="A171" s="39"/>
      <c r="B171" s="39"/>
      <c r="C171" s="40" t="s">
        <v>142</v>
      </c>
      <c r="D171" s="39"/>
      <c r="E171" s="39" t="s">
        <v>143</v>
      </c>
      <c r="F171" s="45" t="s">
        <v>145</v>
      </c>
      <c r="G171" s="42">
        <v>0</v>
      </c>
      <c r="H171" s="29" t="s">
        <v>143</v>
      </c>
    </row>
    <row r="172" spans="1:8" ht="12.75" customHeight="1" x14ac:dyDescent="0.2">
      <c r="A172" s="39"/>
      <c r="B172" s="39"/>
      <c r="C172" s="43"/>
      <c r="D172" s="39"/>
      <c r="E172" s="39"/>
      <c r="F172" s="44"/>
      <c r="G172" s="44"/>
      <c r="H172" s="29" t="s">
        <v>143</v>
      </c>
    </row>
    <row r="173" spans="1:8" ht="12.75" customHeight="1" x14ac:dyDescent="0.2">
      <c r="A173" s="46"/>
      <c r="B173" s="22"/>
      <c r="C173" s="22" t="s">
        <v>319</v>
      </c>
      <c r="D173" s="22"/>
      <c r="E173" s="46"/>
      <c r="F173" s="37">
        <v>1000.0004281</v>
      </c>
      <c r="G173" s="38">
        <v>8.6754099999999997E-3</v>
      </c>
      <c r="H173" s="29" t="s">
        <v>143</v>
      </c>
    </row>
    <row r="174" spans="1:8" ht="12.75" customHeight="1" x14ac:dyDescent="0.2">
      <c r="A174" s="46"/>
      <c r="B174" s="22"/>
      <c r="C174" s="31" t="s">
        <v>1000</v>
      </c>
      <c r="D174" s="22"/>
      <c r="E174" s="46"/>
      <c r="F174" s="37">
        <f>43856.45590976+F110</f>
        <v>1725.045574759999</v>
      </c>
      <c r="G174" s="38">
        <f>F174/F175</f>
        <v>1.4965476392747135E-2</v>
      </c>
      <c r="H174" s="29" t="s">
        <v>143</v>
      </c>
    </row>
    <row r="175" spans="1:8" ht="12.75" customHeight="1" x14ac:dyDescent="0.2">
      <c r="A175" s="43"/>
      <c r="B175" s="43"/>
      <c r="C175" s="40" t="s">
        <v>169</v>
      </c>
      <c r="D175" s="44"/>
      <c r="E175" s="44"/>
      <c r="F175" s="41">
        <v>115268.336903463</v>
      </c>
      <c r="G175" s="47">
        <v>0.99999998999999995</v>
      </c>
      <c r="H175" s="29" t="s">
        <v>143</v>
      </c>
    </row>
    <row r="176" spans="1:8" ht="12.75" customHeight="1" x14ac:dyDescent="0.2">
      <c r="A176" s="48"/>
      <c r="B176" s="48"/>
      <c r="C176" s="49"/>
      <c r="D176" s="50"/>
      <c r="E176" s="50"/>
      <c r="F176" s="51"/>
      <c r="G176" s="52"/>
      <c r="H176" s="53"/>
    </row>
    <row r="177" spans="1:17" x14ac:dyDescent="0.2">
      <c r="A177" s="54"/>
      <c r="B177" s="243" t="s">
        <v>945</v>
      </c>
      <c r="C177" s="243"/>
      <c r="D177" s="243"/>
      <c r="E177" s="243"/>
      <c r="F177" s="243"/>
      <c r="G177" s="243"/>
      <c r="H177" s="243"/>
      <c r="J177" s="56"/>
    </row>
    <row r="178" spans="1:17" x14ac:dyDescent="0.2">
      <c r="A178" s="54"/>
      <c r="B178" s="243" t="s">
        <v>946</v>
      </c>
      <c r="C178" s="243"/>
      <c r="D178" s="243"/>
      <c r="E178" s="243"/>
      <c r="F178" s="243"/>
      <c r="G178" s="243"/>
      <c r="H178" s="243"/>
      <c r="J178" s="56"/>
    </row>
    <row r="179" spans="1:17" x14ac:dyDescent="0.2">
      <c r="A179" s="54"/>
      <c r="B179" s="243" t="s">
        <v>947</v>
      </c>
      <c r="C179" s="243"/>
      <c r="D179" s="243"/>
      <c r="E179" s="243"/>
      <c r="F179" s="243"/>
      <c r="G179" s="243"/>
      <c r="H179" s="243"/>
      <c r="J179" s="56"/>
    </row>
    <row r="180" spans="1:17" s="58" customFormat="1" ht="66.75" customHeight="1" x14ac:dyDescent="0.25">
      <c r="A180" s="57"/>
      <c r="B180" s="244" t="s">
        <v>948</v>
      </c>
      <c r="C180" s="244"/>
      <c r="D180" s="244"/>
      <c r="E180" s="244"/>
      <c r="F180" s="244"/>
      <c r="G180" s="244"/>
      <c r="H180" s="244"/>
      <c r="I180"/>
      <c r="J180" s="56"/>
      <c r="K180"/>
      <c r="L180"/>
      <c r="M180"/>
      <c r="N180"/>
      <c r="O180"/>
      <c r="P180"/>
      <c r="Q180"/>
    </row>
    <row r="181" spans="1:17" x14ac:dyDescent="0.2">
      <c r="A181" s="54"/>
      <c r="B181" s="243" t="s">
        <v>949</v>
      </c>
      <c r="C181" s="243"/>
      <c r="D181" s="243"/>
      <c r="E181" s="243"/>
      <c r="F181" s="243"/>
      <c r="G181" s="243"/>
      <c r="H181" s="243"/>
      <c r="J181" s="56"/>
    </row>
    <row r="182" spans="1:17" x14ac:dyDescent="0.2">
      <c r="A182" s="54"/>
      <c r="B182" s="54"/>
      <c r="C182" s="54"/>
      <c r="D182" s="59"/>
      <c r="E182" s="59"/>
      <c r="F182" s="59"/>
      <c r="G182" s="59"/>
    </row>
    <row r="183" spans="1:17" x14ac:dyDescent="0.2">
      <c r="A183" s="54"/>
      <c r="B183" s="247" t="s">
        <v>170</v>
      </c>
      <c r="C183" s="248"/>
      <c r="D183" s="249"/>
      <c r="E183" s="60"/>
      <c r="F183" s="59"/>
      <c r="G183" s="59"/>
    </row>
    <row r="184" spans="1:17" ht="27.75" customHeight="1" x14ac:dyDescent="0.2">
      <c r="A184" s="54"/>
      <c r="B184" s="240" t="s">
        <v>171</v>
      </c>
      <c r="C184" s="241"/>
      <c r="D184" s="28" t="s">
        <v>172</v>
      </c>
      <c r="E184" s="60"/>
      <c r="F184" s="59"/>
      <c r="G184" s="59"/>
    </row>
    <row r="185" spans="1:17" ht="12.75" customHeight="1" x14ac:dyDescent="0.2">
      <c r="A185" s="54"/>
      <c r="B185" s="240" t="s">
        <v>950</v>
      </c>
      <c r="C185" s="241"/>
      <c r="D185" s="28" t="s">
        <v>172</v>
      </c>
      <c r="E185" s="60"/>
      <c r="F185" s="59"/>
      <c r="G185" s="59"/>
    </row>
    <row r="186" spans="1:17" x14ac:dyDescent="0.2">
      <c r="A186" s="54"/>
      <c r="B186" s="240" t="s">
        <v>173</v>
      </c>
      <c r="C186" s="241"/>
      <c r="D186" s="61" t="s">
        <v>143</v>
      </c>
      <c r="E186" s="60"/>
      <c r="F186" s="59"/>
      <c r="G186" s="59"/>
    </row>
    <row r="187" spans="1:17" x14ac:dyDescent="0.2">
      <c r="A187" s="62"/>
      <c r="B187" s="63" t="s">
        <v>143</v>
      </c>
      <c r="C187" s="63" t="s">
        <v>951</v>
      </c>
      <c r="D187" s="63" t="s">
        <v>174</v>
      </c>
      <c r="E187" s="62"/>
      <c r="F187" s="62"/>
      <c r="G187" s="62"/>
      <c r="H187" s="62"/>
      <c r="J187" s="56"/>
    </row>
    <row r="188" spans="1:17" x14ac:dyDescent="0.2">
      <c r="A188" s="62"/>
      <c r="B188" s="64" t="s">
        <v>175</v>
      </c>
      <c r="C188" s="65">
        <v>45900</v>
      </c>
      <c r="D188" s="65">
        <v>45930</v>
      </c>
      <c r="E188" s="62"/>
      <c r="F188" s="62"/>
      <c r="G188" s="62"/>
      <c r="J188" s="56"/>
    </row>
    <row r="189" spans="1:17" ht="12.75" customHeight="1" x14ac:dyDescent="0.2">
      <c r="A189" s="66"/>
      <c r="B189" s="91" t="s">
        <v>176</v>
      </c>
      <c r="C189" s="68">
        <v>81.368799999999993</v>
      </c>
      <c r="D189" s="68">
        <v>82.021000000000001</v>
      </c>
      <c r="E189" s="66"/>
      <c r="F189" s="69"/>
      <c r="G189" s="70"/>
    </row>
    <row r="190" spans="1:17" ht="25.5" x14ac:dyDescent="0.2">
      <c r="A190" s="66"/>
      <c r="B190" s="91" t="s">
        <v>1099</v>
      </c>
      <c r="C190" s="68">
        <v>16.8035</v>
      </c>
      <c r="D190" s="68">
        <v>16.938199999999998</v>
      </c>
      <c r="E190" s="66"/>
      <c r="F190" s="69"/>
      <c r="G190" s="70"/>
    </row>
    <row r="191" spans="1:17" ht="12.75" customHeight="1" x14ac:dyDescent="0.2">
      <c r="A191" s="66"/>
      <c r="B191" s="91" t="s">
        <v>177</v>
      </c>
      <c r="C191" s="68">
        <v>69.965800000000002</v>
      </c>
      <c r="D191" s="68">
        <v>70.437399999999997</v>
      </c>
      <c r="E191" s="66"/>
      <c r="F191" s="69"/>
      <c r="G191" s="70"/>
    </row>
    <row r="192" spans="1:17" ht="25.5" x14ac:dyDescent="0.2">
      <c r="A192" s="66"/>
      <c r="B192" s="91" t="s">
        <v>1100</v>
      </c>
      <c r="C192" s="68">
        <v>15.632300000000001</v>
      </c>
      <c r="D192" s="68">
        <v>15.7377</v>
      </c>
      <c r="E192" s="66"/>
      <c r="F192" s="69"/>
      <c r="G192" s="70"/>
    </row>
    <row r="193" spans="1:7" ht="12.75" customHeight="1" x14ac:dyDescent="0.2">
      <c r="A193" s="66"/>
      <c r="B193" s="66"/>
      <c r="C193" s="66"/>
      <c r="D193" s="66"/>
      <c r="E193" s="66"/>
      <c r="F193" s="66"/>
      <c r="G193" s="66"/>
    </row>
    <row r="194" spans="1:7" x14ac:dyDescent="0.2">
      <c r="A194" s="62"/>
      <c r="B194" s="245" t="s">
        <v>952</v>
      </c>
      <c r="C194" s="246"/>
      <c r="D194" s="71" t="s">
        <v>172</v>
      </c>
      <c r="E194" s="62"/>
      <c r="F194" s="62"/>
      <c r="G194" s="62"/>
    </row>
    <row r="195" spans="1:7" x14ac:dyDescent="0.2">
      <c r="A195" s="72"/>
      <c r="B195" s="73"/>
      <c r="C195" s="73"/>
      <c r="D195" s="73"/>
      <c r="E195" s="72"/>
      <c r="F195" s="72"/>
      <c r="G195" s="72"/>
    </row>
    <row r="196" spans="1:7" x14ac:dyDescent="0.2">
      <c r="A196" s="72"/>
      <c r="B196" s="240" t="s">
        <v>178</v>
      </c>
      <c r="C196" s="241"/>
      <c r="D196" s="28" t="s">
        <v>1002</v>
      </c>
      <c r="E196" s="74"/>
      <c r="F196" s="72"/>
      <c r="G196" s="72"/>
    </row>
    <row r="197" spans="1:7" x14ac:dyDescent="0.2">
      <c r="A197" s="72"/>
      <c r="B197" s="240" t="s">
        <v>179</v>
      </c>
      <c r="C197" s="241"/>
      <c r="D197" s="28" t="s">
        <v>172</v>
      </c>
      <c r="E197" s="74"/>
      <c r="F197" s="72"/>
      <c r="G197" s="72"/>
    </row>
    <row r="198" spans="1:7" ht="17.100000000000001" customHeight="1" x14ac:dyDescent="0.2">
      <c r="A198" s="72"/>
      <c r="B198" s="240" t="s">
        <v>180</v>
      </c>
      <c r="C198" s="241"/>
      <c r="D198" s="28" t="s">
        <v>172</v>
      </c>
      <c r="E198" s="74"/>
      <c r="F198" s="72"/>
      <c r="G198" s="72"/>
    </row>
    <row r="199" spans="1:7" ht="17.100000000000001" customHeight="1" x14ac:dyDescent="0.2">
      <c r="A199" s="72"/>
      <c r="B199" s="240" t="s">
        <v>181</v>
      </c>
      <c r="C199" s="241"/>
      <c r="D199" s="75">
        <v>5.2535934337727541</v>
      </c>
      <c r="E199" s="72"/>
      <c r="F199" s="55"/>
      <c r="G199" s="76"/>
    </row>
    <row r="200" spans="1:7" x14ac:dyDescent="0.2"/>
    <row r="201" spans="1:7" x14ac:dyDescent="0.2">
      <c r="B201" s="257" t="s">
        <v>1029</v>
      </c>
      <c r="C201" s="258"/>
      <c r="D201" s="259"/>
    </row>
    <row r="202" spans="1:7" ht="25.5" x14ac:dyDescent="0.2">
      <c r="B202" s="256" t="s">
        <v>1030</v>
      </c>
      <c r="C202" s="256"/>
      <c r="D202" s="102" t="s">
        <v>706</v>
      </c>
    </row>
    <row r="203" spans="1:7" x14ac:dyDescent="0.2">
      <c r="B203" s="256" t="s">
        <v>1031</v>
      </c>
      <c r="C203" s="256"/>
      <c r="D203" s="81"/>
    </row>
    <row r="204" spans="1:7" x14ac:dyDescent="0.2">
      <c r="B204" s="253"/>
      <c r="C204" s="255"/>
      <c r="D204" s="82"/>
    </row>
    <row r="205" spans="1:7" x14ac:dyDescent="0.2">
      <c r="B205" s="256" t="s">
        <v>1032</v>
      </c>
      <c r="C205" s="256"/>
      <c r="D205" s="83">
        <v>6.2710899551865591</v>
      </c>
    </row>
    <row r="206" spans="1:7" x14ac:dyDescent="0.2">
      <c r="B206" s="253"/>
      <c r="C206" s="255"/>
      <c r="D206" s="82"/>
    </row>
    <row r="207" spans="1:7" x14ac:dyDescent="0.2">
      <c r="B207" s="256" t="s">
        <v>1033</v>
      </c>
      <c r="C207" s="256"/>
      <c r="D207" s="83">
        <v>2.5454142003138829</v>
      </c>
    </row>
    <row r="208" spans="1:7" x14ac:dyDescent="0.2">
      <c r="B208" s="256" t="s">
        <v>1034</v>
      </c>
      <c r="C208" s="256"/>
      <c r="D208" s="83">
        <v>3.3546015507281743</v>
      </c>
    </row>
    <row r="209" spans="2:4" x14ac:dyDescent="0.2">
      <c r="B209" s="253"/>
      <c r="C209" s="255"/>
      <c r="D209" s="82"/>
    </row>
    <row r="210" spans="2:4" x14ac:dyDescent="0.2">
      <c r="B210" s="256" t="s">
        <v>1035</v>
      </c>
      <c r="C210" s="256"/>
      <c r="D210" s="84" t="s">
        <v>1040</v>
      </c>
    </row>
    <row r="211" spans="2:4" ht="12.75" customHeight="1" x14ac:dyDescent="0.2">
      <c r="B211" s="253" t="s">
        <v>1036</v>
      </c>
      <c r="C211" s="254"/>
      <c r="D211" s="255"/>
    </row>
    <row r="212" spans="2:4" x14ac:dyDescent="0.2"/>
    <row r="213" spans="2:4" x14ac:dyDescent="0.2">
      <c r="B213" s="239" t="s">
        <v>953</v>
      </c>
      <c r="C213" s="239"/>
    </row>
    <row r="214" spans="2:4" x14ac:dyDescent="0.2"/>
    <row r="215" spans="2:4" ht="153.75" customHeight="1" x14ac:dyDescent="0.2"/>
    <row r="216" spans="2:4" x14ac:dyDescent="0.2"/>
    <row r="217" spans="2:4" x14ac:dyDescent="0.2"/>
    <row r="218" spans="2:4" x14ac:dyDescent="0.2">
      <c r="B218" s="77" t="s">
        <v>954</v>
      </c>
      <c r="C218" s="78"/>
      <c r="D218" s="77"/>
    </row>
    <row r="219" spans="2:4" x14ac:dyDescent="0.2">
      <c r="B219" s="77" t="s">
        <v>1101</v>
      </c>
      <c r="D219" s="77"/>
    </row>
    <row r="220" spans="2:4" ht="165" customHeight="1" x14ac:dyDescent="0.2"/>
  </sheetData>
  <mergeCells count="29">
    <mergeCell ref="B194:C194"/>
    <mergeCell ref="A1:H1"/>
    <mergeCell ref="A2:H2"/>
    <mergeCell ref="A3:H3"/>
    <mergeCell ref="B198:C198"/>
    <mergeCell ref="B177:H177"/>
    <mergeCell ref="B178:H178"/>
    <mergeCell ref="B179:H179"/>
    <mergeCell ref="B180:H180"/>
    <mergeCell ref="B181:H181"/>
    <mergeCell ref="B183:D183"/>
    <mergeCell ref="B184:C184"/>
    <mergeCell ref="B185:C185"/>
    <mergeCell ref="B186:C186"/>
    <mergeCell ref="B196:C196"/>
    <mergeCell ref="B197:C197"/>
    <mergeCell ref="B201:D201"/>
    <mergeCell ref="B203:C203"/>
    <mergeCell ref="B204:C204"/>
    <mergeCell ref="B202:C202"/>
    <mergeCell ref="B199:C199"/>
    <mergeCell ref="B210:C210"/>
    <mergeCell ref="B211:D211"/>
    <mergeCell ref="B213:C213"/>
    <mergeCell ref="B205:C205"/>
    <mergeCell ref="B206:C206"/>
    <mergeCell ref="B207:C207"/>
    <mergeCell ref="B208:C208"/>
    <mergeCell ref="B209:C209"/>
  </mergeCells>
  <hyperlinks>
    <hyperlink ref="I1" location="Index!B2" display="Index" xr:uid="{FB73B18E-7D38-4197-B342-BD67859BB2B1}"/>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F42D-DB27-4A1F-9778-A55EAC407D0A}">
  <sheetPr>
    <outlinePr summaryBelow="0" summaryRight="0"/>
  </sheetPr>
  <dimension ref="A1:Q142"/>
  <sheetViews>
    <sheetView showGridLines="0" workbookViewId="0">
      <selection sqref="A1:H1"/>
    </sheetView>
  </sheetViews>
  <sheetFormatPr defaultRowHeight="12.75" customHeight="1" x14ac:dyDescent="0.2"/>
  <cols>
    <col min="1" max="1" width="5.85546875" bestFit="1" customWidth="1"/>
    <col min="2" max="2" width="19.5703125" bestFit="1" customWidth="1"/>
    <col min="3" max="3" width="52.7109375" bestFit="1" customWidth="1"/>
    <col min="4" max="4" width="17.42578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727</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1050896</v>
      </c>
      <c r="F7" s="37">
        <v>9994.0209599999998</v>
      </c>
      <c r="G7" s="38">
        <v>9.3164339999999998E-2</v>
      </c>
      <c r="H7" s="29" t="s">
        <v>143</v>
      </c>
    </row>
    <row r="8" spans="1:9" ht="12.75" customHeight="1" x14ac:dyDescent="0.2">
      <c r="A8" s="35">
        <v>2</v>
      </c>
      <c r="B8" s="22" t="s">
        <v>31</v>
      </c>
      <c r="C8" s="22" t="s">
        <v>32</v>
      </c>
      <c r="D8" s="22" t="s">
        <v>33</v>
      </c>
      <c r="E8" s="36">
        <v>696060</v>
      </c>
      <c r="F8" s="37">
        <v>9382.8888000000006</v>
      </c>
      <c r="G8" s="38">
        <v>8.7467359999999994E-2</v>
      </c>
      <c r="H8" s="29" t="s">
        <v>143</v>
      </c>
    </row>
    <row r="9" spans="1:9" ht="12.75" customHeight="1" x14ac:dyDescent="0.2">
      <c r="A9" s="35">
        <v>3</v>
      </c>
      <c r="B9" s="22" t="s">
        <v>11</v>
      </c>
      <c r="C9" s="22" t="s">
        <v>12</v>
      </c>
      <c r="D9" s="22" t="s">
        <v>13</v>
      </c>
      <c r="E9" s="36">
        <v>345000</v>
      </c>
      <c r="F9" s="37">
        <v>6480.48</v>
      </c>
      <c r="G9" s="38">
        <v>6.0411079999999999E-2</v>
      </c>
      <c r="H9" s="29" t="s">
        <v>143</v>
      </c>
    </row>
    <row r="10" spans="1:9" ht="12.75" customHeight="1" x14ac:dyDescent="0.2">
      <c r="A10" s="35">
        <v>4</v>
      </c>
      <c r="B10" s="22" t="s">
        <v>237</v>
      </c>
      <c r="C10" s="22" t="s">
        <v>238</v>
      </c>
      <c r="D10" s="22" t="s">
        <v>239</v>
      </c>
      <c r="E10" s="36">
        <v>167610</v>
      </c>
      <c r="F10" s="37">
        <v>5763.6050699999996</v>
      </c>
      <c r="G10" s="38">
        <v>5.3728369999999998E-2</v>
      </c>
      <c r="H10" s="29" t="s">
        <v>143</v>
      </c>
    </row>
    <row r="11" spans="1:9" ht="12.75" customHeight="1" x14ac:dyDescent="0.2">
      <c r="A11" s="35">
        <v>5</v>
      </c>
      <c r="B11" s="22" t="s">
        <v>323</v>
      </c>
      <c r="C11" s="22" t="s">
        <v>324</v>
      </c>
      <c r="D11" s="22" t="s">
        <v>33</v>
      </c>
      <c r="E11" s="36">
        <v>263757</v>
      </c>
      <c r="F11" s="37">
        <v>5255.8857390000003</v>
      </c>
      <c r="G11" s="38">
        <v>4.8995410000000003E-2</v>
      </c>
      <c r="H11" s="29" t="s">
        <v>143</v>
      </c>
    </row>
    <row r="12" spans="1:9" ht="12.75" customHeight="1" x14ac:dyDescent="0.2">
      <c r="A12" s="35">
        <v>6</v>
      </c>
      <c r="B12" s="22" t="s">
        <v>84</v>
      </c>
      <c r="C12" s="22" t="s">
        <v>85</v>
      </c>
      <c r="D12" s="22" t="s">
        <v>41</v>
      </c>
      <c r="E12" s="36">
        <v>75675</v>
      </c>
      <c r="F12" s="37">
        <v>5140.9811250000002</v>
      </c>
      <c r="G12" s="38">
        <v>4.7924260000000003E-2</v>
      </c>
      <c r="H12" s="29" t="s">
        <v>143</v>
      </c>
    </row>
    <row r="13" spans="1:9" ht="12.75" customHeight="1" x14ac:dyDescent="0.2">
      <c r="A13" s="35">
        <v>7</v>
      </c>
      <c r="B13" s="22" t="s">
        <v>34</v>
      </c>
      <c r="C13" s="22" t="s">
        <v>35</v>
      </c>
      <c r="D13" s="22" t="s">
        <v>19</v>
      </c>
      <c r="E13" s="36">
        <v>1399986</v>
      </c>
      <c r="F13" s="37">
        <v>4755.0524489999998</v>
      </c>
      <c r="G13" s="38">
        <v>4.4326629999999999E-2</v>
      </c>
      <c r="H13" s="29" t="s">
        <v>143</v>
      </c>
    </row>
    <row r="14" spans="1:9" ht="12.75" customHeight="1" x14ac:dyDescent="0.2">
      <c r="A14" s="35">
        <v>8</v>
      </c>
      <c r="B14" s="22" t="s">
        <v>325</v>
      </c>
      <c r="C14" s="22" t="s">
        <v>326</v>
      </c>
      <c r="D14" s="22" t="s">
        <v>215</v>
      </c>
      <c r="E14" s="36">
        <v>319864</v>
      </c>
      <c r="F14" s="37">
        <v>4611.7991519999996</v>
      </c>
      <c r="G14" s="38">
        <v>4.2991229999999998E-2</v>
      </c>
      <c r="H14" s="29" t="s">
        <v>143</v>
      </c>
    </row>
    <row r="15" spans="1:9" ht="12.75" customHeight="1" x14ac:dyDescent="0.2">
      <c r="A15" s="35">
        <v>9</v>
      </c>
      <c r="B15" s="22" t="s">
        <v>728</v>
      </c>
      <c r="C15" s="22" t="s">
        <v>729</v>
      </c>
      <c r="D15" s="22" t="s">
        <v>284</v>
      </c>
      <c r="E15" s="36">
        <v>95945</v>
      </c>
      <c r="F15" s="37">
        <v>4293.9225299999998</v>
      </c>
      <c r="G15" s="38">
        <v>4.0027979999999998E-2</v>
      </c>
      <c r="H15" s="29" t="s">
        <v>143</v>
      </c>
    </row>
    <row r="16" spans="1:9" ht="12.75" customHeight="1" x14ac:dyDescent="0.2">
      <c r="A16" s="35">
        <v>10</v>
      </c>
      <c r="B16" s="22" t="s">
        <v>730</v>
      </c>
      <c r="C16" s="22" t="s">
        <v>731</v>
      </c>
      <c r="D16" s="22" t="s">
        <v>64</v>
      </c>
      <c r="E16" s="36">
        <v>393192</v>
      </c>
      <c r="F16" s="37">
        <v>3606.5536200000001</v>
      </c>
      <c r="G16" s="38">
        <v>3.3620320000000002E-2</v>
      </c>
      <c r="H16" s="29" t="s">
        <v>143</v>
      </c>
    </row>
    <row r="17" spans="1:8" ht="12.75" customHeight="1" x14ac:dyDescent="0.2">
      <c r="A17" s="35">
        <v>11</v>
      </c>
      <c r="B17" s="22" t="s">
        <v>54</v>
      </c>
      <c r="C17" s="22" t="s">
        <v>55</v>
      </c>
      <c r="D17" s="22" t="s">
        <v>56</v>
      </c>
      <c r="E17" s="36">
        <v>60260</v>
      </c>
      <c r="F17" s="37">
        <v>3371.2456999999999</v>
      </c>
      <c r="G17" s="38">
        <v>3.1426780000000001E-2</v>
      </c>
      <c r="H17" s="29" t="s">
        <v>143</v>
      </c>
    </row>
    <row r="18" spans="1:8" ht="12.75" customHeight="1" x14ac:dyDescent="0.2">
      <c r="A18" s="35">
        <v>12</v>
      </c>
      <c r="B18" s="22" t="s">
        <v>732</v>
      </c>
      <c r="C18" s="22" t="s">
        <v>733</v>
      </c>
      <c r="D18" s="22" t="s">
        <v>188</v>
      </c>
      <c r="E18" s="36">
        <v>44916</v>
      </c>
      <c r="F18" s="37">
        <v>3327.8264399999998</v>
      </c>
      <c r="G18" s="38">
        <v>3.1022020000000001E-2</v>
      </c>
      <c r="H18" s="29" t="s">
        <v>143</v>
      </c>
    </row>
    <row r="19" spans="1:8" ht="12.75" customHeight="1" x14ac:dyDescent="0.2">
      <c r="A19" s="35">
        <v>13</v>
      </c>
      <c r="B19" s="22" t="s">
        <v>429</v>
      </c>
      <c r="C19" s="22" t="s">
        <v>430</v>
      </c>
      <c r="D19" s="22" t="s">
        <v>275</v>
      </c>
      <c r="E19" s="36">
        <v>180000</v>
      </c>
      <c r="F19" s="37">
        <v>3223.08</v>
      </c>
      <c r="G19" s="38">
        <v>3.0045579999999999E-2</v>
      </c>
      <c r="H19" s="29" t="s">
        <v>143</v>
      </c>
    </row>
    <row r="20" spans="1:8" ht="12.75" customHeight="1" x14ac:dyDescent="0.2">
      <c r="A20" s="35">
        <v>14</v>
      </c>
      <c r="B20" s="22" t="s">
        <v>515</v>
      </c>
      <c r="C20" s="22" t="s">
        <v>516</v>
      </c>
      <c r="D20" s="22" t="s">
        <v>215</v>
      </c>
      <c r="E20" s="36">
        <v>225000</v>
      </c>
      <c r="F20" s="37">
        <v>3150.6750000000002</v>
      </c>
      <c r="G20" s="38">
        <v>2.937062E-2</v>
      </c>
      <c r="H20" s="29" t="s">
        <v>143</v>
      </c>
    </row>
    <row r="21" spans="1:8" ht="12.75" customHeight="1" x14ac:dyDescent="0.2">
      <c r="A21" s="35">
        <v>15</v>
      </c>
      <c r="B21" s="22" t="s">
        <v>287</v>
      </c>
      <c r="C21" s="22" t="s">
        <v>288</v>
      </c>
      <c r="D21" s="22" t="s">
        <v>185</v>
      </c>
      <c r="E21" s="36">
        <v>88048</v>
      </c>
      <c r="F21" s="37">
        <v>3093.56648</v>
      </c>
      <c r="G21" s="38">
        <v>2.8838249999999999E-2</v>
      </c>
      <c r="H21" s="29" t="s">
        <v>143</v>
      </c>
    </row>
    <row r="22" spans="1:8" ht="12.75" customHeight="1" x14ac:dyDescent="0.2">
      <c r="A22" s="35">
        <v>16</v>
      </c>
      <c r="B22" s="22" t="s">
        <v>109</v>
      </c>
      <c r="C22" s="22" t="s">
        <v>110</v>
      </c>
      <c r="D22" s="22" t="s">
        <v>38</v>
      </c>
      <c r="E22" s="36">
        <v>592632</v>
      </c>
      <c r="F22" s="37">
        <v>3075.4637640000001</v>
      </c>
      <c r="G22" s="38">
        <v>2.8669500000000001E-2</v>
      </c>
      <c r="H22" s="29" t="s">
        <v>143</v>
      </c>
    </row>
    <row r="23" spans="1:8" ht="12.75" customHeight="1" x14ac:dyDescent="0.2">
      <c r="A23" s="35">
        <v>17</v>
      </c>
      <c r="B23" s="22" t="s">
        <v>469</v>
      </c>
      <c r="C23" s="22" t="s">
        <v>470</v>
      </c>
      <c r="D23" s="22" t="s">
        <v>284</v>
      </c>
      <c r="E23" s="36">
        <v>230000</v>
      </c>
      <c r="F23" s="37">
        <v>3011.39</v>
      </c>
      <c r="G23" s="38">
        <v>2.8072199999999999E-2</v>
      </c>
      <c r="H23" s="29" t="s">
        <v>143</v>
      </c>
    </row>
    <row r="24" spans="1:8" ht="12.75" customHeight="1" x14ac:dyDescent="0.2">
      <c r="A24" s="35">
        <v>18</v>
      </c>
      <c r="B24" s="22" t="s">
        <v>44</v>
      </c>
      <c r="C24" s="22" t="s">
        <v>45</v>
      </c>
      <c r="D24" s="22" t="s">
        <v>46</v>
      </c>
      <c r="E24" s="36">
        <v>34296</v>
      </c>
      <c r="F24" s="37">
        <v>2774.2034399999998</v>
      </c>
      <c r="G24" s="38">
        <v>2.5861149999999999E-2</v>
      </c>
      <c r="H24" s="29" t="s">
        <v>143</v>
      </c>
    </row>
    <row r="25" spans="1:8" ht="12.75" customHeight="1" x14ac:dyDescent="0.2">
      <c r="A25" s="35">
        <v>19</v>
      </c>
      <c r="B25" s="22" t="s">
        <v>431</v>
      </c>
      <c r="C25" s="22" t="s">
        <v>432</v>
      </c>
      <c r="D25" s="22" t="s">
        <v>203</v>
      </c>
      <c r="E25" s="36">
        <v>244574</v>
      </c>
      <c r="F25" s="37">
        <v>2761.9741819999999</v>
      </c>
      <c r="G25" s="38">
        <v>2.5747140000000002E-2</v>
      </c>
      <c r="H25" s="29" t="s">
        <v>143</v>
      </c>
    </row>
    <row r="26" spans="1:8" ht="12.75" customHeight="1" x14ac:dyDescent="0.2">
      <c r="A26" s="35">
        <v>20</v>
      </c>
      <c r="B26" s="22" t="s">
        <v>734</v>
      </c>
      <c r="C26" s="22" t="s">
        <v>735</v>
      </c>
      <c r="D26" s="22" t="s">
        <v>33</v>
      </c>
      <c r="E26" s="36">
        <v>1155130</v>
      </c>
      <c r="F26" s="37">
        <v>2468.8593489999998</v>
      </c>
      <c r="G26" s="38">
        <v>2.3014730000000001E-2</v>
      </c>
      <c r="H26" s="29" t="s">
        <v>143</v>
      </c>
    </row>
    <row r="27" spans="1:8" ht="12.75" customHeight="1" x14ac:dyDescent="0.2">
      <c r="A27" s="35">
        <v>21</v>
      </c>
      <c r="B27" s="22" t="s">
        <v>736</v>
      </c>
      <c r="C27" s="22" t="s">
        <v>737</v>
      </c>
      <c r="D27" s="22" t="s">
        <v>16</v>
      </c>
      <c r="E27" s="36">
        <v>246480</v>
      </c>
      <c r="F27" s="37">
        <v>2151.64716</v>
      </c>
      <c r="G27" s="38">
        <v>2.005767E-2</v>
      </c>
      <c r="H27" s="29" t="s">
        <v>143</v>
      </c>
    </row>
    <row r="28" spans="1:8" ht="12.75" customHeight="1" x14ac:dyDescent="0.2">
      <c r="A28" s="35">
        <v>22</v>
      </c>
      <c r="B28" s="22" t="s">
        <v>738</v>
      </c>
      <c r="C28" s="22" t="s">
        <v>739</v>
      </c>
      <c r="D28" s="22" t="s">
        <v>194</v>
      </c>
      <c r="E28" s="36">
        <v>167892</v>
      </c>
      <c r="F28" s="37">
        <v>2054.494404</v>
      </c>
      <c r="G28" s="38">
        <v>1.9152010000000001E-2</v>
      </c>
      <c r="H28" s="29" t="s">
        <v>143</v>
      </c>
    </row>
    <row r="29" spans="1:8" ht="12.75" customHeight="1" x14ac:dyDescent="0.2">
      <c r="A29" s="35">
        <v>23</v>
      </c>
      <c r="B29" s="22" t="s">
        <v>503</v>
      </c>
      <c r="C29" s="22" t="s">
        <v>504</v>
      </c>
      <c r="D29" s="22" t="s">
        <v>239</v>
      </c>
      <c r="E29" s="36">
        <v>22619</v>
      </c>
      <c r="F29" s="37">
        <v>1962.9899150000001</v>
      </c>
      <c r="G29" s="38">
        <v>1.8299010000000001E-2</v>
      </c>
      <c r="H29" s="29" t="s">
        <v>143</v>
      </c>
    </row>
    <row r="30" spans="1:8" ht="12.75" customHeight="1" x14ac:dyDescent="0.2">
      <c r="A30" s="35">
        <v>24</v>
      </c>
      <c r="B30" s="22" t="s">
        <v>424</v>
      </c>
      <c r="C30" s="22" t="s">
        <v>425</v>
      </c>
      <c r="D30" s="22" t="s">
        <v>215</v>
      </c>
      <c r="E30" s="36">
        <v>101625</v>
      </c>
      <c r="F30" s="37">
        <v>1407.6078749999999</v>
      </c>
      <c r="G30" s="38">
        <v>1.312173E-2</v>
      </c>
      <c r="H30" s="29" t="s">
        <v>143</v>
      </c>
    </row>
    <row r="31" spans="1:8" ht="12.75" customHeight="1" x14ac:dyDescent="0.2">
      <c r="A31" s="35">
        <v>25</v>
      </c>
      <c r="B31" s="22" t="s">
        <v>740</v>
      </c>
      <c r="C31" s="22" t="s">
        <v>741</v>
      </c>
      <c r="D31" s="22" t="s">
        <v>275</v>
      </c>
      <c r="E31" s="36">
        <v>48599</v>
      </c>
      <c r="F31" s="37">
        <v>918.423902</v>
      </c>
      <c r="G31" s="38">
        <v>8.5615499999999994E-3</v>
      </c>
      <c r="H31" s="29" t="s">
        <v>143</v>
      </c>
    </row>
    <row r="32" spans="1:8" ht="12.75" customHeight="1" x14ac:dyDescent="0.2">
      <c r="A32" s="39"/>
      <c r="B32" s="39"/>
      <c r="C32" s="40" t="s">
        <v>142</v>
      </c>
      <c r="D32" s="39"/>
      <c r="E32" s="39" t="s">
        <v>143</v>
      </c>
      <c r="F32" s="41">
        <v>98038.637056000007</v>
      </c>
      <c r="G32" s="42">
        <v>0.91391692000000002</v>
      </c>
      <c r="H32" s="29" t="s">
        <v>143</v>
      </c>
    </row>
    <row r="33" spans="1:8" ht="12.75" customHeight="1" x14ac:dyDescent="0.2">
      <c r="A33" s="39"/>
      <c r="B33" s="39"/>
      <c r="C33" s="43"/>
      <c r="D33" s="39"/>
      <c r="E33" s="39"/>
      <c r="F33" s="44"/>
      <c r="G33" s="44"/>
      <c r="H33" s="29" t="s">
        <v>143</v>
      </c>
    </row>
    <row r="34" spans="1:8" ht="12.75" customHeight="1" x14ac:dyDescent="0.2">
      <c r="A34" s="39"/>
      <c r="B34" s="39"/>
      <c r="C34" s="40" t="s">
        <v>144</v>
      </c>
      <c r="D34" s="39"/>
      <c r="E34" s="39"/>
      <c r="F34" s="39"/>
      <c r="G34" s="39"/>
      <c r="H34" s="29" t="s">
        <v>143</v>
      </c>
    </row>
    <row r="35" spans="1:8" ht="12.75" customHeight="1" x14ac:dyDescent="0.2">
      <c r="A35" s="39"/>
      <c r="B35" s="39"/>
      <c r="C35" s="40" t="s">
        <v>142</v>
      </c>
      <c r="D35" s="39"/>
      <c r="E35" s="39" t="s">
        <v>143</v>
      </c>
      <c r="F35" s="45" t="s">
        <v>145</v>
      </c>
      <c r="G35" s="42">
        <v>0</v>
      </c>
      <c r="H35" s="29" t="s">
        <v>143</v>
      </c>
    </row>
    <row r="36" spans="1:8" ht="12.75" customHeight="1" x14ac:dyDescent="0.2">
      <c r="A36" s="39"/>
      <c r="B36" s="39"/>
      <c r="C36" s="43"/>
      <c r="D36" s="39"/>
      <c r="E36" s="39"/>
      <c r="F36" s="44"/>
      <c r="G36" s="44"/>
      <c r="H36" s="29" t="s">
        <v>143</v>
      </c>
    </row>
    <row r="37" spans="1:8" ht="12.75" customHeight="1" x14ac:dyDescent="0.2">
      <c r="A37" s="39"/>
      <c r="B37" s="39"/>
      <c r="C37" s="40" t="s">
        <v>146</v>
      </c>
      <c r="D37" s="39"/>
      <c r="E37" s="39"/>
      <c r="F37" s="39"/>
      <c r="G37" s="39"/>
      <c r="H37" s="29" t="s">
        <v>143</v>
      </c>
    </row>
    <row r="38" spans="1:8" ht="12.75" customHeight="1" x14ac:dyDescent="0.2">
      <c r="A38" s="39"/>
      <c r="B38" s="39"/>
      <c r="C38" s="40" t="s">
        <v>142</v>
      </c>
      <c r="D38" s="39"/>
      <c r="E38" s="39" t="s">
        <v>143</v>
      </c>
      <c r="F38" s="45" t="s">
        <v>145</v>
      </c>
      <c r="G38" s="42">
        <v>0</v>
      </c>
      <c r="H38" s="29" t="s">
        <v>143</v>
      </c>
    </row>
    <row r="39" spans="1:8" ht="12.75" customHeight="1" x14ac:dyDescent="0.2">
      <c r="A39" s="39"/>
      <c r="B39" s="39"/>
      <c r="C39" s="43"/>
      <c r="D39" s="39"/>
      <c r="E39" s="39"/>
      <c r="F39" s="44"/>
      <c r="G39" s="44"/>
      <c r="H39" s="29" t="s">
        <v>143</v>
      </c>
    </row>
    <row r="40" spans="1:8" ht="12.75" customHeight="1" x14ac:dyDescent="0.2">
      <c r="A40" s="39"/>
      <c r="B40" s="39"/>
      <c r="C40" s="40" t="s">
        <v>147</v>
      </c>
      <c r="D40" s="39"/>
      <c r="E40" s="39"/>
      <c r="F40" s="39"/>
      <c r="G40" s="39"/>
      <c r="H40" s="29" t="s">
        <v>143</v>
      </c>
    </row>
    <row r="41" spans="1:8" ht="12.75" customHeight="1" x14ac:dyDescent="0.2">
      <c r="A41" s="39"/>
      <c r="B41" s="39"/>
      <c r="C41" s="40" t="s">
        <v>142</v>
      </c>
      <c r="D41" s="39"/>
      <c r="E41" s="39" t="s">
        <v>143</v>
      </c>
      <c r="F41" s="45" t="s">
        <v>145</v>
      </c>
      <c r="G41" s="42">
        <v>0</v>
      </c>
      <c r="H41" s="29" t="s">
        <v>143</v>
      </c>
    </row>
    <row r="42" spans="1:8" ht="12.75" customHeight="1" x14ac:dyDescent="0.2">
      <c r="A42" s="39"/>
      <c r="B42" s="39"/>
      <c r="C42" s="43"/>
      <c r="D42" s="39"/>
      <c r="E42" s="39"/>
      <c r="F42" s="44"/>
      <c r="G42" s="44"/>
      <c r="H42" s="29" t="s">
        <v>143</v>
      </c>
    </row>
    <row r="43" spans="1:8" ht="12.75" customHeight="1" x14ac:dyDescent="0.2">
      <c r="A43" s="39"/>
      <c r="B43" s="39"/>
      <c r="C43" s="40" t="s">
        <v>148</v>
      </c>
      <c r="D43" s="39"/>
      <c r="E43" s="39"/>
      <c r="F43" s="44"/>
      <c r="G43" s="44"/>
      <c r="H43" s="29" t="s">
        <v>143</v>
      </c>
    </row>
    <row r="44" spans="1:8" ht="12.75" customHeight="1" x14ac:dyDescent="0.2">
      <c r="A44" s="39"/>
      <c r="B44" s="39"/>
      <c r="C44" s="40" t="s">
        <v>142</v>
      </c>
      <c r="D44" s="39"/>
      <c r="E44" s="39" t="s">
        <v>143</v>
      </c>
      <c r="F44" s="45" t="s">
        <v>145</v>
      </c>
      <c r="G44" s="42">
        <v>0</v>
      </c>
      <c r="H44" s="29" t="s">
        <v>143</v>
      </c>
    </row>
    <row r="45" spans="1:8" ht="12.75" customHeight="1" x14ac:dyDescent="0.2">
      <c r="A45" s="39"/>
      <c r="B45" s="39"/>
      <c r="C45" s="43"/>
      <c r="D45" s="39"/>
      <c r="E45" s="39"/>
      <c r="F45" s="44"/>
      <c r="G45" s="44"/>
      <c r="H45" s="29" t="s">
        <v>143</v>
      </c>
    </row>
    <row r="46" spans="1:8" ht="12.75" customHeight="1" x14ac:dyDescent="0.2">
      <c r="A46" s="39"/>
      <c r="B46" s="39"/>
      <c r="C46" s="40" t="s">
        <v>149</v>
      </c>
      <c r="D46" s="39"/>
      <c r="E46" s="39"/>
      <c r="F46" s="44"/>
      <c r="G46" s="44"/>
      <c r="H46" s="29" t="s">
        <v>143</v>
      </c>
    </row>
    <row r="47" spans="1:8" ht="12.75" customHeight="1" x14ac:dyDescent="0.2">
      <c r="A47" s="39"/>
      <c r="B47" s="39"/>
      <c r="C47" s="40" t="s">
        <v>142</v>
      </c>
      <c r="D47" s="39"/>
      <c r="E47" s="39" t="s">
        <v>143</v>
      </c>
      <c r="F47" s="45" t="s">
        <v>145</v>
      </c>
      <c r="G47" s="42">
        <v>0</v>
      </c>
      <c r="H47" s="29" t="s">
        <v>143</v>
      </c>
    </row>
    <row r="48" spans="1:8" ht="12.75" customHeight="1" x14ac:dyDescent="0.2">
      <c r="A48" s="39"/>
      <c r="B48" s="39"/>
      <c r="C48" s="43"/>
      <c r="D48" s="39"/>
      <c r="E48" s="39"/>
      <c r="F48" s="44"/>
      <c r="G48" s="44"/>
      <c r="H48" s="29" t="s">
        <v>143</v>
      </c>
    </row>
    <row r="49" spans="1:8" ht="12.75" customHeight="1" x14ac:dyDescent="0.2">
      <c r="A49" s="39"/>
      <c r="B49" s="39"/>
      <c r="C49" s="40" t="s">
        <v>150</v>
      </c>
      <c r="D49" s="39"/>
      <c r="E49" s="39"/>
      <c r="F49" s="41">
        <f>F32</f>
        <v>98038.637056000007</v>
      </c>
      <c r="G49" s="42">
        <f>G32</f>
        <v>0.91391692000000002</v>
      </c>
      <c r="H49" s="29" t="s">
        <v>143</v>
      </c>
    </row>
    <row r="50" spans="1:8" ht="12.75" customHeight="1" x14ac:dyDescent="0.2">
      <c r="A50" s="39"/>
      <c r="B50" s="39"/>
      <c r="C50" s="43"/>
      <c r="D50" s="39"/>
      <c r="E50" s="39"/>
      <c r="F50" s="44"/>
      <c r="G50" s="44"/>
      <c r="H50" s="29" t="s">
        <v>143</v>
      </c>
    </row>
    <row r="51" spans="1:8" ht="12.75" customHeight="1" x14ac:dyDescent="0.2">
      <c r="A51" s="39"/>
      <c r="B51" s="39"/>
      <c r="C51" s="40" t="s">
        <v>151</v>
      </c>
      <c r="D51" s="39"/>
      <c r="E51" s="39"/>
      <c r="F51" s="44"/>
      <c r="G51" s="44"/>
      <c r="H51" s="29" t="s">
        <v>143</v>
      </c>
    </row>
    <row r="52" spans="1:8" ht="12.75" customHeight="1" x14ac:dyDescent="0.2">
      <c r="A52" s="39"/>
      <c r="B52" s="39"/>
      <c r="C52" s="40" t="s">
        <v>10</v>
      </c>
      <c r="D52" s="39"/>
      <c r="E52" s="39"/>
      <c r="F52" s="44"/>
      <c r="G52" s="44"/>
      <c r="H52" s="29" t="s">
        <v>143</v>
      </c>
    </row>
    <row r="53" spans="1:8" ht="12.75" customHeight="1" x14ac:dyDescent="0.2">
      <c r="A53" s="39"/>
      <c r="B53" s="39"/>
      <c r="C53" s="40" t="s">
        <v>142</v>
      </c>
      <c r="D53" s="39"/>
      <c r="E53" s="39" t="s">
        <v>143</v>
      </c>
      <c r="F53" s="45" t="s">
        <v>145</v>
      </c>
      <c r="G53" s="42">
        <v>0</v>
      </c>
      <c r="H53" s="29" t="s">
        <v>143</v>
      </c>
    </row>
    <row r="54" spans="1:8" ht="12.75" customHeight="1" x14ac:dyDescent="0.2">
      <c r="A54" s="39"/>
      <c r="B54" s="39"/>
      <c r="C54" s="43"/>
      <c r="D54" s="39"/>
      <c r="E54" s="39"/>
      <c r="F54" s="44"/>
      <c r="G54" s="44"/>
      <c r="H54" s="29" t="s">
        <v>143</v>
      </c>
    </row>
    <row r="55" spans="1:8" ht="12.75" customHeight="1" x14ac:dyDescent="0.2">
      <c r="A55" s="39"/>
      <c r="B55" s="39"/>
      <c r="C55" s="40" t="s">
        <v>152</v>
      </c>
      <c r="D55" s="39"/>
      <c r="E55" s="39"/>
      <c r="F55" s="39"/>
      <c r="G55" s="39"/>
      <c r="H55" s="29" t="s">
        <v>143</v>
      </c>
    </row>
    <row r="56" spans="1:8" ht="12.75" customHeight="1" x14ac:dyDescent="0.2">
      <c r="A56" s="39"/>
      <c r="B56" s="39"/>
      <c r="C56" s="40" t="s">
        <v>142</v>
      </c>
      <c r="D56" s="39"/>
      <c r="E56" s="39" t="s">
        <v>143</v>
      </c>
      <c r="F56" s="45" t="s">
        <v>145</v>
      </c>
      <c r="G56" s="42">
        <v>0</v>
      </c>
      <c r="H56" s="29" t="s">
        <v>143</v>
      </c>
    </row>
    <row r="57" spans="1:8" ht="12.75" customHeight="1" x14ac:dyDescent="0.2">
      <c r="A57" s="39"/>
      <c r="B57" s="39"/>
      <c r="C57" s="43"/>
      <c r="D57" s="39"/>
      <c r="E57" s="39"/>
      <c r="F57" s="44"/>
      <c r="G57" s="44"/>
      <c r="H57" s="29" t="s">
        <v>143</v>
      </c>
    </row>
    <row r="58" spans="1:8" ht="12.75" customHeight="1" x14ac:dyDescent="0.2">
      <c r="A58" s="39"/>
      <c r="B58" s="39"/>
      <c r="C58" s="40" t="s">
        <v>153</v>
      </c>
      <c r="D58" s="39"/>
      <c r="E58" s="39"/>
      <c r="F58" s="39"/>
      <c r="G58" s="39"/>
      <c r="H58" s="29" t="s">
        <v>143</v>
      </c>
    </row>
    <row r="59" spans="1:8" ht="12.75" customHeight="1" x14ac:dyDescent="0.2">
      <c r="A59" s="39"/>
      <c r="B59" s="39"/>
      <c r="C59" s="40" t="s">
        <v>142</v>
      </c>
      <c r="D59" s="39"/>
      <c r="E59" s="39" t="s">
        <v>143</v>
      </c>
      <c r="F59" s="45" t="s">
        <v>145</v>
      </c>
      <c r="G59" s="42">
        <v>0</v>
      </c>
      <c r="H59" s="29" t="s">
        <v>143</v>
      </c>
    </row>
    <row r="60" spans="1:8" ht="12.75" customHeight="1" x14ac:dyDescent="0.2">
      <c r="A60" s="39"/>
      <c r="B60" s="39"/>
      <c r="C60" s="43"/>
      <c r="D60" s="39"/>
      <c r="E60" s="39"/>
      <c r="F60" s="44"/>
      <c r="G60" s="44"/>
      <c r="H60" s="29" t="s">
        <v>143</v>
      </c>
    </row>
    <row r="61" spans="1:8" ht="12.75" customHeight="1" x14ac:dyDescent="0.2">
      <c r="A61" s="39"/>
      <c r="B61" s="39"/>
      <c r="C61" s="40" t="s">
        <v>154</v>
      </c>
      <c r="D61" s="39"/>
      <c r="E61" s="39"/>
      <c r="F61" s="44"/>
      <c r="G61" s="44"/>
      <c r="H61" s="29" t="s">
        <v>143</v>
      </c>
    </row>
    <row r="62" spans="1:8" ht="12.75" customHeight="1" x14ac:dyDescent="0.2">
      <c r="A62" s="39"/>
      <c r="B62" s="39"/>
      <c r="C62" s="40" t="s">
        <v>142</v>
      </c>
      <c r="D62" s="39"/>
      <c r="E62" s="39" t="s">
        <v>143</v>
      </c>
      <c r="F62" s="45" t="s">
        <v>145</v>
      </c>
      <c r="G62" s="42">
        <v>0</v>
      </c>
      <c r="H62" s="29" t="s">
        <v>143</v>
      </c>
    </row>
    <row r="63" spans="1:8" ht="12.75" customHeight="1" x14ac:dyDescent="0.2">
      <c r="A63" s="87"/>
      <c r="B63" s="87"/>
      <c r="C63" s="71"/>
      <c r="D63" s="87"/>
      <c r="E63" s="87"/>
      <c r="F63" s="88"/>
      <c r="G63" s="89"/>
      <c r="H63" s="90"/>
    </row>
    <row r="64" spans="1:8" ht="12.75" customHeight="1" x14ac:dyDescent="0.2">
      <c r="A64" s="39"/>
      <c r="B64" s="39"/>
      <c r="C64" s="40" t="s">
        <v>1170</v>
      </c>
      <c r="D64" s="39"/>
      <c r="E64" s="39"/>
      <c r="F64" s="39"/>
      <c r="G64" s="39"/>
      <c r="H64" s="29" t="s">
        <v>143</v>
      </c>
    </row>
    <row r="65" spans="1:8" ht="12.75" customHeight="1" x14ac:dyDescent="0.2">
      <c r="A65" s="35">
        <v>1</v>
      </c>
      <c r="B65" s="22" t="s">
        <v>315</v>
      </c>
      <c r="C65" s="22" t="s">
        <v>316</v>
      </c>
      <c r="D65" s="22" t="s">
        <v>239</v>
      </c>
      <c r="E65" s="36">
        <v>670440</v>
      </c>
      <c r="F65" s="37">
        <v>67.328266560000003</v>
      </c>
      <c r="G65" s="38">
        <v>6.2763999999999995E-4</v>
      </c>
      <c r="H65" s="29" t="s">
        <v>143</v>
      </c>
    </row>
    <row r="66" spans="1:8" ht="12.75" customHeight="1" x14ac:dyDescent="0.2">
      <c r="A66" s="39"/>
      <c r="B66" s="39"/>
      <c r="C66" s="40" t="s">
        <v>142</v>
      </c>
      <c r="D66" s="39"/>
      <c r="E66" s="39" t="s">
        <v>143</v>
      </c>
      <c r="F66" s="41">
        <f>F65</f>
        <v>67.328266560000003</v>
      </c>
      <c r="G66" s="42">
        <f>G65</f>
        <v>6.2763999999999995E-4</v>
      </c>
      <c r="H66" s="29" t="s">
        <v>143</v>
      </c>
    </row>
    <row r="67" spans="1:8" ht="12.75" customHeight="1" x14ac:dyDescent="0.2">
      <c r="A67" s="39"/>
      <c r="B67" s="39"/>
      <c r="C67" s="43"/>
      <c r="D67" s="39"/>
      <c r="E67" s="39"/>
      <c r="F67" s="44"/>
      <c r="G67" s="44"/>
      <c r="H67" s="29" t="s">
        <v>143</v>
      </c>
    </row>
    <row r="68" spans="1:8" ht="12.75" customHeight="1" x14ac:dyDescent="0.2">
      <c r="A68" s="39"/>
      <c r="B68" s="39"/>
      <c r="C68" s="40" t="s">
        <v>155</v>
      </c>
      <c r="D68" s="39"/>
      <c r="E68" s="39"/>
      <c r="F68" s="41">
        <f>F66</f>
        <v>67.328266560000003</v>
      </c>
      <c r="G68" s="42">
        <f>G66</f>
        <v>6.2763999999999995E-4</v>
      </c>
      <c r="H68" s="29" t="s">
        <v>143</v>
      </c>
    </row>
    <row r="69" spans="1:8" ht="12.75" customHeight="1" x14ac:dyDescent="0.2">
      <c r="A69" s="39"/>
      <c r="B69" s="39"/>
      <c r="C69" s="43"/>
      <c r="D69" s="39"/>
      <c r="E69" s="39"/>
      <c r="F69" s="44"/>
      <c r="G69" s="44"/>
      <c r="H69" s="29" t="s">
        <v>143</v>
      </c>
    </row>
    <row r="70" spans="1:8" ht="12.75" customHeight="1" x14ac:dyDescent="0.2">
      <c r="A70" s="39"/>
      <c r="B70" s="39"/>
      <c r="C70" s="40" t="s">
        <v>156</v>
      </c>
      <c r="D70" s="39"/>
      <c r="E70" s="39"/>
      <c r="F70" s="44"/>
      <c r="G70" s="44"/>
      <c r="H70" s="29" t="s">
        <v>143</v>
      </c>
    </row>
    <row r="71" spans="1:8" ht="12.75" customHeight="1" x14ac:dyDescent="0.2">
      <c r="A71" s="39"/>
      <c r="B71" s="39"/>
      <c r="C71" s="40" t="s">
        <v>157</v>
      </c>
      <c r="D71" s="39"/>
      <c r="E71" s="39"/>
      <c r="F71" s="44"/>
      <c r="G71" s="44"/>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158</v>
      </c>
      <c r="D74" s="39"/>
      <c r="E74" s="39"/>
      <c r="F74" s="44"/>
      <c r="G74" s="44"/>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159</v>
      </c>
      <c r="D77" s="39"/>
      <c r="E77" s="39"/>
      <c r="F77" s="44"/>
      <c r="G77" s="44"/>
      <c r="H77" s="29" t="s">
        <v>143</v>
      </c>
    </row>
    <row r="78" spans="1:8" ht="12.75" customHeight="1" x14ac:dyDescent="0.2">
      <c r="A78" s="39"/>
      <c r="B78" s="39"/>
      <c r="C78" s="40" t="s">
        <v>142</v>
      </c>
      <c r="D78" s="39"/>
      <c r="E78" s="39" t="s">
        <v>143</v>
      </c>
      <c r="F78" s="45" t="s">
        <v>145</v>
      </c>
      <c r="G78" s="42">
        <v>0</v>
      </c>
      <c r="H78" s="29" t="s">
        <v>143</v>
      </c>
    </row>
    <row r="79" spans="1:8" ht="12.75" customHeight="1" x14ac:dyDescent="0.2">
      <c r="A79" s="39"/>
      <c r="B79" s="39"/>
      <c r="C79" s="43"/>
      <c r="D79" s="39"/>
      <c r="E79" s="39"/>
      <c r="F79" s="44"/>
      <c r="G79" s="44"/>
      <c r="H79" s="29" t="s">
        <v>143</v>
      </c>
    </row>
    <row r="80" spans="1:8" ht="12.75" customHeight="1" x14ac:dyDescent="0.2">
      <c r="A80" s="39"/>
      <c r="B80" s="39"/>
      <c r="C80" s="40" t="s">
        <v>160</v>
      </c>
      <c r="D80" s="39"/>
      <c r="E80" s="39"/>
      <c r="F80" s="44"/>
      <c r="G80" s="44"/>
      <c r="H80" s="29" t="s">
        <v>143</v>
      </c>
    </row>
    <row r="81" spans="1:8" ht="12.75" customHeight="1" x14ac:dyDescent="0.2">
      <c r="A81" s="35">
        <v>1</v>
      </c>
      <c r="B81" s="22"/>
      <c r="C81" s="22" t="s">
        <v>161</v>
      </c>
      <c r="D81" s="22"/>
      <c r="E81" s="46"/>
      <c r="F81" s="37">
        <v>7156.9053780280001</v>
      </c>
      <c r="G81" s="38">
        <v>6.6716730000000002E-2</v>
      </c>
      <c r="H81" s="29">
        <v>5.51</v>
      </c>
    </row>
    <row r="82" spans="1:8" ht="12.75" customHeight="1" x14ac:dyDescent="0.2">
      <c r="A82" s="39"/>
      <c r="B82" s="39"/>
      <c r="C82" s="40" t="s">
        <v>142</v>
      </c>
      <c r="D82" s="39"/>
      <c r="E82" s="39" t="s">
        <v>143</v>
      </c>
      <c r="F82" s="41">
        <v>7156.9053780280001</v>
      </c>
      <c r="G82" s="42">
        <v>6.6716730000000002E-2</v>
      </c>
      <c r="H82" s="29" t="s">
        <v>143</v>
      </c>
    </row>
    <row r="83" spans="1:8" ht="12.75" customHeight="1" x14ac:dyDescent="0.2">
      <c r="A83" s="39"/>
      <c r="B83" s="39"/>
      <c r="C83" s="43"/>
      <c r="D83" s="39"/>
      <c r="E83" s="39"/>
      <c r="F83" s="44"/>
      <c r="G83" s="44"/>
      <c r="H83" s="29" t="s">
        <v>143</v>
      </c>
    </row>
    <row r="84" spans="1:8" ht="12.75" customHeight="1" x14ac:dyDescent="0.2">
      <c r="A84" s="39"/>
      <c r="B84" s="39"/>
      <c r="C84" s="40" t="s">
        <v>162</v>
      </c>
      <c r="D84" s="39"/>
      <c r="E84" s="39"/>
      <c r="F84" s="41">
        <v>7156.9053780280001</v>
      </c>
      <c r="G84" s="42">
        <v>6.6716730000000002E-2</v>
      </c>
      <c r="H84" s="29" t="s">
        <v>143</v>
      </c>
    </row>
    <row r="85" spans="1:8" ht="12.75" customHeight="1" x14ac:dyDescent="0.2">
      <c r="A85" s="39"/>
      <c r="B85" s="39"/>
      <c r="C85" s="44"/>
      <c r="D85" s="39"/>
      <c r="E85" s="39"/>
      <c r="F85" s="39"/>
      <c r="G85" s="39"/>
      <c r="H85" s="29" t="s">
        <v>143</v>
      </c>
    </row>
    <row r="86" spans="1:8" ht="12.75" customHeight="1" x14ac:dyDescent="0.2">
      <c r="A86" s="39"/>
      <c r="B86" s="39"/>
      <c r="C86" s="40" t="s">
        <v>163</v>
      </c>
      <c r="D86" s="39"/>
      <c r="E86" s="39"/>
      <c r="F86" s="39"/>
      <c r="G86" s="39"/>
      <c r="H86" s="29" t="s">
        <v>143</v>
      </c>
    </row>
    <row r="87" spans="1:8" ht="12.75" customHeight="1" x14ac:dyDescent="0.2">
      <c r="A87" s="39"/>
      <c r="B87" s="39"/>
      <c r="C87" s="40" t="s">
        <v>164</v>
      </c>
      <c r="D87" s="39"/>
      <c r="E87" s="39"/>
      <c r="F87" s="39"/>
      <c r="G87" s="39"/>
      <c r="H87" s="29" t="s">
        <v>143</v>
      </c>
    </row>
    <row r="88" spans="1:8" ht="12.75" customHeight="1" x14ac:dyDescent="0.2">
      <c r="A88" s="39"/>
      <c r="B88" s="39"/>
      <c r="C88" s="40" t="s">
        <v>142</v>
      </c>
      <c r="D88" s="39"/>
      <c r="E88" s="39" t="s">
        <v>143</v>
      </c>
      <c r="F88" s="45" t="s">
        <v>145</v>
      </c>
      <c r="G88" s="42">
        <v>0</v>
      </c>
      <c r="H88" s="29" t="s">
        <v>143</v>
      </c>
    </row>
    <row r="89" spans="1:8" ht="12.75" customHeight="1" x14ac:dyDescent="0.2">
      <c r="A89" s="39"/>
      <c r="B89" s="39"/>
      <c r="C89" s="43"/>
      <c r="D89" s="39"/>
      <c r="E89" s="39"/>
      <c r="F89" s="44"/>
      <c r="G89" s="44"/>
      <c r="H89" s="29" t="s">
        <v>143</v>
      </c>
    </row>
    <row r="90" spans="1:8" ht="12.75" customHeight="1" x14ac:dyDescent="0.2">
      <c r="A90" s="39"/>
      <c r="B90" s="39"/>
      <c r="C90" s="40" t="s">
        <v>165</v>
      </c>
      <c r="D90" s="39"/>
      <c r="E90" s="39"/>
      <c r="F90" s="39"/>
      <c r="G90" s="39"/>
      <c r="H90" s="29" t="s">
        <v>143</v>
      </c>
    </row>
    <row r="91" spans="1:8" ht="12.75" customHeight="1" x14ac:dyDescent="0.2">
      <c r="A91" s="39"/>
      <c r="B91" s="39"/>
      <c r="C91" s="40" t="s">
        <v>166</v>
      </c>
      <c r="D91" s="39"/>
      <c r="E91" s="39"/>
      <c r="F91" s="39"/>
      <c r="G91" s="39"/>
      <c r="H91" s="29" t="s">
        <v>143</v>
      </c>
    </row>
    <row r="92" spans="1:8" ht="12.75" customHeight="1" x14ac:dyDescent="0.2">
      <c r="A92" s="39"/>
      <c r="B92" s="39"/>
      <c r="C92" s="40" t="s">
        <v>142</v>
      </c>
      <c r="D92" s="39"/>
      <c r="E92" s="39" t="s">
        <v>143</v>
      </c>
      <c r="F92" s="45" t="s">
        <v>145</v>
      </c>
      <c r="G92" s="42">
        <v>0</v>
      </c>
      <c r="H92" s="29" t="s">
        <v>143</v>
      </c>
    </row>
    <row r="93" spans="1:8" ht="12.75" customHeight="1" x14ac:dyDescent="0.2">
      <c r="A93" s="39"/>
      <c r="B93" s="39"/>
      <c r="C93" s="43"/>
      <c r="D93" s="39"/>
      <c r="E93" s="39"/>
      <c r="F93" s="44"/>
      <c r="G93" s="44"/>
      <c r="H93" s="29" t="s">
        <v>143</v>
      </c>
    </row>
    <row r="94" spans="1:8" ht="12.75" customHeight="1" x14ac:dyDescent="0.2">
      <c r="A94" s="39"/>
      <c r="B94" s="39"/>
      <c r="C94" s="40" t="s">
        <v>167</v>
      </c>
      <c r="D94" s="39"/>
      <c r="E94" s="39"/>
      <c r="F94" s="44"/>
      <c r="G94" s="44"/>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22"/>
      <c r="C96" s="22"/>
      <c r="D96" s="40"/>
      <c r="E96" s="39"/>
      <c r="F96" s="22"/>
      <c r="G96" s="46"/>
      <c r="H96" s="29" t="s">
        <v>143</v>
      </c>
    </row>
    <row r="97" spans="1:17" ht="12.75" customHeight="1" x14ac:dyDescent="0.2">
      <c r="A97" s="46"/>
      <c r="B97" s="22"/>
      <c r="C97" s="22" t="s">
        <v>168</v>
      </c>
      <c r="D97" s="22"/>
      <c r="E97" s="46"/>
      <c r="F97" s="37">
        <v>2010.1618936699999</v>
      </c>
      <c r="G97" s="38">
        <v>1.873874E-2</v>
      </c>
      <c r="H97" s="29" t="s">
        <v>143</v>
      </c>
    </row>
    <row r="98" spans="1:17" ht="12.75" customHeight="1" x14ac:dyDescent="0.2">
      <c r="A98" s="43"/>
      <c r="B98" s="43"/>
      <c r="C98" s="40" t="s">
        <v>169</v>
      </c>
      <c r="D98" s="44"/>
      <c r="E98" s="44"/>
      <c r="F98" s="41">
        <v>107273.03259425799</v>
      </c>
      <c r="G98" s="47">
        <v>1.00000003</v>
      </c>
      <c r="H98" s="29" t="s">
        <v>143</v>
      </c>
    </row>
    <row r="99" spans="1:17" ht="12.75" customHeight="1" x14ac:dyDescent="0.2">
      <c r="A99" s="48"/>
      <c r="B99" s="48"/>
      <c r="C99" s="49"/>
      <c r="D99" s="50"/>
      <c r="E99" s="50"/>
      <c r="F99" s="51"/>
      <c r="G99" s="52"/>
      <c r="H99" s="53"/>
    </row>
    <row r="100" spans="1:17" x14ac:dyDescent="0.2">
      <c r="A100" s="54"/>
      <c r="B100" s="243" t="s">
        <v>945</v>
      </c>
      <c r="C100" s="243"/>
      <c r="D100" s="243"/>
      <c r="E100" s="243"/>
      <c r="F100" s="243"/>
      <c r="G100" s="243"/>
      <c r="H100" s="243"/>
      <c r="J100" s="56"/>
    </row>
    <row r="101" spans="1:17" x14ac:dyDescent="0.2">
      <c r="A101" s="54"/>
      <c r="B101" s="243" t="s">
        <v>946</v>
      </c>
      <c r="C101" s="243"/>
      <c r="D101" s="243"/>
      <c r="E101" s="243"/>
      <c r="F101" s="243"/>
      <c r="G101" s="243"/>
      <c r="H101" s="243"/>
      <c r="J101" s="56"/>
    </row>
    <row r="102" spans="1:17" x14ac:dyDescent="0.2">
      <c r="A102" s="54"/>
      <c r="B102" s="243" t="s">
        <v>947</v>
      </c>
      <c r="C102" s="243"/>
      <c r="D102" s="243"/>
      <c r="E102" s="243"/>
      <c r="F102" s="243"/>
      <c r="G102" s="243"/>
      <c r="H102" s="243"/>
      <c r="J102" s="56"/>
    </row>
    <row r="103" spans="1:17" s="58" customFormat="1" ht="66.75" customHeight="1" x14ac:dyDescent="0.25">
      <c r="A103" s="57"/>
      <c r="B103" s="244" t="s">
        <v>948</v>
      </c>
      <c r="C103" s="244"/>
      <c r="D103" s="244"/>
      <c r="E103" s="244"/>
      <c r="F103" s="244"/>
      <c r="G103" s="244"/>
      <c r="H103" s="244"/>
      <c r="I103"/>
      <c r="J103" s="56"/>
      <c r="K103"/>
      <c r="L103"/>
      <c r="M103"/>
      <c r="N103"/>
      <c r="O103"/>
      <c r="P103"/>
      <c r="Q103"/>
    </row>
    <row r="104" spans="1:17" x14ac:dyDescent="0.2">
      <c r="A104" s="54"/>
      <c r="B104" s="243" t="s">
        <v>949</v>
      </c>
      <c r="C104" s="243"/>
      <c r="D104" s="243"/>
      <c r="E104" s="243"/>
      <c r="F104" s="243"/>
      <c r="G104" s="243"/>
      <c r="H104" s="243"/>
      <c r="J104" s="56"/>
    </row>
    <row r="105" spans="1:17" x14ac:dyDescent="0.2">
      <c r="A105" s="54"/>
      <c r="B105" s="54"/>
      <c r="C105" s="54"/>
      <c r="D105" s="59"/>
      <c r="E105" s="59"/>
      <c r="F105" s="59"/>
      <c r="G105" s="59"/>
    </row>
    <row r="106" spans="1:17" x14ac:dyDescent="0.2">
      <c r="A106" s="54"/>
      <c r="B106" s="247" t="s">
        <v>170</v>
      </c>
      <c r="C106" s="248"/>
      <c r="D106" s="249"/>
      <c r="E106" s="60"/>
      <c r="F106" s="59"/>
      <c r="G106" s="59"/>
    </row>
    <row r="107" spans="1:17" ht="27.75" customHeight="1" x14ac:dyDescent="0.2">
      <c r="A107" s="54"/>
      <c r="B107" s="240" t="s">
        <v>171</v>
      </c>
      <c r="C107" s="241"/>
      <c r="D107" s="28" t="s">
        <v>172</v>
      </c>
      <c r="E107" s="60"/>
      <c r="F107" s="59"/>
      <c r="G107" s="59"/>
    </row>
    <row r="108" spans="1:17" ht="12.75" customHeight="1" x14ac:dyDescent="0.2">
      <c r="A108" s="54"/>
      <c r="B108" s="240" t="s">
        <v>950</v>
      </c>
      <c r="C108" s="241"/>
      <c r="D108" s="40" t="s">
        <v>172</v>
      </c>
      <c r="E108" s="60"/>
      <c r="F108" s="59"/>
      <c r="G108" s="59"/>
    </row>
    <row r="109" spans="1:17" x14ac:dyDescent="0.2">
      <c r="A109" s="54"/>
      <c r="B109" s="240" t="s">
        <v>173</v>
      </c>
      <c r="C109" s="241"/>
      <c r="D109" s="61" t="s">
        <v>143</v>
      </c>
      <c r="E109" s="60"/>
      <c r="F109" s="59"/>
      <c r="G109" s="59"/>
    </row>
    <row r="110" spans="1:17" x14ac:dyDescent="0.2">
      <c r="A110" s="62"/>
      <c r="B110" s="63" t="s">
        <v>143</v>
      </c>
      <c r="C110" s="63" t="s">
        <v>951</v>
      </c>
      <c r="D110" s="63" t="s">
        <v>174</v>
      </c>
      <c r="E110" s="62"/>
      <c r="F110" s="62"/>
      <c r="G110" s="62"/>
      <c r="H110" s="62"/>
      <c r="J110" s="56"/>
    </row>
    <row r="111" spans="1:17" x14ac:dyDescent="0.2">
      <c r="A111" s="62"/>
      <c r="B111" s="64" t="s">
        <v>175</v>
      </c>
      <c r="C111" s="65">
        <v>45900</v>
      </c>
      <c r="D111" s="65">
        <v>45930</v>
      </c>
      <c r="E111" s="62"/>
      <c r="F111" s="62"/>
      <c r="G111" s="62"/>
      <c r="J111" s="56"/>
    </row>
    <row r="112" spans="1:17" ht="12.75" customHeight="1" x14ac:dyDescent="0.2">
      <c r="A112" s="66"/>
      <c r="B112" s="67" t="s">
        <v>176</v>
      </c>
      <c r="C112" s="68">
        <v>174.58920000000001</v>
      </c>
      <c r="D112" s="68">
        <v>174.77850000000001</v>
      </c>
      <c r="E112" s="66"/>
      <c r="F112" s="69"/>
      <c r="G112" s="70"/>
    </row>
    <row r="113" spans="1:7" ht="12.75" customHeight="1" x14ac:dyDescent="0.2">
      <c r="A113" s="66"/>
      <c r="B113" s="67" t="s">
        <v>1130</v>
      </c>
      <c r="C113" s="68">
        <v>44.395299999999999</v>
      </c>
      <c r="D113" s="68">
        <v>44.443399999999997</v>
      </c>
      <c r="E113" s="66"/>
      <c r="F113" s="69"/>
      <c r="G113" s="70"/>
    </row>
    <row r="114" spans="1:7" ht="12.75" customHeight="1" x14ac:dyDescent="0.2">
      <c r="A114" s="66"/>
      <c r="B114" s="67" t="s">
        <v>177</v>
      </c>
      <c r="C114" s="68">
        <v>157.47489999999999</v>
      </c>
      <c r="D114" s="68">
        <v>157.52000000000001</v>
      </c>
      <c r="E114" s="66"/>
      <c r="F114" s="69"/>
      <c r="G114" s="70"/>
    </row>
    <row r="115" spans="1:7" ht="12.75" customHeight="1" x14ac:dyDescent="0.2">
      <c r="A115" s="66"/>
      <c r="B115" s="67" t="s">
        <v>1131</v>
      </c>
      <c r="C115" s="68">
        <v>40.7804</v>
      </c>
      <c r="D115" s="68">
        <v>40.792099999999998</v>
      </c>
      <c r="E115" s="66"/>
      <c r="F115" s="69"/>
      <c r="G115" s="70"/>
    </row>
    <row r="116" spans="1:7" ht="12.75" customHeight="1" x14ac:dyDescent="0.2">
      <c r="A116" s="66"/>
      <c r="B116" s="66"/>
      <c r="C116" s="66"/>
      <c r="D116" s="66"/>
      <c r="E116" s="66"/>
      <c r="F116" s="66"/>
      <c r="G116" s="66"/>
    </row>
    <row r="117" spans="1:7" x14ac:dyDescent="0.2">
      <c r="A117" s="62"/>
      <c r="B117" s="245" t="s">
        <v>952</v>
      </c>
      <c r="C117" s="246"/>
      <c r="D117" s="71" t="s">
        <v>172</v>
      </c>
      <c r="E117" s="62"/>
      <c r="F117" s="62"/>
      <c r="G117" s="62"/>
    </row>
    <row r="118" spans="1:7" x14ac:dyDescent="0.2">
      <c r="A118" s="72"/>
      <c r="B118" s="73"/>
      <c r="C118" s="73"/>
      <c r="D118" s="73"/>
      <c r="E118" s="72"/>
      <c r="F118" s="72"/>
      <c r="G118" s="72"/>
    </row>
    <row r="119" spans="1:7" x14ac:dyDescent="0.2">
      <c r="A119" s="72"/>
      <c r="B119" s="240" t="s">
        <v>178</v>
      </c>
      <c r="C119" s="241"/>
      <c r="D119" s="28" t="s">
        <v>172</v>
      </c>
      <c r="E119" s="74"/>
      <c r="F119" s="72"/>
      <c r="G119" s="72"/>
    </row>
    <row r="120" spans="1:7" x14ac:dyDescent="0.2">
      <c r="A120" s="72"/>
      <c r="B120" s="240" t="s">
        <v>179</v>
      </c>
      <c r="C120" s="241"/>
      <c r="D120" s="28" t="s">
        <v>172</v>
      </c>
      <c r="E120" s="74"/>
      <c r="F120" s="72"/>
      <c r="G120" s="72"/>
    </row>
    <row r="121" spans="1:7" ht="17.100000000000001" customHeight="1" x14ac:dyDescent="0.2">
      <c r="A121" s="72"/>
      <c r="B121" s="240" t="s">
        <v>180</v>
      </c>
      <c r="C121" s="241"/>
      <c r="D121" s="28" t="s">
        <v>172</v>
      </c>
      <c r="E121" s="74"/>
      <c r="F121" s="72"/>
      <c r="G121" s="72"/>
    </row>
    <row r="122" spans="1:7" ht="17.100000000000001" customHeight="1" x14ac:dyDescent="0.2">
      <c r="A122" s="72"/>
      <c r="B122" s="240" t="s">
        <v>181</v>
      </c>
      <c r="C122" s="241"/>
      <c r="D122" s="75">
        <v>0.82027669880388931</v>
      </c>
      <c r="E122" s="72"/>
      <c r="F122" s="55"/>
      <c r="G122" s="76"/>
    </row>
    <row r="123" spans="1:7" x14ac:dyDescent="0.2"/>
    <row r="124" spans="1:7" x14ac:dyDescent="0.2">
      <c r="B124" s="239" t="s">
        <v>953</v>
      </c>
      <c r="C124" s="239"/>
    </row>
    <row r="125" spans="1:7" x14ac:dyDescent="0.2"/>
    <row r="126" spans="1:7" ht="153.75" customHeight="1" x14ac:dyDescent="0.2"/>
    <row r="127" spans="1:7" x14ac:dyDescent="0.2"/>
    <row r="128" spans="1:7" x14ac:dyDescent="0.2"/>
    <row r="129" spans="2:4" x14ac:dyDescent="0.2">
      <c r="B129" s="77" t="s">
        <v>954</v>
      </c>
      <c r="C129" s="78"/>
      <c r="D129" s="77" t="s">
        <v>957</v>
      </c>
    </row>
    <row r="130" spans="2:4" x14ac:dyDescent="0.2">
      <c r="B130" s="77" t="s">
        <v>1102</v>
      </c>
      <c r="D130" s="77" t="s">
        <v>1103</v>
      </c>
    </row>
    <row r="131" spans="2:4" ht="165" customHeight="1" x14ac:dyDescent="0.2"/>
    <row r="132" spans="2:4" x14ac:dyDescent="0.2"/>
    <row r="133" spans="2:4" x14ac:dyDescent="0.2"/>
    <row r="134" spans="2:4" x14ac:dyDescent="0.2"/>
    <row r="135" spans="2:4" x14ac:dyDescent="0.2"/>
    <row r="136" spans="2:4" x14ac:dyDescent="0.2"/>
    <row r="137" spans="2:4" x14ac:dyDescent="0.2"/>
    <row r="138" spans="2:4" x14ac:dyDescent="0.2"/>
    <row r="139" spans="2:4" x14ac:dyDescent="0.2"/>
    <row r="140" spans="2:4" x14ac:dyDescent="0.2"/>
    <row r="141" spans="2:4" x14ac:dyDescent="0.2"/>
    <row r="142" spans="2:4" x14ac:dyDescent="0.2"/>
  </sheetData>
  <mergeCells count="18">
    <mergeCell ref="B106:D106"/>
    <mergeCell ref="B107:C107"/>
    <mergeCell ref="B124:C124"/>
    <mergeCell ref="B122:C122"/>
    <mergeCell ref="A1:H1"/>
    <mergeCell ref="A2:H2"/>
    <mergeCell ref="A3:H3"/>
    <mergeCell ref="B121:C121"/>
    <mergeCell ref="B100:H100"/>
    <mergeCell ref="B101:H101"/>
    <mergeCell ref="B108:C108"/>
    <mergeCell ref="B109:C109"/>
    <mergeCell ref="B119:C119"/>
    <mergeCell ref="B120:C120"/>
    <mergeCell ref="B102:H102"/>
    <mergeCell ref="B103:H103"/>
    <mergeCell ref="B104:H104"/>
    <mergeCell ref="B117:C117"/>
  </mergeCells>
  <hyperlinks>
    <hyperlink ref="I1" location="Index!B2" display="Index" xr:uid="{51993980-C3FE-4352-A46A-5EB344CF31BB}"/>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4414-B3A8-4F61-8AA7-857FA922C0FD}">
  <sheetPr>
    <outlinePr summaryBelow="0" summaryRight="0"/>
  </sheetPr>
  <dimension ref="A1:Q177"/>
  <sheetViews>
    <sheetView showGridLines="0" workbookViewId="0">
      <selection sqref="A1:H1"/>
    </sheetView>
  </sheetViews>
  <sheetFormatPr defaultRowHeight="12.75" customHeight="1" x14ac:dyDescent="0.2"/>
  <cols>
    <col min="1" max="1" width="5.85546875" bestFit="1" customWidth="1"/>
    <col min="2" max="2" width="19.5703125" bestFit="1" customWidth="1"/>
    <col min="3" max="3" width="43.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742</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1990957</v>
      </c>
      <c r="F7" s="37">
        <v>18934.001069999998</v>
      </c>
      <c r="G7" s="38">
        <v>6.6934599999999997E-2</v>
      </c>
      <c r="H7" s="29" t="s">
        <v>143</v>
      </c>
    </row>
    <row r="8" spans="1:9" ht="12.75" customHeight="1" x14ac:dyDescent="0.2">
      <c r="A8" s="35">
        <v>2</v>
      </c>
      <c r="B8" s="22" t="s">
        <v>31</v>
      </c>
      <c r="C8" s="22" t="s">
        <v>32</v>
      </c>
      <c r="D8" s="22" t="s">
        <v>33</v>
      </c>
      <c r="E8" s="36">
        <v>1044829</v>
      </c>
      <c r="F8" s="37">
        <v>14084.29492</v>
      </c>
      <c r="G8" s="38">
        <v>4.9790149999999998E-2</v>
      </c>
      <c r="H8" s="29" t="s">
        <v>143</v>
      </c>
    </row>
    <row r="9" spans="1:9" ht="12.75" customHeight="1" x14ac:dyDescent="0.2">
      <c r="A9" s="35">
        <v>3</v>
      </c>
      <c r="B9" s="22" t="s">
        <v>323</v>
      </c>
      <c r="C9" s="22" t="s">
        <v>324</v>
      </c>
      <c r="D9" s="22" t="s">
        <v>33</v>
      </c>
      <c r="E9" s="36">
        <v>578590</v>
      </c>
      <c r="F9" s="37">
        <v>11529.56293</v>
      </c>
      <c r="G9" s="38">
        <v>4.0758780000000001E-2</v>
      </c>
      <c r="H9" s="29" t="s">
        <v>143</v>
      </c>
    </row>
    <row r="10" spans="1:9" ht="12.75" customHeight="1" x14ac:dyDescent="0.2">
      <c r="A10" s="35">
        <v>4</v>
      </c>
      <c r="B10" s="22" t="s">
        <v>14</v>
      </c>
      <c r="C10" s="22" t="s">
        <v>15</v>
      </c>
      <c r="D10" s="22" t="s">
        <v>16</v>
      </c>
      <c r="E10" s="36">
        <v>297963</v>
      </c>
      <c r="F10" s="37">
        <v>10902.46617</v>
      </c>
      <c r="G10" s="38">
        <v>3.8541890000000002E-2</v>
      </c>
      <c r="H10" s="29" t="s">
        <v>143</v>
      </c>
    </row>
    <row r="11" spans="1:9" ht="12.75" customHeight="1" x14ac:dyDescent="0.2">
      <c r="A11" s="35">
        <v>5</v>
      </c>
      <c r="B11" s="22" t="s">
        <v>17</v>
      </c>
      <c r="C11" s="22" t="s">
        <v>18</v>
      </c>
      <c r="D11" s="22" t="s">
        <v>19</v>
      </c>
      <c r="E11" s="36">
        <v>692907</v>
      </c>
      <c r="F11" s="37">
        <v>9451.2514800000008</v>
      </c>
      <c r="G11" s="38">
        <v>3.3411629999999998E-2</v>
      </c>
      <c r="H11" s="29" t="s">
        <v>143</v>
      </c>
    </row>
    <row r="12" spans="1:9" ht="12.75" customHeight="1" x14ac:dyDescent="0.2">
      <c r="A12" s="35">
        <v>6</v>
      </c>
      <c r="B12" s="22" t="s">
        <v>11</v>
      </c>
      <c r="C12" s="22" t="s">
        <v>12</v>
      </c>
      <c r="D12" s="22" t="s">
        <v>13</v>
      </c>
      <c r="E12" s="36">
        <v>436915</v>
      </c>
      <c r="F12" s="37">
        <v>8207.0113600000004</v>
      </c>
      <c r="G12" s="38">
        <v>2.9013049999999999E-2</v>
      </c>
      <c r="H12" s="29" t="s">
        <v>143</v>
      </c>
    </row>
    <row r="13" spans="1:9" ht="12.75" customHeight="1" x14ac:dyDescent="0.2">
      <c r="A13" s="35">
        <v>7</v>
      </c>
      <c r="B13" s="22" t="s">
        <v>197</v>
      </c>
      <c r="C13" s="22" t="s">
        <v>198</v>
      </c>
      <c r="D13" s="22" t="s">
        <v>33</v>
      </c>
      <c r="E13" s="36">
        <v>814385</v>
      </c>
      <c r="F13" s="37">
        <v>6113.5881950000003</v>
      </c>
      <c r="G13" s="38">
        <v>2.1612470000000002E-2</v>
      </c>
      <c r="H13" s="29" t="s">
        <v>143</v>
      </c>
    </row>
    <row r="14" spans="1:9" ht="12.75" customHeight="1" x14ac:dyDescent="0.2">
      <c r="A14" s="35">
        <v>8</v>
      </c>
      <c r="B14" s="22" t="s">
        <v>341</v>
      </c>
      <c r="C14" s="22" t="s">
        <v>342</v>
      </c>
      <c r="D14" s="22" t="s">
        <v>259</v>
      </c>
      <c r="E14" s="36">
        <v>312249</v>
      </c>
      <c r="F14" s="37">
        <v>6081.6737730000004</v>
      </c>
      <c r="G14" s="38">
        <v>2.1499649999999999E-2</v>
      </c>
      <c r="H14" s="29" t="s">
        <v>143</v>
      </c>
    </row>
    <row r="15" spans="1:9" ht="12.75" customHeight="1" x14ac:dyDescent="0.2">
      <c r="A15" s="35">
        <v>9</v>
      </c>
      <c r="B15" s="22" t="s">
        <v>186</v>
      </c>
      <c r="C15" s="22" t="s">
        <v>187</v>
      </c>
      <c r="D15" s="22" t="s">
        <v>188</v>
      </c>
      <c r="E15" s="36">
        <v>624641</v>
      </c>
      <c r="F15" s="37">
        <v>6057.7684179999997</v>
      </c>
      <c r="G15" s="38">
        <v>2.1415139999999999E-2</v>
      </c>
      <c r="H15" s="29" t="s">
        <v>143</v>
      </c>
    </row>
    <row r="16" spans="1:9" ht="12.75" customHeight="1" x14ac:dyDescent="0.2">
      <c r="A16" s="35">
        <v>10</v>
      </c>
      <c r="B16" s="22" t="s">
        <v>76</v>
      </c>
      <c r="C16" s="22" t="s">
        <v>77</v>
      </c>
      <c r="D16" s="22" t="s">
        <v>64</v>
      </c>
      <c r="E16" s="36">
        <v>147730</v>
      </c>
      <c r="F16" s="37">
        <v>6001.2357899999997</v>
      </c>
      <c r="G16" s="38">
        <v>2.1215290000000001E-2</v>
      </c>
      <c r="H16" s="29" t="s">
        <v>143</v>
      </c>
    </row>
    <row r="17" spans="1:8" ht="12.75" customHeight="1" x14ac:dyDescent="0.2">
      <c r="A17" s="35">
        <v>11</v>
      </c>
      <c r="B17" s="22" t="s">
        <v>204</v>
      </c>
      <c r="C17" s="22" t="s">
        <v>205</v>
      </c>
      <c r="D17" s="22" t="s">
        <v>206</v>
      </c>
      <c r="E17" s="36">
        <v>946607</v>
      </c>
      <c r="F17" s="37">
        <v>5844.3516179999997</v>
      </c>
      <c r="G17" s="38">
        <v>2.0660680000000001E-2</v>
      </c>
      <c r="H17" s="29" t="s">
        <v>143</v>
      </c>
    </row>
    <row r="18" spans="1:8" ht="12.75" customHeight="1" x14ac:dyDescent="0.2">
      <c r="A18" s="35">
        <v>12</v>
      </c>
      <c r="B18" s="22" t="s">
        <v>192</v>
      </c>
      <c r="C18" s="22" t="s">
        <v>193</v>
      </c>
      <c r="D18" s="22" t="s">
        <v>194</v>
      </c>
      <c r="E18" s="36">
        <v>300825</v>
      </c>
      <c r="F18" s="37">
        <v>5749.6682250000003</v>
      </c>
      <c r="G18" s="38">
        <v>2.0325960000000001E-2</v>
      </c>
      <c r="H18" s="29" t="s">
        <v>143</v>
      </c>
    </row>
    <row r="19" spans="1:8" ht="12.75" customHeight="1" x14ac:dyDescent="0.2">
      <c r="A19" s="35">
        <v>13</v>
      </c>
      <c r="B19" s="22" t="s">
        <v>189</v>
      </c>
      <c r="C19" s="22" t="s">
        <v>190</v>
      </c>
      <c r="D19" s="22" t="s">
        <v>191</v>
      </c>
      <c r="E19" s="36">
        <v>2058790</v>
      </c>
      <c r="F19" s="37">
        <v>5667.8488699999998</v>
      </c>
      <c r="G19" s="38">
        <v>2.0036720000000001E-2</v>
      </c>
      <c r="H19" s="29" t="s">
        <v>143</v>
      </c>
    </row>
    <row r="20" spans="1:8" ht="12.75" customHeight="1" x14ac:dyDescent="0.2">
      <c r="A20" s="35">
        <v>14</v>
      </c>
      <c r="B20" s="22" t="s">
        <v>67</v>
      </c>
      <c r="C20" s="22" t="s">
        <v>68</v>
      </c>
      <c r="D20" s="22" t="s">
        <v>25</v>
      </c>
      <c r="E20" s="36">
        <v>84516</v>
      </c>
      <c r="F20" s="37">
        <v>5324.5079999999998</v>
      </c>
      <c r="G20" s="38">
        <v>1.8822950000000001E-2</v>
      </c>
      <c r="H20" s="29" t="s">
        <v>143</v>
      </c>
    </row>
    <row r="21" spans="1:8" ht="12.75" customHeight="1" x14ac:dyDescent="0.2">
      <c r="A21" s="35">
        <v>15</v>
      </c>
      <c r="B21" s="22" t="s">
        <v>44</v>
      </c>
      <c r="C21" s="22" t="s">
        <v>45</v>
      </c>
      <c r="D21" s="22" t="s">
        <v>46</v>
      </c>
      <c r="E21" s="36">
        <v>65761</v>
      </c>
      <c r="F21" s="37">
        <v>5319.4072900000001</v>
      </c>
      <c r="G21" s="38">
        <v>1.8804919999999999E-2</v>
      </c>
      <c r="H21" s="29" t="s">
        <v>143</v>
      </c>
    </row>
    <row r="22" spans="1:8" ht="12.75" customHeight="1" x14ac:dyDescent="0.2">
      <c r="A22" s="35">
        <v>16</v>
      </c>
      <c r="B22" s="22" t="s">
        <v>325</v>
      </c>
      <c r="C22" s="22" t="s">
        <v>326</v>
      </c>
      <c r="D22" s="22" t="s">
        <v>215</v>
      </c>
      <c r="E22" s="36">
        <v>364710</v>
      </c>
      <c r="F22" s="37">
        <v>5258.3887800000002</v>
      </c>
      <c r="G22" s="38">
        <v>1.8589209999999998E-2</v>
      </c>
      <c r="H22" s="29" t="s">
        <v>143</v>
      </c>
    </row>
    <row r="23" spans="1:8" ht="12.75" customHeight="1" x14ac:dyDescent="0.2">
      <c r="A23" s="35">
        <v>17</v>
      </c>
      <c r="B23" s="22" t="s">
        <v>743</v>
      </c>
      <c r="C23" s="22" t="s">
        <v>744</v>
      </c>
      <c r="D23" s="22" t="s">
        <v>745</v>
      </c>
      <c r="E23" s="36">
        <v>1666372</v>
      </c>
      <c r="F23" s="37">
        <v>5253.2377299999998</v>
      </c>
      <c r="G23" s="38">
        <v>1.8571000000000001E-2</v>
      </c>
      <c r="H23" s="29" t="s">
        <v>143</v>
      </c>
    </row>
    <row r="24" spans="1:8" ht="12.75" customHeight="1" x14ac:dyDescent="0.2">
      <c r="A24" s="35">
        <v>18</v>
      </c>
      <c r="B24" s="22" t="s">
        <v>26</v>
      </c>
      <c r="C24" s="22" t="s">
        <v>27</v>
      </c>
      <c r="D24" s="22" t="s">
        <v>28</v>
      </c>
      <c r="E24" s="36">
        <v>1280435</v>
      </c>
      <c r="F24" s="37">
        <v>5172.3171824999999</v>
      </c>
      <c r="G24" s="38">
        <v>1.828494E-2</v>
      </c>
      <c r="H24" s="29" t="s">
        <v>143</v>
      </c>
    </row>
    <row r="25" spans="1:8" ht="12.75" customHeight="1" x14ac:dyDescent="0.2">
      <c r="A25" s="35">
        <v>19</v>
      </c>
      <c r="B25" s="22" t="s">
        <v>195</v>
      </c>
      <c r="C25" s="22" t="s">
        <v>196</v>
      </c>
      <c r="D25" s="22" t="s">
        <v>19</v>
      </c>
      <c r="E25" s="36">
        <v>1161716</v>
      </c>
      <c r="F25" s="37">
        <v>5151.0487439999997</v>
      </c>
      <c r="G25" s="38">
        <v>1.820975E-2</v>
      </c>
      <c r="H25" s="29" t="s">
        <v>143</v>
      </c>
    </row>
    <row r="26" spans="1:8" ht="12.75" customHeight="1" x14ac:dyDescent="0.2">
      <c r="A26" s="35">
        <v>20</v>
      </c>
      <c r="B26" s="22" t="s">
        <v>226</v>
      </c>
      <c r="C26" s="22" t="s">
        <v>227</v>
      </c>
      <c r="D26" s="22" t="s">
        <v>191</v>
      </c>
      <c r="E26" s="36">
        <v>39406</v>
      </c>
      <c r="F26" s="37">
        <v>5028.2056000000002</v>
      </c>
      <c r="G26" s="38">
        <v>1.777548E-2</v>
      </c>
      <c r="H26" s="29" t="s">
        <v>143</v>
      </c>
    </row>
    <row r="27" spans="1:8" ht="12.75" customHeight="1" x14ac:dyDescent="0.2">
      <c r="A27" s="35">
        <v>21</v>
      </c>
      <c r="B27" s="22" t="s">
        <v>459</v>
      </c>
      <c r="C27" s="22" t="s">
        <v>460</v>
      </c>
      <c r="D27" s="22" t="s">
        <v>33</v>
      </c>
      <c r="E27" s="36">
        <v>3919350</v>
      </c>
      <c r="F27" s="37">
        <v>4967.3841899999998</v>
      </c>
      <c r="G27" s="38">
        <v>1.7560470000000002E-2</v>
      </c>
      <c r="H27" s="29" t="s">
        <v>143</v>
      </c>
    </row>
    <row r="28" spans="1:8" ht="12.75" customHeight="1" x14ac:dyDescent="0.2">
      <c r="A28" s="35">
        <v>22</v>
      </c>
      <c r="B28" s="22" t="s">
        <v>88</v>
      </c>
      <c r="C28" s="22" t="s">
        <v>89</v>
      </c>
      <c r="D28" s="22" t="s">
        <v>90</v>
      </c>
      <c r="E28" s="36">
        <v>548186</v>
      </c>
      <c r="F28" s="37">
        <v>4912.0206529999996</v>
      </c>
      <c r="G28" s="38">
        <v>1.7364750000000002E-2</v>
      </c>
      <c r="H28" s="29" t="s">
        <v>143</v>
      </c>
    </row>
    <row r="29" spans="1:8" ht="12.75" customHeight="1" x14ac:dyDescent="0.2">
      <c r="A29" s="35">
        <v>23</v>
      </c>
      <c r="B29" s="22" t="s">
        <v>505</v>
      </c>
      <c r="C29" s="22" t="s">
        <v>506</v>
      </c>
      <c r="D29" s="22" t="s">
        <v>41</v>
      </c>
      <c r="E29" s="36">
        <v>493344</v>
      </c>
      <c r="F29" s="37">
        <v>4880.8988639999998</v>
      </c>
      <c r="G29" s="38">
        <v>1.7254729999999999E-2</v>
      </c>
      <c r="H29" s="29" t="s">
        <v>143</v>
      </c>
    </row>
    <row r="30" spans="1:8" ht="12.75" customHeight="1" x14ac:dyDescent="0.2">
      <c r="A30" s="35">
        <v>24</v>
      </c>
      <c r="B30" s="22" t="s">
        <v>333</v>
      </c>
      <c r="C30" s="22" t="s">
        <v>334</v>
      </c>
      <c r="D30" s="22" t="s">
        <v>239</v>
      </c>
      <c r="E30" s="36">
        <v>140863</v>
      </c>
      <c r="F30" s="37">
        <v>4827.3750099999997</v>
      </c>
      <c r="G30" s="38">
        <v>1.7065509999999999E-2</v>
      </c>
      <c r="H30" s="29" t="s">
        <v>143</v>
      </c>
    </row>
    <row r="31" spans="1:8" ht="12.75" customHeight="1" x14ac:dyDescent="0.2">
      <c r="A31" s="35">
        <v>25</v>
      </c>
      <c r="B31" s="22" t="s">
        <v>23</v>
      </c>
      <c r="C31" s="22" t="s">
        <v>24</v>
      </c>
      <c r="D31" s="22" t="s">
        <v>25</v>
      </c>
      <c r="E31" s="36">
        <v>38374</v>
      </c>
      <c r="F31" s="37">
        <v>4690.0702799999999</v>
      </c>
      <c r="G31" s="38">
        <v>1.658012E-2</v>
      </c>
      <c r="H31" s="29" t="s">
        <v>143</v>
      </c>
    </row>
    <row r="32" spans="1:8" ht="12.75" customHeight="1" x14ac:dyDescent="0.2">
      <c r="A32" s="35">
        <v>26</v>
      </c>
      <c r="B32" s="22" t="s">
        <v>424</v>
      </c>
      <c r="C32" s="22" t="s">
        <v>425</v>
      </c>
      <c r="D32" s="22" t="s">
        <v>215</v>
      </c>
      <c r="E32" s="36">
        <v>327370</v>
      </c>
      <c r="F32" s="37">
        <v>4534.4018699999997</v>
      </c>
      <c r="G32" s="38">
        <v>1.6029809999999999E-2</v>
      </c>
      <c r="H32" s="29" t="s">
        <v>143</v>
      </c>
    </row>
    <row r="33" spans="1:8" ht="12.75" customHeight="1" x14ac:dyDescent="0.2">
      <c r="A33" s="35">
        <v>27</v>
      </c>
      <c r="B33" s="22" t="s">
        <v>84</v>
      </c>
      <c r="C33" s="22" t="s">
        <v>85</v>
      </c>
      <c r="D33" s="22" t="s">
        <v>41</v>
      </c>
      <c r="E33" s="36">
        <v>63972</v>
      </c>
      <c r="F33" s="37">
        <v>4345.9378200000001</v>
      </c>
      <c r="G33" s="38">
        <v>1.536356E-2</v>
      </c>
      <c r="H33" s="29" t="s">
        <v>143</v>
      </c>
    </row>
    <row r="34" spans="1:8" ht="12.75" customHeight="1" x14ac:dyDescent="0.2">
      <c r="A34" s="35">
        <v>28</v>
      </c>
      <c r="B34" s="22" t="s">
        <v>62</v>
      </c>
      <c r="C34" s="22" t="s">
        <v>63</v>
      </c>
      <c r="D34" s="22" t="s">
        <v>64</v>
      </c>
      <c r="E34" s="36">
        <v>108339</v>
      </c>
      <c r="F34" s="37">
        <v>4253.9308350000001</v>
      </c>
      <c r="G34" s="38">
        <v>1.5038299999999999E-2</v>
      </c>
      <c r="H34" s="29" t="s">
        <v>143</v>
      </c>
    </row>
    <row r="35" spans="1:8" ht="12.75" customHeight="1" x14ac:dyDescent="0.2">
      <c r="A35" s="35">
        <v>29</v>
      </c>
      <c r="B35" s="22" t="s">
        <v>49</v>
      </c>
      <c r="C35" s="22" t="s">
        <v>50</v>
      </c>
      <c r="D35" s="22" t="s">
        <v>22</v>
      </c>
      <c r="E35" s="36">
        <v>1094203</v>
      </c>
      <c r="F35" s="37">
        <v>4252.6199594999998</v>
      </c>
      <c r="G35" s="38">
        <v>1.5033670000000001E-2</v>
      </c>
      <c r="H35" s="29" t="s">
        <v>143</v>
      </c>
    </row>
    <row r="36" spans="1:8" ht="12.75" customHeight="1" x14ac:dyDescent="0.2">
      <c r="A36" s="35">
        <v>30</v>
      </c>
      <c r="B36" s="22" t="s">
        <v>301</v>
      </c>
      <c r="C36" s="22" t="s">
        <v>302</v>
      </c>
      <c r="D36" s="22" t="s">
        <v>64</v>
      </c>
      <c r="E36" s="36">
        <v>88054</v>
      </c>
      <c r="F36" s="37">
        <v>4152.2744240000002</v>
      </c>
      <c r="G36" s="38">
        <v>1.467893E-2</v>
      </c>
      <c r="H36" s="29" t="s">
        <v>143</v>
      </c>
    </row>
    <row r="37" spans="1:8" ht="12.75" customHeight="1" x14ac:dyDescent="0.2">
      <c r="A37" s="35">
        <v>31</v>
      </c>
      <c r="B37" s="22" t="s">
        <v>276</v>
      </c>
      <c r="C37" s="22" t="s">
        <v>277</v>
      </c>
      <c r="D37" s="22" t="s">
        <v>206</v>
      </c>
      <c r="E37" s="36">
        <v>2407581</v>
      </c>
      <c r="F37" s="37">
        <v>4045.4583542999999</v>
      </c>
      <c r="G37" s="38">
        <v>1.4301319999999999E-2</v>
      </c>
      <c r="H37" s="29" t="s">
        <v>143</v>
      </c>
    </row>
    <row r="38" spans="1:8" ht="12.75" customHeight="1" x14ac:dyDescent="0.2">
      <c r="A38" s="35">
        <v>32</v>
      </c>
      <c r="B38" s="22" t="s">
        <v>231</v>
      </c>
      <c r="C38" s="22" t="s">
        <v>232</v>
      </c>
      <c r="D38" s="22" t="s">
        <v>206</v>
      </c>
      <c r="E38" s="36">
        <v>416636</v>
      </c>
      <c r="F38" s="37">
        <v>3963.0416319999999</v>
      </c>
      <c r="G38" s="38">
        <v>1.400996E-2</v>
      </c>
      <c r="H38" s="29" t="s">
        <v>143</v>
      </c>
    </row>
    <row r="39" spans="1:8" ht="12.75" customHeight="1" x14ac:dyDescent="0.2">
      <c r="A39" s="35">
        <v>33</v>
      </c>
      <c r="B39" s="22" t="s">
        <v>370</v>
      </c>
      <c r="C39" s="22" t="s">
        <v>371</v>
      </c>
      <c r="D39" s="22" t="s">
        <v>194</v>
      </c>
      <c r="E39" s="36">
        <v>226901</v>
      </c>
      <c r="F39" s="37">
        <v>3879.3263969999998</v>
      </c>
      <c r="G39" s="38">
        <v>1.371402E-2</v>
      </c>
      <c r="H39" s="29" t="s">
        <v>143</v>
      </c>
    </row>
    <row r="40" spans="1:8" ht="12.75" customHeight="1" x14ac:dyDescent="0.2">
      <c r="A40" s="35">
        <v>34</v>
      </c>
      <c r="B40" s="22" t="s">
        <v>746</v>
      </c>
      <c r="C40" s="22" t="s">
        <v>747</v>
      </c>
      <c r="D40" s="22" t="s">
        <v>46</v>
      </c>
      <c r="E40" s="36">
        <v>205414</v>
      </c>
      <c r="F40" s="37">
        <v>3863.83734</v>
      </c>
      <c r="G40" s="38">
        <v>1.3659259999999999E-2</v>
      </c>
      <c r="H40" s="29" t="s">
        <v>143</v>
      </c>
    </row>
    <row r="41" spans="1:8" ht="12.75" customHeight="1" x14ac:dyDescent="0.2">
      <c r="A41" s="35">
        <v>35</v>
      </c>
      <c r="B41" s="22" t="s">
        <v>201</v>
      </c>
      <c r="C41" s="22" t="s">
        <v>202</v>
      </c>
      <c r="D41" s="22" t="s">
        <v>203</v>
      </c>
      <c r="E41" s="36">
        <v>552997</v>
      </c>
      <c r="F41" s="37">
        <v>3856.6010780000001</v>
      </c>
      <c r="G41" s="38">
        <v>1.363368E-2</v>
      </c>
      <c r="H41" s="29" t="s">
        <v>143</v>
      </c>
    </row>
    <row r="42" spans="1:8" ht="12.75" customHeight="1" x14ac:dyDescent="0.2">
      <c r="A42" s="35">
        <v>36</v>
      </c>
      <c r="B42" s="22" t="s">
        <v>216</v>
      </c>
      <c r="C42" s="22" t="s">
        <v>217</v>
      </c>
      <c r="D42" s="22" t="s">
        <v>215</v>
      </c>
      <c r="E42" s="36">
        <v>240805</v>
      </c>
      <c r="F42" s="37">
        <v>3831.2075500000001</v>
      </c>
      <c r="G42" s="38">
        <v>1.3543909999999999E-2</v>
      </c>
      <c r="H42" s="29" t="s">
        <v>143</v>
      </c>
    </row>
    <row r="43" spans="1:8" ht="12.75" customHeight="1" x14ac:dyDescent="0.2">
      <c r="A43" s="35">
        <v>37</v>
      </c>
      <c r="B43" s="22" t="s">
        <v>368</v>
      </c>
      <c r="C43" s="22" t="s">
        <v>369</v>
      </c>
      <c r="D43" s="22" t="s">
        <v>215</v>
      </c>
      <c r="E43" s="36">
        <v>585264</v>
      </c>
      <c r="F43" s="37">
        <v>3773.4896399999998</v>
      </c>
      <c r="G43" s="38">
        <v>1.333987E-2</v>
      </c>
      <c r="H43" s="29" t="s">
        <v>143</v>
      </c>
    </row>
    <row r="44" spans="1:8" ht="12.75" customHeight="1" x14ac:dyDescent="0.2">
      <c r="A44" s="35">
        <v>38</v>
      </c>
      <c r="B44" s="22" t="s">
        <v>101</v>
      </c>
      <c r="C44" s="22" t="s">
        <v>102</v>
      </c>
      <c r="D44" s="22" t="s">
        <v>64</v>
      </c>
      <c r="E44" s="36">
        <v>396735</v>
      </c>
      <c r="F44" s="37">
        <v>3645.20118</v>
      </c>
      <c r="G44" s="38">
        <v>1.288635E-2</v>
      </c>
      <c r="H44" s="29" t="s">
        <v>143</v>
      </c>
    </row>
    <row r="45" spans="1:8" ht="12.75" customHeight="1" x14ac:dyDescent="0.2">
      <c r="A45" s="35">
        <v>39</v>
      </c>
      <c r="B45" s="22" t="s">
        <v>748</v>
      </c>
      <c r="C45" s="22" t="s">
        <v>749</v>
      </c>
      <c r="D45" s="22" t="s">
        <v>188</v>
      </c>
      <c r="E45" s="36">
        <v>174800</v>
      </c>
      <c r="F45" s="37">
        <v>3558.9279999999999</v>
      </c>
      <c r="G45" s="38">
        <v>1.258136E-2</v>
      </c>
      <c r="H45" s="29" t="s">
        <v>143</v>
      </c>
    </row>
    <row r="46" spans="1:8" ht="12.75" customHeight="1" x14ac:dyDescent="0.2">
      <c r="A46" s="35">
        <v>40</v>
      </c>
      <c r="B46" s="22" t="s">
        <v>244</v>
      </c>
      <c r="C46" s="22" t="s">
        <v>245</v>
      </c>
      <c r="D46" s="22" t="s">
        <v>191</v>
      </c>
      <c r="E46" s="36">
        <v>562025</v>
      </c>
      <c r="F46" s="37">
        <v>3175.4412499999999</v>
      </c>
      <c r="G46" s="38">
        <v>1.122567E-2</v>
      </c>
      <c r="H46" s="29" t="s">
        <v>143</v>
      </c>
    </row>
    <row r="47" spans="1:8" ht="12.75" customHeight="1" x14ac:dyDescent="0.2">
      <c r="A47" s="35">
        <v>41</v>
      </c>
      <c r="B47" s="22" t="s">
        <v>452</v>
      </c>
      <c r="C47" s="22" t="s">
        <v>453</v>
      </c>
      <c r="D47" s="22" t="s">
        <v>454</v>
      </c>
      <c r="E47" s="36">
        <v>303948</v>
      </c>
      <c r="F47" s="37">
        <v>3116.9867399999998</v>
      </c>
      <c r="G47" s="38">
        <v>1.1019030000000001E-2</v>
      </c>
      <c r="H47" s="29" t="s">
        <v>143</v>
      </c>
    </row>
    <row r="48" spans="1:8" ht="12.75" customHeight="1" x14ac:dyDescent="0.2">
      <c r="A48" s="35">
        <v>42</v>
      </c>
      <c r="B48" s="22" t="s">
        <v>117</v>
      </c>
      <c r="C48" s="22" t="s">
        <v>118</v>
      </c>
      <c r="D48" s="22" t="s">
        <v>64</v>
      </c>
      <c r="E48" s="36">
        <v>182448</v>
      </c>
      <c r="F48" s="37">
        <v>3076.2557280000001</v>
      </c>
      <c r="G48" s="38">
        <v>1.0875040000000001E-2</v>
      </c>
      <c r="H48" s="29" t="s">
        <v>143</v>
      </c>
    </row>
    <row r="49" spans="1:8" ht="12.75" customHeight="1" x14ac:dyDescent="0.2">
      <c r="A49" s="35">
        <v>43</v>
      </c>
      <c r="B49" s="22" t="s">
        <v>264</v>
      </c>
      <c r="C49" s="22" t="s">
        <v>265</v>
      </c>
      <c r="D49" s="22" t="s">
        <v>223</v>
      </c>
      <c r="E49" s="36">
        <v>285185</v>
      </c>
      <c r="F49" s="37">
        <v>2920.2944000000002</v>
      </c>
      <c r="G49" s="38">
        <v>1.032369E-2</v>
      </c>
      <c r="H49" s="29" t="s">
        <v>143</v>
      </c>
    </row>
    <row r="50" spans="1:8" ht="12.75" customHeight="1" x14ac:dyDescent="0.2">
      <c r="A50" s="35">
        <v>44</v>
      </c>
      <c r="B50" s="22" t="s">
        <v>228</v>
      </c>
      <c r="C50" s="22" t="s">
        <v>229</v>
      </c>
      <c r="D50" s="22" t="s">
        <v>230</v>
      </c>
      <c r="E50" s="36">
        <v>158846</v>
      </c>
      <c r="F50" s="37">
        <v>2860.4987679999999</v>
      </c>
      <c r="G50" s="38">
        <v>1.0112299999999999E-2</v>
      </c>
      <c r="H50" s="29" t="s">
        <v>143</v>
      </c>
    </row>
    <row r="51" spans="1:8" ht="12.75" customHeight="1" x14ac:dyDescent="0.2">
      <c r="A51" s="35">
        <v>45</v>
      </c>
      <c r="B51" s="22" t="s">
        <v>439</v>
      </c>
      <c r="C51" s="22" t="s">
        <v>440</v>
      </c>
      <c r="D51" s="22" t="s">
        <v>423</v>
      </c>
      <c r="E51" s="36">
        <v>113230</v>
      </c>
      <c r="F51" s="37">
        <v>2847.05512</v>
      </c>
      <c r="G51" s="38">
        <v>1.0064780000000001E-2</v>
      </c>
      <c r="H51" s="29" t="s">
        <v>143</v>
      </c>
    </row>
    <row r="52" spans="1:8" ht="12.75" customHeight="1" x14ac:dyDescent="0.2">
      <c r="A52" s="35">
        <v>46</v>
      </c>
      <c r="B52" s="22" t="s">
        <v>676</v>
      </c>
      <c r="C52" s="22" t="s">
        <v>677</v>
      </c>
      <c r="D52" s="22" t="s">
        <v>454</v>
      </c>
      <c r="E52" s="36">
        <v>44166</v>
      </c>
      <c r="F52" s="37">
        <v>2645.98506</v>
      </c>
      <c r="G52" s="38">
        <v>9.3539599999999997E-3</v>
      </c>
      <c r="H52" s="29" t="s">
        <v>143</v>
      </c>
    </row>
    <row r="53" spans="1:8" ht="12.75" customHeight="1" x14ac:dyDescent="0.2">
      <c r="A53" s="35">
        <v>47</v>
      </c>
      <c r="B53" s="22" t="s">
        <v>266</v>
      </c>
      <c r="C53" s="22" t="s">
        <v>267</v>
      </c>
      <c r="D53" s="22" t="s">
        <v>41</v>
      </c>
      <c r="E53" s="36">
        <v>569113</v>
      </c>
      <c r="F53" s="37">
        <v>2343.3227775</v>
      </c>
      <c r="G53" s="38">
        <v>8.2840099999999996E-3</v>
      </c>
      <c r="H53" s="29" t="s">
        <v>143</v>
      </c>
    </row>
    <row r="54" spans="1:8" ht="12.75" customHeight="1" x14ac:dyDescent="0.2">
      <c r="A54" s="35">
        <v>48</v>
      </c>
      <c r="B54" s="22" t="s">
        <v>51</v>
      </c>
      <c r="C54" s="22" t="s">
        <v>52</v>
      </c>
      <c r="D54" s="22" t="s">
        <v>53</v>
      </c>
      <c r="E54" s="36">
        <v>156942</v>
      </c>
      <c r="F54" s="37">
        <v>2202.6809699999999</v>
      </c>
      <c r="G54" s="38">
        <v>7.7868199999999999E-3</v>
      </c>
      <c r="H54" s="29" t="s">
        <v>143</v>
      </c>
    </row>
    <row r="55" spans="1:8" ht="12.75" customHeight="1" x14ac:dyDescent="0.2">
      <c r="A55" s="35">
        <v>49</v>
      </c>
      <c r="B55" s="22" t="s">
        <v>287</v>
      </c>
      <c r="C55" s="22" t="s">
        <v>288</v>
      </c>
      <c r="D55" s="22" t="s">
        <v>185</v>
      </c>
      <c r="E55" s="36">
        <v>62427</v>
      </c>
      <c r="F55" s="37">
        <v>2193.3726449999999</v>
      </c>
      <c r="G55" s="38">
        <v>7.7539100000000001E-3</v>
      </c>
      <c r="H55" s="29" t="s">
        <v>143</v>
      </c>
    </row>
    <row r="56" spans="1:8" ht="12.75" customHeight="1" x14ac:dyDescent="0.2">
      <c r="A56" s="35">
        <v>50</v>
      </c>
      <c r="B56" s="22" t="s">
        <v>475</v>
      </c>
      <c r="C56" s="22" t="s">
        <v>476</v>
      </c>
      <c r="D56" s="22" t="s">
        <v>477</v>
      </c>
      <c r="E56" s="36">
        <v>461952</v>
      </c>
      <c r="F56" s="37">
        <v>1864.900224</v>
      </c>
      <c r="G56" s="38">
        <v>6.5927099999999999E-3</v>
      </c>
      <c r="H56" s="29" t="s">
        <v>143</v>
      </c>
    </row>
    <row r="57" spans="1:8" ht="12.75" customHeight="1" x14ac:dyDescent="0.2">
      <c r="A57" s="35">
        <v>51</v>
      </c>
      <c r="B57" s="22" t="s">
        <v>750</v>
      </c>
      <c r="C57" s="22" t="s">
        <v>751</v>
      </c>
      <c r="D57" s="22" t="s">
        <v>284</v>
      </c>
      <c r="E57" s="36">
        <v>268075</v>
      </c>
      <c r="F57" s="37">
        <v>1807.2276125000001</v>
      </c>
      <c r="G57" s="38">
        <v>6.3888299999999999E-3</v>
      </c>
      <c r="H57" s="29" t="s">
        <v>143</v>
      </c>
    </row>
    <row r="58" spans="1:8" ht="12.75" customHeight="1" x14ac:dyDescent="0.2">
      <c r="A58" s="35">
        <v>52</v>
      </c>
      <c r="B58" s="22" t="s">
        <v>752</v>
      </c>
      <c r="C58" s="22" t="s">
        <v>753</v>
      </c>
      <c r="D58" s="22" t="s">
        <v>220</v>
      </c>
      <c r="E58" s="36">
        <v>438877</v>
      </c>
      <c r="F58" s="37">
        <v>1805.7594165</v>
      </c>
      <c r="G58" s="38">
        <v>6.3836400000000003E-3</v>
      </c>
      <c r="H58" s="29" t="s">
        <v>143</v>
      </c>
    </row>
    <row r="59" spans="1:8" ht="12.75" customHeight="1" x14ac:dyDescent="0.2">
      <c r="A59" s="35">
        <v>53</v>
      </c>
      <c r="B59" s="22" t="s">
        <v>207</v>
      </c>
      <c r="C59" s="22" t="s">
        <v>208</v>
      </c>
      <c r="D59" s="22" t="s">
        <v>46</v>
      </c>
      <c r="E59" s="36">
        <v>373055</v>
      </c>
      <c r="F59" s="37">
        <v>1694.788865</v>
      </c>
      <c r="G59" s="38">
        <v>5.9913400000000004E-3</v>
      </c>
      <c r="H59" s="29" t="s">
        <v>143</v>
      </c>
    </row>
    <row r="60" spans="1:8" ht="12.75" customHeight="1" x14ac:dyDescent="0.2">
      <c r="A60" s="35">
        <v>54</v>
      </c>
      <c r="B60" s="22" t="s">
        <v>469</v>
      </c>
      <c r="C60" s="22" t="s">
        <v>470</v>
      </c>
      <c r="D60" s="22" t="s">
        <v>284</v>
      </c>
      <c r="E60" s="36">
        <v>100775</v>
      </c>
      <c r="F60" s="37">
        <v>1319.447075</v>
      </c>
      <c r="G60" s="38">
        <v>4.6644499999999997E-3</v>
      </c>
      <c r="H60" s="29" t="s">
        <v>143</v>
      </c>
    </row>
    <row r="61" spans="1:8" ht="12.75" customHeight="1" x14ac:dyDescent="0.2">
      <c r="A61" s="35">
        <v>55</v>
      </c>
      <c r="B61" s="22" t="s">
        <v>473</v>
      </c>
      <c r="C61" s="22" t="s">
        <v>474</v>
      </c>
      <c r="D61" s="22" t="s">
        <v>138</v>
      </c>
      <c r="E61" s="36">
        <v>67627</v>
      </c>
      <c r="F61" s="37">
        <v>1278.8941970000001</v>
      </c>
      <c r="G61" s="38">
        <v>4.5210900000000002E-3</v>
      </c>
      <c r="H61" s="29" t="s">
        <v>143</v>
      </c>
    </row>
    <row r="62" spans="1:8" ht="12.75" customHeight="1" x14ac:dyDescent="0.2">
      <c r="A62" s="35">
        <v>56</v>
      </c>
      <c r="B62" s="22" t="s">
        <v>218</v>
      </c>
      <c r="C62" s="22" t="s">
        <v>219</v>
      </c>
      <c r="D62" s="22" t="s">
        <v>220</v>
      </c>
      <c r="E62" s="36">
        <v>62771</v>
      </c>
      <c r="F62" s="37">
        <v>1068.3624199999999</v>
      </c>
      <c r="G62" s="38">
        <v>3.7768300000000001E-3</v>
      </c>
      <c r="H62" s="29" t="s">
        <v>143</v>
      </c>
    </row>
    <row r="63" spans="1:8" ht="12.75" customHeight="1" x14ac:dyDescent="0.2">
      <c r="A63" s="35">
        <v>57</v>
      </c>
      <c r="B63" s="22" t="s">
        <v>95</v>
      </c>
      <c r="C63" s="22" t="s">
        <v>96</v>
      </c>
      <c r="D63" s="22" t="s">
        <v>41</v>
      </c>
      <c r="E63" s="36">
        <v>22462</v>
      </c>
      <c r="F63" s="37">
        <v>945.38065600000004</v>
      </c>
      <c r="G63" s="38">
        <v>3.3420699999999999E-3</v>
      </c>
      <c r="H63" s="29" t="s">
        <v>143</v>
      </c>
    </row>
    <row r="64" spans="1:8" ht="12.75" customHeight="1" x14ac:dyDescent="0.2">
      <c r="A64" s="35">
        <v>58</v>
      </c>
      <c r="B64" s="22" t="s">
        <v>311</v>
      </c>
      <c r="C64" s="22" t="s">
        <v>312</v>
      </c>
      <c r="D64" s="22" t="s">
        <v>194</v>
      </c>
      <c r="E64" s="36">
        <v>38655</v>
      </c>
      <c r="F64" s="37">
        <v>769.85298</v>
      </c>
      <c r="G64" s="38">
        <v>2.7215500000000001E-3</v>
      </c>
      <c r="H64" s="29" t="s">
        <v>143</v>
      </c>
    </row>
    <row r="65" spans="1:8" ht="12.75" customHeight="1" x14ac:dyDescent="0.2">
      <c r="A65" s="35">
        <v>59</v>
      </c>
      <c r="B65" s="22" t="s">
        <v>36</v>
      </c>
      <c r="C65" s="22" t="s">
        <v>37</v>
      </c>
      <c r="D65" s="22" t="s">
        <v>38</v>
      </c>
      <c r="E65" s="36">
        <v>25094</v>
      </c>
      <c r="F65" s="37">
        <v>742.90787</v>
      </c>
      <c r="G65" s="38">
        <v>2.6262899999999999E-3</v>
      </c>
      <c r="H65" s="29" t="s">
        <v>143</v>
      </c>
    </row>
    <row r="66" spans="1:8" ht="12.75" customHeight="1" x14ac:dyDescent="0.2">
      <c r="A66" s="35">
        <v>60</v>
      </c>
      <c r="B66" s="22" t="s">
        <v>221</v>
      </c>
      <c r="C66" s="22" t="s">
        <v>222</v>
      </c>
      <c r="D66" s="22" t="s">
        <v>223</v>
      </c>
      <c r="E66" s="36">
        <v>32547</v>
      </c>
      <c r="F66" s="37">
        <v>664.02389400000004</v>
      </c>
      <c r="G66" s="38">
        <v>2.3474300000000002E-3</v>
      </c>
      <c r="H66" s="29" t="s">
        <v>143</v>
      </c>
    </row>
    <row r="67" spans="1:8" ht="12.75" customHeight="1" x14ac:dyDescent="0.2">
      <c r="A67" s="35">
        <v>61</v>
      </c>
      <c r="B67" s="22" t="s">
        <v>54</v>
      </c>
      <c r="C67" s="22" t="s">
        <v>55</v>
      </c>
      <c r="D67" s="22" t="s">
        <v>56</v>
      </c>
      <c r="E67" s="36">
        <v>10490</v>
      </c>
      <c r="F67" s="37">
        <v>586.86305000000004</v>
      </c>
      <c r="G67" s="38">
        <v>2.0746499999999999E-3</v>
      </c>
      <c r="H67" s="29" t="s">
        <v>143</v>
      </c>
    </row>
    <row r="68" spans="1:8" ht="12.75" customHeight="1" x14ac:dyDescent="0.2">
      <c r="A68" s="35">
        <v>62</v>
      </c>
      <c r="B68" s="22" t="s">
        <v>482</v>
      </c>
      <c r="C68" s="22" t="s">
        <v>483</v>
      </c>
      <c r="D68" s="22" t="s">
        <v>259</v>
      </c>
      <c r="E68" s="36">
        <v>48302</v>
      </c>
      <c r="F68" s="37">
        <v>553.63752399999998</v>
      </c>
      <c r="G68" s="38">
        <v>1.9571900000000001E-3</v>
      </c>
      <c r="H68" s="29" t="s">
        <v>143</v>
      </c>
    </row>
    <row r="69" spans="1:8" ht="12.75" customHeight="1" x14ac:dyDescent="0.2">
      <c r="A69" s="35">
        <v>63</v>
      </c>
      <c r="B69" s="22" t="s">
        <v>71</v>
      </c>
      <c r="C69" s="22" t="s">
        <v>72</v>
      </c>
      <c r="D69" s="22" t="s">
        <v>41</v>
      </c>
      <c r="E69" s="36">
        <v>1958</v>
      </c>
      <c r="F69" s="37">
        <v>252.6799</v>
      </c>
      <c r="G69" s="38">
        <v>8.9326E-4</v>
      </c>
      <c r="H69" s="29" t="s">
        <v>143</v>
      </c>
    </row>
    <row r="70" spans="1:8" ht="12.75" customHeight="1" x14ac:dyDescent="0.2">
      <c r="A70" s="39"/>
      <c r="B70" s="39"/>
      <c r="C70" s="40" t="s">
        <v>142</v>
      </c>
      <c r="D70" s="39"/>
      <c r="E70" s="39" t="s">
        <v>143</v>
      </c>
      <c r="F70" s="41">
        <f>SUM(F7:F69)</f>
        <v>274102.4603648</v>
      </c>
      <c r="G70" s="42">
        <f>SUM(G7:G69)</f>
        <v>0.96899437999999982</v>
      </c>
      <c r="H70" s="29" t="s">
        <v>143</v>
      </c>
    </row>
    <row r="71" spans="1:8" ht="12.75" customHeight="1" x14ac:dyDescent="0.2">
      <c r="A71" s="39"/>
      <c r="B71" s="39"/>
      <c r="C71" s="43"/>
      <c r="D71" s="39"/>
      <c r="E71" s="39"/>
      <c r="F71" s="44"/>
      <c r="G71" s="44"/>
      <c r="H71" s="29" t="s">
        <v>143</v>
      </c>
    </row>
    <row r="72" spans="1:8" ht="12.75" customHeight="1" x14ac:dyDescent="0.2">
      <c r="A72" s="39"/>
      <c r="B72" s="39"/>
      <c r="C72" s="40" t="s">
        <v>144</v>
      </c>
      <c r="D72" s="39"/>
      <c r="E72" s="39"/>
      <c r="F72" s="39"/>
      <c r="G72" s="39"/>
      <c r="H72" s="29" t="s">
        <v>143</v>
      </c>
    </row>
    <row r="73" spans="1:8" ht="12.75" customHeight="1" x14ac:dyDescent="0.2">
      <c r="A73" s="39"/>
      <c r="B73" s="39"/>
      <c r="C73" s="40" t="s">
        <v>142</v>
      </c>
      <c r="D73" s="39"/>
      <c r="E73" s="39" t="s">
        <v>143</v>
      </c>
      <c r="F73" s="45" t="s">
        <v>145</v>
      </c>
      <c r="G73" s="42">
        <v>0</v>
      </c>
      <c r="H73" s="29" t="s">
        <v>143</v>
      </c>
    </row>
    <row r="74" spans="1:8" ht="12.75" customHeight="1" x14ac:dyDescent="0.2">
      <c r="A74" s="39"/>
      <c r="B74" s="39"/>
      <c r="C74" s="43"/>
      <c r="D74" s="39"/>
      <c r="E74" s="39"/>
      <c r="F74" s="44"/>
      <c r="G74" s="44"/>
      <c r="H74" s="29" t="s">
        <v>143</v>
      </c>
    </row>
    <row r="75" spans="1:8" ht="12.75" customHeight="1" x14ac:dyDescent="0.2">
      <c r="A75" s="39"/>
      <c r="B75" s="39"/>
      <c r="C75" s="40" t="s">
        <v>146</v>
      </c>
      <c r="D75" s="39"/>
      <c r="E75" s="39"/>
      <c r="F75" s="39"/>
      <c r="G75" s="39"/>
      <c r="H75" s="29" t="s">
        <v>143</v>
      </c>
    </row>
    <row r="76" spans="1:8" ht="12.75" customHeight="1" x14ac:dyDescent="0.2">
      <c r="A76" s="35">
        <v>1</v>
      </c>
      <c r="B76" s="22" t="s">
        <v>533</v>
      </c>
      <c r="C76" s="31" t="s">
        <v>971</v>
      </c>
      <c r="D76" s="22" t="s">
        <v>206</v>
      </c>
      <c r="E76" s="36">
        <v>511578</v>
      </c>
      <c r="F76" s="37">
        <v>76.071648600000003</v>
      </c>
      <c r="G76" s="38">
        <v>2.6893000000000002E-4</v>
      </c>
      <c r="H76" s="29" t="s">
        <v>143</v>
      </c>
    </row>
    <row r="77" spans="1:8" ht="12.75" customHeight="1" x14ac:dyDescent="0.2">
      <c r="A77" s="35">
        <v>2</v>
      </c>
      <c r="B77" s="22" t="s">
        <v>754</v>
      </c>
      <c r="C77" s="31" t="s">
        <v>1104</v>
      </c>
      <c r="D77" s="22" t="s">
        <v>223</v>
      </c>
      <c r="E77" s="36">
        <v>39500</v>
      </c>
      <c r="F77" s="37">
        <v>9.1876999999999995</v>
      </c>
      <c r="G77" s="38">
        <v>3.2480000000000001E-5</v>
      </c>
      <c r="H77" s="29" t="s">
        <v>143</v>
      </c>
    </row>
    <row r="78" spans="1:8" ht="12.75" customHeight="1" x14ac:dyDescent="0.2">
      <c r="A78" s="35">
        <v>3</v>
      </c>
      <c r="B78" s="22" t="s">
        <v>761</v>
      </c>
      <c r="C78" s="31" t="s">
        <v>1105</v>
      </c>
      <c r="D78" s="22"/>
      <c r="E78" s="36">
        <v>54000</v>
      </c>
      <c r="F78" s="37">
        <v>5.4000000000000002E-7</v>
      </c>
      <c r="G78" s="46" t="s">
        <v>141</v>
      </c>
      <c r="H78" s="29" t="s">
        <v>143</v>
      </c>
    </row>
    <row r="79" spans="1:8" ht="12.75" customHeight="1" x14ac:dyDescent="0.2">
      <c r="A79" s="35">
        <v>4</v>
      </c>
      <c r="B79" s="22" t="s">
        <v>756</v>
      </c>
      <c r="C79" s="31" t="s">
        <v>1106</v>
      </c>
      <c r="D79" s="22"/>
      <c r="E79" s="36">
        <v>200</v>
      </c>
      <c r="F79" s="37">
        <v>2.0000000000000001E-9</v>
      </c>
      <c r="G79" s="46" t="s">
        <v>141</v>
      </c>
      <c r="H79" s="29" t="s">
        <v>143</v>
      </c>
    </row>
    <row r="80" spans="1:8" ht="12.75" customHeight="1" x14ac:dyDescent="0.2">
      <c r="A80" s="35">
        <v>5</v>
      </c>
      <c r="B80" s="22" t="s">
        <v>762</v>
      </c>
      <c r="C80" s="31" t="s">
        <v>1107</v>
      </c>
      <c r="D80" s="22"/>
      <c r="E80" s="36">
        <v>176305</v>
      </c>
      <c r="F80" s="37">
        <v>1.7630000000000001E-6</v>
      </c>
      <c r="G80" s="46" t="s">
        <v>141</v>
      </c>
      <c r="H80" s="29" t="s">
        <v>143</v>
      </c>
    </row>
    <row r="81" spans="1:8" ht="12.75" customHeight="1" x14ac:dyDescent="0.2">
      <c r="A81" s="35">
        <v>6</v>
      </c>
      <c r="B81" s="22" t="s">
        <v>755</v>
      </c>
      <c r="C81" s="31" t="s">
        <v>1108</v>
      </c>
      <c r="D81" s="22"/>
      <c r="E81" s="36">
        <v>93200</v>
      </c>
      <c r="F81" s="37">
        <v>9.3200000000000003E-7</v>
      </c>
      <c r="G81" s="46" t="s">
        <v>141</v>
      </c>
      <c r="H81" s="29" t="s">
        <v>143</v>
      </c>
    </row>
    <row r="82" spans="1:8" ht="12.75" customHeight="1" x14ac:dyDescent="0.2">
      <c r="A82" s="35">
        <v>7</v>
      </c>
      <c r="B82" s="22" t="s">
        <v>757</v>
      </c>
      <c r="C82" s="31" t="s">
        <v>1109</v>
      </c>
      <c r="D82" s="22" t="s">
        <v>758</v>
      </c>
      <c r="E82" s="36">
        <v>200000</v>
      </c>
      <c r="F82" s="37">
        <v>1.9999999999999999E-6</v>
      </c>
      <c r="G82" s="46" t="s">
        <v>141</v>
      </c>
      <c r="H82" s="29" t="s">
        <v>143</v>
      </c>
    </row>
    <row r="83" spans="1:8" ht="12.75" customHeight="1" x14ac:dyDescent="0.2">
      <c r="A83" s="35">
        <v>8</v>
      </c>
      <c r="B83" s="22" t="s">
        <v>759</v>
      </c>
      <c r="C83" s="31" t="s">
        <v>1110</v>
      </c>
      <c r="D83" s="22" t="s">
        <v>760</v>
      </c>
      <c r="E83" s="36">
        <v>50800</v>
      </c>
      <c r="F83" s="37">
        <v>5.0800000000000005E-7</v>
      </c>
      <c r="G83" s="46" t="s">
        <v>141</v>
      </c>
      <c r="H83" s="29" t="s">
        <v>143</v>
      </c>
    </row>
    <row r="84" spans="1:8" ht="12.75" customHeight="1" x14ac:dyDescent="0.2">
      <c r="A84" s="39"/>
      <c r="B84" s="39"/>
      <c r="C84" s="40" t="s">
        <v>142</v>
      </c>
      <c r="D84" s="39"/>
      <c r="E84" s="39" t="s">
        <v>143</v>
      </c>
      <c r="F84" s="41">
        <f>SUM(F76:F83)</f>
        <v>85.259354345000006</v>
      </c>
      <c r="G84" s="42">
        <f>SUM(G76:G83)</f>
        <v>3.0141E-4</v>
      </c>
      <c r="H84" s="29" t="s">
        <v>143</v>
      </c>
    </row>
    <row r="85" spans="1:8" ht="12.75" customHeight="1" x14ac:dyDescent="0.2">
      <c r="A85" s="39"/>
      <c r="B85" s="39"/>
      <c r="C85" s="43"/>
      <c r="D85" s="39"/>
      <c r="E85" s="39"/>
      <c r="F85" s="44"/>
      <c r="G85" s="44"/>
      <c r="H85" s="29" t="s">
        <v>143</v>
      </c>
    </row>
    <row r="86" spans="1:8" ht="12.75" customHeight="1" x14ac:dyDescent="0.2">
      <c r="A86" s="39"/>
      <c r="B86" s="39"/>
      <c r="C86" s="40" t="s">
        <v>147</v>
      </c>
      <c r="D86" s="39"/>
      <c r="E86" s="39"/>
      <c r="F86" s="39"/>
      <c r="G86" s="39"/>
      <c r="H86" s="29" t="s">
        <v>143</v>
      </c>
    </row>
    <row r="87" spans="1:8" ht="12.75" customHeight="1" x14ac:dyDescent="0.2">
      <c r="A87" s="39"/>
      <c r="B87" s="39"/>
      <c r="C87" s="40" t="s">
        <v>142</v>
      </c>
      <c r="D87" s="39"/>
      <c r="E87" s="39" t="s">
        <v>143</v>
      </c>
      <c r="F87" s="45" t="s">
        <v>145</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148</v>
      </c>
      <c r="D89" s="39"/>
      <c r="E89" s="39"/>
      <c r="F89" s="44"/>
      <c r="G89" s="44"/>
      <c r="H89" s="29" t="s">
        <v>143</v>
      </c>
    </row>
    <row r="90" spans="1:8" ht="12.75" customHeight="1" x14ac:dyDescent="0.2">
      <c r="A90" s="39"/>
      <c r="B90" s="39"/>
      <c r="C90" s="40" t="s">
        <v>142</v>
      </c>
      <c r="D90" s="39"/>
      <c r="E90" s="39" t="s">
        <v>143</v>
      </c>
      <c r="F90" s="45" t="s">
        <v>145</v>
      </c>
      <c r="G90" s="42">
        <v>0</v>
      </c>
      <c r="H90" s="29" t="s">
        <v>143</v>
      </c>
    </row>
    <row r="91" spans="1:8" ht="12.75" customHeight="1" x14ac:dyDescent="0.2">
      <c r="A91" s="39"/>
      <c r="B91" s="39"/>
      <c r="C91" s="43"/>
      <c r="D91" s="39"/>
      <c r="E91" s="39"/>
      <c r="F91" s="44"/>
      <c r="G91" s="44"/>
      <c r="H91" s="29" t="s">
        <v>143</v>
      </c>
    </row>
    <row r="92" spans="1:8" ht="12.75" customHeight="1" x14ac:dyDescent="0.2">
      <c r="A92" s="39"/>
      <c r="B92" s="39"/>
      <c r="C92" s="40" t="s">
        <v>149</v>
      </c>
      <c r="D92" s="39"/>
      <c r="E92" s="39"/>
      <c r="F92" s="44"/>
      <c r="G92" s="44"/>
      <c r="H92" s="29" t="s">
        <v>143</v>
      </c>
    </row>
    <row r="93" spans="1:8" ht="12.75" customHeight="1" x14ac:dyDescent="0.2">
      <c r="A93" s="39"/>
      <c r="B93" s="39"/>
      <c r="C93" s="40" t="s">
        <v>142</v>
      </c>
      <c r="D93" s="39"/>
      <c r="E93" s="39" t="s">
        <v>143</v>
      </c>
      <c r="F93" s="45" t="s">
        <v>145</v>
      </c>
      <c r="G93" s="42">
        <v>0</v>
      </c>
      <c r="H93" s="29" t="s">
        <v>143</v>
      </c>
    </row>
    <row r="94" spans="1:8" ht="12.75" customHeight="1" x14ac:dyDescent="0.2">
      <c r="A94" s="39"/>
      <c r="B94" s="39"/>
      <c r="C94" s="43"/>
      <c r="D94" s="39"/>
      <c r="E94" s="39"/>
      <c r="F94" s="44"/>
      <c r="G94" s="44"/>
      <c r="H94" s="29" t="s">
        <v>143</v>
      </c>
    </row>
    <row r="95" spans="1:8" ht="12.75" customHeight="1" x14ac:dyDescent="0.2">
      <c r="A95" s="39"/>
      <c r="B95" s="39"/>
      <c r="C95" s="40" t="s">
        <v>150</v>
      </c>
      <c r="D95" s="39"/>
      <c r="E95" s="39"/>
      <c r="F95" s="41">
        <v>274187.71971914498</v>
      </c>
      <c r="G95" s="42">
        <v>0.96929578999999999</v>
      </c>
      <c r="H95" s="29" t="s">
        <v>143</v>
      </c>
    </row>
    <row r="96" spans="1:8" ht="12.75" customHeight="1" x14ac:dyDescent="0.2">
      <c r="A96" s="39"/>
      <c r="B96" s="39"/>
      <c r="C96" s="43"/>
      <c r="D96" s="39"/>
      <c r="E96" s="39"/>
      <c r="F96" s="44"/>
      <c r="G96" s="44"/>
      <c r="H96" s="29" t="s">
        <v>143</v>
      </c>
    </row>
    <row r="97" spans="1:8" ht="12.75" customHeight="1" x14ac:dyDescent="0.2">
      <c r="A97" s="39"/>
      <c r="B97" s="39"/>
      <c r="C97" s="40" t="s">
        <v>151</v>
      </c>
      <c r="D97" s="39"/>
      <c r="E97" s="39"/>
      <c r="F97" s="44"/>
      <c r="G97" s="44"/>
      <c r="H97" s="29" t="s">
        <v>143</v>
      </c>
    </row>
    <row r="98" spans="1:8" ht="12.75" customHeight="1" x14ac:dyDescent="0.2">
      <c r="A98" s="39"/>
      <c r="B98" s="39"/>
      <c r="C98" s="40" t="s">
        <v>10</v>
      </c>
      <c r="D98" s="39"/>
      <c r="E98" s="39"/>
      <c r="F98" s="44"/>
      <c r="G98" s="44"/>
      <c r="H98" s="29" t="s">
        <v>143</v>
      </c>
    </row>
    <row r="99" spans="1:8" ht="12.75" customHeight="1" x14ac:dyDescent="0.2">
      <c r="A99" s="39"/>
      <c r="B99" s="39"/>
      <c r="C99" s="40" t="s">
        <v>142</v>
      </c>
      <c r="D99" s="39"/>
      <c r="E99" s="39" t="s">
        <v>143</v>
      </c>
      <c r="F99" s="45" t="s">
        <v>145</v>
      </c>
      <c r="G99" s="42">
        <v>0</v>
      </c>
      <c r="H99" s="29" t="s">
        <v>143</v>
      </c>
    </row>
    <row r="100" spans="1:8" ht="12.75" customHeight="1" x14ac:dyDescent="0.2">
      <c r="A100" s="39"/>
      <c r="B100" s="39"/>
      <c r="C100" s="43"/>
      <c r="D100" s="39"/>
      <c r="E100" s="39"/>
      <c r="F100" s="44"/>
      <c r="G100" s="44"/>
      <c r="H100" s="29" t="s">
        <v>143</v>
      </c>
    </row>
    <row r="101" spans="1:8" ht="12.75" customHeight="1" x14ac:dyDescent="0.2">
      <c r="A101" s="39"/>
      <c r="B101" s="39"/>
      <c r="C101" s="40" t="s">
        <v>152</v>
      </c>
      <c r="D101" s="39"/>
      <c r="E101" s="39"/>
      <c r="F101" s="39"/>
      <c r="G101" s="39"/>
      <c r="H101" s="29" t="s">
        <v>143</v>
      </c>
    </row>
    <row r="102" spans="1:8" ht="12.75" customHeight="1" x14ac:dyDescent="0.2">
      <c r="A102" s="39"/>
      <c r="B102" s="39"/>
      <c r="C102" s="40" t="s">
        <v>142</v>
      </c>
      <c r="D102" s="39"/>
      <c r="E102" s="39" t="s">
        <v>143</v>
      </c>
      <c r="F102" s="45" t="s">
        <v>145</v>
      </c>
      <c r="G102" s="42">
        <v>0</v>
      </c>
      <c r="H102" s="29" t="s">
        <v>143</v>
      </c>
    </row>
    <row r="103" spans="1:8" ht="12.75" customHeight="1" x14ac:dyDescent="0.2">
      <c r="A103" s="39"/>
      <c r="B103" s="39"/>
      <c r="C103" s="43"/>
      <c r="D103" s="39"/>
      <c r="E103" s="39"/>
      <c r="F103" s="44"/>
      <c r="G103" s="44"/>
      <c r="H103" s="29" t="s">
        <v>143</v>
      </c>
    </row>
    <row r="104" spans="1:8" ht="12.75" customHeight="1" x14ac:dyDescent="0.2">
      <c r="A104" s="39"/>
      <c r="B104" s="39"/>
      <c r="C104" s="40" t="s">
        <v>153</v>
      </c>
      <c r="D104" s="39"/>
      <c r="E104" s="39"/>
      <c r="F104" s="39"/>
      <c r="G104" s="39"/>
      <c r="H104" s="29" t="s">
        <v>143</v>
      </c>
    </row>
    <row r="105" spans="1:8" ht="12.75" customHeight="1" x14ac:dyDescent="0.2">
      <c r="A105" s="39"/>
      <c r="B105" s="39"/>
      <c r="C105" s="40" t="s">
        <v>142</v>
      </c>
      <c r="D105" s="39"/>
      <c r="E105" s="39" t="s">
        <v>143</v>
      </c>
      <c r="F105" s="45" t="s">
        <v>145</v>
      </c>
      <c r="G105" s="42">
        <v>0</v>
      </c>
      <c r="H105" s="29" t="s">
        <v>143</v>
      </c>
    </row>
    <row r="106" spans="1:8" ht="12.75" customHeight="1" x14ac:dyDescent="0.2">
      <c r="A106" s="39"/>
      <c r="B106" s="39"/>
      <c r="C106" s="43"/>
      <c r="D106" s="39"/>
      <c r="E106" s="39"/>
      <c r="F106" s="44"/>
      <c r="G106" s="44"/>
      <c r="H106" s="29" t="s">
        <v>143</v>
      </c>
    </row>
    <row r="107" spans="1:8" ht="12.75" customHeight="1" x14ac:dyDescent="0.2">
      <c r="A107" s="39"/>
      <c r="B107" s="39"/>
      <c r="C107" s="40" t="s">
        <v>154</v>
      </c>
      <c r="D107" s="39"/>
      <c r="E107" s="39"/>
      <c r="F107" s="44"/>
      <c r="G107" s="44"/>
      <c r="H107" s="29" t="s">
        <v>143</v>
      </c>
    </row>
    <row r="108" spans="1:8" ht="12.75" customHeight="1" x14ac:dyDescent="0.2">
      <c r="A108" s="39"/>
      <c r="B108" s="39"/>
      <c r="C108" s="40" t="s">
        <v>142</v>
      </c>
      <c r="D108" s="39"/>
      <c r="E108" s="39" t="s">
        <v>143</v>
      </c>
      <c r="F108" s="45" t="s">
        <v>145</v>
      </c>
      <c r="G108" s="42">
        <v>0</v>
      </c>
      <c r="H108" s="29" t="s">
        <v>143</v>
      </c>
    </row>
    <row r="109" spans="1:8" ht="12.75" customHeight="1" x14ac:dyDescent="0.2">
      <c r="A109" s="39"/>
      <c r="B109" s="39"/>
      <c r="C109" s="43"/>
      <c r="D109" s="39"/>
      <c r="E109" s="39"/>
      <c r="F109" s="44"/>
      <c r="G109" s="44"/>
      <c r="H109" s="29" t="s">
        <v>143</v>
      </c>
    </row>
    <row r="110" spans="1:8" ht="12.75" customHeight="1" x14ac:dyDescent="0.2">
      <c r="A110" s="39"/>
      <c r="B110" s="39"/>
      <c r="C110" s="40" t="s">
        <v>155</v>
      </c>
      <c r="D110" s="39"/>
      <c r="E110" s="39"/>
      <c r="F110" s="41">
        <v>0</v>
      </c>
      <c r="G110" s="42">
        <v>0</v>
      </c>
      <c r="H110" s="29" t="s">
        <v>143</v>
      </c>
    </row>
    <row r="111" spans="1:8" ht="12.75" customHeight="1" x14ac:dyDescent="0.2">
      <c r="A111" s="39"/>
      <c r="B111" s="39"/>
      <c r="C111" s="43"/>
      <c r="D111" s="39"/>
      <c r="E111" s="39"/>
      <c r="F111" s="44"/>
      <c r="G111" s="44"/>
      <c r="H111" s="29" t="s">
        <v>143</v>
      </c>
    </row>
    <row r="112" spans="1:8" ht="12.75" customHeight="1" x14ac:dyDescent="0.2">
      <c r="A112" s="39"/>
      <c r="B112" s="39"/>
      <c r="C112" s="40" t="s">
        <v>156</v>
      </c>
      <c r="D112" s="39"/>
      <c r="E112" s="39"/>
      <c r="F112" s="44"/>
      <c r="G112" s="44"/>
      <c r="H112" s="29" t="s">
        <v>143</v>
      </c>
    </row>
    <row r="113" spans="1:8" ht="12.75" customHeight="1" x14ac:dyDescent="0.2">
      <c r="A113" s="39"/>
      <c r="B113" s="39"/>
      <c r="C113" s="40" t="s">
        <v>157</v>
      </c>
      <c r="D113" s="39"/>
      <c r="E113" s="39"/>
      <c r="F113" s="44"/>
      <c r="G113" s="44"/>
      <c r="H113" s="29" t="s">
        <v>143</v>
      </c>
    </row>
    <row r="114" spans="1:8" ht="12.75" customHeight="1" x14ac:dyDescent="0.2">
      <c r="A114" s="39"/>
      <c r="B114" s="39"/>
      <c r="C114" s="40" t="s">
        <v>142</v>
      </c>
      <c r="D114" s="39"/>
      <c r="E114" s="39" t="s">
        <v>143</v>
      </c>
      <c r="F114" s="45" t="s">
        <v>145</v>
      </c>
      <c r="G114" s="42">
        <v>0</v>
      </c>
      <c r="H114" s="29" t="s">
        <v>143</v>
      </c>
    </row>
    <row r="115" spans="1:8" ht="12.75" customHeight="1" x14ac:dyDescent="0.2">
      <c r="A115" s="39"/>
      <c r="B115" s="39"/>
      <c r="C115" s="43"/>
      <c r="D115" s="39"/>
      <c r="E115" s="39"/>
      <c r="F115" s="44"/>
      <c r="G115" s="44"/>
      <c r="H115" s="29" t="s">
        <v>143</v>
      </c>
    </row>
    <row r="116" spans="1:8" ht="12.75" customHeight="1" x14ac:dyDescent="0.2">
      <c r="A116" s="39"/>
      <c r="B116" s="39"/>
      <c r="C116" s="40" t="s">
        <v>158</v>
      </c>
      <c r="D116" s="39"/>
      <c r="E116" s="39"/>
      <c r="F116" s="44"/>
      <c r="G116" s="44"/>
      <c r="H116" s="29" t="s">
        <v>143</v>
      </c>
    </row>
    <row r="117" spans="1:8" ht="12.75" customHeight="1" x14ac:dyDescent="0.2">
      <c r="A117" s="39"/>
      <c r="B117" s="39"/>
      <c r="C117" s="40" t="s">
        <v>142</v>
      </c>
      <c r="D117" s="39"/>
      <c r="E117" s="39" t="s">
        <v>143</v>
      </c>
      <c r="F117" s="45" t="s">
        <v>145</v>
      </c>
      <c r="G117" s="42">
        <v>0</v>
      </c>
      <c r="H117" s="29" t="s">
        <v>143</v>
      </c>
    </row>
    <row r="118" spans="1:8" ht="12.75" customHeight="1" x14ac:dyDescent="0.2">
      <c r="A118" s="39"/>
      <c r="B118" s="39"/>
      <c r="C118" s="43"/>
      <c r="D118" s="39"/>
      <c r="E118" s="39"/>
      <c r="F118" s="44"/>
      <c r="G118" s="44"/>
      <c r="H118" s="29" t="s">
        <v>143</v>
      </c>
    </row>
    <row r="119" spans="1:8" ht="12.75" customHeight="1" x14ac:dyDescent="0.2">
      <c r="A119" s="39"/>
      <c r="B119" s="39"/>
      <c r="C119" s="40" t="s">
        <v>159</v>
      </c>
      <c r="D119" s="39"/>
      <c r="E119" s="39"/>
      <c r="F119" s="44"/>
      <c r="G119" s="44"/>
      <c r="H119" s="29" t="s">
        <v>143</v>
      </c>
    </row>
    <row r="120" spans="1:8" ht="12.75" customHeight="1" x14ac:dyDescent="0.2">
      <c r="A120" s="39"/>
      <c r="B120" s="39"/>
      <c r="C120" s="40" t="s">
        <v>142</v>
      </c>
      <c r="D120" s="39"/>
      <c r="E120" s="39" t="s">
        <v>143</v>
      </c>
      <c r="F120" s="45" t="s">
        <v>145</v>
      </c>
      <c r="G120" s="42">
        <v>0</v>
      </c>
      <c r="H120" s="29" t="s">
        <v>143</v>
      </c>
    </row>
    <row r="121" spans="1:8" ht="12.75" customHeight="1" x14ac:dyDescent="0.2">
      <c r="A121" s="39"/>
      <c r="B121" s="39"/>
      <c r="C121" s="43"/>
      <c r="D121" s="39"/>
      <c r="E121" s="39"/>
      <c r="F121" s="44"/>
      <c r="G121" s="44"/>
      <c r="H121" s="29" t="s">
        <v>143</v>
      </c>
    </row>
    <row r="122" spans="1:8" ht="12.75" customHeight="1" x14ac:dyDescent="0.2">
      <c r="A122" s="39"/>
      <c r="B122" s="39"/>
      <c r="C122" s="40" t="s">
        <v>160</v>
      </c>
      <c r="D122" s="39"/>
      <c r="E122" s="39"/>
      <c r="F122" s="44"/>
      <c r="G122" s="44"/>
      <c r="H122" s="29" t="s">
        <v>143</v>
      </c>
    </row>
    <row r="123" spans="1:8" ht="12.75" customHeight="1" x14ac:dyDescent="0.2">
      <c r="A123" s="35">
        <v>1</v>
      </c>
      <c r="B123" s="22"/>
      <c r="C123" s="22" t="s">
        <v>161</v>
      </c>
      <c r="D123" s="22"/>
      <c r="E123" s="46"/>
      <c r="F123" s="37">
        <v>10509.851736995</v>
      </c>
      <c r="G123" s="38">
        <v>3.7153940000000003E-2</v>
      </c>
      <c r="H123" s="29">
        <v>5.51</v>
      </c>
    </row>
    <row r="124" spans="1:8" ht="12.75" customHeight="1" x14ac:dyDescent="0.2">
      <c r="A124" s="39"/>
      <c r="B124" s="39"/>
      <c r="C124" s="40" t="s">
        <v>142</v>
      </c>
      <c r="D124" s="39"/>
      <c r="E124" s="39" t="s">
        <v>143</v>
      </c>
      <c r="F124" s="41">
        <v>10509.851736995</v>
      </c>
      <c r="G124" s="42">
        <v>3.7153940000000003E-2</v>
      </c>
      <c r="H124" s="29" t="s">
        <v>143</v>
      </c>
    </row>
    <row r="125" spans="1:8" ht="12.75" customHeight="1" x14ac:dyDescent="0.2">
      <c r="A125" s="39"/>
      <c r="B125" s="39"/>
      <c r="C125" s="43"/>
      <c r="D125" s="39"/>
      <c r="E125" s="39"/>
      <c r="F125" s="44"/>
      <c r="G125" s="44"/>
      <c r="H125" s="29" t="s">
        <v>143</v>
      </c>
    </row>
    <row r="126" spans="1:8" ht="12.75" customHeight="1" x14ac:dyDescent="0.2">
      <c r="A126" s="39"/>
      <c r="B126" s="39"/>
      <c r="C126" s="40" t="s">
        <v>162</v>
      </c>
      <c r="D126" s="39"/>
      <c r="E126" s="39"/>
      <c r="F126" s="41">
        <v>10509.851736995</v>
      </c>
      <c r="G126" s="42">
        <v>3.7153940000000003E-2</v>
      </c>
      <c r="H126" s="29" t="s">
        <v>143</v>
      </c>
    </row>
    <row r="127" spans="1:8" ht="12.75" customHeight="1" x14ac:dyDescent="0.2">
      <c r="A127" s="39"/>
      <c r="B127" s="39"/>
      <c r="C127" s="44"/>
      <c r="D127" s="39"/>
      <c r="E127" s="39"/>
      <c r="F127" s="39"/>
      <c r="G127" s="39"/>
      <c r="H127" s="29" t="s">
        <v>143</v>
      </c>
    </row>
    <row r="128" spans="1:8" ht="12.75" customHeight="1" x14ac:dyDescent="0.2">
      <c r="A128" s="39"/>
      <c r="B128" s="39"/>
      <c r="C128" s="40" t="s">
        <v>163</v>
      </c>
      <c r="D128" s="39"/>
      <c r="E128" s="39"/>
      <c r="F128" s="39"/>
      <c r="G128" s="39"/>
      <c r="H128" s="29" t="s">
        <v>143</v>
      </c>
    </row>
    <row r="129" spans="1:10" ht="12.75" customHeight="1" x14ac:dyDescent="0.2">
      <c r="A129" s="39"/>
      <c r="B129" s="39"/>
      <c r="C129" s="40" t="s">
        <v>164</v>
      </c>
      <c r="D129" s="39"/>
      <c r="E129" s="39"/>
      <c r="F129" s="39"/>
      <c r="G129" s="39"/>
      <c r="H129" s="29" t="s">
        <v>143</v>
      </c>
    </row>
    <row r="130" spans="1:10" ht="12.75" customHeight="1" x14ac:dyDescent="0.2">
      <c r="A130" s="39"/>
      <c r="B130" s="39"/>
      <c r="C130" s="40" t="s">
        <v>142</v>
      </c>
      <c r="D130" s="39"/>
      <c r="E130" s="39" t="s">
        <v>143</v>
      </c>
      <c r="F130" s="45" t="s">
        <v>145</v>
      </c>
      <c r="G130" s="42">
        <v>0</v>
      </c>
      <c r="H130" s="29" t="s">
        <v>143</v>
      </c>
    </row>
    <row r="131" spans="1:10" ht="12.75" customHeight="1" x14ac:dyDescent="0.2">
      <c r="A131" s="39"/>
      <c r="B131" s="39"/>
      <c r="C131" s="43"/>
      <c r="D131" s="39"/>
      <c r="E131" s="39"/>
      <c r="F131" s="44"/>
      <c r="G131" s="44"/>
      <c r="H131" s="29" t="s">
        <v>143</v>
      </c>
    </row>
    <row r="132" spans="1:10" ht="12.75" customHeight="1" x14ac:dyDescent="0.2">
      <c r="A132" s="39"/>
      <c r="B132" s="39"/>
      <c r="C132" s="40" t="s">
        <v>165</v>
      </c>
      <c r="D132" s="39"/>
      <c r="E132" s="39"/>
      <c r="F132" s="39"/>
      <c r="G132" s="39"/>
      <c r="H132" s="29" t="s">
        <v>143</v>
      </c>
    </row>
    <row r="133" spans="1:10" ht="12.75" customHeight="1" x14ac:dyDescent="0.2">
      <c r="A133" s="39"/>
      <c r="B133" s="39"/>
      <c r="C133" s="40" t="s">
        <v>166</v>
      </c>
      <c r="D133" s="39"/>
      <c r="E133" s="39"/>
      <c r="F133" s="39"/>
      <c r="G133" s="39"/>
      <c r="H133" s="29" t="s">
        <v>143</v>
      </c>
    </row>
    <row r="134" spans="1:10" ht="12.75" customHeight="1" x14ac:dyDescent="0.2">
      <c r="A134" s="39"/>
      <c r="B134" s="39"/>
      <c r="C134" s="40" t="s">
        <v>142</v>
      </c>
      <c r="D134" s="39"/>
      <c r="E134" s="39" t="s">
        <v>143</v>
      </c>
      <c r="F134" s="45" t="s">
        <v>145</v>
      </c>
      <c r="G134" s="42">
        <v>0</v>
      </c>
      <c r="H134" s="29" t="s">
        <v>143</v>
      </c>
    </row>
    <row r="135" spans="1:10" ht="12.75" customHeight="1" x14ac:dyDescent="0.2">
      <c r="A135" s="39"/>
      <c r="B135" s="39"/>
      <c r="C135" s="43"/>
      <c r="D135" s="39"/>
      <c r="E135" s="39"/>
      <c r="F135" s="44"/>
      <c r="G135" s="44"/>
      <c r="H135" s="29" t="s">
        <v>143</v>
      </c>
    </row>
    <row r="136" spans="1:10" ht="12.75" customHeight="1" x14ac:dyDescent="0.2">
      <c r="A136" s="39"/>
      <c r="B136" s="39"/>
      <c r="C136" s="40" t="s">
        <v>167</v>
      </c>
      <c r="D136" s="39"/>
      <c r="E136" s="39"/>
      <c r="F136" s="44"/>
      <c r="G136" s="44"/>
      <c r="H136" s="29" t="s">
        <v>143</v>
      </c>
    </row>
    <row r="137" spans="1:10" ht="12.75" customHeight="1" x14ac:dyDescent="0.2">
      <c r="A137" s="39"/>
      <c r="B137" s="39"/>
      <c r="C137" s="40" t="s">
        <v>142</v>
      </c>
      <c r="D137" s="39"/>
      <c r="E137" s="39" t="s">
        <v>143</v>
      </c>
      <c r="F137" s="45" t="s">
        <v>145</v>
      </c>
      <c r="G137" s="42">
        <v>0</v>
      </c>
      <c r="H137" s="29" t="s">
        <v>143</v>
      </c>
    </row>
    <row r="138" spans="1:10" ht="12.75" customHeight="1" x14ac:dyDescent="0.2">
      <c r="A138" s="39"/>
      <c r="B138" s="39"/>
      <c r="C138" s="43"/>
      <c r="D138" s="39"/>
      <c r="E138" s="39"/>
      <c r="F138" s="44"/>
      <c r="G138" s="44"/>
      <c r="H138" s="29" t="s">
        <v>143</v>
      </c>
    </row>
    <row r="139" spans="1:10" ht="12.75" customHeight="1" x14ac:dyDescent="0.2">
      <c r="A139" s="46"/>
      <c r="B139" s="22"/>
      <c r="C139" s="22" t="s">
        <v>168</v>
      </c>
      <c r="D139" s="22"/>
      <c r="E139" s="46"/>
      <c r="F139" s="37">
        <v>-1824.4393964200001</v>
      </c>
      <c r="G139" s="38">
        <v>-6.4496700000000002E-3</v>
      </c>
      <c r="H139" s="29" t="s">
        <v>143</v>
      </c>
    </row>
    <row r="140" spans="1:10" ht="12.75" customHeight="1" x14ac:dyDescent="0.2">
      <c r="A140" s="43"/>
      <c r="B140" s="43"/>
      <c r="C140" s="40" t="s">
        <v>169</v>
      </c>
      <c r="D140" s="44"/>
      <c r="E140" s="44"/>
      <c r="F140" s="41">
        <v>282873.13205972</v>
      </c>
      <c r="G140" s="47">
        <v>1.0000000600000001</v>
      </c>
      <c r="H140" s="29" t="s">
        <v>143</v>
      </c>
    </row>
    <row r="141" spans="1:10" ht="12.75" customHeight="1" x14ac:dyDescent="0.2">
      <c r="A141" s="48"/>
      <c r="B141" s="48"/>
      <c r="C141" s="49"/>
      <c r="D141" s="50"/>
      <c r="E141" s="50"/>
      <c r="F141" s="51"/>
      <c r="G141" s="52"/>
      <c r="H141" s="53"/>
    </row>
    <row r="142" spans="1:10" x14ac:dyDescent="0.2">
      <c r="A142" s="54"/>
      <c r="B142" s="243" t="s">
        <v>945</v>
      </c>
      <c r="C142" s="243"/>
      <c r="D142" s="243"/>
      <c r="E142" s="243"/>
      <c r="F142" s="243"/>
      <c r="G142" s="243"/>
      <c r="H142" s="243"/>
      <c r="J142" s="56"/>
    </row>
    <row r="143" spans="1:10" x14ac:dyDescent="0.2">
      <c r="A143" s="54"/>
      <c r="B143" s="243" t="s">
        <v>946</v>
      </c>
      <c r="C143" s="243"/>
      <c r="D143" s="243"/>
      <c r="E143" s="243"/>
      <c r="F143" s="243"/>
      <c r="G143" s="243"/>
      <c r="H143" s="243"/>
      <c r="J143" s="56"/>
    </row>
    <row r="144" spans="1:10" x14ac:dyDescent="0.2">
      <c r="A144" s="54"/>
      <c r="B144" s="243" t="s">
        <v>947</v>
      </c>
      <c r="C144" s="243"/>
      <c r="D144" s="243"/>
      <c r="E144" s="243"/>
      <c r="F144" s="243"/>
      <c r="G144" s="243"/>
      <c r="H144" s="243"/>
      <c r="J144" s="56"/>
    </row>
    <row r="145" spans="1:17" s="58" customFormat="1" ht="66.75" customHeight="1" x14ac:dyDescent="0.25">
      <c r="A145" s="57"/>
      <c r="B145" s="244" t="s">
        <v>948</v>
      </c>
      <c r="C145" s="244"/>
      <c r="D145" s="244"/>
      <c r="E145" s="244"/>
      <c r="F145" s="244"/>
      <c r="G145" s="244"/>
      <c r="H145" s="244"/>
      <c r="I145"/>
      <c r="J145" s="56"/>
      <c r="K145"/>
      <c r="L145"/>
      <c r="M145"/>
      <c r="N145"/>
      <c r="O145"/>
      <c r="P145"/>
      <c r="Q145"/>
    </row>
    <row r="146" spans="1:17" x14ac:dyDescent="0.2">
      <c r="A146" s="54"/>
      <c r="B146" s="243" t="s">
        <v>949</v>
      </c>
      <c r="C146" s="243"/>
      <c r="D146" s="243"/>
      <c r="E146" s="243"/>
      <c r="F146" s="243"/>
      <c r="G146" s="243"/>
      <c r="H146" s="243"/>
      <c r="J146" s="56"/>
    </row>
    <row r="147" spans="1:17" x14ac:dyDescent="0.2">
      <c r="A147" s="54"/>
      <c r="B147" s="54"/>
      <c r="C147" s="54"/>
      <c r="D147" s="59"/>
      <c r="E147" s="59"/>
      <c r="F147" s="59"/>
      <c r="G147" s="59"/>
    </row>
    <row r="148" spans="1:17" x14ac:dyDescent="0.2">
      <c r="A148" s="54"/>
      <c r="B148" s="247" t="s">
        <v>170</v>
      </c>
      <c r="C148" s="248"/>
      <c r="D148" s="249"/>
      <c r="E148" s="60"/>
      <c r="F148" s="59"/>
      <c r="G148" s="59"/>
    </row>
    <row r="149" spans="1:17" ht="27.75" customHeight="1" x14ac:dyDescent="0.2">
      <c r="A149" s="54"/>
      <c r="B149" s="240" t="s">
        <v>171</v>
      </c>
      <c r="C149" s="241"/>
      <c r="D149" s="28" t="s">
        <v>1001</v>
      </c>
      <c r="E149" s="60"/>
      <c r="F149" s="59"/>
      <c r="G149" s="59"/>
    </row>
    <row r="150" spans="1:17" ht="12.75" customHeight="1" x14ac:dyDescent="0.2">
      <c r="A150" s="54"/>
      <c r="B150" s="240" t="s">
        <v>950</v>
      </c>
      <c r="C150" s="241"/>
      <c r="D150" s="28" t="str">
        <f>"Rs. "&amp;TEXT(F84,"0.00")&amp;" lacs/ "&amp;IF(ROUND((G84*100),2) = 0,"#",(TEXT((G84*100),"0.00")&amp;"%"))</f>
        <v>Rs. 85.26 lacs/ 0.03%</v>
      </c>
      <c r="E150" s="60"/>
      <c r="F150" s="59"/>
      <c r="G150" s="59"/>
    </row>
    <row r="151" spans="1:17" x14ac:dyDescent="0.2">
      <c r="A151" s="54"/>
      <c r="B151" s="240" t="s">
        <v>173</v>
      </c>
      <c r="C151" s="241"/>
      <c r="D151" s="61" t="s">
        <v>143</v>
      </c>
      <c r="E151" s="60"/>
      <c r="F151" s="59"/>
      <c r="G151" s="59"/>
    </row>
    <row r="152" spans="1:17" x14ac:dyDescent="0.2">
      <c r="A152" s="62"/>
      <c r="B152" s="63" t="s">
        <v>143</v>
      </c>
      <c r="C152" s="63" t="s">
        <v>951</v>
      </c>
      <c r="D152" s="63" t="s">
        <v>174</v>
      </c>
      <c r="E152" s="62"/>
      <c r="F152" s="62"/>
      <c r="G152" s="62"/>
      <c r="H152" s="62"/>
      <c r="J152" s="56"/>
    </row>
    <row r="153" spans="1:17" x14ac:dyDescent="0.2">
      <c r="A153" s="62"/>
      <c r="B153" s="64" t="s">
        <v>175</v>
      </c>
      <c r="C153" s="65">
        <v>45900</v>
      </c>
      <c r="D153" s="65">
        <v>45930</v>
      </c>
      <c r="E153" s="62"/>
      <c r="F153" s="62"/>
      <c r="G153" s="62"/>
      <c r="J153" s="56"/>
    </row>
    <row r="154" spans="1:17" ht="12.75" customHeight="1" x14ac:dyDescent="0.2">
      <c r="A154" s="66"/>
      <c r="B154" s="91" t="s">
        <v>176</v>
      </c>
      <c r="C154" s="68">
        <v>418.21469999999999</v>
      </c>
      <c r="D154" s="68">
        <v>422.21780000000001</v>
      </c>
      <c r="E154" s="66"/>
      <c r="F154" s="69"/>
      <c r="G154" s="70"/>
    </row>
    <row r="155" spans="1:17" ht="12.75" customHeight="1" x14ac:dyDescent="0.2">
      <c r="A155" s="66"/>
      <c r="B155" s="91" t="s">
        <v>1085</v>
      </c>
      <c r="C155" s="68">
        <v>89.142499999999998</v>
      </c>
      <c r="D155" s="68">
        <v>89.995800000000003</v>
      </c>
      <c r="E155" s="66"/>
      <c r="F155" s="69"/>
      <c r="G155" s="70"/>
    </row>
    <row r="156" spans="1:17" ht="12.75" customHeight="1" x14ac:dyDescent="0.2">
      <c r="A156" s="66"/>
      <c r="B156" s="91" t="s">
        <v>177</v>
      </c>
      <c r="C156" s="68">
        <v>375.21359999999999</v>
      </c>
      <c r="D156" s="68">
        <v>378.47829999999999</v>
      </c>
      <c r="E156" s="66"/>
      <c r="F156" s="69"/>
      <c r="G156" s="70"/>
    </row>
    <row r="157" spans="1:17" ht="12.75" customHeight="1" x14ac:dyDescent="0.2">
      <c r="A157" s="66"/>
      <c r="B157" s="91" t="s">
        <v>1086</v>
      </c>
      <c r="C157" s="68">
        <v>66.020799999999994</v>
      </c>
      <c r="D157" s="68">
        <v>66.595200000000006</v>
      </c>
      <c r="E157" s="66"/>
      <c r="F157" s="69"/>
      <c r="G157" s="70"/>
    </row>
    <row r="158" spans="1:17" ht="12.75" customHeight="1" x14ac:dyDescent="0.2">
      <c r="A158" s="66"/>
      <c r="B158" s="66"/>
      <c r="C158" s="66"/>
      <c r="D158" s="66"/>
      <c r="E158" s="66"/>
      <c r="F158" s="66"/>
      <c r="G158" s="66"/>
    </row>
    <row r="159" spans="1:17" x14ac:dyDescent="0.2">
      <c r="A159" s="62"/>
      <c r="B159" s="245" t="s">
        <v>952</v>
      </c>
      <c r="C159" s="246"/>
      <c r="D159" s="71" t="s">
        <v>172</v>
      </c>
      <c r="E159" s="62"/>
      <c r="F159" s="62"/>
      <c r="G159" s="62"/>
    </row>
    <row r="160" spans="1:17" x14ac:dyDescent="0.2">
      <c r="A160" s="72"/>
      <c r="B160" s="73"/>
      <c r="C160" s="73"/>
      <c r="D160" s="73"/>
      <c r="E160" s="72"/>
      <c r="F160" s="72"/>
      <c r="G160" s="72"/>
    </row>
    <row r="161" spans="1:7" x14ac:dyDescent="0.2">
      <c r="A161" s="72"/>
      <c r="B161" s="240" t="s">
        <v>178</v>
      </c>
      <c r="C161" s="241"/>
      <c r="D161" s="28" t="s">
        <v>172</v>
      </c>
      <c r="E161" s="74"/>
      <c r="F161" s="72"/>
      <c r="G161" s="72"/>
    </row>
    <row r="162" spans="1:7" x14ac:dyDescent="0.2">
      <c r="A162" s="72"/>
      <c r="B162" s="240" t="s">
        <v>179</v>
      </c>
      <c r="C162" s="241"/>
      <c r="D162" s="28" t="s">
        <v>172</v>
      </c>
      <c r="E162" s="74"/>
      <c r="F162" s="72"/>
      <c r="G162" s="72"/>
    </row>
    <row r="163" spans="1:7" ht="17.100000000000001" customHeight="1" x14ac:dyDescent="0.2">
      <c r="A163" s="72"/>
      <c r="B163" s="240" t="s">
        <v>180</v>
      </c>
      <c r="C163" s="241"/>
      <c r="D163" s="28" t="s">
        <v>172</v>
      </c>
      <c r="E163" s="74"/>
      <c r="F163" s="72"/>
      <c r="G163" s="72"/>
    </row>
    <row r="164" spans="1:7" ht="17.100000000000001" customHeight="1" x14ac:dyDescent="0.2">
      <c r="A164" s="72"/>
      <c r="B164" s="240" t="s">
        <v>181</v>
      </c>
      <c r="C164" s="241"/>
      <c r="D164" s="75">
        <v>0.60290283013574009</v>
      </c>
      <c r="E164" s="72"/>
      <c r="F164" s="55"/>
      <c r="G164" s="76"/>
    </row>
    <row r="165" spans="1:7" x14ac:dyDescent="0.2"/>
    <row r="166" spans="1:7" x14ac:dyDescent="0.2">
      <c r="B166" s="92" t="s">
        <v>1038</v>
      </c>
    </row>
    <row r="167" spans="1:7" ht="67.5" x14ac:dyDescent="0.2">
      <c r="B167" s="98" t="s">
        <v>1087</v>
      </c>
      <c r="C167" s="98" t="s">
        <v>1088</v>
      </c>
      <c r="D167" s="98" t="s">
        <v>1089</v>
      </c>
      <c r="E167" s="98" t="s">
        <v>1090</v>
      </c>
      <c r="F167" s="98" t="s">
        <v>1091</v>
      </c>
    </row>
    <row r="168" spans="1:7" ht="13.5" x14ac:dyDescent="0.2">
      <c r="B168" s="99" t="s">
        <v>1111</v>
      </c>
      <c r="C168" s="100" t="s">
        <v>1093</v>
      </c>
      <c r="D168" s="16">
        <v>0</v>
      </c>
      <c r="E168" s="17">
        <v>0</v>
      </c>
      <c r="F168" s="101">
        <v>29.407129999999999</v>
      </c>
    </row>
    <row r="169" spans="1:7" x14ac:dyDescent="0.2"/>
    <row r="170" spans="1:7" x14ac:dyDescent="0.2">
      <c r="B170" s="239" t="s">
        <v>953</v>
      </c>
      <c r="C170" s="239"/>
    </row>
    <row r="171" spans="1:7" x14ac:dyDescent="0.2"/>
    <row r="172" spans="1:7" ht="153.75" customHeight="1" x14ac:dyDescent="0.2"/>
    <row r="173" spans="1:7" x14ac:dyDescent="0.2"/>
    <row r="174" spans="1:7" x14ac:dyDescent="0.2"/>
    <row r="175" spans="1:7" x14ac:dyDescent="0.2">
      <c r="B175" s="77" t="s">
        <v>954</v>
      </c>
      <c r="C175" s="78"/>
      <c r="D175" s="77"/>
    </row>
    <row r="176" spans="1:7" x14ac:dyDescent="0.2">
      <c r="B176" s="77" t="s">
        <v>1112</v>
      </c>
      <c r="D176" s="77"/>
    </row>
    <row r="177" customFormat="1" ht="165" customHeight="1" x14ac:dyDescent="0.2"/>
  </sheetData>
  <mergeCells count="18">
    <mergeCell ref="B170:C170"/>
    <mergeCell ref="B164:C164"/>
    <mergeCell ref="A1:H1"/>
    <mergeCell ref="A2:H2"/>
    <mergeCell ref="A3:H3"/>
    <mergeCell ref="B163:C163"/>
    <mergeCell ref="B142:H142"/>
    <mergeCell ref="B143:H143"/>
    <mergeCell ref="B144:H144"/>
    <mergeCell ref="B145:H145"/>
    <mergeCell ref="B146:H146"/>
    <mergeCell ref="B148:D148"/>
    <mergeCell ref="B149:C149"/>
    <mergeCell ref="B150:C150"/>
    <mergeCell ref="B151:C151"/>
    <mergeCell ref="B161:C161"/>
    <mergeCell ref="B162:C162"/>
    <mergeCell ref="B159:C159"/>
  </mergeCells>
  <hyperlinks>
    <hyperlink ref="I1" location="Index!B2" display="Index" xr:uid="{E6B36C0A-DCD2-4CDB-9BE6-EB80553FBFA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3A99-BD96-483A-83F1-B665B3FB3A00}">
  <sheetPr>
    <outlinePr summaryBelow="0" summaryRight="0"/>
  </sheetPr>
  <dimension ref="A1:Q215"/>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52.42578125" customWidth="1"/>
    <col min="4" max="4" width="17.710937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763</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764</v>
      </c>
      <c r="C7" s="22" t="s">
        <v>765</v>
      </c>
      <c r="D7" s="22" t="s">
        <v>22</v>
      </c>
      <c r="E7" s="36">
        <v>98430</v>
      </c>
      <c r="F7" s="37">
        <v>142.378995</v>
      </c>
      <c r="G7" s="38">
        <v>1.156949E-2</v>
      </c>
      <c r="H7" s="29" t="s">
        <v>143</v>
      </c>
    </row>
    <row r="8" spans="1:9" ht="12.75" customHeight="1" x14ac:dyDescent="0.2">
      <c r="A8" s="35">
        <v>2</v>
      </c>
      <c r="B8" s="22" t="s">
        <v>513</v>
      </c>
      <c r="C8" s="22" t="s">
        <v>514</v>
      </c>
      <c r="D8" s="22" t="s">
        <v>239</v>
      </c>
      <c r="E8" s="36">
        <v>2598</v>
      </c>
      <c r="F8" s="37">
        <v>142.17554999999999</v>
      </c>
      <c r="G8" s="38">
        <v>1.1552949999999999E-2</v>
      </c>
      <c r="H8" s="29" t="s">
        <v>143</v>
      </c>
    </row>
    <row r="9" spans="1:9" ht="12.75" customHeight="1" x14ac:dyDescent="0.2">
      <c r="A9" s="35">
        <v>3</v>
      </c>
      <c r="B9" s="22" t="s">
        <v>499</v>
      </c>
      <c r="C9" s="22" t="s">
        <v>500</v>
      </c>
      <c r="D9" s="22" t="s">
        <v>239</v>
      </c>
      <c r="E9" s="36">
        <v>874</v>
      </c>
      <c r="F9" s="37">
        <v>140.09345999999999</v>
      </c>
      <c r="G9" s="38">
        <v>1.138377E-2</v>
      </c>
      <c r="H9" s="29" t="s">
        <v>143</v>
      </c>
    </row>
    <row r="10" spans="1:9" ht="12.75" customHeight="1" x14ac:dyDescent="0.2">
      <c r="A10" s="35">
        <v>4</v>
      </c>
      <c r="B10" s="22" t="s">
        <v>766</v>
      </c>
      <c r="C10" s="22" t="s">
        <v>767</v>
      </c>
      <c r="D10" s="22" t="s">
        <v>239</v>
      </c>
      <c r="E10" s="36">
        <v>1987</v>
      </c>
      <c r="F10" s="37">
        <v>139.199285</v>
      </c>
      <c r="G10" s="38">
        <v>1.1311109999999999E-2</v>
      </c>
      <c r="H10" s="29" t="s">
        <v>143</v>
      </c>
    </row>
    <row r="11" spans="1:9" ht="12.75" customHeight="1" x14ac:dyDescent="0.2">
      <c r="A11" s="35">
        <v>5</v>
      </c>
      <c r="B11" s="22" t="s">
        <v>343</v>
      </c>
      <c r="C11" s="22" t="s">
        <v>344</v>
      </c>
      <c r="D11" s="22" t="s">
        <v>284</v>
      </c>
      <c r="E11" s="36">
        <v>42205</v>
      </c>
      <c r="F11" s="37">
        <v>137.377275</v>
      </c>
      <c r="G11" s="38">
        <v>1.1163050000000001E-2</v>
      </c>
      <c r="H11" s="29" t="s">
        <v>143</v>
      </c>
    </row>
    <row r="12" spans="1:9" ht="12.75" customHeight="1" x14ac:dyDescent="0.2">
      <c r="A12" s="35">
        <v>6</v>
      </c>
      <c r="B12" s="22" t="s">
        <v>768</v>
      </c>
      <c r="C12" s="22" t="s">
        <v>769</v>
      </c>
      <c r="D12" s="22" t="s">
        <v>239</v>
      </c>
      <c r="E12" s="36">
        <v>5085</v>
      </c>
      <c r="F12" s="37">
        <v>131.41674</v>
      </c>
      <c r="G12" s="38">
        <v>1.0678709999999999E-2</v>
      </c>
      <c r="H12" s="29" t="s">
        <v>143</v>
      </c>
    </row>
    <row r="13" spans="1:9" ht="12.75" customHeight="1" x14ac:dyDescent="0.2">
      <c r="A13" s="35">
        <v>7</v>
      </c>
      <c r="B13" s="22" t="s">
        <v>770</v>
      </c>
      <c r="C13" s="22" t="s">
        <v>771</v>
      </c>
      <c r="D13" s="22" t="s">
        <v>41</v>
      </c>
      <c r="E13" s="36">
        <v>343</v>
      </c>
      <c r="F13" s="37">
        <v>130.83734999999999</v>
      </c>
      <c r="G13" s="38">
        <v>1.063163E-2</v>
      </c>
      <c r="H13" s="29" t="s">
        <v>143</v>
      </c>
    </row>
    <row r="14" spans="1:9" ht="12.75" customHeight="1" x14ac:dyDescent="0.2">
      <c r="A14" s="35">
        <v>8</v>
      </c>
      <c r="B14" s="22" t="s">
        <v>237</v>
      </c>
      <c r="C14" s="22" t="s">
        <v>238</v>
      </c>
      <c r="D14" s="22" t="s">
        <v>239</v>
      </c>
      <c r="E14" s="36">
        <v>3795</v>
      </c>
      <c r="F14" s="37">
        <v>130.49866499999999</v>
      </c>
      <c r="G14" s="38">
        <v>1.060411E-2</v>
      </c>
      <c r="H14" s="29" t="s">
        <v>143</v>
      </c>
    </row>
    <row r="15" spans="1:9" ht="12.75" customHeight="1" x14ac:dyDescent="0.2">
      <c r="A15" s="35">
        <v>9</v>
      </c>
      <c r="B15" s="22" t="s">
        <v>131</v>
      </c>
      <c r="C15" s="22" t="s">
        <v>132</v>
      </c>
      <c r="D15" s="22" t="s">
        <v>133</v>
      </c>
      <c r="E15" s="36">
        <v>11932</v>
      </c>
      <c r="F15" s="37">
        <v>126.92665</v>
      </c>
      <c r="G15" s="38">
        <v>1.0313849999999999E-2</v>
      </c>
      <c r="H15" s="29" t="s">
        <v>143</v>
      </c>
    </row>
    <row r="16" spans="1:9" ht="12.75" customHeight="1" x14ac:dyDescent="0.2">
      <c r="A16" s="35">
        <v>10</v>
      </c>
      <c r="B16" s="22" t="s">
        <v>426</v>
      </c>
      <c r="C16" s="22" t="s">
        <v>427</v>
      </c>
      <c r="D16" s="22" t="s">
        <v>428</v>
      </c>
      <c r="E16" s="36">
        <v>16416</v>
      </c>
      <c r="F16" s="37">
        <v>125.081712</v>
      </c>
      <c r="G16" s="38">
        <v>1.016394E-2</v>
      </c>
      <c r="H16" s="29" t="s">
        <v>143</v>
      </c>
    </row>
    <row r="17" spans="1:8" ht="12.75" customHeight="1" x14ac:dyDescent="0.2">
      <c r="A17" s="35">
        <v>11</v>
      </c>
      <c r="B17" s="22" t="s">
        <v>521</v>
      </c>
      <c r="C17" s="22" t="s">
        <v>522</v>
      </c>
      <c r="D17" s="22" t="s">
        <v>133</v>
      </c>
      <c r="E17" s="36">
        <v>10823</v>
      </c>
      <c r="F17" s="37">
        <v>123.674421</v>
      </c>
      <c r="G17" s="38">
        <v>1.0049580000000001E-2</v>
      </c>
      <c r="H17" s="29" t="s">
        <v>143</v>
      </c>
    </row>
    <row r="18" spans="1:8" ht="12.75" customHeight="1" x14ac:dyDescent="0.2">
      <c r="A18" s="35">
        <v>12</v>
      </c>
      <c r="B18" s="22" t="s">
        <v>439</v>
      </c>
      <c r="C18" s="22" t="s">
        <v>440</v>
      </c>
      <c r="D18" s="22" t="s">
        <v>423</v>
      </c>
      <c r="E18" s="36">
        <v>4839</v>
      </c>
      <c r="F18" s="37">
        <v>121.67181600000001</v>
      </c>
      <c r="G18" s="38">
        <v>9.8868500000000008E-3</v>
      </c>
      <c r="H18" s="29" t="s">
        <v>143</v>
      </c>
    </row>
    <row r="19" spans="1:8" ht="12.75" customHeight="1" x14ac:dyDescent="0.2">
      <c r="A19" s="35">
        <v>13</v>
      </c>
      <c r="B19" s="22" t="s">
        <v>772</v>
      </c>
      <c r="C19" s="22" t="s">
        <v>773</v>
      </c>
      <c r="D19" s="22" t="s">
        <v>194</v>
      </c>
      <c r="E19" s="36">
        <v>3371</v>
      </c>
      <c r="F19" s="37">
        <v>121.46387199999999</v>
      </c>
      <c r="G19" s="38">
        <v>9.8699600000000005E-3</v>
      </c>
      <c r="H19" s="29" t="s">
        <v>143</v>
      </c>
    </row>
    <row r="20" spans="1:8" ht="12.75" customHeight="1" x14ac:dyDescent="0.2">
      <c r="A20" s="35">
        <v>14</v>
      </c>
      <c r="B20" s="22" t="s">
        <v>642</v>
      </c>
      <c r="C20" s="22" t="s">
        <v>643</v>
      </c>
      <c r="D20" s="22" t="s">
        <v>33</v>
      </c>
      <c r="E20" s="36">
        <v>97092</v>
      </c>
      <c r="F20" s="37">
        <v>120.1125132</v>
      </c>
      <c r="G20" s="38">
        <v>9.7601500000000004E-3</v>
      </c>
      <c r="H20" s="29" t="s">
        <v>143</v>
      </c>
    </row>
    <row r="21" spans="1:8" ht="12.75" customHeight="1" x14ac:dyDescent="0.2">
      <c r="A21" s="35">
        <v>15</v>
      </c>
      <c r="B21" s="22" t="s">
        <v>774</v>
      </c>
      <c r="C21" s="22" t="s">
        <v>775</v>
      </c>
      <c r="D21" s="22" t="s">
        <v>38</v>
      </c>
      <c r="E21" s="36">
        <v>16167</v>
      </c>
      <c r="F21" s="37">
        <v>119.78938650000001</v>
      </c>
      <c r="G21" s="38">
        <v>9.7338900000000003E-3</v>
      </c>
      <c r="H21" s="29" t="s">
        <v>143</v>
      </c>
    </row>
    <row r="22" spans="1:8" ht="12.75" customHeight="1" x14ac:dyDescent="0.2">
      <c r="A22" s="35">
        <v>16</v>
      </c>
      <c r="B22" s="22" t="s">
        <v>398</v>
      </c>
      <c r="C22" s="22" t="s">
        <v>399</v>
      </c>
      <c r="D22" s="22" t="s">
        <v>133</v>
      </c>
      <c r="E22" s="36">
        <v>70762</v>
      </c>
      <c r="F22" s="37">
        <v>119.4250274</v>
      </c>
      <c r="G22" s="38">
        <v>9.7042799999999992E-3</v>
      </c>
      <c r="H22" s="29" t="s">
        <v>143</v>
      </c>
    </row>
    <row r="23" spans="1:8" ht="12.75" customHeight="1" x14ac:dyDescent="0.2">
      <c r="A23" s="35">
        <v>17</v>
      </c>
      <c r="B23" s="22" t="s">
        <v>329</v>
      </c>
      <c r="C23" s="22" t="s">
        <v>330</v>
      </c>
      <c r="D23" s="22" t="s">
        <v>191</v>
      </c>
      <c r="E23" s="36">
        <v>11933</v>
      </c>
      <c r="F23" s="37">
        <v>119.19873699999999</v>
      </c>
      <c r="G23" s="38">
        <v>9.6859000000000008E-3</v>
      </c>
      <c r="H23" s="29" t="s">
        <v>143</v>
      </c>
    </row>
    <row r="24" spans="1:8" ht="12.75" customHeight="1" x14ac:dyDescent="0.2">
      <c r="A24" s="35">
        <v>18</v>
      </c>
      <c r="B24" s="22" t="s">
        <v>776</v>
      </c>
      <c r="C24" s="22" t="s">
        <v>777</v>
      </c>
      <c r="D24" s="22" t="s">
        <v>284</v>
      </c>
      <c r="E24" s="36">
        <v>28038</v>
      </c>
      <c r="F24" s="37">
        <v>118.586721</v>
      </c>
      <c r="G24" s="38">
        <v>9.6361599999999995E-3</v>
      </c>
      <c r="H24" s="29" t="s">
        <v>143</v>
      </c>
    </row>
    <row r="25" spans="1:8" ht="12.75" customHeight="1" x14ac:dyDescent="0.2">
      <c r="A25" s="35">
        <v>19</v>
      </c>
      <c r="B25" s="22" t="s">
        <v>42</v>
      </c>
      <c r="C25" s="22" t="s">
        <v>43</v>
      </c>
      <c r="D25" s="22" t="s">
        <v>33</v>
      </c>
      <c r="E25" s="36">
        <v>13568</v>
      </c>
      <c r="F25" s="37">
        <v>118.374016</v>
      </c>
      <c r="G25" s="38">
        <v>9.6188799999999998E-3</v>
      </c>
      <c r="H25" s="29" t="s">
        <v>143</v>
      </c>
    </row>
    <row r="26" spans="1:8" ht="12.75" customHeight="1" x14ac:dyDescent="0.2">
      <c r="A26" s="35">
        <v>20</v>
      </c>
      <c r="B26" s="22" t="s">
        <v>333</v>
      </c>
      <c r="C26" s="22" t="s">
        <v>334</v>
      </c>
      <c r="D26" s="22" t="s">
        <v>239</v>
      </c>
      <c r="E26" s="36">
        <v>3447</v>
      </c>
      <c r="F26" s="37">
        <v>118.12869000000001</v>
      </c>
      <c r="G26" s="38">
        <v>9.5989400000000002E-3</v>
      </c>
      <c r="H26" s="29" t="s">
        <v>143</v>
      </c>
    </row>
    <row r="27" spans="1:8" ht="12.75" customHeight="1" x14ac:dyDescent="0.2">
      <c r="A27" s="35">
        <v>21</v>
      </c>
      <c r="B27" s="22" t="s">
        <v>34</v>
      </c>
      <c r="C27" s="22" t="s">
        <v>35</v>
      </c>
      <c r="D27" s="22" t="s">
        <v>19</v>
      </c>
      <c r="E27" s="36">
        <v>34600</v>
      </c>
      <c r="F27" s="37">
        <v>117.5189</v>
      </c>
      <c r="G27" s="38">
        <v>9.5493899999999996E-3</v>
      </c>
      <c r="H27" s="29" t="s">
        <v>143</v>
      </c>
    </row>
    <row r="28" spans="1:8" ht="12.75" customHeight="1" x14ac:dyDescent="0.2">
      <c r="A28" s="35">
        <v>22</v>
      </c>
      <c r="B28" s="22" t="s">
        <v>732</v>
      </c>
      <c r="C28" s="22" t="s">
        <v>733</v>
      </c>
      <c r="D28" s="22" t="s">
        <v>188</v>
      </c>
      <c r="E28" s="36">
        <v>1584</v>
      </c>
      <c r="F28" s="37">
        <v>117.35856</v>
      </c>
      <c r="G28" s="38">
        <v>9.5363700000000006E-3</v>
      </c>
      <c r="H28" s="29" t="s">
        <v>143</v>
      </c>
    </row>
    <row r="29" spans="1:8" ht="12.75" customHeight="1" x14ac:dyDescent="0.2">
      <c r="A29" s="35">
        <v>23</v>
      </c>
      <c r="B29" s="22" t="s">
        <v>523</v>
      </c>
      <c r="C29" s="22" t="s">
        <v>524</v>
      </c>
      <c r="D29" s="22" t="s">
        <v>525</v>
      </c>
      <c r="E29" s="36">
        <v>25074</v>
      </c>
      <c r="F29" s="37">
        <v>116.794692</v>
      </c>
      <c r="G29" s="38">
        <v>9.4905500000000004E-3</v>
      </c>
      <c r="H29" s="29" t="s">
        <v>143</v>
      </c>
    </row>
    <row r="30" spans="1:8" ht="12.75" customHeight="1" x14ac:dyDescent="0.2">
      <c r="A30" s="35">
        <v>24</v>
      </c>
      <c r="B30" s="22" t="s">
        <v>684</v>
      </c>
      <c r="C30" s="22" t="s">
        <v>685</v>
      </c>
      <c r="D30" s="22" t="s">
        <v>19</v>
      </c>
      <c r="E30" s="36">
        <v>77845</v>
      </c>
      <c r="F30" s="37">
        <v>116.60402550000001</v>
      </c>
      <c r="G30" s="38">
        <v>9.4750500000000005E-3</v>
      </c>
      <c r="H30" s="29" t="s">
        <v>143</v>
      </c>
    </row>
    <row r="31" spans="1:8" ht="12.75" customHeight="1" x14ac:dyDescent="0.2">
      <c r="A31" s="35">
        <v>25</v>
      </c>
      <c r="B31" s="22" t="s">
        <v>331</v>
      </c>
      <c r="C31" s="22" t="s">
        <v>332</v>
      </c>
      <c r="D31" s="22" t="s">
        <v>33</v>
      </c>
      <c r="E31" s="36">
        <v>44953</v>
      </c>
      <c r="F31" s="37">
        <v>116.2214862</v>
      </c>
      <c r="G31" s="38">
        <v>9.4439699999999994E-3</v>
      </c>
      <c r="H31" s="29" t="s">
        <v>143</v>
      </c>
    </row>
    <row r="32" spans="1:8" ht="12.75" customHeight="1" x14ac:dyDescent="0.2">
      <c r="A32" s="35">
        <v>26</v>
      </c>
      <c r="B32" s="22" t="s">
        <v>526</v>
      </c>
      <c r="C32" s="22" t="s">
        <v>527</v>
      </c>
      <c r="D32" s="22" t="s">
        <v>22</v>
      </c>
      <c r="E32" s="36">
        <v>21863</v>
      </c>
      <c r="F32" s="37">
        <v>116.0597355</v>
      </c>
      <c r="G32" s="38">
        <v>9.4308199999999995E-3</v>
      </c>
      <c r="H32" s="29" t="s">
        <v>143</v>
      </c>
    </row>
    <row r="33" spans="1:8" ht="12.75" customHeight="1" x14ac:dyDescent="0.2">
      <c r="A33" s="35">
        <v>27</v>
      </c>
      <c r="B33" s="22" t="s">
        <v>23</v>
      </c>
      <c r="C33" s="22" t="s">
        <v>24</v>
      </c>
      <c r="D33" s="22" t="s">
        <v>25</v>
      </c>
      <c r="E33" s="36">
        <v>948</v>
      </c>
      <c r="F33" s="37">
        <v>115.86456</v>
      </c>
      <c r="G33" s="38">
        <v>9.4149699999999999E-3</v>
      </c>
      <c r="H33" s="29" t="s">
        <v>143</v>
      </c>
    </row>
    <row r="34" spans="1:8" ht="12.75" customHeight="1" x14ac:dyDescent="0.2">
      <c r="A34" s="35">
        <v>28</v>
      </c>
      <c r="B34" s="22" t="s">
        <v>676</v>
      </c>
      <c r="C34" s="22" t="s">
        <v>677</v>
      </c>
      <c r="D34" s="22" t="s">
        <v>454</v>
      </c>
      <c r="E34" s="36">
        <v>1930</v>
      </c>
      <c r="F34" s="37">
        <v>115.6263</v>
      </c>
      <c r="G34" s="38">
        <v>9.3956000000000005E-3</v>
      </c>
      <c r="H34" s="29" t="s">
        <v>143</v>
      </c>
    </row>
    <row r="35" spans="1:8" ht="12.75" customHeight="1" x14ac:dyDescent="0.2">
      <c r="A35" s="35">
        <v>29</v>
      </c>
      <c r="B35" s="22" t="s">
        <v>698</v>
      </c>
      <c r="C35" s="22" t="s">
        <v>699</v>
      </c>
      <c r="D35" s="22" t="s">
        <v>46</v>
      </c>
      <c r="E35" s="36">
        <v>4891</v>
      </c>
      <c r="F35" s="37">
        <v>114.9385</v>
      </c>
      <c r="G35" s="38">
        <v>9.3397199999999993E-3</v>
      </c>
      <c r="H35" s="29" t="s">
        <v>143</v>
      </c>
    </row>
    <row r="36" spans="1:8" ht="12.75" customHeight="1" x14ac:dyDescent="0.2">
      <c r="A36" s="35">
        <v>30</v>
      </c>
      <c r="B36" s="22" t="s">
        <v>20</v>
      </c>
      <c r="C36" s="22" t="s">
        <v>21</v>
      </c>
      <c r="D36" s="22" t="s">
        <v>22</v>
      </c>
      <c r="E36" s="36">
        <v>33701</v>
      </c>
      <c r="F36" s="37">
        <v>114.7350545</v>
      </c>
      <c r="G36" s="38">
        <v>9.3231800000000004E-3</v>
      </c>
      <c r="H36" s="29" t="s">
        <v>143</v>
      </c>
    </row>
    <row r="37" spans="1:8" ht="12.75" customHeight="1" x14ac:dyDescent="0.2">
      <c r="A37" s="35">
        <v>31</v>
      </c>
      <c r="B37" s="22" t="s">
        <v>728</v>
      </c>
      <c r="C37" s="22" t="s">
        <v>729</v>
      </c>
      <c r="D37" s="22" t="s">
        <v>284</v>
      </c>
      <c r="E37" s="36">
        <v>2557</v>
      </c>
      <c r="F37" s="37">
        <v>114.43597800000001</v>
      </c>
      <c r="G37" s="38">
        <v>9.2988800000000007E-3</v>
      </c>
      <c r="H37" s="29" t="s">
        <v>143</v>
      </c>
    </row>
    <row r="38" spans="1:8" ht="12.75" customHeight="1" x14ac:dyDescent="0.2">
      <c r="A38" s="35">
        <v>32</v>
      </c>
      <c r="B38" s="22" t="s">
        <v>778</v>
      </c>
      <c r="C38" s="22" t="s">
        <v>779</v>
      </c>
      <c r="D38" s="22" t="s">
        <v>41</v>
      </c>
      <c r="E38" s="36">
        <v>107967</v>
      </c>
      <c r="F38" s="37">
        <v>114.06713550000001</v>
      </c>
      <c r="G38" s="38">
        <v>9.26891E-3</v>
      </c>
      <c r="H38" s="29" t="s">
        <v>143</v>
      </c>
    </row>
    <row r="39" spans="1:8" ht="12.75" customHeight="1" x14ac:dyDescent="0.2">
      <c r="A39" s="35">
        <v>33</v>
      </c>
      <c r="B39" s="22" t="s">
        <v>503</v>
      </c>
      <c r="C39" s="22" t="s">
        <v>504</v>
      </c>
      <c r="D39" s="22" t="s">
        <v>239</v>
      </c>
      <c r="E39" s="36">
        <v>1312</v>
      </c>
      <c r="F39" s="37">
        <v>113.86192</v>
      </c>
      <c r="G39" s="38">
        <v>9.2522300000000002E-3</v>
      </c>
      <c r="H39" s="29" t="s">
        <v>143</v>
      </c>
    </row>
    <row r="40" spans="1:8" ht="12.75" customHeight="1" x14ac:dyDescent="0.2">
      <c r="A40" s="35">
        <v>34</v>
      </c>
      <c r="B40" s="22" t="s">
        <v>780</v>
      </c>
      <c r="C40" s="22" t="s">
        <v>781</v>
      </c>
      <c r="D40" s="22" t="s">
        <v>22</v>
      </c>
      <c r="E40" s="36">
        <v>11082</v>
      </c>
      <c r="F40" s="37">
        <v>113.795517</v>
      </c>
      <c r="G40" s="38">
        <v>9.2468399999999992E-3</v>
      </c>
      <c r="H40" s="29" t="s">
        <v>143</v>
      </c>
    </row>
    <row r="41" spans="1:8" ht="12.75" customHeight="1" x14ac:dyDescent="0.2">
      <c r="A41" s="35">
        <v>35</v>
      </c>
      <c r="B41" s="22" t="s">
        <v>640</v>
      </c>
      <c r="C41" s="22" t="s">
        <v>641</v>
      </c>
      <c r="D41" s="22" t="s">
        <v>33</v>
      </c>
      <c r="E41" s="36">
        <v>100820</v>
      </c>
      <c r="F41" s="37">
        <v>113.755206</v>
      </c>
      <c r="G41" s="38">
        <v>9.2435599999999996E-3</v>
      </c>
      <c r="H41" s="29" t="s">
        <v>143</v>
      </c>
    </row>
    <row r="42" spans="1:8" ht="12.75" customHeight="1" x14ac:dyDescent="0.2">
      <c r="A42" s="35">
        <v>36</v>
      </c>
      <c r="B42" s="22" t="s">
        <v>782</v>
      </c>
      <c r="C42" s="22" t="s">
        <v>783</v>
      </c>
      <c r="D42" s="22" t="s">
        <v>254</v>
      </c>
      <c r="E42" s="36">
        <v>23151</v>
      </c>
      <c r="F42" s="37">
        <v>113.740863</v>
      </c>
      <c r="G42" s="38">
        <v>9.2423999999999996E-3</v>
      </c>
      <c r="H42" s="29" t="s">
        <v>143</v>
      </c>
    </row>
    <row r="43" spans="1:8" ht="12.75" customHeight="1" x14ac:dyDescent="0.2">
      <c r="A43" s="35">
        <v>37</v>
      </c>
      <c r="B43" s="22" t="s">
        <v>784</v>
      </c>
      <c r="C43" s="22" t="s">
        <v>785</v>
      </c>
      <c r="D43" s="22" t="s">
        <v>22</v>
      </c>
      <c r="E43" s="36">
        <v>13037</v>
      </c>
      <c r="F43" s="37">
        <v>113.7152325</v>
      </c>
      <c r="G43" s="38">
        <v>9.2403099999999998E-3</v>
      </c>
      <c r="H43" s="29" t="s">
        <v>143</v>
      </c>
    </row>
    <row r="44" spans="1:8" ht="12.75" customHeight="1" x14ac:dyDescent="0.2">
      <c r="A44" s="35">
        <v>38</v>
      </c>
      <c r="B44" s="22" t="s">
        <v>431</v>
      </c>
      <c r="C44" s="22" t="s">
        <v>432</v>
      </c>
      <c r="D44" s="22" t="s">
        <v>203</v>
      </c>
      <c r="E44" s="36">
        <v>10042</v>
      </c>
      <c r="F44" s="37">
        <v>113.40430600000001</v>
      </c>
      <c r="G44" s="38">
        <v>9.2150500000000007E-3</v>
      </c>
      <c r="H44" s="29" t="s">
        <v>143</v>
      </c>
    </row>
    <row r="45" spans="1:8" ht="12.75" customHeight="1" x14ac:dyDescent="0.2">
      <c r="A45" s="35">
        <v>39</v>
      </c>
      <c r="B45" s="22" t="s">
        <v>103</v>
      </c>
      <c r="C45" s="22" t="s">
        <v>104</v>
      </c>
      <c r="D45" s="22" t="s">
        <v>25</v>
      </c>
      <c r="E45" s="36">
        <v>19709</v>
      </c>
      <c r="F45" s="37">
        <v>112.3314455</v>
      </c>
      <c r="G45" s="38">
        <v>9.1278699999999997E-3</v>
      </c>
      <c r="H45" s="29" t="s">
        <v>143</v>
      </c>
    </row>
    <row r="46" spans="1:8" ht="12.75" customHeight="1" x14ac:dyDescent="0.2">
      <c r="A46" s="35">
        <v>40</v>
      </c>
      <c r="B46" s="22" t="s">
        <v>345</v>
      </c>
      <c r="C46" s="22" t="s">
        <v>346</v>
      </c>
      <c r="D46" s="22" t="s">
        <v>191</v>
      </c>
      <c r="E46" s="36">
        <v>6942</v>
      </c>
      <c r="F46" s="37">
        <v>111.821736</v>
      </c>
      <c r="G46" s="38">
        <v>9.0864499999999994E-3</v>
      </c>
      <c r="H46" s="29" t="s">
        <v>143</v>
      </c>
    </row>
    <row r="47" spans="1:8" ht="12.75" customHeight="1" x14ac:dyDescent="0.2">
      <c r="A47" s="35">
        <v>41</v>
      </c>
      <c r="B47" s="22" t="s">
        <v>786</v>
      </c>
      <c r="C47" s="22" t="s">
        <v>787</v>
      </c>
      <c r="D47" s="22" t="s">
        <v>25</v>
      </c>
      <c r="E47" s="36">
        <v>382</v>
      </c>
      <c r="F47" s="37">
        <v>111.7923</v>
      </c>
      <c r="G47" s="38">
        <v>9.0840599999999997E-3</v>
      </c>
      <c r="H47" s="29" t="s">
        <v>143</v>
      </c>
    </row>
    <row r="48" spans="1:8" ht="12.75" customHeight="1" x14ac:dyDescent="0.2">
      <c r="A48" s="35">
        <v>42</v>
      </c>
      <c r="B48" s="22" t="s">
        <v>14</v>
      </c>
      <c r="C48" s="22" t="s">
        <v>15</v>
      </c>
      <c r="D48" s="22" t="s">
        <v>16</v>
      </c>
      <c r="E48" s="36">
        <v>3047</v>
      </c>
      <c r="F48" s="37">
        <v>111.48972999999999</v>
      </c>
      <c r="G48" s="38">
        <v>9.05947E-3</v>
      </c>
      <c r="H48" s="29" t="s">
        <v>143</v>
      </c>
    </row>
    <row r="49" spans="1:8" ht="12.75" customHeight="1" x14ac:dyDescent="0.2">
      <c r="A49" s="35">
        <v>43</v>
      </c>
      <c r="B49" s="22" t="s">
        <v>293</v>
      </c>
      <c r="C49" s="22" t="s">
        <v>294</v>
      </c>
      <c r="D49" s="22" t="s">
        <v>194</v>
      </c>
      <c r="E49" s="36">
        <v>11339</v>
      </c>
      <c r="F49" s="37">
        <v>111.337641</v>
      </c>
      <c r="G49" s="38">
        <v>9.0471200000000005E-3</v>
      </c>
      <c r="H49" s="29" t="s">
        <v>143</v>
      </c>
    </row>
    <row r="50" spans="1:8" ht="12.75" customHeight="1" x14ac:dyDescent="0.2">
      <c r="A50" s="35">
        <v>44</v>
      </c>
      <c r="B50" s="22" t="s">
        <v>51</v>
      </c>
      <c r="C50" s="22" t="s">
        <v>52</v>
      </c>
      <c r="D50" s="22" t="s">
        <v>53</v>
      </c>
      <c r="E50" s="36">
        <v>7900</v>
      </c>
      <c r="F50" s="37">
        <v>110.87649999999999</v>
      </c>
      <c r="G50" s="38">
        <v>9.0096399999999993E-3</v>
      </c>
      <c r="H50" s="29" t="s">
        <v>143</v>
      </c>
    </row>
    <row r="51" spans="1:8" ht="12.75" customHeight="1" x14ac:dyDescent="0.2">
      <c r="A51" s="35">
        <v>45</v>
      </c>
      <c r="B51" s="22" t="s">
        <v>417</v>
      </c>
      <c r="C51" s="22" t="s">
        <v>418</v>
      </c>
      <c r="D51" s="22" t="s">
        <v>239</v>
      </c>
      <c r="E51" s="36">
        <v>16287</v>
      </c>
      <c r="F51" s="37">
        <v>110.78417399999999</v>
      </c>
      <c r="G51" s="38">
        <v>9.0021400000000005E-3</v>
      </c>
      <c r="H51" s="29" t="s">
        <v>143</v>
      </c>
    </row>
    <row r="52" spans="1:8" ht="12.75" customHeight="1" x14ac:dyDescent="0.2">
      <c r="A52" s="35">
        <v>46</v>
      </c>
      <c r="B52" s="22" t="s">
        <v>673</v>
      </c>
      <c r="C52" s="22" t="s">
        <v>674</v>
      </c>
      <c r="D52" s="22" t="s">
        <v>675</v>
      </c>
      <c r="E52" s="36">
        <v>28270</v>
      </c>
      <c r="F52" s="37">
        <v>110.238865</v>
      </c>
      <c r="G52" s="38">
        <v>8.95783E-3</v>
      </c>
      <c r="H52" s="29" t="s">
        <v>143</v>
      </c>
    </row>
    <row r="53" spans="1:8" ht="12.75" customHeight="1" x14ac:dyDescent="0.2">
      <c r="A53" s="35">
        <v>47</v>
      </c>
      <c r="B53" s="22" t="s">
        <v>528</v>
      </c>
      <c r="C53" s="22" t="s">
        <v>529</v>
      </c>
      <c r="D53" s="22" t="s">
        <v>530</v>
      </c>
      <c r="E53" s="36">
        <v>4399</v>
      </c>
      <c r="F53" s="37">
        <v>110.23454099999999</v>
      </c>
      <c r="G53" s="38">
        <v>8.9574800000000003E-3</v>
      </c>
      <c r="H53" s="29" t="s">
        <v>143</v>
      </c>
    </row>
    <row r="54" spans="1:8" ht="12.75" customHeight="1" x14ac:dyDescent="0.2">
      <c r="A54" s="35">
        <v>48</v>
      </c>
      <c r="B54" s="22" t="s">
        <v>435</v>
      </c>
      <c r="C54" s="22" t="s">
        <v>436</v>
      </c>
      <c r="D54" s="22" t="s">
        <v>194</v>
      </c>
      <c r="E54" s="36">
        <v>7298</v>
      </c>
      <c r="F54" s="37">
        <v>109.71083400000001</v>
      </c>
      <c r="G54" s="38">
        <v>8.9149199999999998E-3</v>
      </c>
      <c r="H54" s="29" t="s">
        <v>143</v>
      </c>
    </row>
    <row r="55" spans="1:8" ht="12.75" customHeight="1" x14ac:dyDescent="0.2">
      <c r="A55" s="35">
        <v>49</v>
      </c>
      <c r="B55" s="22" t="s">
        <v>648</v>
      </c>
      <c r="C55" s="22" t="s">
        <v>649</v>
      </c>
      <c r="D55" s="22" t="s">
        <v>191</v>
      </c>
      <c r="E55" s="36">
        <v>5462</v>
      </c>
      <c r="F55" s="37">
        <v>109.589568</v>
      </c>
      <c r="G55" s="38">
        <v>8.9050699999999993E-3</v>
      </c>
      <c r="H55" s="29" t="s">
        <v>143</v>
      </c>
    </row>
    <row r="56" spans="1:8" ht="12.75" customHeight="1" x14ac:dyDescent="0.2">
      <c r="A56" s="35">
        <v>50</v>
      </c>
      <c r="B56" s="22" t="s">
        <v>335</v>
      </c>
      <c r="C56" s="22" t="s">
        <v>336</v>
      </c>
      <c r="D56" s="22" t="s">
        <v>28</v>
      </c>
      <c r="E56" s="36">
        <v>2299</v>
      </c>
      <c r="F56" s="37">
        <v>109.122035</v>
      </c>
      <c r="G56" s="38">
        <v>8.8670799999999994E-3</v>
      </c>
      <c r="H56" s="29" t="s">
        <v>143</v>
      </c>
    </row>
    <row r="57" spans="1:8" ht="12.75" customHeight="1" x14ac:dyDescent="0.2">
      <c r="A57" s="35">
        <v>51</v>
      </c>
      <c r="B57" s="22" t="s">
        <v>59</v>
      </c>
      <c r="C57" s="22" t="s">
        <v>60</v>
      </c>
      <c r="D57" s="22" t="s">
        <v>61</v>
      </c>
      <c r="E57" s="36">
        <v>45503</v>
      </c>
      <c r="F57" s="37">
        <v>108.979685</v>
      </c>
      <c r="G57" s="38">
        <v>8.8555100000000005E-3</v>
      </c>
      <c r="H57" s="29" t="s">
        <v>143</v>
      </c>
    </row>
    <row r="58" spans="1:8" ht="12.75" customHeight="1" x14ac:dyDescent="0.2">
      <c r="A58" s="35">
        <v>52</v>
      </c>
      <c r="B58" s="22" t="s">
        <v>690</v>
      </c>
      <c r="C58" s="22" t="s">
        <v>691</v>
      </c>
      <c r="D58" s="22" t="s">
        <v>254</v>
      </c>
      <c r="E58" s="36">
        <v>9322</v>
      </c>
      <c r="F58" s="37">
        <v>108.778418</v>
      </c>
      <c r="G58" s="38">
        <v>8.8391600000000004E-3</v>
      </c>
      <c r="H58" s="29" t="s">
        <v>143</v>
      </c>
    </row>
    <row r="59" spans="1:8" ht="12.75" customHeight="1" x14ac:dyDescent="0.2">
      <c r="A59" s="35">
        <v>53</v>
      </c>
      <c r="B59" s="22" t="s">
        <v>497</v>
      </c>
      <c r="C59" s="22" t="s">
        <v>498</v>
      </c>
      <c r="D59" s="22" t="s">
        <v>191</v>
      </c>
      <c r="E59" s="36">
        <v>26449</v>
      </c>
      <c r="F59" s="37">
        <v>108.50702250000001</v>
      </c>
      <c r="G59" s="38">
        <v>8.8170999999999996E-3</v>
      </c>
      <c r="H59" s="29" t="s">
        <v>143</v>
      </c>
    </row>
    <row r="60" spans="1:8" ht="12.75" customHeight="1" x14ac:dyDescent="0.2">
      <c r="A60" s="35">
        <v>54</v>
      </c>
      <c r="B60" s="22" t="s">
        <v>26</v>
      </c>
      <c r="C60" s="22" t="s">
        <v>27</v>
      </c>
      <c r="D60" s="22" t="s">
        <v>28</v>
      </c>
      <c r="E60" s="36">
        <v>26852</v>
      </c>
      <c r="F60" s="37">
        <v>108.468654</v>
      </c>
      <c r="G60" s="38">
        <v>8.8139900000000007E-3</v>
      </c>
      <c r="H60" s="29" t="s">
        <v>143</v>
      </c>
    </row>
    <row r="61" spans="1:8" ht="12.75" customHeight="1" x14ac:dyDescent="0.2">
      <c r="A61" s="35">
        <v>55</v>
      </c>
      <c r="B61" s="22" t="s">
        <v>509</v>
      </c>
      <c r="C61" s="22" t="s">
        <v>510</v>
      </c>
      <c r="D61" s="22" t="s">
        <v>270</v>
      </c>
      <c r="E61" s="36">
        <v>7350</v>
      </c>
      <c r="F61" s="37">
        <v>107.898</v>
      </c>
      <c r="G61" s="38">
        <v>8.7676200000000003E-3</v>
      </c>
      <c r="H61" s="29" t="s">
        <v>143</v>
      </c>
    </row>
    <row r="62" spans="1:8" ht="12.75" customHeight="1" x14ac:dyDescent="0.2">
      <c r="A62" s="35">
        <v>56</v>
      </c>
      <c r="B62" s="22" t="s">
        <v>339</v>
      </c>
      <c r="C62" s="22" t="s">
        <v>340</v>
      </c>
      <c r="D62" s="22" t="s">
        <v>25</v>
      </c>
      <c r="E62" s="36">
        <v>3907</v>
      </c>
      <c r="F62" s="37">
        <v>107.71208300000001</v>
      </c>
      <c r="G62" s="38">
        <v>8.7525099999999998E-3</v>
      </c>
      <c r="H62" s="29" t="s">
        <v>143</v>
      </c>
    </row>
    <row r="63" spans="1:8" ht="12.75" customHeight="1" x14ac:dyDescent="0.2">
      <c r="A63" s="35">
        <v>57</v>
      </c>
      <c r="B63" s="22" t="s">
        <v>788</v>
      </c>
      <c r="C63" s="22" t="s">
        <v>789</v>
      </c>
      <c r="D63" s="22" t="s">
        <v>46</v>
      </c>
      <c r="E63" s="36">
        <v>7153</v>
      </c>
      <c r="F63" s="37">
        <v>107.43805999999999</v>
      </c>
      <c r="G63" s="38">
        <v>8.7302400000000002E-3</v>
      </c>
      <c r="H63" s="29" t="s">
        <v>143</v>
      </c>
    </row>
    <row r="64" spans="1:8" ht="12.75" customHeight="1" x14ac:dyDescent="0.2">
      <c r="A64" s="35">
        <v>58</v>
      </c>
      <c r="B64" s="22" t="s">
        <v>49</v>
      </c>
      <c r="C64" s="22" t="s">
        <v>50</v>
      </c>
      <c r="D64" s="22" t="s">
        <v>22</v>
      </c>
      <c r="E64" s="36">
        <v>27640</v>
      </c>
      <c r="F64" s="37">
        <v>107.42286</v>
      </c>
      <c r="G64" s="38">
        <v>8.7290100000000006E-3</v>
      </c>
      <c r="H64" s="29" t="s">
        <v>143</v>
      </c>
    </row>
    <row r="65" spans="1:8" ht="12.75" customHeight="1" x14ac:dyDescent="0.2">
      <c r="A65" s="35">
        <v>59</v>
      </c>
      <c r="B65" s="22" t="s">
        <v>429</v>
      </c>
      <c r="C65" s="22" t="s">
        <v>430</v>
      </c>
      <c r="D65" s="22" t="s">
        <v>275</v>
      </c>
      <c r="E65" s="36">
        <v>5985</v>
      </c>
      <c r="F65" s="37">
        <v>107.16741</v>
      </c>
      <c r="G65" s="38">
        <v>8.7082500000000007E-3</v>
      </c>
      <c r="H65" s="29" t="s">
        <v>143</v>
      </c>
    </row>
    <row r="66" spans="1:8" ht="12.75" customHeight="1" x14ac:dyDescent="0.2">
      <c r="A66" s="35">
        <v>60</v>
      </c>
      <c r="B66" s="22" t="s">
        <v>511</v>
      </c>
      <c r="C66" s="22" t="s">
        <v>512</v>
      </c>
      <c r="D66" s="22" t="s">
        <v>230</v>
      </c>
      <c r="E66" s="36">
        <v>24117</v>
      </c>
      <c r="F66" s="37">
        <v>107.00712900000001</v>
      </c>
      <c r="G66" s="38">
        <v>8.69522E-3</v>
      </c>
      <c r="H66" s="29" t="s">
        <v>143</v>
      </c>
    </row>
    <row r="67" spans="1:8" ht="12.75" customHeight="1" x14ac:dyDescent="0.2">
      <c r="A67" s="35">
        <v>61</v>
      </c>
      <c r="B67" s="22" t="s">
        <v>54</v>
      </c>
      <c r="C67" s="22" t="s">
        <v>55</v>
      </c>
      <c r="D67" s="22" t="s">
        <v>56</v>
      </c>
      <c r="E67" s="36">
        <v>1909</v>
      </c>
      <c r="F67" s="37">
        <v>106.79900499999999</v>
      </c>
      <c r="G67" s="38">
        <v>8.6783099999999998E-3</v>
      </c>
      <c r="H67" s="29" t="s">
        <v>143</v>
      </c>
    </row>
    <row r="68" spans="1:8" ht="12.75" customHeight="1" x14ac:dyDescent="0.2">
      <c r="A68" s="35">
        <v>62</v>
      </c>
      <c r="B68" s="22" t="s">
        <v>321</v>
      </c>
      <c r="C68" s="22" t="s">
        <v>322</v>
      </c>
      <c r="D68" s="22" t="s">
        <v>33</v>
      </c>
      <c r="E68" s="36">
        <v>11209</v>
      </c>
      <c r="F68" s="37">
        <v>106.59759</v>
      </c>
      <c r="G68" s="38">
        <v>8.6619499999999999E-3</v>
      </c>
      <c r="H68" s="29" t="s">
        <v>143</v>
      </c>
    </row>
    <row r="69" spans="1:8" ht="12.75" customHeight="1" x14ac:dyDescent="0.2">
      <c r="A69" s="35">
        <v>63</v>
      </c>
      <c r="B69" s="22" t="s">
        <v>421</v>
      </c>
      <c r="C69" s="22" t="s">
        <v>422</v>
      </c>
      <c r="D69" s="22" t="s">
        <v>423</v>
      </c>
      <c r="E69" s="36">
        <v>26539</v>
      </c>
      <c r="F69" s="37">
        <v>106.56735449999999</v>
      </c>
      <c r="G69" s="38">
        <v>8.6594900000000006E-3</v>
      </c>
      <c r="H69" s="29" t="s">
        <v>143</v>
      </c>
    </row>
    <row r="70" spans="1:8" ht="12.75" customHeight="1" x14ac:dyDescent="0.2">
      <c r="A70" s="35">
        <v>64</v>
      </c>
      <c r="B70" s="22" t="s">
        <v>11</v>
      </c>
      <c r="C70" s="22" t="s">
        <v>12</v>
      </c>
      <c r="D70" s="22" t="s">
        <v>13</v>
      </c>
      <c r="E70" s="36">
        <v>5673</v>
      </c>
      <c r="F70" s="37">
        <v>106.561632</v>
      </c>
      <c r="G70" s="38">
        <v>8.6590199999999999E-3</v>
      </c>
      <c r="H70" s="29" t="s">
        <v>143</v>
      </c>
    </row>
    <row r="71" spans="1:8" ht="12.75" customHeight="1" x14ac:dyDescent="0.2">
      <c r="A71" s="35">
        <v>65</v>
      </c>
      <c r="B71" s="22" t="s">
        <v>29</v>
      </c>
      <c r="C71" s="22" t="s">
        <v>30</v>
      </c>
      <c r="D71" s="22" t="s">
        <v>22</v>
      </c>
      <c r="E71" s="36">
        <v>37995</v>
      </c>
      <c r="F71" s="37">
        <v>106.4809875</v>
      </c>
      <c r="G71" s="38">
        <v>8.6524700000000006E-3</v>
      </c>
      <c r="H71" s="29" t="s">
        <v>143</v>
      </c>
    </row>
    <row r="72" spans="1:8" ht="12.75" customHeight="1" x14ac:dyDescent="0.2">
      <c r="A72" s="35">
        <v>66</v>
      </c>
      <c r="B72" s="22" t="s">
        <v>99</v>
      </c>
      <c r="C72" s="22" t="s">
        <v>100</v>
      </c>
      <c r="D72" s="22" t="s">
        <v>38</v>
      </c>
      <c r="E72" s="36">
        <v>3398</v>
      </c>
      <c r="F72" s="37">
        <v>106.33021599999999</v>
      </c>
      <c r="G72" s="38">
        <v>8.6402200000000005E-3</v>
      </c>
      <c r="H72" s="29" t="s">
        <v>143</v>
      </c>
    </row>
    <row r="73" spans="1:8" ht="12.75" customHeight="1" x14ac:dyDescent="0.2">
      <c r="A73" s="35">
        <v>67</v>
      </c>
      <c r="B73" s="22" t="s">
        <v>652</v>
      </c>
      <c r="C73" s="22" t="s">
        <v>653</v>
      </c>
      <c r="D73" s="22" t="s">
        <v>454</v>
      </c>
      <c r="E73" s="36">
        <v>9219</v>
      </c>
      <c r="F73" s="37">
        <v>106.28585099999999</v>
      </c>
      <c r="G73" s="38">
        <v>8.6366199999999994E-3</v>
      </c>
      <c r="H73" s="29" t="s">
        <v>143</v>
      </c>
    </row>
    <row r="74" spans="1:8" ht="12.75" customHeight="1" x14ac:dyDescent="0.2">
      <c r="A74" s="35">
        <v>68</v>
      </c>
      <c r="B74" s="22" t="s">
        <v>73</v>
      </c>
      <c r="C74" s="22" t="s">
        <v>74</v>
      </c>
      <c r="D74" s="22" t="s">
        <v>75</v>
      </c>
      <c r="E74" s="36">
        <v>60153</v>
      </c>
      <c r="F74" s="37">
        <v>106.0437237</v>
      </c>
      <c r="G74" s="38">
        <v>8.61694E-3</v>
      </c>
      <c r="H74" s="29" t="s">
        <v>143</v>
      </c>
    </row>
    <row r="75" spans="1:8" ht="12.75" customHeight="1" x14ac:dyDescent="0.2">
      <c r="A75" s="35">
        <v>69</v>
      </c>
      <c r="B75" s="22" t="s">
        <v>519</v>
      </c>
      <c r="C75" s="22" t="s">
        <v>520</v>
      </c>
      <c r="D75" s="22" t="s">
        <v>191</v>
      </c>
      <c r="E75" s="36">
        <v>35933</v>
      </c>
      <c r="F75" s="37">
        <v>105.35555600000001</v>
      </c>
      <c r="G75" s="38">
        <v>8.5610200000000008E-3</v>
      </c>
      <c r="H75" s="29" t="s">
        <v>143</v>
      </c>
    </row>
    <row r="76" spans="1:8" ht="12.75" customHeight="1" x14ac:dyDescent="0.2">
      <c r="A76" s="35">
        <v>70</v>
      </c>
      <c r="B76" s="22" t="s">
        <v>31</v>
      </c>
      <c r="C76" s="22" t="s">
        <v>32</v>
      </c>
      <c r="D76" s="22" t="s">
        <v>33</v>
      </c>
      <c r="E76" s="36">
        <v>7785</v>
      </c>
      <c r="F76" s="37">
        <v>104.9418</v>
      </c>
      <c r="G76" s="38">
        <v>8.5273999999999992E-3</v>
      </c>
      <c r="H76" s="29" t="s">
        <v>143</v>
      </c>
    </row>
    <row r="77" spans="1:8" ht="12.75" customHeight="1" x14ac:dyDescent="0.2">
      <c r="A77" s="35">
        <v>71</v>
      </c>
      <c r="B77" s="22" t="s">
        <v>686</v>
      </c>
      <c r="C77" s="22" t="s">
        <v>687</v>
      </c>
      <c r="D77" s="22" t="s">
        <v>215</v>
      </c>
      <c r="E77" s="36">
        <v>2034</v>
      </c>
      <c r="F77" s="37">
        <v>104.90355</v>
      </c>
      <c r="G77" s="38">
        <v>8.5242900000000003E-3</v>
      </c>
      <c r="H77" s="29" t="s">
        <v>143</v>
      </c>
    </row>
    <row r="78" spans="1:8" ht="12.75" customHeight="1" x14ac:dyDescent="0.2">
      <c r="A78" s="35">
        <v>72</v>
      </c>
      <c r="B78" s="22" t="s">
        <v>349</v>
      </c>
      <c r="C78" s="22" t="s">
        <v>350</v>
      </c>
      <c r="D78" s="22" t="s">
        <v>194</v>
      </c>
      <c r="E78" s="36">
        <v>6579</v>
      </c>
      <c r="F78" s="37">
        <v>104.888997</v>
      </c>
      <c r="G78" s="38">
        <v>8.5231100000000004E-3</v>
      </c>
      <c r="H78" s="29" t="s">
        <v>143</v>
      </c>
    </row>
    <row r="79" spans="1:8" ht="12.75" customHeight="1" x14ac:dyDescent="0.2">
      <c r="A79" s="35">
        <v>73</v>
      </c>
      <c r="B79" s="22" t="s">
        <v>790</v>
      </c>
      <c r="C79" s="22" t="s">
        <v>791</v>
      </c>
      <c r="D79" s="22" t="s">
        <v>275</v>
      </c>
      <c r="E79" s="36">
        <v>13857</v>
      </c>
      <c r="F79" s="37">
        <v>104.8212765</v>
      </c>
      <c r="G79" s="38">
        <v>8.5176100000000001E-3</v>
      </c>
      <c r="H79" s="29" t="s">
        <v>143</v>
      </c>
    </row>
    <row r="80" spans="1:8" ht="12.75" customHeight="1" x14ac:dyDescent="0.2">
      <c r="A80" s="35">
        <v>74</v>
      </c>
      <c r="B80" s="22" t="s">
        <v>327</v>
      </c>
      <c r="C80" s="22" t="s">
        <v>328</v>
      </c>
      <c r="D80" s="22" t="s">
        <v>33</v>
      </c>
      <c r="E80" s="36">
        <v>9176</v>
      </c>
      <c r="F80" s="37">
        <v>103.835616</v>
      </c>
      <c r="G80" s="38">
        <v>8.4375100000000005E-3</v>
      </c>
      <c r="H80" s="29" t="s">
        <v>143</v>
      </c>
    </row>
    <row r="81" spans="1:8" ht="12.75" customHeight="1" x14ac:dyDescent="0.2">
      <c r="A81" s="35">
        <v>75</v>
      </c>
      <c r="B81" s="22" t="s">
        <v>682</v>
      </c>
      <c r="C81" s="22" t="s">
        <v>683</v>
      </c>
      <c r="D81" s="22" t="s">
        <v>191</v>
      </c>
      <c r="E81" s="36">
        <v>27669</v>
      </c>
      <c r="F81" s="37">
        <v>103.1638665</v>
      </c>
      <c r="G81" s="38">
        <v>8.3829300000000002E-3</v>
      </c>
      <c r="H81" s="29" t="s">
        <v>143</v>
      </c>
    </row>
    <row r="82" spans="1:8" ht="12.75" customHeight="1" x14ac:dyDescent="0.2">
      <c r="A82" s="35">
        <v>76</v>
      </c>
      <c r="B82" s="22" t="s">
        <v>347</v>
      </c>
      <c r="C82" s="22" t="s">
        <v>348</v>
      </c>
      <c r="D82" s="22" t="s">
        <v>206</v>
      </c>
      <c r="E82" s="36">
        <v>14275</v>
      </c>
      <c r="F82" s="37">
        <v>102.82282499999999</v>
      </c>
      <c r="G82" s="38">
        <v>8.35522E-3</v>
      </c>
      <c r="H82" s="29" t="s">
        <v>143</v>
      </c>
    </row>
    <row r="83" spans="1:8" ht="12.75" customHeight="1" x14ac:dyDescent="0.2">
      <c r="A83" s="35">
        <v>77</v>
      </c>
      <c r="B83" s="22" t="s">
        <v>792</v>
      </c>
      <c r="C83" s="22" t="s">
        <v>793</v>
      </c>
      <c r="D83" s="22" t="s">
        <v>275</v>
      </c>
      <c r="E83" s="36">
        <v>11411</v>
      </c>
      <c r="F83" s="37">
        <v>102.7389385</v>
      </c>
      <c r="G83" s="38">
        <v>8.3484000000000006E-3</v>
      </c>
      <c r="H83" s="29" t="s">
        <v>143</v>
      </c>
    </row>
    <row r="84" spans="1:8" ht="12.75" customHeight="1" x14ac:dyDescent="0.2">
      <c r="A84" s="35">
        <v>78</v>
      </c>
      <c r="B84" s="22" t="s">
        <v>17</v>
      </c>
      <c r="C84" s="22" t="s">
        <v>18</v>
      </c>
      <c r="D84" s="22" t="s">
        <v>19</v>
      </c>
      <c r="E84" s="36">
        <v>7523</v>
      </c>
      <c r="F84" s="37">
        <v>102.61372</v>
      </c>
      <c r="G84" s="38">
        <v>8.3382200000000004E-3</v>
      </c>
      <c r="H84" s="29" t="s">
        <v>143</v>
      </c>
    </row>
    <row r="85" spans="1:8" ht="12.75" customHeight="1" x14ac:dyDescent="0.2">
      <c r="A85" s="35">
        <v>79</v>
      </c>
      <c r="B85" s="22" t="s">
        <v>738</v>
      </c>
      <c r="C85" s="22" t="s">
        <v>739</v>
      </c>
      <c r="D85" s="22" t="s">
        <v>194</v>
      </c>
      <c r="E85" s="36">
        <v>8367</v>
      </c>
      <c r="F85" s="37">
        <v>102.386979</v>
      </c>
      <c r="G85" s="38">
        <v>8.3198000000000005E-3</v>
      </c>
      <c r="H85" s="29" t="s">
        <v>143</v>
      </c>
    </row>
    <row r="86" spans="1:8" ht="12.75" customHeight="1" x14ac:dyDescent="0.2">
      <c r="A86" s="35">
        <v>80</v>
      </c>
      <c r="B86" s="22" t="s">
        <v>740</v>
      </c>
      <c r="C86" s="22" t="s">
        <v>741</v>
      </c>
      <c r="D86" s="22" t="s">
        <v>275</v>
      </c>
      <c r="E86" s="36">
        <v>5408</v>
      </c>
      <c r="F86" s="37">
        <v>102.200384</v>
      </c>
      <c r="G86" s="38">
        <v>8.3046400000000003E-3</v>
      </c>
      <c r="H86" s="29" t="s">
        <v>143</v>
      </c>
    </row>
    <row r="87" spans="1:8" ht="12.75" customHeight="1" x14ac:dyDescent="0.2">
      <c r="A87" s="35">
        <v>81</v>
      </c>
      <c r="B87" s="22" t="s">
        <v>303</v>
      </c>
      <c r="C87" s="22" t="s">
        <v>304</v>
      </c>
      <c r="D87" s="22" t="s">
        <v>275</v>
      </c>
      <c r="E87" s="36">
        <v>17156</v>
      </c>
      <c r="F87" s="37">
        <v>102.112512</v>
      </c>
      <c r="G87" s="38">
        <v>8.2974999999999993E-3</v>
      </c>
      <c r="H87" s="29" t="s">
        <v>143</v>
      </c>
    </row>
    <row r="88" spans="1:8" ht="12.75" customHeight="1" x14ac:dyDescent="0.2">
      <c r="A88" s="35">
        <v>82</v>
      </c>
      <c r="B88" s="22" t="s">
        <v>501</v>
      </c>
      <c r="C88" s="22" t="s">
        <v>502</v>
      </c>
      <c r="D88" s="22" t="s">
        <v>230</v>
      </c>
      <c r="E88" s="36">
        <v>7653</v>
      </c>
      <c r="F88" s="37">
        <v>101.348679</v>
      </c>
      <c r="G88" s="38">
        <v>8.2354300000000002E-3</v>
      </c>
      <c r="H88" s="29" t="s">
        <v>143</v>
      </c>
    </row>
    <row r="89" spans="1:8" ht="12.75" customHeight="1" x14ac:dyDescent="0.2">
      <c r="A89" s="35">
        <v>83</v>
      </c>
      <c r="B89" s="22" t="s">
        <v>323</v>
      </c>
      <c r="C89" s="22" t="s">
        <v>324</v>
      </c>
      <c r="D89" s="22" t="s">
        <v>33</v>
      </c>
      <c r="E89" s="36">
        <v>5075</v>
      </c>
      <c r="F89" s="37">
        <v>101.129525</v>
      </c>
      <c r="G89" s="38">
        <v>8.2176200000000001E-3</v>
      </c>
      <c r="H89" s="29" t="s">
        <v>143</v>
      </c>
    </row>
    <row r="90" spans="1:8" ht="12.75" customHeight="1" x14ac:dyDescent="0.2">
      <c r="A90" s="35">
        <v>84</v>
      </c>
      <c r="B90" s="22" t="s">
        <v>419</v>
      </c>
      <c r="C90" s="22" t="s">
        <v>420</v>
      </c>
      <c r="D90" s="22" t="s">
        <v>46</v>
      </c>
      <c r="E90" s="36">
        <v>2996</v>
      </c>
      <c r="F90" s="37">
        <v>100.87532</v>
      </c>
      <c r="G90" s="38">
        <v>8.1969599999999997E-3</v>
      </c>
      <c r="H90" s="29" t="s">
        <v>143</v>
      </c>
    </row>
    <row r="91" spans="1:8" ht="12.75" customHeight="1" x14ac:dyDescent="0.2">
      <c r="A91" s="35">
        <v>85</v>
      </c>
      <c r="B91" s="22" t="s">
        <v>794</v>
      </c>
      <c r="C91" s="22" t="s">
        <v>795</v>
      </c>
      <c r="D91" s="22" t="s">
        <v>191</v>
      </c>
      <c r="E91" s="36">
        <v>90876</v>
      </c>
      <c r="F91" s="37">
        <v>99.9726876</v>
      </c>
      <c r="G91" s="38">
        <v>8.1236199999999998E-3</v>
      </c>
      <c r="H91" s="29" t="s">
        <v>143</v>
      </c>
    </row>
    <row r="92" spans="1:8" ht="12.75" customHeight="1" x14ac:dyDescent="0.2">
      <c r="A92" s="35">
        <v>86</v>
      </c>
      <c r="B92" s="22" t="s">
        <v>242</v>
      </c>
      <c r="C92" s="22" t="s">
        <v>243</v>
      </c>
      <c r="D92" s="22" t="s">
        <v>191</v>
      </c>
      <c r="E92" s="36">
        <v>16126</v>
      </c>
      <c r="F92" s="37">
        <v>99.352286000000007</v>
      </c>
      <c r="G92" s="38">
        <v>8.0732000000000009E-3</v>
      </c>
      <c r="H92" s="29" t="s">
        <v>143</v>
      </c>
    </row>
    <row r="93" spans="1:8" ht="12.75" customHeight="1" x14ac:dyDescent="0.2">
      <c r="A93" s="35">
        <v>87</v>
      </c>
      <c r="B93" s="22" t="s">
        <v>325</v>
      </c>
      <c r="C93" s="22" t="s">
        <v>326</v>
      </c>
      <c r="D93" s="22" t="s">
        <v>215</v>
      </c>
      <c r="E93" s="36">
        <v>6845</v>
      </c>
      <c r="F93" s="37">
        <v>98.691209999999998</v>
      </c>
      <c r="G93" s="38">
        <v>8.0194900000000006E-3</v>
      </c>
      <c r="H93" s="29" t="s">
        <v>143</v>
      </c>
    </row>
    <row r="94" spans="1:8" ht="12.75" customHeight="1" x14ac:dyDescent="0.2">
      <c r="A94" s="35">
        <v>88</v>
      </c>
      <c r="B94" s="22" t="s">
        <v>441</v>
      </c>
      <c r="C94" s="22" t="s">
        <v>442</v>
      </c>
      <c r="D94" s="22" t="s">
        <v>215</v>
      </c>
      <c r="E94" s="36">
        <v>41051</v>
      </c>
      <c r="F94" s="37">
        <v>98.263778700000003</v>
      </c>
      <c r="G94" s="38">
        <v>7.9847500000000005E-3</v>
      </c>
      <c r="H94" s="29" t="s">
        <v>143</v>
      </c>
    </row>
    <row r="95" spans="1:8" ht="12.75" customHeight="1" x14ac:dyDescent="0.2">
      <c r="A95" s="35">
        <v>89</v>
      </c>
      <c r="B95" s="22" t="s">
        <v>796</v>
      </c>
      <c r="C95" s="22" t="s">
        <v>797</v>
      </c>
      <c r="D95" s="22" t="s">
        <v>191</v>
      </c>
      <c r="E95" s="36">
        <v>796</v>
      </c>
      <c r="F95" s="37">
        <v>97.48612</v>
      </c>
      <c r="G95" s="38">
        <v>7.9215599999999994E-3</v>
      </c>
      <c r="H95" s="29" t="s">
        <v>143</v>
      </c>
    </row>
    <row r="96" spans="1:8" ht="12.75" customHeight="1" x14ac:dyDescent="0.2">
      <c r="A96" s="35">
        <v>90</v>
      </c>
      <c r="B96" s="22" t="s">
        <v>469</v>
      </c>
      <c r="C96" s="22" t="s">
        <v>470</v>
      </c>
      <c r="D96" s="22" t="s">
        <v>284</v>
      </c>
      <c r="E96" s="36">
        <v>7415</v>
      </c>
      <c r="F96" s="37">
        <v>97.084594999999993</v>
      </c>
      <c r="G96" s="38">
        <v>7.8889400000000005E-3</v>
      </c>
      <c r="H96" s="29" t="s">
        <v>143</v>
      </c>
    </row>
    <row r="97" spans="1:8" ht="12.75" customHeight="1" x14ac:dyDescent="0.2">
      <c r="A97" s="35">
        <v>91</v>
      </c>
      <c r="B97" s="22" t="s">
        <v>443</v>
      </c>
      <c r="C97" s="22" t="s">
        <v>444</v>
      </c>
      <c r="D97" s="22" t="s">
        <v>33</v>
      </c>
      <c r="E97" s="36">
        <v>13115</v>
      </c>
      <c r="F97" s="37">
        <v>96.467382499999999</v>
      </c>
      <c r="G97" s="38">
        <v>7.8387800000000001E-3</v>
      </c>
      <c r="H97" s="29" t="s">
        <v>143</v>
      </c>
    </row>
    <row r="98" spans="1:8" ht="12.75" customHeight="1" x14ac:dyDescent="0.2">
      <c r="A98" s="35">
        <v>92</v>
      </c>
      <c r="B98" s="22" t="s">
        <v>798</v>
      </c>
      <c r="C98" s="22" t="s">
        <v>799</v>
      </c>
      <c r="D98" s="22" t="s">
        <v>191</v>
      </c>
      <c r="E98" s="36">
        <v>78092</v>
      </c>
      <c r="F98" s="37">
        <v>96.451429200000007</v>
      </c>
      <c r="G98" s="38">
        <v>7.8374900000000008E-3</v>
      </c>
      <c r="H98" s="29" t="s">
        <v>143</v>
      </c>
    </row>
    <row r="99" spans="1:8" ht="12.75" customHeight="1" x14ac:dyDescent="0.2">
      <c r="A99" s="35">
        <v>93</v>
      </c>
      <c r="B99" s="22" t="s">
        <v>111</v>
      </c>
      <c r="C99" s="22" t="s">
        <v>112</v>
      </c>
      <c r="D99" s="22" t="s">
        <v>38</v>
      </c>
      <c r="E99" s="36">
        <v>1844</v>
      </c>
      <c r="F99" s="37">
        <v>95.580051999999995</v>
      </c>
      <c r="G99" s="38">
        <v>7.7666799999999998E-3</v>
      </c>
      <c r="H99" s="29" t="s">
        <v>143</v>
      </c>
    </row>
    <row r="100" spans="1:8" ht="12.75" customHeight="1" x14ac:dyDescent="0.2">
      <c r="A100" s="35">
        <v>94</v>
      </c>
      <c r="B100" s="22" t="s">
        <v>650</v>
      </c>
      <c r="C100" s="22" t="s">
        <v>651</v>
      </c>
      <c r="D100" s="22" t="s">
        <v>194</v>
      </c>
      <c r="E100" s="36">
        <v>1653</v>
      </c>
      <c r="F100" s="37">
        <v>94.047434999999993</v>
      </c>
      <c r="G100" s="38">
        <v>7.6421400000000004E-3</v>
      </c>
      <c r="H100" s="29" t="s">
        <v>143</v>
      </c>
    </row>
    <row r="101" spans="1:8" ht="12.75" customHeight="1" x14ac:dyDescent="0.2">
      <c r="A101" s="35">
        <v>95</v>
      </c>
      <c r="B101" s="22" t="s">
        <v>646</v>
      </c>
      <c r="C101" s="22" t="s">
        <v>647</v>
      </c>
      <c r="D101" s="22" t="s">
        <v>90</v>
      </c>
      <c r="E101" s="36">
        <v>13004</v>
      </c>
      <c r="F101" s="37">
        <v>92.718519999999998</v>
      </c>
      <c r="G101" s="38">
        <v>7.5341599999999998E-3</v>
      </c>
      <c r="H101" s="29" t="s">
        <v>143</v>
      </c>
    </row>
    <row r="102" spans="1:8" ht="12.75" customHeight="1" x14ac:dyDescent="0.2">
      <c r="A102" s="35">
        <v>96</v>
      </c>
      <c r="B102" s="22" t="s">
        <v>433</v>
      </c>
      <c r="C102" s="22" t="s">
        <v>434</v>
      </c>
      <c r="D102" s="22" t="s">
        <v>215</v>
      </c>
      <c r="E102" s="36">
        <v>3186</v>
      </c>
      <c r="F102" s="37">
        <v>92.024423999999996</v>
      </c>
      <c r="G102" s="38">
        <v>7.47775E-3</v>
      </c>
      <c r="H102" s="29" t="s">
        <v>143</v>
      </c>
    </row>
    <row r="103" spans="1:8" ht="12.75" customHeight="1" x14ac:dyDescent="0.2">
      <c r="A103" s="35">
        <v>97</v>
      </c>
      <c r="B103" s="22" t="s">
        <v>515</v>
      </c>
      <c r="C103" s="22" t="s">
        <v>516</v>
      </c>
      <c r="D103" s="22" t="s">
        <v>215</v>
      </c>
      <c r="E103" s="36">
        <v>6474</v>
      </c>
      <c r="F103" s="37">
        <v>90.655422000000002</v>
      </c>
      <c r="G103" s="38">
        <v>7.3665099999999997E-3</v>
      </c>
      <c r="H103" s="29" t="s">
        <v>143</v>
      </c>
    </row>
    <row r="104" spans="1:8" ht="12.75" customHeight="1" x14ac:dyDescent="0.2">
      <c r="A104" s="35">
        <v>98</v>
      </c>
      <c r="B104" s="22" t="s">
        <v>424</v>
      </c>
      <c r="C104" s="22" t="s">
        <v>425</v>
      </c>
      <c r="D104" s="22" t="s">
        <v>215</v>
      </c>
      <c r="E104" s="36">
        <v>6424</v>
      </c>
      <c r="F104" s="37">
        <v>88.978824000000003</v>
      </c>
      <c r="G104" s="38">
        <v>7.2302699999999996E-3</v>
      </c>
      <c r="H104" s="29" t="s">
        <v>143</v>
      </c>
    </row>
    <row r="105" spans="1:8" ht="12.75" customHeight="1" x14ac:dyDescent="0.2">
      <c r="A105" s="35">
        <v>99</v>
      </c>
      <c r="B105" s="22" t="s">
        <v>800</v>
      </c>
      <c r="C105" s="22" t="s">
        <v>801</v>
      </c>
      <c r="D105" s="22" t="s">
        <v>90</v>
      </c>
      <c r="E105" s="36">
        <v>7738</v>
      </c>
      <c r="F105" s="37">
        <v>87.888204000000002</v>
      </c>
      <c r="G105" s="38">
        <v>7.1416500000000003E-3</v>
      </c>
      <c r="H105" s="29" t="s">
        <v>143</v>
      </c>
    </row>
    <row r="106" spans="1:8" ht="12.75" customHeight="1" x14ac:dyDescent="0.2">
      <c r="A106" s="35">
        <v>100</v>
      </c>
      <c r="B106" s="22" t="s">
        <v>802</v>
      </c>
      <c r="C106" s="22" t="s">
        <v>803</v>
      </c>
      <c r="D106" s="22" t="s">
        <v>284</v>
      </c>
      <c r="E106" s="36">
        <v>1799</v>
      </c>
      <c r="F106" s="37">
        <v>84.148224999999996</v>
      </c>
      <c r="G106" s="38">
        <v>6.8377500000000001E-3</v>
      </c>
      <c r="H106" s="29" t="s">
        <v>143</v>
      </c>
    </row>
    <row r="107" spans="1:8" ht="12.75" customHeight="1" x14ac:dyDescent="0.2">
      <c r="A107" s="39"/>
      <c r="B107" s="39"/>
      <c r="C107" s="40" t="s">
        <v>142</v>
      </c>
      <c r="D107" s="39"/>
      <c r="E107" s="39" t="s">
        <v>143</v>
      </c>
      <c r="F107" s="41">
        <v>11039.234044000001</v>
      </c>
      <c r="G107" s="42">
        <v>0.89703016000000002</v>
      </c>
      <c r="H107" s="29" t="s">
        <v>143</v>
      </c>
    </row>
    <row r="108" spans="1:8" ht="12.75" customHeight="1" x14ac:dyDescent="0.2">
      <c r="A108" s="39"/>
      <c r="B108" s="39"/>
      <c r="C108" s="43"/>
      <c r="D108" s="39"/>
      <c r="E108" s="39"/>
      <c r="F108" s="44"/>
      <c r="G108" s="44"/>
      <c r="H108" s="29" t="s">
        <v>143</v>
      </c>
    </row>
    <row r="109" spans="1:8" ht="12.75" customHeight="1" x14ac:dyDescent="0.2">
      <c r="A109" s="39"/>
      <c r="B109" s="39"/>
      <c r="C109" s="40" t="s">
        <v>144</v>
      </c>
      <c r="D109" s="39"/>
      <c r="E109" s="39"/>
      <c r="F109" s="39"/>
      <c r="G109" s="39"/>
      <c r="H109" s="29" t="s">
        <v>143</v>
      </c>
    </row>
    <row r="110" spans="1:8" ht="12.75" customHeight="1" x14ac:dyDescent="0.2">
      <c r="A110" s="39"/>
      <c r="B110" s="39"/>
      <c r="C110" s="40" t="s">
        <v>142</v>
      </c>
      <c r="D110" s="39"/>
      <c r="E110" s="39" t="s">
        <v>143</v>
      </c>
      <c r="F110" s="45" t="s">
        <v>145</v>
      </c>
      <c r="G110" s="42">
        <v>0</v>
      </c>
      <c r="H110" s="29" t="s">
        <v>143</v>
      </c>
    </row>
    <row r="111" spans="1:8" ht="12.75" customHeight="1" x14ac:dyDescent="0.2">
      <c r="A111" s="39"/>
      <c r="B111" s="39"/>
      <c r="C111" s="43"/>
      <c r="D111" s="39"/>
      <c r="E111" s="39"/>
      <c r="F111" s="44"/>
      <c r="G111" s="44"/>
      <c r="H111" s="29" t="s">
        <v>143</v>
      </c>
    </row>
    <row r="112" spans="1:8" ht="12.75" customHeight="1" x14ac:dyDescent="0.2">
      <c r="A112" s="39"/>
      <c r="B112" s="39"/>
      <c r="C112" s="40" t="s">
        <v>146</v>
      </c>
      <c r="D112" s="39"/>
      <c r="E112" s="39"/>
      <c r="F112" s="39"/>
      <c r="G112" s="39"/>
      <c r="H112" s="29" t="s">
        <v>143</v>
      </c>
    </row>
    <row r="113" spans="1:8" ht="12.75" customHeight="1" x14ac:dyDescent="0.2">
      <c r="A113" s="39"/>
      <c r="B113" s="39"/>
      <c r="C113" s="40" t="s">
        <v>142</v>
      </c>
      <c r="D113" s="39"/>
      <c r="E113" s="39" t="s">
        <v>143</v>
      </c>
      <c r="F113" s="45" t="s">
        <v>145</v>
      </c>
      <c r="G113" s="42">
        <v>0</v>
      </c>
      <c r="H113" s="29" t="s">
        <v>143</v>
      </c>
    </row>
    <row r="114" spans="1:8" ht="12.75" customHeight="1" x14ac:dyDescent="0.2">
      <c r="A114" s="39"/>
      <c r="B114" s="39"/>
      <c r="C114" s="43"/>
      <c r="D114" s="39"/>
      <c r="E114" s="39"/>
      <c r="F114" s="44"/>
      <c r="G114" s="44"/>
      <c r="H114" s="29" t="s">
        <v>143</v>
      </c>
    </row>
    <row r="115" spans="1:8" ht="12.75" customHeight="1" x14ac:dyDescent="0.2">
      <c r="A115" s="39"/>
      <c r="B115" s="39"/>
      <c r="C115" s="40" t="s">
        <v>147</v>
      </c>
      <c r="D115" s="39"/>
      <c r="E115" s="39"/>
      <c r="F115" s="39"/>
      <c r="G115" s="39"/>
      <c r="H115" s="29" t="s">
        <v>143</v>
      </c>
    </row>
    <row r="116" spans="1:8" ht="12.75" customHeight="1" x14ac:dyDescent="0.2">
      <c r="A116" s="39"/>
      <c r="B116" s="39"/>
      <c r="C116" s="40" t="s">
        <v>142</v>
      </c>
      <c r="D116" s="39"/>
      <c r="E116" s="39" t="s">
        <v>143</v>
      </c>
      <c r="F116" s="45" t="s">
        <v>145</v>
      </c>
      <c r="G116" s="42">
        <v>0</v>
      </c>
      <c r="H116" s="29" t="s">
        <v>143</v>
      </c>
    </row>
    <row r="117" spans="1:8" ht="12.75" customHeight="1" x14ac:dyDescent="0.2">
      <c r="A117" s="39"/>
      <c r="B117" s="39"/>
      <c r="C117" s="43"/>
      <c r="D117" s="39"/>
      <c r="E117" s="39"/>
      <c r="F117" s="44"/>
      <c r="G117" s="44"/>
      <c r="H117" s="29" t="s">
        <v>143</v>
      </c>
    </row>
    <row r="118" spans="1:8" ht="12.75" customHeight="1" x14ac:dyDescent="0.2">
      <c r="A118" s="39"/>
      <c r="B118" s="39"/>
      <c r="C118" s="40" t="s">
        <v>148</v>
      </c>
      <c r="D118" s="39"/>
      <c r="E118" s="39"/>
      <c r="F118" s="44"/>
      <c r="G118" s="44"/>
      <c r="H118" s="29" t="s">
        <v>143</v>
      </c>
    </row>
    <row r="119" spans="1:8" ht="12.75" customHeight="1" x14ac:dyDescent="0.2">
      <c r="A119" s="39"/>
      <c r="B119" s="39"/>
      <c r="C119" s="40" t="s">
        <v>142</v>
      </c>
      <c r="D119" s="39"/>
      <c r="E119" s="39" t="s">
        <v>143</v>
      </c>
      <c r="F119" s="45" t="s">
        <v>145</v>
      </c>
      <c r="G119" s="42">
        <v>0</v>
      </c>
      <c r="H119" s="29" t="s">
        <v>143</v>
      </c>
    </row>
    <row r="120" spans="1:8" ht="12.75" customHeight="1" x14ac:dyDescent="0.2">
      <c r="A120" s="39"/>
      <c r="B120" s="39"/>
      <c r="C120" s="43"/>
      <c r="D120" s="39"/>
      <c r="E120" s="39"/>
      <c r="F120" s="44"/>
      <c r="G120" s="44"/>
      <c r="H120" s="29" t="s">
        <v>143</v>
      </c>
    </row>
    <row r="121" spans="1:8" ht="12.75" customHeight="1" x14ac:dyDescent="0.2">
      <c r="A121" s="39"/>
      <c r="B121" s="39"/>
      <c r="C121" s="40" t="s">
        <v>149</v>
      </c>
      <c r="D121" s="39"/>
      <c r="E121" s="39"/>
      <c r="F121" s="44"/>
      <c r="G121" s="44"/>
      <c r="H121" s="29" t="s">
        <v>143</v>
      </c>
    </row>
    <row r="122" spans="1:8" ht="12.75" customHeight="1" x14ac:dyDescent="0.2">
      <c r="A122" s="39"/>
      <c r="B122" s="39"/>
      <c r="C122" s="40" t="s">
        <v>142</v>
      </c>
      <c r="D122" s="39"/>
      <c r="E122" s="39" t="s">
        <v>143</v>
      </c>
      <c r="F122" s="45" t="s">
        <v>145</v>
      </c>
      <c r="G122" s="42">
        <v>0</v>
      </c>
      <c r="H122" s="29" t="s">
        <v>143</v>
      </c>
    </row>
    <row r="123" spans="1:8" ht="12.75" customHeight="1" x14ac:dyDescent="0.2">
      <c r="A123" s="39"/>
      <c r="B123" s="39"/>
      <c r="C123" s="43"/>
      <c r="D123" s="39"/>
      <c r="E123" s="39"/>
      <c r="F123" s="44"/>
      <c r="G123" s="44"/>
      <c r="H123" s="29" t="s">
        <v>143</v>
      </c>
    </row>
    <row r="124" spans="1:8" ht="12.75" customHeight="1" x14ac:dyDescent="0.2">
      <c r="A124" s="39"/>
      <c r="B124" s="39"/>
      <c r="C124" s="40" t="s">
        <v>150</v>
      </c>
      <c r="D124" s="39"/>
      <c r="E124" s="39"/>
      <c r="F124" s="41">
        <f>F107</f>
        <v>11039.234044000001</v>
      </c>
      <c r="G124" s="42">
        <f>G107</f>
        <v>0.89703016000000002</v>
      </c>
      <c r="H124" s="29" t="s">
        <v>143</v>
      </c>
    </row>
    <row r="125" spans="1:8" ht="12.75" customHeight="1" x14ac:dyDescent="0.2">
      <c r="A125" s="39"/>
      <c r="B125" s="39"/>
      <c r="C125" s="43"/>
      <c r="D125" s="39"/>
      <c r="E125" s="39"/>
      <c r="F125" s="44"/>
      <c r="G125" s="44"/>
      <c r="H125" s="29" t="s">
        <v>143</v>
      </c>
    </row>
    <row r="126" spans="1:8" ht="12.75" customHeight="1" x14ac:dyDescent="0.2">
      <c r="A126" s="39"/>
      <c r="B126" s="39"/>
      <c r="C126" s="40" t="s">
        <v>151</v>
      </c>
      <c r="D126" s="39"/>
      <c r="E126" s="39"/>
      <c r="F126" s="44"/>
      <c r="G126" s="44"/>
      <c r="H126" s="29" t="s">
        <v>143</v>
      </c>
    </row>
    <row r="127" spans="1:8" ht="12.75" customHeight="1" x14ac:dyDescent="0.2">
      <c r="A127" s="39"/>
      <c r="B127" s="39"/>
      <c r="C127" s="40" t="s">
        <v>10</v>
      </c>
      <c r="D127" s="39"/>
      <c r="E127" s="39"/>
      <c r="F127" s="44"/>
      <c r="G127" s="44"/>
      <c r="H127" s="29" t="s">
        <v>143</v>
      </c>
    </row>
    <row r="128" spans="1:8" ht="12.75" customHeight="1" x14ac:dyDescent="0.2">
      <c r="A128" s="39"/>
      <c r="B128" s="39"/>
      <c r="C128" s="40" t="s">
        <v>142</v>
      </c>
      <c r="D128" s="39"/>
      <c r="E128" s="39" t="s">
        <v>143</v>
      </c>
      <c r="F128" s="45" t="s">
        <v>145</v>
      </c>
      <c r="G128" s="42">
        <v>0</v>
      </c>
      <c r="H128" s="29" t="s">
        <v>143</v>
      </c>
    </row>
    <row r="129" spans="1:8" ht="12.75" customHeight="1" x14ac:dyDescent="0.2">
      <c r="A129" s="39"/>
      <c r="B129" s="39"/>
      <c r="C129" s="43"/>
      <c r="D129" s="39"/>
      <c r="E129" s="39"/>
      <c r="F129" s="44"/>
      <c r="G129" s="44"/>
      <c r="H129" s="29" t="s">
        <v>143</v>
      </c>
    </row>
    <row r="130" spans="1:8" ht="12.75" customHeight="1" x14ac:dyDescent="0.2">
      <c r="A130" s="39"/>
      <c r="B130" s="39"/>
      <c r="C130" s="40" t="s">
        <v>152</v>
      </c>
      <c r="D130" s="39"/>
      <c r="E130" s="39"/>
      <c r="F130" s="39"/>
      <c r="G130" s="39"/>
      <c r="H130" s="29" t="s">
        <v>143</v>
      </c>
    </row>
    <row r="131" spans="1:8" ht="12.75" customHeight="1" x14ac:dyDescent="0.2">
      <c r="A131" s="39"/>
      <c r="B131" s="39"/>
      <c r="C131" s="40" t="s">
        <v>142</v>
      </c>
      <c r="D131" s="39"/>
      <c r="E131" s="39" t="s">
        <v>143</v>
      </c>
      <c r="F131" s="45" t="s">
        <v>145</v>
      </c>
      <c r="G131" s="42">
        <v>0</v>
      </c>
      <c r="H131" s="29" t="s">
        <v>143</v>
      </c>
    </row>
    <row r="132" spans="1:8" ht="12.75" customHeight="1" x14ac:dyDescent="0.2">
      <c r="A132" s="39"/>
      <c r="B132" s="39"/>
      <c r="C132" s="43"/>
      <c r="D132" s="39"/>
      <c r="E132" s="39"/>
      <c r="F132" s="44"/>
      <c r="G132" s="44"/>
      <c r="H132" s="29" t="s">
        <v>143</v>
      </c>
    </row>
    <row r="133" spans="1:8" ht="12.75" customHeight="1" x14ac:dyDescent="0.2">
      <c r="A133" s="39"/>
      <c r="B133" s="39"/>
      <c r="C133" s="40" t="s">
        <v>153</v>
      </c>
      <c r="D133" s="39"/>
      <c r="E133" s="39"/>
      <c r="F133" s="39"/>
      <c r="G133" s="39"/>
      <c r="H133" s="29" t="s">
        <v>143</v>
      </c>
    </row>
    <row r="134" spans="1:8" ht="12.75" customHeight="1" x14ac:dyDescent="0.2">
      <c r="A134" s="39"/>
      <c r="B134" s="39"/>
      <c r="C134" s="40" t="s">
        <v>142</v>
      </c>
      <c r="D134" s="39"/>
      <c r="E134" s="39" t="s">
        <v>143</v>
      </c>
      <c r="F134" s="45" t="s">
        <v>145</v>
      </c>
      <c r="G134" s="42">
        <v>0</v>
      </c>
      <c r="H134" s="29" t="s">
        <v>143</v>
      </c>
    </row>
    <row r="135" spans="1:8" ht="12.75" customHeight="1" x14ac:dyDescent="0.2">
      <c r="A135" s="39"/>
      <c r="B135" s="39"/>
      <c r="C135" s="43"/>
      <c r="D135" s="39"/>
      <c r="E135" s="39"/>
      <c r="F135" s="44"/>
      <c r="G135" s="44"/>
      <c r="H135" s="29" t="s">
        <v>143</v>
      </c>
    </row>
    <row r="136" spans="1:8" ht="12.75" customHeight="1" x14ac:dyDescent="0.2">
      <c r="A136" s="39"/>
      <c r="B136" s="39"/>
      <c r="C136" s="40" t="s">
        <v>154</v>
      </c>
      <c r="D136" s="39"/>
      <c r="E136" s="39"/>
      <c r="F136" s="44"/>
      <c r="G136" s="44"/>
      <c r="H136" s="29" t="s">
        <v>143</v>
      </c>
    </row>
    <row r="137" spans="1:8" ht="12.75" customHeight="1" x14ac:dyDescent="0.2">
      <c r="A137" s="39"/>
      <c r="B137" s="39"/>
      <c r="C137" s="40" t="s">
        <v>142</v>
      </c>
      <c r="D137" s="39"/>
      <c r="E137" s="39" t="s">
        <v>143</v>
      </c>
      <c r="F137" s="45" t="s">
        <v>145</v>
      </c>
      <c r="G137" s="42">
        <v>0</v>
      </c>
      <c r="H137" s="29" t="s">
        <v>143</v>
      </c>
    </row>
    <row r="138" spans="1:8" ht="12.75" customHeight="1" x14ac:dyDescent="0.2">
      <c r="A138" s="87"/>
      <c r="B138" s="87"/>
      <c r="C138" s="71"/>
      <c r="D138" s="87"/>
      <c r="E138" s="87"/>
      <c r="F138" s="88"/>
      <c r="G138" s="89"/>
      <c r="H138" s="90"/>
    </row>
    <row r="139" spans="1:8" ht="12.75" customHeight="1" x14ac:dyDescent="0.2">
      <c r="A139" s="39"/>
      <c r="B139" s="39"/>
      <c r="C139" s="40" t="s">
        <v>1170</v>
      </c>
      <c r="D139" s="39"/>
      <c r="E139" s="39"/>
      <c r="F139" s="39"/>
      <c r="G139" s="39"/>
      <c r="H139" s="29" t="s">
        <v>143</v>
      </c>
    </row>
    <row r="140" spans="1:8" ht="12.75" customHeight="1" x14ac:dyDescent="0.2">
      <c r="A140" s="35">
        <v>1</v>
      </c>
      <c r="B140" s="22" t="s">
        <v>315</v>
      </c>
      <c r="C140" s="22" t="s">
        <v>316</v>
      </c>
      <c r="D140" s="22" t="s">
        <v>239</v>
      </c>
      <c r="E140" s="36">
        <v>15088</v>
      </c>
      <c r="F140" s="37">
        <v>1.515197312</v>
      </c>
      <c r="G140" s="38">
        <v>1.2312E-4</v>
      </c>
      <c r="H140" s="29" t="s">
        <v>143</v>
      </c>
    </row>
    <row r="141" spans="1:8" ht="12.75" customHeight="1" x14ac:dyDescent="0.2">
      <c r="A141" s="39"/>
      <c r="B141" s="39"/>
      <c r="C141" s="40" t="s">
        <v>142</v>
      </c>
      <c r="D141" s="39"/>
      <c r="E141" s="39" t="s">
        <v>143</v>
      </c>
      <c r="F141" s="41">
        <f>F140</f>
        <v>1.515197312</v>
      </c>
      <c r="G141" s="42">
        <f>G140</f>
        <v>1.2312E-4</v>
      </c>
      <c r="H141" s="29" t="s">
        <v>143</v>
      </c>
    </row>
    <row r="142" spans="1:8" ht="12.75" customHeight="1" x14ac:dyDescent="0.2">
      <c r="A142" s="39"/>
      <c r="B142" s="39"/>
      <c r="C142" s="43"/>
      <c r="D142" s="39"/>
      <c r="E142" s="39"/>
      <c r="F142" s="44"/>
      <c r="G142" s="44"/>
      <c r="H142" s="29" t="s">
        <v>143</v>
      </c>
    </row>
    <row r="143" spans="1:8" ht="12.75" customHeight="1" x14ac:dyDescent="0.2">
      <c r="A143" s="39"/>
      <c r="B143" s="39"/>
      <c r="C143" s="40" t="s">
        <v>155</v>
      </c>
      <c r="D143" s="39"/>
      <c r="E143" s="39"/>
      <c r="F143" s="41">
        <f>F141</f>
        <v>1.515197312</v>
      </c>
      <c r="G143" s="42">
        <f>G141</f>
        <v>1.2312E-4</v>
      </c>
      <c r="H143" s="29" t="s">
        <v>143</v>
      </c>
    </row>
    <row r="144" spans="1:8" ht="12.75" customHeight="1" x14ac:dyDescent="0.2">
      <c r="A144" s="39"/>
      <c r="B144" s="39"/>
      <c r="C144" s="43"/>
      <c r="D144" s="39"/>
      <c r="E144" s="39"/>
      <c r="F144" s="44"/>
      <c r="G144" s="44"/>
      <c r="H144" s="29" t="s">
        <v>143</v>
      </c>
    </row>
    <row r="145" spans="1:8" ht="12.75" customHeight="1" x14ac:dyDescent="0.2">
      <c r="A145" s="39"/>
      <c r="B145" s="39"/>
      <c r="C145" s="40" t="s">
        <v>156</v>
      </c>
      <c r="D145" s="39"/>
      <c r="E145" s="39"/>
      <c r="F145" s="44"/>
      <c r="G145" s="44"/>
      <c r="H145" s="29" t="s">
        <v>143</v>
      </c>
    </row>
    <row r="146" spans="1:8" ht="12.75" customHeight="1" x14ac:dyDescent="0.2">
      <c r="A146" s="39"/>
      <c r="B146" s="39"/>
      <c r="C146" s="40" t="s">
        <v>157</v>
      </c>
      <c r="D146" s="39"/>
      <c r="E146" s="39"/>
      <c r="F146" s="44"/>
      <c r="G146" s="44"/>
      <c r="H146" s="29" t="s">
        <v>143</v>
      </c>
    </row>
    <row r="147" spans="1:8" ht="12.75" customHeight="1" x14ac:dyDescent="0.2">
      <c r="A147" s="39"/>
      <c r="B147" s="39"/>
      <c r="C147" s="40" t="s">
        <v>142</v>
      </c>
      <c r="D147" s="39"/>
      <c r="E147" s="39" t="s">
        <v>143</v>
      </c>
      <c r="F147" s="45" t="s">
        <v>145</v>
      </c>
      <c r="G147" s="42">
        <v>0</v>
      </c>
      <c r="H147" s="29" t="s">
        <v>143</v>
      </c>
    </row>
    <row r="148" spans="1:8" ht="12.75" customHeight="1" x14ac:dyDescent="0.2">
      <c r="A148" s="39"/>
      <c r="B148" s="39"/>
      <c r="C148" s="43"/>
      <c r="D148" s="39"/>
      <c r="E148" s="39"/>
      <c r="F148" s="44"/>
      <c r="G148" s="44"/>
      <c r="H148" s="29" t="s">
        <v>143</v>
      </c>
    </row>
    <row r="149" spans="1:8" ht="12.75" customHeight="1" x14ac:dyDescent="0.2">
      <c r="A149" s="39"/>
      <c r="B149" s="39"/>
      <c r="C149" s="40" t="s">
        <v>158</v>
      </c>
      <c r="D149" s="39"/>
      <c r="E149" s="39"/>
      <c r="F149" s="44"/>
      <c r="G149" s="44"/>
      <c r="H149" s="29" t="s">
        <v>143</v>
      </c>
    </row>
    <row r="150" spans="1:8" ht="12.75" customHeight="1" x14ac:dyDescent="0.2">
      <c r="A150" s="39"/>
      <c r="B150" s="39"/>
      <c r="C150" s="40" t="s">
        <v>142</v>
      </c>
      <c r="D150" s="39"/>
      <c r="E150" s="39" t="s">
        <v>143</v>
      </c>
      <c r="F150" s="45" t="s">
        <v>145</v>
      </c>
      <c r="G150" s="42">
        <v>0</v>
      </c>
      <c r="H150" s="29" t="s">
        <v>143</v>
      </c>
    </row>
    <row r="151" spans="1:8" ht="12.75" customHeight="1" x14ac:dyDescent="0.2">
      <c r="A151" s="39"/>
      <c r="B151" s="39"/>
      <c r="C151" s="43"/>
      <c r="D151" s="39"/>
      <c r="E151" s="39"/>
      <c r="F151" s="44"/>
      <c r="G151" s="44"/>
      <c r="H151" s="29" t="s">
        <v>143</v>
      </c>
    </row>
    <row r="152" spans="1:8" ht="12.75" customHeight="1" x14ac:dyDescent="0.2">
      <c r="A152" s="39"/>
      <c r="B152" s="39"/>
      <c r="C152" s="40" t="s">
        <v>159</v>
      </c>
      <c r="D152" s="39"/>
      <c r="E152" s="39"/>
      <c r="F152" s="44"/>
      <c r="G152" s="44"/>
      <c r="H152" s="29" t="s">
        <v>143</v>
      </c>
    </row>
    <row r="153" spans="1:8" ht="12.75" customHeight="1" x14ac:dyDescent="0.2">
      <c r="A153" s="39"/>
      <c r="B153" s="39"/>
      <c r="C153" s="40" t="s">
        <v>142</v>
      </c>
      <c r="D153" s="39"/>
      <c r="E153" s="39" t="s">
        <v>143</v>
      </c>
      <c r="F153" s="45" t="s">
        <v>145</v>
      </c>
      <c r="G153" s="42">
        <v>0</v>
      </c>
      <c r="H153" s="29" t="s">
        <v>143</v>
      </c>
    </row>
    <row r="154" spans="1:8" ht="12.75" customHeight="1" x14ac:dyDescent="0.2">
      <c r="A154" s="39"/>
      <c r="B154" s="39"/>
      <c r="C154" s="43"/>
      <c r="D154" s="39"/>
      <c r="E154" s="39"/>
      <c r="F154" s="44"/>
      <c r="G154" s="44"/>
      <c r="H154" s="29" t="s">
        <v>143</v>
      </c>
    </row>
    <row r="155" spans="1:8" ht="12.75" customHeight="1" x14ac:dyDescent="0.2">
      <c r="A155" s="39"/>
      <c r="B155" s="39"/>
      <c r="C155" s="40" t="s">
        <v>160</v>
      </c>
      <c r="D155" s="39"/>
      <c r="E155" s="39"/>
      <c r="F155" s="44"/>
      <c r="G155" s="44"/>
      <c r="H155" s="29" t="s">
        <v>143</v>
      </c>
    </row>
    <row r="156" spans="1:8" ht="12.75" customHeight="1" x14ac:dyDescent="0.2">
      <c r="A156" s="35">
        <v>1</v>
      </c>
      <c r="B156" s="22"/>
      <c r="C156" s="22" t="s">
        <v>161</v>
      </c>
      <c r="D156" s="22"/>
      <c r="E156" s="46"/>
      <c r="F156" s="37">
        <v>1289.7345759980001</v>
      </c>
      <c r="G156" s="38">
        <v>0.10480173</v>
      </c>
      <c r="H156" s="29">
        <v>5.51</v>
      </c>
    </row>
    <row r="157" spans="1:8" ht="12.75" customHeight="1" x14ac:dyDescent="0.2">
      <c r="A157" s="39"/>
      <c r="B157" s="39"/>
      <c r="C157" s="40" t="s">
        <v>142</v>
      </c>
      <c r="D157" s="39"/>
      <c r="E157" s="39" t="s">
        <v>143</v>
      </c>
      <c r="F157" s="41">
        <v>1289.7345759980001</v>
      </c>
      <c r="G157" s="42">
        <v>0.10480173</v>
      </c>
      <c r="H157" s="29" t="s">
        <v>143</v>
      </c>
    </row>
    <row r="158" spans="1:8" ht="12.75" customHeight="1" x14ac:dyDescent="0.2">
      <c r="A158" s="39"/>
      <c r="B158" s="39"/>
      <c r="C158" s="43"/>
      <c r="D158" s="39"/>
      <c r="E158" s="39"/>
      <c r="F158" s="44"/>
      <c r="G158" s="44"/>
      <c r="H158" s="29" t="s">
        <v>143</v>
      </c>
    </row>
    <row r="159" spans="1:8" ht="12.75" customHeight="1" x14ac:dyDescent="0.2">
      <c r="A159" s="39"/>
      <c r="B159" s="39"/>
      <c r="C159" s="40" t="s">
        <v>162</v>
      </c>
      <c r="D159" s="39"/>
      <c r="E159" s="39"/>
      <c r="F159" s="41">
        <v>1289.7345759980001</v>
      </c>
      <c r="G159" s="42">
        <v>0.10480173</v>
      </c>
      <c r="H159" s="29" t="s">
        <v>143</v>
      </c>
    </row>
    <row r="160" spans="1:8" ht="12.75" customHeight="1" x14ac:dyDescent="0.2">
      <c r="A160" s="39"/>
      <c r="B160" s="39"/>
      <c r="C160" s="44"/>
      <c r="D160" s="39"/>
      <c r="E160" s="39"/>
      <c r="F160" s="39"/>
      <c r="G160" s="39"/>
      <c r="H160" s="29" t="s">
        <v>143</v>
      </c>
    </row>
    <row r="161" spans="1:10" ht="12.75" customHeight="1" x14ac:dyDescent="0.2">
      <c r="A161" s="39"/>
      <c r="B161" s="39"/>
      <c r="C161" s="40" t="s">
        <v>163</v>
      </c>
      <c r="D161" s="39"/>
      <c r="E161" s="39"/>
      <c r="F161" s="39"/>
      <c r="G161" s="39"/>
      <c r="H161" s="29" t="s">
        <v>143</v>
      </c>
    </row>
    <row r="162" spans="1:10" ht="12.75" customHeight="1" x14ac:dyDescent="0.2">
      <c r="A162" s="39"/>
      <c r="B162" s="39"/>
      <c r="C162" s="40" t="s">
        <v>164</v>
      </c>
      <c r="D162" s="39"/>
      <c r="E162" s="39"/>
      <c r="F162" s="39"/>
      <c r="G162" s="39"/>
      <c r="H162" s="29" t="s">
        <v>143</v>
      </c>
    </row>
    <row r="163" spans="1:10" ht="12.75" customHeight="1" x14ac:dyDescent="0.2">
      <c r="A163" s="39"/>
      <c r="B163" s="39"/>
      <c r="C163" s="40" t="s">
        <v>142</v>
      </c>
      <c r="D163" s="39"/>
      <c r="E163" s="39" t="s">
        <v>143</v>
      </c>
      <c r="F163" s="45" t="s">
        <v>145</v>
      </c>
      <c r="G163" s="42">
        <v>0</v>
      </c>
      <c r="H163" s="29" t="s">
        <v>143</v>
      </c>
    </row>
    <row r="164" spans="1:10" ht="12.75" customHeight="1" x14ac:dyDescent="0.2">
      <c r="A164" s="39"/>
      <c r="B164" s="39"/>
      <c r="C164" s="43"/>
      <c r="D164" s="39"/>
      <c r="E164" s="39"/>
      <c r="F164" s="44"/>
      <c r="G164" s="44"/>
      <c r="H164" s="29" t="s">
        <v>143</v>
      </c>
    </row>
    <row r="165" spans="1:10" ht="12.75" customHeight="1" x14ac:dyDescent="0.2">
      <c r="A165" s="39"/>
      <c r="B165" s="39"/>
      <c r="C165" s="40" t="s">
        <v>165</v>
      </c>
      <c r="D165" s="39"/>
      <c r="E165" s="39"/>
      <c r="F165" s="39"/>
      <c r="G165" s="39"/>
      <c r="H165" s="29" t="s">
        <v>143</v>
      </c>
    </row>
    <row r="166" spans="1:10" ht="12.75" customHeight="1" x14ac:dyDescent="0.2">
      <c r="A166" s="39"/>
      <c r="B166" s="39"/>
      <c r="C166" s="40" t="s">
        <v>166</v>
      </c>
      <c r="D166" s="39"/>
      <c r="E166" s="39"/>
      <c r="F166" s="39"/>
      <c r="G166" s="39"/>
      <c r="H166" s="29" t="s">
        <v>143</v>
      </c>
    </row>
    <row r="167" spans="1:10" ht="12.75" customHeight="1" x14ac:dyDescent="0.2">
      <c r="A167" s="39"/>
      <c r="B167" s="39"/>
      <c r="C167" s="40" t="s">
        <v>142</v>
      </c>
      <c r="D167" s="39"/>
      <c r="E167" s="39" t="s">
        <v>143</v>
      </c>
      <c r="F167" s="45" t="s">
        <v>145</v>
      </c>
      <c r="G167" s="42">
        <v>0</v>
      </c>
      <c r="H167" s="29" t="s">
        <v>143</v>
      </c>
    </row>
    <row r="168" spans="1:10" ht="12.75" customHeight="1" x14ac:dyDescent="0.2">
      <c r="A168" s="39"/>
      <c r="B168" s="39"/>
      <c r="C168" s="43"/>
      <c r="D168" s="39"/>
      <c r="E168" s="39"/>
      <c r="F168" s="44"/>
      <c r="G168" s="44"/>
      <c r="H168" s="29" t="s">
        <v>143</v>
      </c>
    </row>
    <row r="169" spans="1:10" ht="12.75" customHeight="1" x14ac:dyDescent="0.2">
      <c r="A169" s="39"/>
      <c r="B169" s="39"/>
      <c r="C169" s="40" t="s">
        <v>167</v>
      </c>
      <c r="D169" s="39"/>
      <c r="E169" s="39"/>
      <c r="F169" s="44"/>
      <c r="G169" s="44"/>
      <c r="H169" s="29" t="s">
        <v>143</v>
      </c>
    </row>
    <row r="170" spans="1:10" ht="12.75" customHeight="1" x14ac:dyDescent="0.2">
      <c r="A170" s="39"/>
      <c r="B170" s="39"/>
      <c r="C170" s="40" t="s">
        <v>142</v>
      </c>
      <c r="D170" s="39"/>
      <c r="E170" s="39" t="s">
        <v>143</v>
      </c>
      <c r="F170" s="45" t="s">
        <v>145</v>
      </c>
      <c r="G170" s="42">
        <v>0</v>
      </c>
      <c r="H170" s="29" t="s">
        <v>143</v>
      </c>
    </row>
    <row r="171" spans="1:10" ht="12.75" customHeight="1" x14ac:dyDescent="0.2">
      <c r="A171" s="39"/>
      <c r="B171" s="39"/>
      <c r="C171" s="43"/>
      <c r="D171" s="39"/>
      <c r="E171" s="39"/>
      <c r="F171" s="44"/>
      <c r="G171" s="44"/>
      <c r="H171" s="29" t="s">
        <v>143</v>
      </c>
    </row>
    <row r="172" spans="1:10" ht="12.75" customHeight="1" x14ac:dyDescent="0.2">
      <c r="A172" s="46"/>
      <c r="B172" s="22"/>
      <c r="C172" s="22" t="s">
        <v>168</v>
      </c>
      <c r="D172" s="22"/>
      <c r="E172" s="46"/>
      <c r="F172" s="37">
        <v>-24.05869916</v>
      </c>
      <c r="G172" s="38">
        <v>-1.9549699999999999E-3</v>
      </c>
      <c r="H172" s="29" t="s">
        <v>143</v>
      </c>
    </row>
    <row r="173" spans="1:10" ht="12.75" customHeight="1" x14ac:dyDescent="0.2">
      <c r="A173" s="43"/>
      <c r="B173" s="43"/>
      <c r="C173" s="40" t="s">
        <v>169</v>
      </c>
      <c r="D173" s="44"/>
      <c r="E173" s="44"/>
      <c r="F173" s="41">
        <v>12306.42511815</v>
      </c>
      <c r="G173" s="47">
        <v>1.00000004</v>
      </c>
      <c r="H173" s="29" t="s">
        <v>143</v>
      </c>
    </row>
    <row r="174" spans="1:10" ht="12.75" customHeight="1" x14ac:dyDescent="0.2">
      <c r="A174" s="48"/>
      <c r="B174" s="48"/>
      <c r="C174" s="49"/>
      <c r="D174" s="50"/>
      <c r="E174" s="50"/>
      <c r="F174" s="51"/>
      <c r="G174" s="52"/>
      <c r="H174" s="53"/>
    </row>
    <row r="175" spans="1:10" x14ac:dyDescent="0.2">
      <c r="A175" s="54"/>
      <c r="B175" s="243" t="s">
        <v>945</v>
      </c>
      <c r="C175" s="243"/>
      <c r="D175" s="243"/>
      <c r="E175" s="243"/>
      <c r="F175" s="243"/>
      <c r="G175" s="243"/>
      <c r="H175" s="243"/>
      <c r="J175" s="56"/>
    </row>
    <row r="176" spans="1:10" x14ac:dyDescent="0.2">
      <c r="A176" s="54"/>
      <c r="B176" s="243" t="s">
        <v>946</v>
      </c>
      <c r="C176" s="243"/>
      <c r="D176" s="243"/>
      <c r="E176" s="243"/>
      <c r="F176" s="243"/>
      <c r="G176" s="243"/>
      <c r="H176" s="243"/>
      <c r="J176" s="56"/>
    </row>
    <row r="177" spans="1:17" x14ac:dyDescent="0.2">
      <c r="A177" s="54"/>
      <c r="B177" s="243" t="s">
        <v>947</v>
      </c>
      <c r="C177" s="243"/>
      <c r="D177" s="243"/>
      <c r="E177" s="243"/>
      <c r="F177" s="243"/>
      <c r="G177" s="243"/>
      <c r="H177" s="243"/>
      <c r="J177" s="56"/>
    </row>
    <row r="178" spans="1:17" s="58" customFormat="1" ht="66.75" customHeight="1" x14ac:dyDescent="0.25">
      <c r="A178" s="57"/>
      <c r="B178" s="244" t="s">
        <v>948</v>
      </c>
      <c r="C178" s="244"/>
      <c r="D178" s="244"/>
      <c r="E178" s="244"/>
      <c r="F178" s="244"/>
      <c r="G178" s="244"/>
      <c r="H178" s="244"/>
      <c r="I178"/>
      <c r="J178" s="56"/>
      <c r="K178"/>
      <c r="L178"/>
      <c r="M178"/>
      <c r="N178"/>
      <c r="O178"/>
      <c r="P178"/>
      <c r="Q178"/>
    </row>
    <row r="179" spans="1:17" x14ac:dyDescent="0.2">
      <c r="A179" s="54"/>
      <c r="B179" s="243" t="s">
        <v>949</v>
      </c>
      <c r="C179" s="243"/>
      <c r="D179" s="243"/>
      <c r="E179" s="243"/>
      <c r="F179" s="243"/>
      <c r="G179" s="243"/>
      <c r="H179" s="243"/>
      <c r="J179" s="56"/>
    </row>
    <row r="180" spans="1:17" x14ac:dyDescent="0.2">
      <c r="A180" s="54"/>
      <c r="B180" s="54"/>
      <c r="C180" s="54"/>
      <c r="D180" s="59"/>
      <c r="E180" s="59"/>
      <c r="F180" s="59"/>
      <c r="G180" s="59"/>
    </row>
    <row r="181" spans="1:17" x14ac:dyDescent="0.2">
      <c r="A181" s="54"/>
      <c r="B181" s="247" t="s">
        <v>170</v>
      </c>
      <c r="C181" s="248"/>
      <c r="D181" s="249"/>
      <c r="E181" s="60"/>
      <c r="F181" s="59"/>
      <c r="G181" s="59"/>
    </row>
    <row r="182" spans="1:17" ht="27.75" customHeight="1" x14ac:dyDescent="0.2">
      <c r="A182" s="54"/>
      <c r="B182" s="240" t="s">
        <v>171</v>
      </c>
      <c r="C182" s="241"/>
      <c r="D182" s="28" t="s">
        <v>172</v>
      </c>
      <c r="E182" s="60"/>
      <c r="F182" s="59"/>
      <c r="G182" s="59"/>
    </row>
    <row r="183" spans="1:17" ht="12.75" customHeight="1" x14ac:dyDescent="0.2">
      <c r="A183" s="54"/>
      <c r="B183" s="240" t="s">
        <v>950</v>
      </c>
      <c r="C183" s="241"/>
      <c r="D183" s="40" t="s">
        <v>172</v>
      </c>
      <c r="E183" s="60"/>
      <c r="F183" s="59"/>
      <c r="G183" s="59"/>
    </row>
    <row r="184" spans="1:17" x14ac:dyDescent="0.2">
      <c r="A184" s="54"/>
      <c r="B184" s="240" t="s">
        <v>173</v>
      </c>
      <c r="C184" s="241"/>
      <c r="D184" s="61" t="s">
        <v>143</v>
      </c>
      <c r="E184" s="60"/>
      <c r="F184" s="59"/>
      <c r="G184" s="59"/>
    </row>
    <row r="185" spans="1:17" x14ac:dyDescent="0.2">
      <c r="A185" s="62"/>
      <c r="B185" s="63" t="s">
        <v>143</v>
      </c>
      <c r="C185" s="63" t="s">
        <v>951</v>
      </c>
      <c r="D185" s="63" t="s">
        <v>174</v>
      </c>
      <c r="E185" s="62"/>
      <c r="F185" s="62"/>
      <c r="G185" s="62"/>
      <c r="H185" s="62"/>
      <c r="J185" s="56"/>
    </row>
    <row r="186" spans="1:17" x14ac:dyDescent="0.2">
      <c r="A186" s="62"/>
      <c r="B186" s="64" t="s">
        <v>175</v>
      </c>
      <c r="C186" s="65">
        <v>45900</v>
      </c>
      <c r="D186" s="65">
        <v>45930</v>
      </c>
      <c r="E186" s="62"/>
      <c r="F186" s="62"/>
      <c r="G186" s="62"/>
      <c r="J186" s="56"/>
    </row>
    <row r="187" spans="1:17" ht="12.75" customHeight="1" x14ac:dyDescent="0.2">
      <c r="A187" s="66"/>
      <c r="B187" s="67" t="s">
        <v>176</v>
      </c>
      <c r="C187" s="68">
        <v>179.43350000000001</v>
      </c>
      <c r="D187" s="68">
        <v>183.80760000000001</v>
      </c>
      <c r="E187" s="66"/>
      <c r="F187" s="69"/>
      <c r="G187" s="70"/>
    </row>
    <row r="188" spans="1:17" ht="12.75" customHeight="1" x14ac:dyDescent="0.2">
      <c r="A188" s="66"/>
      <c r="B188" s="67" t="s">
        <v>1085</v>
      </c>
      <c r="C188" s="68">
        <v>84.597399999999993</v>
      </c>
      <c r="D188" s="68">
        <v>86.659599999999998</v>
      </c>
      <c r="E188" s="66"/>
      <c r="F188" s="69"/>
      <c r="G188" s="70"/>
    </row>
    <row r="189" spans="1:17" ht="12.75" customHeight="1" x14ac:dyDescent="0.2">
      <c r="A189" s="66"/>
      <c r="B189" s="67" t="s">
        <v>177</v>
      </c>
      <c r="C189" s="68">
        <v>170.25360000000001</v>
      </c>
      <c r="D189" s="68">
        <v>174.3365</v>
      </c>
      <c r="E189" s="66"/>
      <c r="F189" s="69"/>
      <c r="G189" s="70"/>
    </row>
    <row r="190" spans="1:17" ht="12.75" customHeight="1" x14ac:dyDescent="0.2">
      <c r="A190" s="66"/>
      <c r="B190" s="67" t="s">
        <v>1086</v>
      </c>
      <c r="C190" s="68">
        <v>80.272599999999997</v>
      </c>
      <c r="D190" s="68">
        <v>82.197699999999998</v>
      </c>
      <c r="E190" s="66"/>
      <c r="F190" s="69"/>
      <c r="G190" s="70"/>
    </row>
    <row r="191" spans="1:17" ht="12.75" customHeight="1" x14ac:dyDescent="0.2">
      <c r="A191" s="66"/>
      <c r="B191" s="66"/>
      <c r="C191" s="66"/>
      <c r="D191" s="66"/>
      <c r="E191" s="66"/>
      <c r="F191" s="66"/>
      <c r="G191" s="66"/>
    </row>
    <row r="192" spans="1:17" x14ac:dyDescent="0.2">
      <c r="A192" s="62"/>
      <c r="B192" s="245" t="s">
        <v>952</v>
      </c>
      <c r="C192" s="246"/>
      <c r="D192" s="71" t="s">
        <v>172</v>
      </c>
      <c r="E192" s="62"/>
      <c r="F192" s="62"/>
      <c r="G192" s="62"/>
    </row>
    <row r="193" spans="1:10" x14ac:dyDescent="0.2">
      <c r="A193" s="72"/>
      <c r="B193" s="73"/>
      <c r="C193" s="73"/>
      <c r="D193" s="73"/>
      <c r="E193" s="72"/>
      <c r="F193" s="72"/>
      <c r="G193" s="72"/>
    </row>
    <row r="194" spans="1:10" x14ac:dyDescent="0.2">
      <c r="A194" s="72"/>
      <c r="B194" s="240" t="s">
        <v>178</v>
      </c>
      <c r="C194" s="241"/>
      <c r="D194" s="28" t="s">
        <v>172</v>
      </c>
      <c r="E194" s="74"/>
      <c r="F194" s="72"/>
      <c r="G194" s="72"/>
    </row>
    <row r="195" spans="1:10" x14ac:dyDescent="0.2">
      <c r="A195" s="72"/>
      <c r="B195" s="240" t="s">
        <v>179</v>
      </c>
      <c r="C195" s="241"/>
      <c r="D195" s="28" t="s">
        <v>172</v>
      </c>
      <c r="E195" s="74"/>
      <c r="F195" s="72"/>
      <c r="G195" s="72"/>
    </row>
    <row r="196" spans="1:10" x14ac:dyDescent="0.2">
      <c r="A196" s="72"/>
      <c r="B196" s="240" t="s">
        <v>180</v>
      </c>
      <c r="C196" s="241"/>
      <c r="D196" s="28" t="s">
        <v>172</v>
      </c>
      <c r="E196" s="74"/>
      <c r="F196" s="72"/>
      <c r="G196" s="72"/>
    </row>
    <row r="197" spans="1:10" x14ac:dyDescent="0.2">
      <c r="A197" s="72"/>
      <c r="B197" s="240" t="s">
        <v>181</v>
      </c>
      <c r="C197" s="241"/>
      <c r="D197" s="75">
        <v>0.18632940702551981</v>
      </c>
      <c r="E197" s="72"/>
      <c r="F197" s="55"/>
      <c r="G197" s="76"/>
    </row>
    <row r="198" spans="1:10" x14ac:dyDescent="0.2"/>
    <row r="199" spans="1:10" x14ac:dyDescent="0.2">
      <c r="B199" s="239" t="s">
        <v>953</v>
      </c>
      <c r="C199" s="239"/>
    </row>
    <row r="200" spans="1:10" x14ac:dyDescent="0.2"/>
    <row r="201" spans="1:10" ht="153.75" customHeight="1" x14ac:dyDescent="0.2"/>
    <row r="202" spans="1:10" x14ac:dyDescent="0.2"/>
    <row r="203" spans="1:10" x14ac:dyDescent="0.2">
      <c r="B203" s="77" t="s">
        <v>954</v>
      </c>
      <c r="C203" s="78"/>
      <c r="D203" s="77"/>
    </row>
    <row r="204" spans="1:10" x14ac:dyDescent="0.2">
      <c r="B204" s="77" t="s">
        <v>1169</v>
      </c>
      <c r="D204" s="77"/>
    </row>
    <row r="205" spans="1:10" ht="165" customHeight="1" x14ac:dyDescent="0.2"/>
    <row r="206" spans="1:10" x14ac:dyDescent="0.2"/>
    <row r="207" spans="1:10" x14ac:dyDescent="0.2">
      <c r="J207" s="26"/>
    </row>
    <row r="208" spans="1:10"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sheetData>
  <mergeCells count="18">
    <mergeCell ref="B181:D181"/>
    <mergeCell ref="B182:C182"/>
    <mergeCell ref="B199:C199"/>
    <mergeCell ref="B197:C197"/>
    <mergeCell ref="A1:H1"/>
    <mergeCell ref="A2:H2"/>
    <mergeCell ref="A3:H3"/>
    <mergeCell ref="B196:C196"/>
    <mergeCell ref="B175:H175"/>
    <mergeCell ref="B176:H176"/>
    <mergeCell ref="B183:C183"/>
    <mergeCell ref="B184:C184"/>
    <mergeCell ref="B194:C194"/>
    <mergeCell ref="B195:C195"/>
    <mergeCell ref="B177:H177"/>
    <mergeCell ref="B178:H178"/>
    <mergeCell ref="B179:H179"/>
    <mergeCell ref="B192:C192"/>
  </mergeCells>
  <hyperlinks>
    <hyperlink ref="I1" location="Index!B2" display="Index" xr:uid="{CC37DA0A-3DC0-41F8-992D-50D106E8151D}"/>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724E-D3F4-4054-AD5C-CF6A7366FEA4}">
  <sheetPr>
    <outlinePr summaryBelow="0" summaryRight="0"/>
  </sheetPr>
  <dimension ref="A1:Q171"/>
  <sheetViews>
    <sheetView showGridLines="0" workbookViewId="0">
      <selection sqref="A1:H1"/>
    </sheetView>
  </sheetViews>
  <sheetFormatPr defaultRowHeight="12.75" customHeight="1" x14ac:dyDescent="0.2"/>
  <cols>
    <col min="1" max="1" width="5.85546875" bestFit="1" customWidth="1"/>
    <col min="2" max="2" width="19.5703125" bestFit="1" customWidth="1"/>
    <col min="3" max="3" width="44.5703125" bestFit="1" customWidth="1"/>
    <col min="4" max="4" width="17.7109375" bestFit="1" customWidth="1"/>
    <col min="5" max="5" width="11.42578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804</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1288000</v>
      </c>
      <c r="F7" s="37">
        <v>12248.88</v>
      </c>
      <c r="G7" s="38">
        <v>9.0330229999999997E-2</v>
      </c>
      <c r="H7" s="29" t="s">
        <v>143</v>
      </c>
    </row>
    <row r="8" spans="1:9" ht="12.75" customHeight="1" x14ac:dyDescent="0.2">
      <c r="A8" s="35">
        <v>2</v>
      </c>
      <c r="B8" s="22" t="s">
        <v>31</v>
      </c>
      <c r="C8" s="22" t="s">
        <v>32</v>
      </c>
      <c r="D8" s="22" t="s">
        <v>33</v>
      </c>
      <c r="E8" s="36">
        <v>737000</v>
      </c>
      <c r="F8" s="37">
        <v>9934.76</v>
      </c>
      <c r="G8" s="38">
        <v>7.3264590000000004E-2</v>
      </c>
      <c r="H8" s="29" t="s">
        <v>143</v>
      </c>
    </row>
    <row r="9" spans="1:9" ht="12.75" customHeight="1" x14ac:dyDescent="0.2">
      <c r="A9" s="35">
        <v>3</v>
      </c>
      <c r="B9" s="22" t="s">
        <v>17</v>
      </c>
      <c r="C9" s="22" t="s">
        <v>18</v>
      </c>
      <c r="D9" s="22" t="s">
        <v>19</v>
      </c>
      <c r="E9" s="36">
        <v>448000</v>
      </c>
      <c r="F9" s="37">
        <v>6110.72</v>
      </c>
      <c r="G9" s="38">
        <v>4.5063939999999997E-2</v>
      </c>
      <c r="H9" s="29" t="s">
        <v>143</v>
      </c>
    </row>
    <row r="10" spans="1:9" ht="12.75" customHeight="1" x14ac:dyDescent="0.2">
      <c r="A10" s="35">
        <v>4</v>
      </c>
      <c r="B10" s="22" t="s">
        <v>11</v>
      </c>
      <c r="C10" s="22" t="s">
        <v>12</v>
      </c>
      <c r="D10" s="22" t="s">
        <v>13</v>
      </c>
      <c r="E10" s="36">
        <v>292000</v>
      </c>
      <c r="F10" s="37">
        <v>5484.9279999999999</v>
      </c>
      <c r="G10" s="38">
        <v>4.0448989999999997E-2</v>
      </c>
      <c r="H10" s="29" t="s">
        <v>143</v>
      </c>
    </row>
    <row r="11" spans="1:9" ht="12.75" customHeight="1" x14ac:dyDescent="0.2">
      <c r="A11" s="35">
        <v>5</v>
      </c>
      <c r="B11" s="22" t="s">
        <v>327</v>
      </c>
      <c r="C11" s="22" t="s">
        <v>328</v>
      </c>
      <c r="D11" s="22" t="s">
        <v>33</v>
      </c>
      <c r="E11" s="36">
        <v>437000</v>
      </c>
      <c r="F11" s="37">
        <v>4945.0919999999996</v>
      </c>
      <c r="G11" s="38">
        <v>3.6467930000000003E-2</v>
      </c>
      <c r="H11" s="29" t="s">
        <v>143</v>
      </c>
    </row>
    <row r="12" spans="1:9" ht="12.75" customHeight="1" x14ac:dyDescent="0.2">
      <c r="A12" s="35">
        <v>6</v>
      </c>
      <c r="B12" s="22" t="s">
        <v>42</v>
      </c>
      <c r="C12" s="22" t="s">
        <v>43</v>
      </c>
      <c r="D12" s="22" t="s">
        <v>33</v>
      </c>
      <c r="E12" s="36">
        <v>532000</v>
      </c>
      <c r="F12" s="37">
        <v>4641.4340000000002</v>
      </c>
      <c r="G12" s="38">
        <v>3.4228580000000002E-2</v>
      </c>
      <c r="H12" s="29" t="s">
        <v>143</v>
      </c>
    </row>
    <row r="13" spans="1:9" ht="12.75" customHeight="1" x14ac:dyDescent="0.2">
      <c r="A13" s="35">
        <v>7</v>
      </c>
      <c r="B13" s="22" t="s">
        <v>14</v>
      </c>
      <c r="C13" s="22" t="s">
        <v>15</v>
      </c>
      <c r="D13" s="22" t="s">
        <v>16</v>
      </c>
      <c r="E13" s="36">
        <v>126000</v>
      </c>
      <c r="F13" s="37">
        <v>4610.34</v>
      </c>
      <c r="G13" s="38">
        <v>3.399928E-2</v>
      </c>
      <c r="H13" s="29" t="s">
        <v>143</v>
      </c>
    </row>
    <row r="14" spans="1:9" ht="12.75" customHeight="1" x14ac:dyDescent="0.2">
      <c r="A14" s="35">
        <v>8</v>
      </c>
      <c r="B14" s="22" t="s">
        <v>325</v>
      </c>
      <c r="C14" s="22" t="s">
        <v>326</v>
      </c>
      <c r="D14" s="22" t="s">
        <v>215</v>
      </c>
      <c r="E14" s="36">
        <v>309000</v>
      </c>
      <c r="F14" s="37">
        <v>4455.1620000000003</v>
      </c>
      <c r="G14" s="38">
        <v>3.2854910000000001E-2</v>
      </c>
      <c r="H14" s="29" t="s">
        <v>143</v>
      </c>
    </row>
    <row r="15" spans="1:9" ht="12.75" customHeight="1" x14ac:dyDescent="0.2">
      <c r="A15" s="35">
        <v>9</v>
      </c>
      <c r="B15" s="22" t="s">
        <v>421</v>
      </c>
      <c r="C15" s="22" t="s">
        <v>422</v>
      </c>
      <c r="D15" s="22" t="s">
        <v>423</v>
      </c>
      <c r="E15" s="36">
        <v>951000</v>
      </c>
      <c r="F15" s="37">
        <v>3818.7404999999999</v>
      </c>
      <c r="G15" s="38">
        <v>2.816157E-2</v>
      </c>
      <c r="H15" s="29" t="s">
        <v>143</v>
      </c>
    </row>
    <row r="16" spans="1:9" ht="12.75" customHeight="1" x14ac:dyDescent="0.2">
      <c r="A16" s="35">
        <v>10</v>
      </c>
      <c r="B16" s="22" t="s">
        <v>323</v>
      </c>
      <c r="C16" s="22" t="s">
        <v>324</v>
      </c>
      <c r="D16" s="22" t="s">
        <v>33</v>
      </c>
      <c r="E16" s="36">
        <v>190000</v>
      </c>
      <c r="F16" s="37">
        <v>3786.13</v>
      </c>
      <c r="G16" s="38">
        <v>2.7921080000000001E-2</v>
      </c>
      <c r="H16" s="29" t="s">
        <v>143</v>
      </c>
    </row>
    <row r="17" spans="1:8" ht="12.75" customHeight="1" x14ac:dyDescent="0.2">
      <c r="A17" s="35">
        <v>11</v>
      </c>
      <c r="B17" s="22" t="s">
        <v>23</v>
      </c>
      <c r="C17" s="22" t="s">
        <v>24</v>
      </c>
      <c r="D17" s="22" t="s">
        <v>25</v>
      </c>
      <c r="E17" s="36">
        <v>27000</v>
      </c>
      <c r="F17" s="37">
        <v>3299.94</v>
      </c>
      <c r="G17" s="38">
        <v>2.4335639999999999E-2</v>
      </c>
      <c r="H17" s="29" t="s">
        <v>143</v>
      </c>
    </row>
    <row r="18" spans="1:8" ht="12.75" customHeight="1" x14ac:dyDescent="0.2">
      <c r="A18" s="35">
        <v>12</v>
      </c>
      <c r="B18" s="22" t="s">
        <v>333</v>
      </c>
      <c r="C18" s="22" t="s">
        <v>334</v>
      </c>
      <c r="D18" s="22" t="s">
        <v>239</v>
      </c>
      <c r="E18" s="36">
        <v>89418</v>
      </c>
      <c r="F18" s="37">
        <v>3064.3548599999999</v>
      </c>
      <c r="G18" s="38">
        <v>2.2598300000000002E-2</v>
      </c>
      <c r="H18" s="29" t="s">
        <v>143</v>
      </c>
    </row>
    <row r="19" spans="1:8" ht="12.75" customHeight="1" x14ac:dyDescent="0.2">
      <c r="A19" s="35">
        <v>13</v>
      </c>
      <c r="B19" s="22" t="s">
        <v>435</v>
      </c>
      <c r="C19" s="22" t="s">
        <v>436</v>
      </c>
      <c r="D19" s="22" t="s">
        <v>194</v>
      </c>
      <c r="E19" s="36">
        <v>169000</v>
      </c>
      <c r="F19" s="37">
        <v>2540.5770000000002</v>
      </c>
      <c r="G19" s="38">
        <v>1.8735669999999999E-2</v>
      </c>
      <c r="H19" s="29" t="s">
        <v>143</v>
      </c>
    </row>
    <row r="20" spans="1:8" ht="12.75" customHeight="1" x14ac:dyDescent="0.2">
      <c r="A20" s="35">
        <v>14</v>
      </c>
      <c r="B20" s="22" t="s">
        <v>805</v>
      </c>
      <c r="C20" s="22" t="s">
        <v>806</v>
      </c>
      <c r="D20" s="22" t="s">
        <v>239</v>
      </c>
      <c r="E20" s="36">
        <v>14000</v>
      </c>
      <c r="F20" s="37">
        <v>2351.3000000000002</v>
      </c>
      <c r="G20" s="38">
        <v>1.7339830000000001E-2</v>
      </c>
      <c r="H20" s="29" t="s">
        <v>143</v>
      </c>
    </row>
    <row r="21" spans="1:8" ht="12.75" customHeight="1" x14ac:dyDescent="0.2">
      <c r="A21" s="35">
        <v>15</v>
      </c>
      <c r="B21" s="22" t="s">
        <v>345</v>
      </c>
      <c r="C21" s="22" t="s">
        <v>346</v>
      </c>
      <c r="D21" s="22" t="s">
        <v>191</v>
      </c>
      <c r="E21" s="36">
        <v>133000</v>
      </c>
      <c r="F21" s="37">
        <v>2142.364</v>
      </c>
      <c r="G21" s="38">
        <v>1.579902E-2</v>
      </c>
      <c r="H21" s="29" t="s">
        <v>143</v>
      </c>
    </row>
    <row r="22" spans="1:8" ht="12.75" customHeight="1" x14ac:dyDescent="0.2">
      <c r="A22" s="35">
        <v>16</v>
      </c>
      <c r="B22" s="22" t="s">
        <v>20</v>
      </c>
      <c r="C22" s="22" t="s">
        <v>21</v>
      </c>
      <c r="D22" s="22" t="s">
        <v>22</v>
      </c>
      <c r="E22" s="36">
        <v>628000</v>
      </c>
      <c r="F22" s="37">
        <v>2138.0259999999998</v>
      </c>
      <c r="G22" s="38">
        <v>1.576702E-2</v>
      </c>
      <c r="H22" s="29" t="s">
        <v>143</v>
      </c>
    </row>
    <row r="23" spans="1:8" ht="12.75" customHeight="1" x14ac:dyDescent="0.2">
      <c r="A23" s="35">
        <v>17</v>
      </c>
      <c r="B23" s="22" t="s">
        <v>349</v>
      </c>
      <c r="C23" s="22" t="s">
        <v>350</v>
      </c>
      <c r="D23" s="22" t="s">
        <v>194</v>
      </c>
      <c r="E23" s="36">
        <v>134000</v>
      </c>
      <c r="F23" s="37">
        <v>2136.3620000000001</v>
      </c>
      <c r="G23" s="38">
        <v>1.5754750000000001E-2</v>
      </c>
      <c r="H23" s="29" t="s">
        <v>143</v>
      </c>
    </row>
    <row r="24" spans="1:8" ht="12.75" customHeight="1" x14ac:dyDescent="0.2">
      <c r="A24" s="35">
        <v>18</v>
      </c>
      <c r="B24" s="22" t="s">
        <v>776</v>
      </c>
      <c r="C24" s="22" t="s">
        <v>777</v>
      </c>
      <c r="D24" s="22" t="s">
        <v>284</v>
      </c>
      <c r="E24" s="36">
        <v>503000</v>
      </c>
      <c r="F24" s="37">
        <v>2127.4385000000002</v>
      </c>
      <c r="G24" s="38">
        <v>1.568895E-2</v>
      </c>
      <c r="H24" s="29" t="s">
        <v>143</v>
      </c>
    </row>
    <row r="25" spans="1:8" ht="12.75" customHeight="1" x14ac:dyDescent="0.2">
      <c r="A25" s="35">
        <v>19</v>
      </c>
      <c r="B25" s="22" t="s">
        <v>417</v>
      </c>
      <c r="C25" s="22" t="s">
        <v>418</v>
      </c>
      <c r="D25" s="22" t="s">
        <v>239</v>
      </c>
      <c r="E25" s="36">
        <v>298000</v>
      </c>
      <c r="F25" s="37">
        <v>2026.9960000000001</v>
      </c>
      <c r="G25" s="38">
        <v>1.494823E-2</v>
      </c>
      <c r="H25" s="29" t="s">
        <v>143</v>
      </c>
    </row>
    <row r="26" spans="1:8" ht="12.75" customHeight="1" x14ac:dyDescent="0.2">
      <c r="A26" s="35">
        <v>20</v>
      </c>
      <c r="B26" s="22" t="s">
        <v>748</v>
      </c>
      <c r="C26" s="22" t="s">
        <v>749</v>
      </c>
      <c r="D26" s="22" t="s">
        <v>188</v>
      </c>
      <c r="E26" s="36">
        <v>98000</v>
      </c>
      <c r="F26" s="37">
        <v>1995.28</v>
      </c>
      <c r="G26" s="38">
        <v>1.4714329999999999E-2</v>
      </c>
      <c r="H26" s="29" t="s">
        <v>143</v>
      </c>
    </row>
    <row r="27" spans="1:8" ht="12.75" customHeight="1" x14ac:dyDescent="0.2">
      <c r="A27" s="35">
        <v>21</v>
      </c>
      <c r="B27" s="22" t="s">
        <v>103</v>
      </c>
      <c r="C27" s="22" t="s">
        <v>104</v>
      </c>
      <c r="D27" s="22" t="s">
        <v>25</v>
      </c>
      <c r="E27" s="36">
        <v>338000</v>
      </c>
      <c r="F27" s="37">
        <v>1926.431</v>
      </c>
      <c r="G27" s="38">
        <v>1.42066E-2</v>
      </c>
      <c r="H27" s="29" t="s">
        <v>143</v>
      </c>
    </row>
    <row r="28" spans="1:8" ht="12.75" customHeight="1" x14ac:dyDescent="0.2">
      <c r="A28" s="35">
        <v>22</v>
      </c>
      <c r="B28" s="22" t="s">
        <v>246</v>
      </c>
      <c r="C28" s="22" t="s">
        <v>247</v>
      </c>
      <c r="D28" s="22" t="s">
        <v>194</v>
      </c>
      <c r="E28" s="36">
        <v>34000</v>
      </c>
      <c r="F28" s="37">
        <v>1844.5</v>
      </c>
      <c r="G28" s="38">
        <v>1.3602400000000001E-2</v>
      </c>
      <c r="H28" s="29" t="s">
        <v>143</v>
      </c>
    </row>
    <row r="29" spans="1:8" ht="12.75" customHeight="1" x14ac:dyDescent="0.2">
      <c r="A29" s="35">
        <v>23</v>
      </c>
      <c r="B29" s="22" t="s">
        <v>291</v>
      </c>
      <c r="C29" s="22" t="s">
        <v>292</v>
      </c>
      <c r="D29" s="22" t="s">
        <v>254</v>
      </c>
      <c r="E29" s="36">
        <v>336928</v>
      </c>
      <c r="F29" s="37">
        <v>1813.51496</v>
      </c>
      <c r="G29" s="38">
        <v>1.3373899999999999E-2</v>
      </c>
      <c r="H29" s="29" t="s">
        <v>143</v>
      </c>
    </row>
    <row r="30" spans="1:8" ht="12.75" customHeight="1" x14ac:dyDescent="0.2">
      <c r="A30" s="35">
        <v>24</v>
      </c>
      <c r="B30" s="22" t="s">
        <v>101</v>
      </c>
      <c r="C30" s="22" t="s">
        <v>102</v>
      </c>
      <c r="D30" s="22" t="s">
        <v>64</v>
      </c>
      <c r="E30" s="36">
        <v>196140</v>
      </c>
      <c r="F30" s="37">
        <v>1802.1343199999999</v>
      </c>
      <c r="G30" s="38">
        <v>1.328997E-2</v>
      </c>
      <c r="H30" s="29" t="s">
        <v>143</v>
      </c>
    </row>
    <row r="31" spans="1:8" ht="12.75" customHeight="1" x14ac:dyDescent="0.2">
      <c r="A31" s="35">
        <v>25</v>
      </c>
      <c r="B31" s="22" t="s">
        <v>93</v>
      </c>
      <c r="C31" s="22" t="s">
        <v>94</v>
      </c>
      <c r="D31" s="22" t="s">
        <v>56</v>
      </c>
      <c r="E31" s="36">
        <v>398000</v>
      </c>
      <c r="F31" s="37">
        <v>1791.1990000000001</v>
      </c>
      <c r="G31" s="38">
        <v>1.320932E-2</v>
      </c>
      <c r="H31" s="29" t="s">
        <v>143</v>
      </c>
    </row>
    <row r="32" spans="1:8" ht="12.75" customHeight="1" x14ac:dyDescent="0.2">
      <c r="A32" s="35">
        <v>26</v>
      </c>
      <c r="B32" s="22" t="s">
        <v>343</v>
      </c>
      <c r="C32" s="22" t="s">
        <v>344</v>
      </c>
      <c r="D32" s="22" t="s">
        <v>284</v>
      </c>
      <c r="E32" s="36">
        <v>549000</v>
      </c>
      <c r="F32" s="37">
        <v>1786.9949999999999</v>
      </c>
      <c r="G32" s="38">
        <v>1.317832E-2</v>
      </c>
      <c r="H32" s="29" t="s">
        <v>143</v>
      </c>
    </row>
    <row r="33" spans="1:8" ht="12.75" customHeight="1" x14ac:dyDescent="0.2">
      <c r="A33" s="35">
        <v>27</v>
      </c>
      <c r="B33" s="22" t="s">
        <v>443</v>
      </c>
      <c r="C33" s="22" t="s">
        <v>444</v>
      </c>
      <c r="D33" s="22" t="s">
        <v>33</v>
      </c>
      <c r="E33" s="36">
        <v>241000</v>
      </c>
      <c r="F33" s="37">
        <v>1772.6755000000001</v>
      </c>
      <c r="G33" s="38">
        <v>1.3072719999999999E-2</v>
      </c>
      <c r="H33" s="29" t="s">
        <v>143</v>
      </c>
    </row>
    <row r="34" spans="1:8" ht="12.75" customHeight="1" x14ac:dyDescent="0.2">
      <c r="A34" s="35">
        <v>28</v>
      </c>
      <c r="B34" s="22" t="s">
        <v>73</v>
      </c>
      <c r="C34" s="22" t="s">
        <v>74</v>
      </c>
      <c r="D34" s="22" t="s">
        <v>75</v>
      </c>
      <c r="E34" s="36">
        <v>967000</v>
      </c>
      <c r="F34" s="37">
        <v>1704.7243000000001</v>
      </c>
      <c r="G34" s="38">
        <v>1.257161E-2</v>
      </c>
      <c r="H34" s="29" t="s">
        <v>143</v>
      </c>
    </row>
    <row r="35" spans="1:8" ht="12.75" customHeight="1" x14ac:dyDescent="0.2">
      <c r="A35" s="35">
        <v>29</v>
      </c>
      <c r="B35" s="22" t="s">
        <v>501</v>
      </c>
      <c r="C35" s="22" t="s">
        <v>502</v>
      </c>
      <c r="D35" s="22" t="s">
        <v>230</v>
      </c>
      <c r="E35" s="36">
        <v>127000</v>
      </c>
      <c r="F35" s="37">
        <v>1681.8610000000001</v>
      </c>
      <c r="G35" s="38">
        <v>1.2403000000000001E-2</v>
      </c>
      <c r="H35" s="29" t="s">
        <v>143</v>
      </c>
    </row>
    <row r="36" spans="1:8" ht="12.75" customHeight="1" x14ac:dyDescent="0.2">
      <c r="A36" s="35">
        <v>30</v>
      </c>
      <c r="B36" s="22" t="s">
        <v>204</v>
      </c>
      <c r="C36" s="22" t="s">
        <v>205</v>
      </c>
      <c r="D36" s="22" t="s">
        <v>206</v>
      </c>
      <c r="E36" s="36">
        <v>270000</v>
      </c>
      <c r="F36" s="37">
        <v>1666.98</v>
      </c>
      <c r="G36" s="38">
        <v>1.229326E-2</v>
      </c>
      <c r="H36" s="29" t="s">
        <v>143</v>
      </c>
    </row>
    <row r="37" spans="1:8" ht="12.75" customHeight="1" x14ac:dyDescent="0.2">
      <c r="A37" s="35">
        <v>31</v>
      </c>
      <c r="B37" s="22" t="s">
        <v>511</v>
      </c>
      <c r="C37" s="22" t="s">
        <v>512</v>
      </c>
      <c r="D37" s="22" t="s">
        <v>230</v>
      </c>
      <c r="E37" s="36">
        <v>364000</v>
      </c>
      <c r="F37" s="37">
        <v>1615.068</v>
      </c>
      <c r="G37" s="38">
        <v>1.191043E-2</v>
      </c>
      <c r="H37" s="29" t="s">
        <v>143</v>
      </c>
    </row>
    <row r="38" spans="1:8" ht="12.75" customHeight="1" x14ac:dyDescent="0.2">
      <c r="A38" s="35">
        <v>32</v>
      </c>
      <c r="B38" s="22" t="s">
        <v>54</v>
      </c>
      <c r="C38" s="22" t="s">
        <v>55</v>
      </c>
      <c r="D38" s="22" t="s">
        <v>56</v>
      </c>
      <c r="E38" s="36">
        <v>28445</v>
      </c>
      <c r="F38" s="37">
        <v>1591.3555249999999</v>
      </c>
      <c r="G38" s="38">
        <v>1.1735560000000001E-2</v>
      </c>
      <c r="H38" s="29" t="s">
        <v>143</v>
      </c>
    </row>
    <row r="39" spans="1:8" ht="12.75" customHeight="1" x14ac:dyDescent="0.2">
      <c r="A39" s="35">
        <v>33</v>
      </c>
      <c r="B39" s="22" t="s">
        <v>807</v>
      </c>
      <c r="C39" s="22" t="s">
        <v>808</v>
      </c>
      <c r="D39" s="22" t="s">
        <v>185</v>
      </c>
      <c r="E39" s="36">
        <v>241000</v>
      </c>
      <c r="F39" s="37">
        <v>1580.4780000000001</v>
      </c>
      <c r="G39" s="38">
        <v>1.165535E-2</v>
      </c>
      <c r="H39" s="29" t="s">
        <v>143</v>
      </c>
    </row>
    <row r="40" spans="1:8" ht="12.75" customHeight="1" x14ac:dyDescent="0.2">
      <c r="A40" s="35">
        <v>34</v>
      </c>
      <c r="B40" s="22" t="s">
        <v>62</v>
      </c>
      <c r="C40" s="22" t="s">
        <v>63</v>
      </c>
      <c r="D40" s="22" t="s">
        <v>64</v>
      </c>
      <c r="E40" s="36">
        <v>40000</v>
      </c>
      <c r="F40" s="37">
        <v>1570.6</v>
      </c>
      <c r="G40" s="38">
        <v>1.1582500000000001E-2</v>
      </c>
      <c r="H40" s="29" t="s">
        <v>143</v>
      </c>
    </row>
    <row r="41" spans="1:8" ht="12.75" customHeight="1" x14ac:dyDescent="0.2">
      <c r="A41" s="35">
        <v>35</v>
      </c>
      <c r="B41" s="22" t="s">
        <v>515</v>
      </c>
      <c r="C41" s="22" t="s">
        <v>516</v>
      </c>
      <c r="D41" s="22" t="s">
        <v>215</v>
      </c>
      <c r="E41" s="36">
        <v>111209</v>
      </c>
      <c r="F41" s="37">
        <v>1557.2596269999999</v>
      </c>
      <c r="G41" s="38">
        <v>1.148412E-2</v>
      </c>
      <c r="H41" s="29" t="s">
        <v>143</v>
      </c>
    </row>
    <row r="42" spans="1:8" ht="12.75" customHeight="1" x14ac:dyDescent="0.2">
      <c r="A42" s="35">
        <v>36</v>
      </c>
      <c r="B42" s="22" t="s">
        <v>276</v>
      </c>
      <c r="C42" s="22" t="s">
        <v>277</v>
      </c>
      <c r="D42" s="22" t="s">
        <v>206</v>
      </c>
      <c r="E42" s="36">
        <v>888000</v>
      </c>
      <c r="F42" s="37">
        <v>1492.1063999999999</v>
      </c>
      <c r="G42" s="38">
        <v>1.100364E-2</v>
      </c>
      <c r="H42" s="29" t="s">
        <v>143</v>
      </c>
    </row>
    <row r="43" spans="1:8" ht="12.75" customHeight="1" x14ac:dyDescent="0.2">
      <c r="A43" s="35">
        <v>37</v>
      </c>
      <c r="B43" s="22" t="s">
        <v>36</v>
      </c>
      <c r="C43" s="22" t="s">
        <v>37</v>
      </c>
      <c r="D43" s="22" t="s">
        <v>38</v>
      </c>
      <c r="E43" s="36">
        <v>50000</v>
      </c>
      <c r="F43" s="37">
        <v>1480.25</v>
      </c>
      <c r="G43" s="38">
        <v>1.0916210000000001E-2</v>
      </c>
      <c r="H43" s="29" t="s">
        <v>143</v>
      </c>
    </row>
    <row r="44" spans="1:8" ht="12.75" customHeight="1" x14ac:dyDescent="0.2">
      <c r="A44" s="35">
        <v>38</v>
      </c>
      <c r="B44" s="22" t="s">
        <v>499</v>
      </c>
      <c r="C44" s="22" t="s">
        <v>500</v>
      </c>
      <c r="D44" s="22" t="s">
        <v>239</v>
      </c>
      <c r="E44" s="36">
        <v>9132</v>
      </c>
      <c r="F44" s="37">
        <v>1463.76828</v>
      </c>
      <c r="G44" s="38">
        <v>1.0794659999999999E-2</v>
      </c>
      <c r="H44" s="29" t="s">
        <v>143</v>
      </c>
    </row>
    <row r="45" spans="1:8" ht="12.75" customHeight="1" x14ac:dyDescent="0.2">
      <c r="A45" s="35">
        <v>39</v>
      </c>
      <c r="B45" s="22" t="s">
        <v>505</v>
      </c>
      <c r="C45" s="22" t="s">
        <v>506</v>
      </c>
      <c r="D45" s="22" t="s">
        <v>41</v>
      </c>
      <c r="E45" s="36">
        <v>147000</v>
      </c>
      <c r="F45" s="37">
        <v>1454.3444999999999</v>
      </c>
      <c r="G45" s="38">
        <v>1.0725169999999999E-2</v>
      </c>
      <c r="H45" s="29" t="s">
        <v>143</v>
      </c>
    </row>
    <row r="46" spans="1:8" ht="12.75" customHeight="1" x14ac:dyDescent="0.2">
      <c r="A46" s="35">
        <v>40</v>
      </c>
      <c r="B46" s="22" t="s">
        <v>335</v>
      </c>
      <c r="C46" s="22" t="s">
        <v>336</v>
      </c>
      <c r="D46" s="22" t="s">
        <v>28</v>
      </c>
      <c r="E46" s="36">
        <v>29800</v>
      </c>
      <c r="F46" s="37">
        <v>1414.4570000000001</v>
      </c>
      <c r="G46" s="38">
        <v>1.0431009999999999E-2</v>
      </c>
      <c r="H46" s="29" t="s">
        <v>143</v>
      </c>
    </row>
    <row r="47" spans="1:8" ht="12.75" customHeight="1" x14ac:dyDescent="0.2">
      <c r="A47" s="35">
        <v>41</v>
      </c>
      <c r="B47" s="22" t="s">
        <v>809</v>
      </c>
      <c r="C47" s="22" t="s">
        <v>810</v>
      </c>
      <c r="D47" s="22" t="s">
        <v>33</v>
      </c>
      <c r="E47" s="36">
        <v>990000</v>
      </c>
      <c r="F47" s="37">
        <v>1371.249</v>
      </c>
      <c r="G47" s="38">
        <v>1.0112370000000001E-2</v>
      </c>
      <c r="H47" s="29" t="s">
        <v>143</v>
      </c>
    </row>
    <row r="48" spans="1:8" ht="12.75" customHeight="1" x14ac:dyDescent="0.2">
      <c r="A48" s="35">
        <v>42</v>
      </c>
      <c r="B48" s="22" t="s">
        <v>431</v>
      </c>
      <c r="C48" s="22" t="s">
        <v>432</v>
      </c>
      <c r="D48" s="22" t="s">
        <v>203</v>
      </c>
      <c r="E48" s="36">
        <v>120522</v>
      </c>
      <c r="F48" s="37">
        <v>1361.054946</v>
      </c>
      <c r="G48" s="38">
        <v>1.00372E-2</v>
      </c>
      <c r="H48" s="29" t="s">
        <v>143</v>
      </c>
    </row>
    <row r="49" spans="1:8" ht="12.75" customHeight="1" x14ac:dyDescent="0.2">
      <c r="A49" s="35">
        <v>43</v>
      </c>
      <c r="B49" s="22" t="s">
        <v>439</v>
      </c>
      <c r="C49" s="22" t="s">
        <v>440</v>
      </c>
      <c r="D49" s="22" t="s">
        <v>423</v>
      </c>
      <c r="E49" s="36">
        <v>53000</v>
      </c>
      <c r="F49" s="37">
        <v>1332.6320000000001</v>
      </c>
      <c r="G49" s="38">
        <v>9.8275900000000006E-3</v>
      </c>
      <c r="H49" s="29" t="s">
        <v>143</v>
      </c>
    </row>
    <row r="50" spans="1:8" ht="12.75" customHeight="1" x14ac:dyDescent="0.2">
      <c r="A50" s="35">
        <v>44</v>
      </c>
      <c r="B50" s="22" t="s">
        <v>424</v>
      </c>
      <c r="C50" s="22" t="s">
        <v>425</v>
      </c>
      <c r="D50" s="22" t="s">
        <v>215</v>
      </c>
      <c r="E50" s="36">
        <v>94000</v>
      </c>
      <c r="F50" s="37">
        <v>1301.9939999999999</v>
      </c>
      <c r="G50" s="38">
        <v>9.6016499999999998E-3</v>
      </c>
      <c r="H50" s="29" t="s">
        <v>143</v>
      </c>
    </row>
    <row r="51" spans="1:8" ht="12.75" customHeight="1" x14ac:dyDescent="0.2">
      <c r="A51" s="35">
        <v>45</v>
      </c>
      <c r="B51" s="22" t="s">
        <v>268</v>
      </c>
      <c r="C51" s="22" t="s">
        <v>269</v>
      </c>
      <c r="D51" s="22" t="s">
        <v>270</v>
      </c>
      <c r="E51" s="36">
        <v>70000</v>
      </c>
      <c r="F51" s="37">
        <v>1284.57</v>
      </c>
      <c r="G51" s="38">
        <v>9.4731499999999996E-3</v>
      </c>
      <c r="H51" s="29" t="s">
        <v>143</v>
      </c>
    </row>
    <row r="52" spans="1:8" ht="12.75" customHeight="1" x14ac:dyDescent="0.2">
      <c r="A52" s="35">
        <v>46</v>
      </c>
      <c r="B52" s="22" t="s">
        <v>341</v>
      </c>
      <c r="C52" s="22" t="s">
        <v>342</v>
      </c>
      <c r="D52" s="22" t="s">
        <v>259</v>
      </c>
      <c r="E52" s="36">
        <v>63757</v>
      </c>
      <c r="F52" s="37">
        <v>1241.795089</v>
      </c>
      <c r="G52" s="38">
        <v>9.1577099999999995E-3</v>
      </c>
      <c r="H52" s="29" t="s">
        <v>143</v>
      </c>
    </row>
    <row r="53" spans="1:8" ht="12.75" customHeight="1" x14ac:dyDescent="0.2">
      <c r="A53" s="35">
        <v>47</v>
      </c>
      <c r="B53" s="22" t="s">
        <v>91</v>
      </c>
      <c r="C53" s="22" t="s">
        <v>92</v>
      </c>
      <c r="D53" s="22" t="s">
        <v>22</v>
      </c>
      <c r="E53" s="36">
        <v>101000</v>
      </c>
      <c r="F53" s="37">
        <v>1231.0889999999999</v>
      </c>
      <c r="G53" s="38">
        <v>9.07875E-3</v>
      </c>
      <c r="H53" s="29" t="s">
        <v>143</v>
      </c>
    </row>
    <row r="54" spans="1:8" ht="12.75" customHeight="1" x14ac:dyDescent="0.2">
      <c r="A54" s="35">
        <v>48</v>
      </c>
      <c r="B54" s="22" t="s">
        <v>136</v>
      </c>
      <c r="C54" s="22" t="s">
        <v>137</v>
      </c>
      <c r="D54" s="22" t="s">
        <v>138</v>
      </c>
      <c r="E54" s="36">
        <v>261000</v>
      </c>
      <c r="F54" s="37">
        <v>861.16949999999997</v>
      </c>
      <c r="G54" s="38">
        <v>6.3507600000000004E-3</v>
      </c>
      <c r="H54" s="29" t="s">
        <v>143</v>
      </c>
    </row>
    <row r="55" spans="1:8" ht="12.75" customHeight="1" x14ac:dyDescent="0.2">
      <c r="A55" s="35">
        <v>49</v>
      </c>
      <c r="B55" s="22" t="s">
        <v>457</v>
      </c>
      <c r="C55" s="22" t="s">
        <v>458</v>
      </c>
      <c r="D55" s="22" t="s">
        <v>194</v>
      </c>
      <c r="E55" s="36">
        <v>5576</v>
      </c>
      <c r="F55" s="37">
        <v>814.37480000000005</v>
      </c>
      <c r="G55" s="38">
        <v>6.0056700000000003E-3</v>
      </c>
      <c r="H55" s="29" t="s">
        <v>143</v>
      </c>
    </row>
    <row r="56" spans="1:8" ht="12.75" customHeight="1" x14ac:dyDescent="0.2">
      <c r="A56" s="35">
        <v>50</v>
      </c>
      <c r="B56" s="22" t="s">
        <v>195</v>
      </c>
      <c r="C56" s="22" t="s">
        <v>196</v>
      </c>
      <c r="D56" s="22" t="s">
        <v>19</v>
      </c>
      <c r="E56" s="36">
        <v>180000</v>
      </c>
      <c r="F56" s="37">
        <v>798.12</v>
      </c>
      <c r="G56" s="38">
        <v>5.8857900000000001E-3</v>
      </c>
      <c r="H56" s="29" t="s">
        <v>143</v>
      </c>
    </row>
    <row r="57" spans="1:8" ht="12.75" customHeight="1" x14ac:dyDescent="0.2">
      <c r="A57" s="35">
        <v>51</v>
      </c>
      <c r="B57" s="22" t="s">
        <v>221</v>
      </c>
      <c r="C57" s="22" t="s">
        <v>222</v>
      </c>
      <c r="D57" s="22" t="s">
        <v>223</v>
      </c>
      <c r="E57" s="36">
        <v>30000</v>
      </c>
      <c r="F57" s="37">
        <v>612.05999999999995</v>
      </c>
      <c r="G57" s="38">
        <v>4.5136799999999999E-3</v>
      </c>
      <c r="H57" s="29" t="s">
        <v>143</v>
      </c>
    </row>
    <row r="58" spans="1:8" ht="12.75" customHeight="1" x14ac:dyDescent="0.2">
      <c r="A58" s="39"/>
      <c r="B58" s="39"/>
      <c r="C58" s="40" t="s">
        <v>142</v>
      </c>
      <c r="D58" s="39"/>
      <c r="E58" s="39" t="s">
        <v>143</v>
      </c>
      <c r="F58" s="41">
        <f>SUM(F7:F57)</f>
        <v>129079.63560700003</v>
      </c>
      <c r="G58" s="42">
        <f>SUM(G7:G57)</f>
        <v>0.95190690999999983</v>
      </c>
      <c r="H58" s="29" t="s">
        <v>143</v>
      </c>
    </row>
    <row r="59" spans="1:8" ht="12.75" customHeight="1" x14ac:dyDescent="0.2">
      <c r="A59" s="39"/>
      <c r="B59" s="39"/>
      <c r="C59" s="43"/>
      <c r="D59" s="39"/>
      <c r="E59" s="39"/>
      <c r="F59" s="44"/>
      <c r="G59" s="44"/>
      <c r="H59" s="29" t="s">
        <v>143</v>
      </c>
    </row>
    <row r="60" spans="1:8" ht="12.75" customHeight="1" x14ac:dyDescent="0.2">
      <c r="A60" s="39"/>
      <c r="B60" s="39"/>
      <c r="C60" s="40" t="s">
        <v>144</v>
      </c>
      <c r="D60" s="39"/>
      <c r="E60" s="39"/>
      <c r="F60" s="39"/>
      <c r="G60" s="39"/>
      <c r="H60" s="29" t="s">
        <v>143</v>
      </c>
    </row>
    <row r="61" spans="1:8" ht="12.75" customHeight="1" x14ac:dyDescent="0.2">
      <c r="A61" s="39"/>
      <c r="B61" s="39"/>
      <c r="C61" s="40" t="s">
        <v>142</v>
      </c>
      <c r="D61" s="39"/>
      <c r="E61" s="39" t="s">
        <v>143</v>
      </c>
      <c r="F61" s="45" t="s">
        <v>145</v>
      </c>
      <c r="G61" s="42">
        <v>0</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146</v>
      </c>
      <c r="D63" s="39"/>
      <c r="E63" s="39"/>
      <c r="F63" s="39"/>
      <c r="G63" s="39"/>
      <c r="H63" s="29" t="s">
        <v>143</v>
      </c>
    </row>
    <row r="64" spans="1:8" ht="12.75" customHeight="1" x14ac:dyDescent="0.2">
      <c r="A64" s="35">
        <v>1</v>
      </c>
      <c r="B64" s="22" t="s">
        <v>533</v>
      </c>
      <c r="C64" s="31" t="s">
        <v>971</v>
      </c>
      <c r="D64" s="22" t="s">
        <v>206</v>
      </c>
      <c r="E64" s="36">
        <v>374002</v>
      </c>
      <c r="F64" s="37">
        <v>55.614097399999999</v>
      </c>
      <c r="G64" s="38">
        <v>4.1012999999999998E-4</v>
      </c>
      <c r="H64" s="29" t="s">
        <v>143</v>
      </c>
    </row>
    <row r="65" spans="1:8" ht="12.75" customHeight="1" x14ac:dyDescent="0.2">
      <c r="A65" s="35">
        <v>2</v>
      </c>
      <c r="B65" s="22" t="s">
        <v>762</v>
      </c>
      <c r="C65" s="31" t="s">
        <v>1107</v>
      </c>
      <c r="D65" s="22"/>
      <c r="E65" s="36">
        <v>200000</v>
      </c>
      <c r="F65" s="37">
        <v>1.9999999999999999E-6</v>
      </c>
      <c r="G65" s="46" t="s">
        <v>141</v>
      </c>
      <c r="H65" s="29" t="s">
        <v>143</v>
      </c>
    </row>
    <row r="66" spans="1:8" ht="12.75" customHeight="1" x14ac:dyDescent="0.2">
      <c r="A66" s="39"/>
      <c r="B66" s="39"/>
      <c r="C66" s="40" t="s">
        <v>142</v>
      </c>
      <c r="D66" s="39"/>
      <c r="E66" s="39" t="s">
        <v>143</v>
      </c>
      <c r="F66" s="41">
        <f>SUM(F64:F65)</f>
        <v>55.614099400000001</v>
      </c>
      <c r="G66" s="42">
        <f>SUM(G64:G65)</f>
        <v>4.1012999999999998E-4</v>
      </c>
      <c r="H66" s="29" t="s">
        <v>143</v>
      </c>
    </row>
    <row r="67" spans="1:8" ht="12.75" customHeight="1" x14ac:dyDescent="0.2">
      <c r="A67" s="39"/>
      <c r="B67" s="39"/>
      <c r="C67" s="43"/>
      <c r="D67" s="39"/>
      <c r="E67" s="39"/>
      <c r="F67" s="44"/>
      <c r="G67" s="44"/>
      <c r="H67" s="29" t="s">
        <v>143</v>
      </c>
    </row>
    <row r="68" spans="1:8" ht="12.75" customHeight="1" x14ac:dyDescent="0.2">
      <c r="A68" s="39"/>
      <c r="B68" s="39"/>
      <c r="C68" s="40" t="s">
        <v>147</v>
      </c>
      <c r="D68" s="39"/>
      <c r="E68" s="39"/>
      <c r="F68" s="39"/>
      <c r="G68" s="39"/>
      <c r="H68" s="29" t="s">
        <v>143</v>
      </c>
    </row>
    <row r="69" spans="1:8" ht="12.75" customHeight="1" x14ac:dyDescent="0.2">
      <c r="A69" s="39"/>
      <c r="B69" s="39"/>
      <c r="C69" s="40" t="s">
        <v>142</v>
      </c>
      <c r="D69" s="39"/>
      <c r="E69" s="39" t="s">
        <v>143</v>
      </c>
      <c r="F69" s="45" t="s">
        <v>145</v>
      </c>
      <c r="G69" s="42">
        <v>0</v>
      </c>
      <c r="H69" s="29" t="s">
        <v>143</v>
      </c>
    </row>
    <row r="70" spans="1:8" ht="12.75" customHeight="1" x14ac:dyDescent="0.2">
      <c r="A70" s="39"/>
      <c r="B70" s="39"/>
      <c r="C70" s="43"/>
      <c r="D70" s="39"/>
      <c r="E70" s="39"/>
      <c r="F70" s="44"/>
      <c r="G70" s="44"/>
      <c r="H70" s="29" t="s">
        <v>143</v>
      </c>
    </row>
    <row r="71" spans="1:8" ht="12.75" customHeight="1" x14ac:dyDescent="0.2">
      <c r="A71" s="39"/>
      <c r="B71" s="39"/>
      <c r="C71" s="40" t="s">
        <v>148</v>
      </c>
      <c r="D71" s="39"/>
      <c r="E71" s="39"/>
      <c r="F71" s="44"/>
      <c r="G71" s="44"/>
      <c r="H71" s="29" t="s">
        <v>143</v>
      </c>
    </row>
    <row r="72" spans="1:8" ht="12.75" customHeight="1" x14ac:dyDescent="0.2">
      <c r="A72" s="39"/>
      <c r="B72" s="39"/>
      <c r="C72" s="40" t="s">
        <v>142</v>
      </c>
      <c r="D72" s="39"/>
      <c r="E72" s="39" t="s">
        <v>143</v>
      </c>
      <c r="F72" s="45" t="s">
        <v>145</v>
      </c>
      <c r="G72" s="42">
        <v>0</v>
      </c>
      <c r="H72" s="29" t="s">
        <v>143</v>
      </c>
    </row>
    <row r="73" spans="1:8" ht="12.75" customHeight="1" x14ac:dyDescent="0.2">
      <c r="A73" s="39"/>
      <c r="B73" s="39"/>
      <c r="C73" s="43"/>
      <c r="D73" s="39"/>
      <c r="E73" s="39"/>
      <c r="F73" s="44"/>
      <c r="G73" s="44"/>
      <c r="H73" s="29" t="s">
        <v>143</v>
      </c>
    </row>
    <row r="74" spans="1:8" ht="12.75" customHeight="1" x14ac:dyDescent="0.2">
      <c r="A74" s="39"/>
      <c r="B74" s="39"/>
      <c r="C74" s="40" t="s">
        <v>149</v>
      </c>
      <c r="D74" s="39"/>
      <c r="E74" s="39"/>
      <c r="F74" s="44"/>
      <c r="G74" s="44"/>
      <c r="H74" s="29" t="s">
        <v>143</v>
      </c>
    </row>
    <row r="75" spans="1:8" ht="12.75" customHeight="1" x14ac:dyDescent="0.2">
      <c r="A75" s="39"/>
      <c r="B75" s="39"/>
      <c r="C75" s="40" t="s">
        <v>142</v>
      </c>
      <c r="D75" s="39"/>
      <c r="E75" s="39" t="s">
        <v>143</v>
      </c>
      <c r="F75" s="45" t="s">
        <v>145</v>
      </c>
      <c r="G75" s="42">
        <v>0</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150</v>
      </c>
      <c r="D77" s="39"/>
      <c r="E77" s="39"/>
      <c r="F77" s="41">
        <v>129135.24970640001</v>
      </c>
      <c r="G77" s="42">
        <v>0.95231703999999995</v>
      </c>
      <c r="H77" s="29" t="s">
        <v>143</v>
      </c>
    </row>
    <row r="78" spans="1:8" ht="12.75" customHeight="1" x14ac:dyDescent="0.2">
      <c r="A78" s="39"/>
      <c r="B78" s="39"/>
      <c r="C78" s="43"/>
      <c r="D78" s="39"/>
      <c r="E78" s="39"/>
      <c r="F78" s="44"/>
      <c r="G78" s="44"/>
      <c r="H78" s="29" t="s">
        <v>143</v>
      </c>
    </row>
    <row r="79" spans="1:8" ht="12.75" customHeight="1" x14ac:dyDescent="0.2">
      <c r="A79" s="39"/>
      <c r="B79" s="39"/>
      <c r="C79" s="40" t="s">
        <v>151</v>
      </c>
      <c r="D79" s="39"/>
      <c r="E79" s="39"/>
      <c r="F79" s="44"/>
      <c r="G79" s="44"/>
      <c r="H79" s="29" t="s">
        <v>143</v>
      </c>
    </row>
    <row r="80" spans="1:8" ht="12.75" customHeight="1" x14ac:dyDescent="0.2">
      <c r="A80" s="39"/>
      <c r="B80" s="39"/>
      <c r="C80" s="40" t="s">
        <v>10</v>
      </c>
      <c r="D80" s="39"/>
      <c r="E80" s="39"/>
      <c r="F80" s="44"/>
      <c r="G80" s="44"/>
      <c r="H80" s="29" t="s">
        <v>143</v>
      </c>
    </row>
    <row r="81" spans="1:8" ht="12.75" customHeight="1" x14ac:dyDescent="0.2">
      <c r="A81" s="39"/>
      <c r="B81" s="39"/>
      <c r="C81" s="40" t="s">
        <v>142</v>
      </c>
      <c r="D81" s="39"/>
      <c r="E81" s="39" t="s">
        <v>143</v>
      </c>
      <c r="F81" s="45" t="s">
        <v>145</v>
      </c>
      <c r="G81" s="42">
        <v>0</v>
      </c>
      <c r="H81" s="29" t="s">
        <v>143</v>
      </c>
    </row>
    <row r="82" spans="1:8" ht="12.75" customHeight="1" x14ac:dyDescent="0.2">
      <c r="A82" s="39"/>
      <c r="B82" s="39"/>
      <c r="C82" s="43"/>
      <c r="D82" s="39"/>
      <c r="E82" s="39"/>
      <c r="F82" s="44"/>
      <c r="G82" s="44"/>
      <c r="H82" s="29" t="s">
        <v>143</v>
      </c>
    </row>
    <row r="83" spans="1:8" ht="12.75" customHeight="1" x14ac:dyDescent="0.2">
      <c r="A83" s="39"/>
      <c r="B83" s="39"/>
      <c r="C83" s="40" t="s">
        <v>152</v>
      </c>
      <c r="D83" s="39"/>
      <c r="E83" s="39"/>
      <c r="F83" s="39"/>
      <c r="G83" s="39"/>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153</v>
      </c>
      <c r="D86" s="39"/>
      <c r="E86" s="39"/>
      <c r="F86" s="39"/>
      <c r="G86" s="39"/>
      <c r="H86" s="29" t="s">
        <v>143</v>
      </c>
    </row>
    <row r="87" spans="1:8" ht="12.75" customHeight="1" x14ac:dyDescent="0.2">
      <c r="A87" s="39"/>
      <c r="B87" s="39"/>
      <c r="C87" s="40" t="s">
        <v>142</v>
      </c>
      <c r="D87" s="39"/>
      <c r="E87" s="39" t="s">
        <v>143</v>
      </c>
      <c r="F87" s="45" t="s">
        <v>145</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154</v>
      </c>
      <c r="D89" s="39"/>
      <c r="E89" s="39"/>
      <c r="F89" s="44"/>
      <c r="G89" s="44"/>
      <c r="H89" s="29" t="s">
        <v>143</v>
      </c>
    </row>
    <row r="90" spans="1:8" ht="12.75" customHeight="1" x14ac:dyDescent="0.2">
      <c r="A90" s="39"/>
      <c r="B90" s="39"/>
      <c r="C90" s="40" t="s">
        <v>142</v>
      </c>
      <c r="D90" s="39"/>
      <c r="E90" s="39" t="s">
        <v>143</v>
      </c>
      <c r="F90" s="45" t="s">
        <v>145</v>
      </c>
      <c r="G90" s="42">
        <v>0</v>
      </c>
      <c r="H90" s="29" t="s">
        <v>143</v>
      </c>
    </row>
    <row r="91" spans="1:8" ht="12.75" customHeight="1" x14ac:dyDescent="0.2">
      <c r="A91" s="39"/>
      <c r="B91" s="39"/>
      <c r="C91" s="43"/>
      <c r="D91" s="39"/>
      <c r="E91" s="39"/>
      <c r="F91" s="44"/>
      <c r="G91" s="44"/>
      <c r="H91" s="29" t="s">
        <v>143</v>
      </c>
    </row>
    <row r="92" spans="1:8" ht="12.75" customHeight="1" x14ac:dyDescent="0.2">
      <c r="A92" s="39"/>
      <c r="B92" s="39"/>
      <c r="C92" s="40" t="s">
        <v>155</v>
      </c>
      <c r="D92" s="39"/>
      <c r="E92" s="39"/>
      <c r="F92" s="41">
        <v>0</v>
      </c>
      <c r="G92" s="42">
        <v>0</v>
      </c>
      <c r="H92" s="29" t="s">
        <v>143</v>
      </c>
    </row>
    <row r="93" spans="1:8" ht="12.75" customHeight="1" x14ac:dyDescent="0.2">
      <c r="A93" s="39"/>
      <c r="B93" s="39"/>
      <c r="C93" s="43"/>
      <c r="D93" s="39"/>
      <c r="E93" s="39"/>
      <c r="F93" s="44"/>
      <c r="G93" s="44"/>
      <c r="H93" s="29" t="s">
        <v>143</v>
      </c>
    </row>
    <row r="94" spans="1:8" ht="12.75" customHeight="1" x14ac:dyDescent="0.2">
      <c r="A94" s="39"/>
      <c r="B94" s="39"/>
      <c r="C94" s="40" t="s">
        <v>156</v>
      </c>
      <c r="D94" s="39"/>
      <c r="E94" s="39"/>
      <c r="F94" s="44"/>
      <c r="G94" s="44"/>
      <c r="H94" s="29" t="s">
        <v>143</v>
      </c>
    </row>
    <row r="95" spans="1:8" ht="12.75" customHeight="1" x14ac:dyDescent="0.2">
      <c r="A95" s="39"/>
      <c r="B95" s="39"/>
      <c r="C95" s="40" t="s">
        <v>157</v>
      </c>
      <c r="D95" s="39"/>
      <c r="E95" s="39"/>
      <c r="F95" s="44"/>
      <c r="G95" s="44"/>
      <c r="H95" s="29" t="s">
        <v>143</v>
      </c>
    </row>
    <row r="96" spans="1:8" ht="12.75" customHeight="1" x14ac:dyDescent="0.2">
      <c r="A96" s="39"/>
      <c r="B96" s="39"/>
      <c r="C96" s="40" t="s">
        <v>142</v>
      </c>
      <c r="D96" s="39"/>
      <c r="E96" s="39" t="s">
        <v>143</v>
      </c>
      <c r="F96" s="45" t="s">
        <v>145</v>
      </c>
      <c r="G96" s="42">
        <v>0</v>
      </c>
      <c r="H96" s="29" t="s">
        <v>143</v>
      </c>
    </row>
    <row r="97" spans="1:8" ht="12.75" customHeight="1" x14ac:dyDescent="0.2">
      <c r="A97" s="39"/>
      <c r="B97" s="39"/>
      <c r="C97" s="43"/>
      <c r="D97" s="39"/>
      <c r="E97" s="39"/>
      <c r="F97" s="44"/>
      <c r="G97" s="44"/>
      <c r="H97" s="29" t="s">
        <v>143</v>
      </c>
    </row>
    <row r="98" spans="1:8" ht="12.75" customHeight="1" x14ac:dyDescent="0.2">
      <c r="A98" s="39"/>
      <c r="B98" s="39"/>
      <c r="C98" s="40" t="s">
        <v>158</v>
      </c>
      <c r="D98" s="39"/>
      <c r="E98" s="39"/>
      <c r="F98" s="44"/>
      <c r="G98" s="44"/>
      <c r="H98" s="29" t="s">
        <v>143</v>
      </c>
    </row>
    <row r="99" spans="1:8" ht="12.75" customHeight="1" x14ac:dyDescent="0.2">
      <c r="A99" s="39"/>
      <c r="B99" s="39"/>
      <c r="C99" s="40" t="s">
        <v>142</v>
      </c>
      <c r="D99" s="39"/>
      <c r="E99" s="39" t="s">
        <v>143</v>
      </c>
      <c r="F99" s="45" t="s">
        <v>145</v>
      </c>
      <c r="G99" s="42">
        <v>0</v>
      </c>
      <c r="H99" s="29" t="s">
        <v>143</v>
      </c>
    </row>
    <row r="100" spans="1:8" ht="12.75" customHeight="1" x14ac:dyDescent="0.2">
      <c r="A100" s="39"/>
      <c r="B100" s="39"/>
      <c r="C100" s="43"/>
      <c r="D100" s="39"/>
      <c r="E100" s="39"/>
      <c r="F100" s="44"/>
      <c r="G100" s="44"/>
      <c r="H100" s="29" t="s">
        <v>143</v>
      </c>
    </row>
    <row r="101" spans="1:8" ht="12.75" customHeight="1" x14ac:dyDescent="0.2">
      <c r="A101" s="39"/>
      <c r="B101" s="39"/>
      <c r="C101" s="40" t="s">
        <v>159</v>
      </c>
      <c r="D101" s="39"/>
      <c r="E101" s="39"/>
      <c r="F101" s="44"/>
      <c r="G101" s="44"/>
      <c r="H101" s="29" t="s">
        <v>143</v>
      </c>
    </row>
    <row r="102" spans="1:8" ht="12.75" customHeight="1" x14ac:dyDescent="0.2">
      <c r="A102" s="39"/>
      <c r="B102" s="39"/>
      <c r="C102" s="40" t="s">
        <v>142</v>
      </c>
      <c r="D102" s="39"/>
      <c r="E102" s="39" t="s">
        <v>143</v>
      </c>
      <c r="F102" s="45" t="s">
        <v>145</v>
      </c>
      <c r="G102" s="42">
        <v>0</v>
      </c>
      <c r="H102" s="29" t="s">
        <v>143</v>
      </c>
    </row>
    <row r="103" spans="1:8" ht="12.75" customHeight="1" x14ac:dyDescent="0.2">
      <c r="A103" s="39"/>
      <c r="B103" s="39"/>
      <c r="C103" s="43"/>
      <c r="D103" s="39"/>
      <c r="E103" s="39"/>
      <c r="F103" s="44"/>
      <c r="G103" s="44"/>
      <c r="H103" s="29" t="s">
        <v>143</v>
      </c>
    </row>
    <row r="104" spans="1:8" ht="12.75" customHeight="1" x14ac:dyDescent="0.2">
      <c r="A104" s="39"/>
      <c r="B104" s="39"/>
      <c r="C104" s="40" t="s">
        <v>160</v>
      </c>
      <c r="D104" s="39"/>
      <c r="E104" s="39"/>
      <c r="F104" s="44"/>
      <c r="G104" s="44"/>
      <c r="H104" s="29" t="s">
        <v>143</v>
      </c>
    </row>
    <row r="105" spans="1:8" ht="12.75" customHeight="1" x14ac:dyDescent="0.2">
      <c r="A105" s="35">
        <v>1</v>
      </c>
      <c r="B105" s="22"/>
      <c r="C105" s="22" t="s">
        <v>161</v>
      </c>
      <c r="D105" s="22"/>
      <c r="E105" s="46"/>
      <c r="F105" s="37">
        <v>3013.7850799879998</v>
      </c>
      <c r="G105" s="38">
        <v>2.2225370000000001E-2</v>
      </c>
      <c r="H105" s="29">
        <v>5.51</v>
      </c>
    </row>
    <row r="106" spans="1:8" ht="12.75" customHeight="1" x14ac:dyDescent="0.2">
      <c r="A106" s="39"/>
      <c r="B106" s="39"/>
      <c r="C106" s="40" t="s">
        <v>142</v>
      </c>
      <c r="D106" s="39"/>
      <c r="E106" s="39" t="s">
        <v>143</v>
      </c>
      <c r="F106" s="41">
        <v>3013.7850799879998</v>
      </c>
      <c r="G106" s="42">
        <v>2.2225370000000001E-2</v>
      </c>
      <c r="H106" s="29" t="s">
        <v>143</v>
      </c>
    </row>
    <row r="107" spans="1:8" ht="12.75" customHeight="1" x14ac:dyDescent="0.2">
      <c r="A107" s="39"/>
      <c r="B107" s="39"/>
      <c r="C107" s="43"/>
      <c r="D107" s="39"/>
      <c r="E107" s="39"/>
      <c r="F107" s="44"/>
      <c r="G107" s="44"/>
      <c r="H107" s="29" t="s">
        <v>143</v>
      </c>
    </row>
    <row r="108" spans="1:8" ht="12.75" customHeight="1" x14ac:dyDescent="0.2">
      <c r="A108" s="39"/>
      <c r="B108" s="39"/>
      <c r="C108" s="40" t="s">
        <v>162</v>
      </c>
      <c r="D108" s="39"/>
      <c r="E108" s="39"/>
      <c r="F108" s="41">
        <v>3013.7850799879998</v>
      </c>
      <c r="G108" s="42">
        <v>2.2225370000000001E-2</v>
      </c>
      <c r="H108" s="29" t="s">
        <v>143</v>
      </c>
    </row>
    <row r="109" spans="1:8" ht="12.75" customHeight="1" x14ac:dyDescent="0.2">
      <c r="A109" s="39"/>
      <c r="B109" s="39"/>
      <c r="C109" s="44"/>
      <c r="D109" s="39"/>
      <c r="E109" s="39"/>
      <c r="F109" s="39"/>
      <c r="G109" s="39"/>
      <c r="H109" s="29" t="s">
        <v>143</v>
      </c>
    </row>
    <row r="110" spans="1:8" ht="12.75" customHeight="1" x14ac:dyDescent="0.2">
      <c r="A110" s="39"/>
      <c r="B110" s="39"/>
      <c r="C110" s="40" t="s">
        <v>163</v>
      </c>
      <c r="D110" s="39"/>
      <c r="E110" s="39"/>
      <c r="F110" s="39"/>
      <c r="G110" s="39"/>
      <c r="H110" s="29" t="s">
        <v>143</v>
      </c>
    </row>
    <row r="111" spans="1:8" ht="12.75" customHeight="1" x14ac:dyDescent="0.2">
      <c r="A111" s="39"/>
      <c r="B111" s="39"/>
      <c r="C111" s="40" t="s">
        <v>164</v>
      </c>
      <c r="D111" s="39"/>
      <c r="E111" s="39"/>
      <c r="F111" s="39"/>
      <c r="G111" s="39"/>
      <c r="H111" s="29" t="s">
        <v>143</v>
      </c>
    </row>
    <row r="112" spans="1:8" ht="12.75" customHeight="1" x14ac:dyDescent="0.2">
      <c r="A112" s="35">
        <v>1</v>
      </c>
      <c r="B112" s="22" t="s">
        <v>317</v>
      </c>
      <c r="C112" s="22" t="s">
        <v>318</v>
      </c>
      <c r="D112" s="22"/>
      <c r="E112" s="79">
        <v>105852.053</v>
      </c>
      <c r="F112" s="37">
        <v>2502.3086602630001</v>
      </c>
      <c r="G112" s="38">
        <v>1.845345E-2</v>
      </c>
      <c r="H112" s="29" t="s">
        <v>143</v>
      </c>
    </row>
    <row r="113" spans="1:17" ht="12.75" customHeight="1" x14ac:dyDescent="0.2">
      <c r="A113" s="39"/>
      <c r="B113" s="39"/>
      <c r="C113" s="40" t="s">
        <v>142</v>
      </c>
      <c r="D113" s="39"/>
      <c r="E113" s="39" t="s">
        <v>143</v>
      </c>
      <c r="F113" s="41">
        <v>2502.3086602630001</v>
      </c>
      <c r="G113" s="42">
        <v>1.845345E-2</v>
      </c>
      <c r="H113" s="29" t="s">
        <v>143</v>
      </c>
    </row>
    <row r="114" spans="1:17" ht="12.75" customHeight="1" x14ac:dyDescent="0.2">
      <c r="A114" s="39"/>
      <c r="B114" s="39"/>
      <c r="C114" s="43"/>
      <c r="D114" s="39"/>
      <c r="E114" s="39"/>
      <c r="F114" s="44"/>
      <c r="G114" s="44"/>
      <c r="H114" s="29" t="s">
        <v>143</v>
      </c>
    </row>
    <row r="115" spans="1:17" ht="12.75" customHeight="1" x14ac:dyDescent="0.2">
      <c r="A115" s="39"/>
      <c r="B115" s="39"/>
      <c r="C115" s="40" t="s">
        <v>165</v>
      </c>
      <c r="D115" s="39"/>
      <c r="E115" s="39"/>
      <c r="F115" s="39"/>
      <c r="G115" s="39"/>
      <c r="H115" s="29" t="s">
        <v>143</v>
      </c>
    </row>
    <row r="116" spans="1:17" ht="12.75" customHeight="1" x14ac:dyDescent="0.2">
      <c r="A116" s="39"/>
      <c r="B116" s="39"/>
      <c r="C116" s="40" t="s">
        <v>166</v>
      </c>
      <c r="D116" s="39"/>
      <c r="E116" s="39"/>
      <c r="F116" s="39"/>
      <c r="G116" s="39"/>
      <c r="H116" s="29" t="s">
        <v>143</v>
      </c>
    </row>
    <row r="117" spans="1:17" ht="12.75" customHeight="1" x14ac:dyDescent="0.2">
      <c r="A117" s="39"/>
      <c r="B117" s="39"/>
      <c r="C117" s="40" t="s">
        <v>142</v>
      </c>
      <c r="D117" s="39"/>
      <c r="E117" s="39" t="s">
        <v>143</v>
      </c>
      <c r="F117" s="45" t="s">
        <v>145</v>
      </c>
      <c r="G117" s="42">
        <v>0</v>
      </c>
      <c r="H117" s="29" t="s">
        <v>143</v>
      </c>
    </row>
    <row r="118" spans="1:17" ht="12.75" customHeight="1" x14ac:dyDescent="0.2">
      <c r="A118" s="39"/>
      <c r="B118" s="39"/>
      <c r="C118" s="43"/>
      <c r="D118" s="39"/>
      <c r="E118" s="39"/>
      <c r="F118" s="44"/>
      <c r="G118" s="44"/>
      <c r="H118" s="29" t="s">
        <v>143</v>
      </c>
    </row>
    <row r="119" spans="1:17" ht="12.75" customHeight="1" x14ac:dyDescent="0.2">
      <c r="A119" s="39"/>
      <c r="B119" s="39"/>
      <c r="C119" s="40" t="s">
        <v>167</v>
      </c>
      <c r="D119" s="39"/>
      <c r="E119" s="39"/>
      <c r="F119" s="44"/>
      <c r="G119" s="44"/>
      <c r="H119" s="29" t="s">
        <v>143</v>
      </c>
    </row>
    <row r="120" spans="1:17" ht="12.75" customHeight="1" x14ac:dyDescent="0.2">
      <c r="A120" s="39"/>
      <c r="B120" s="39"/>
      <c r="C120" s="40" t="s">
        <v>142</v>
      </c>
      <c r="D120" s="39"/>
      <c r="E120" s="39" t="s">
        <v>143</v>
      </c>
      <c r="F120" s="45" t="s">
        <v>145</v>
      </c>
      <c r="G120" s="42">
        <v>0</v>
      </c>
      <c r="H120" s="29" t="s">
        <v>143</v>
      </c>
    </row>
    <row r="121" spans="1:17" ht="12.75" customHeight="1" x14ac:dyDescent="0.2">
      <c r="A121" s="39"/>
      <c r="B121" s="39"/>
      <c r="C121" s="43"/>
      <c r="D121" s="39"/>
      <c r="E121" s="39"/>
      <c r="F121" s="44"/>
      <c r="G121" s="44"/>
      <c r="H121" s="29" t="s">
        <v>143</v>
      </c>
    </row>
    <row r="122" spans="1:17" ht="12.75" customHeight="1" x14ac:dyDescent="0.2">
      <c r="A122" s="46"/>
      <c r="B122" s="22"/>
      <c r="C122" s="22" t="s">
        <v>168</v>
      </c>
      <c r="D122" s="22"/>
      <c r="E122" s="46"/>
      <c r="F122" s="37">
        <v>949.76697750000005</v>
      </c>
      <c r="G122" s="38">
        <v>7.00412E-3</v>
      </c>
      <c r="H122" s="29" t="s">
        <v>143</v>
      </c>
    </row>
    <row r="123" spans="1:17" ht="12.75" customHeight="1" x14ac:dyDescent="0.2">
      <c r="A123" s="43"/>
      <c r="B123" s="43"/>
      <c r="C123" s="40" t="s">
        <v>169</v>
      </c>
      <c r="D123" s="44"/>
      <c r="E123" s="44"/>
      <c r="F123" s="41">
        <v>135601.110424151</v>
      </c>
      <c r="G123" s="47">
        <v>0.99999998000000001</v>
      </c>
      <c r="H123" s="29" t="s">
        <v>143</v>
      </c>
    </row>
    <row r="124" spans="1:17" ht="12.75" customHeight="1" x14ac:dyDescent="0.2">
      <c r="A124" s="48"/>
      <c r="B124" s="48"/>
      <c r="C124" s="49"/>
      <c r="D124" s="50"/>
      <c r="E124" s="50"/>
      <c r="F124" s="51"/>
      <c r="G124" s="52"/>
      <c r="H124" s="53"/>
    </row>
    <row r="125" spans="1:17" x14ac:dyDescent="0.2">
      <c r="A125" s="54"/>
      <c r="B125" s="243" t="s">
        <v>945</v>
      </c>
      <c r="C125" s="243"/>
      <c r="D125" s="243"/>
      <c r="E125" s="243"/>
      <c r="F125" s="243"/>
      <c r="G125" s="243"/>
      <c r="H125" s="243"/>
      <c r="J125" s="56"/>
    </row>
    <row r="126" spans="1:17" x14ac:dyDescent="0.2">
      <c r="A126" s="54"/>
      <c r="B126" s="243" t="s">
        <v>946</v>
      </c>
      <c r="C126" s="243"/>
      <c r="D126" s="243"/>
      <c r="E126" s="243"/>
      <c r="F126" s="243"/>
      <c r="G126" s="243"/>
      <c r="H126" s="243"/>
      <c r="J126" s="56"/>
    </row>
    <row r="127" spans="1:17" x14ac:dyDescent="0.2">
      <c r="A127" s="54"/>
      <c r="B127" s="243" t="s">
        <v>947</v>
      </c>
      <c r="C127" s="243"/>
      <c r="D127" s="243"/>
      <c r="E127" s="243"/>
      <c r="F127" s="243"/>
      <c r="G127" s="243"/>
      <c r="H127" s="243"/>
      <c r="J127" s="56"/>
    </row>
    <row r="128" spans="1:17" s="58" customFormat="1" ht="66.75" customHeight="1" x14ac:dyDescent="0.25">
      <c r="A128" s="57"/>
      <c r="B128" s="244" t="s">
        <v>948</v>
      </c>
      <c r="C128" s="244"/>
      <c r="D128" s="244"/>
      <c r="E128" s="244"/>
      <c r="F128" s="244"/>
      <c r="G128" s="244"/>
      <c r="H128" s="244"/>
      <c r="I128"/>
      <c r="J128" s="56"/>
      <c r="K128"/>
      <c r="L128"/>
      <c r="M128"/>
      <c r="N128"/>
      <c r="O128"/>
      <c r="P128"/>
      <c r="Q128"/>
    </row>
    <row r="129" spans="1:10" x14ac:dyDescent="0.2">
      <c r="A129" s="54"/>
      <c r="B129" s="243" t="s">
        <v>949</v>
      </c>
      <c r="C129" s="243"/>
      <c r="D129" s="243"/>
      <c r="E129" s="243"/>
      <c r="F129" s="243"/>
      <c r="G129" s="243"/>
      <c r="H129" s="243"/>
      <c r="J129" s="56"/>
    </row>
    <row r="130" spans="1:10" x14ac:dyDescent="0.2">
      <c r="A130" s="54"/>
      <c r="B130" s="54"/>
      <c r="C130" s="54"/>
      <c r="D130" s="59"/>
      <c r="E130" s="59"/>
      <c r="F130" s="59"/>
      <c r="G130" s="59"/>
    </row>
    <row r="131" spans="1:10" x14ac:dyDescent="0.2">
      <c r="A131" s="54"/>
      <c r="B131" s="247" t="s">
        <v>170</v>
      </c>
      <c r="C131" s="248"/>
      <c r="D131" s="249"/>
      <c r="E131" s="60"/>
      <c r="F131" s="59"/>
      <c r="G131" s="59"/>
    </row>
    <row r="132" spans="1:10" ht="27.75" customHeight="1" x14ac:dyDescent="0.2">
      <c r="A132" s="54"/>
      <c r="B132" s="240" t="s">
        <v>171</v>
      </c>
      <c r="C132" s="241"/>
      <c r="D132" s="28" t="s">
        <v>1001</v>
      </c>
      <c r="E132" s="60"/>
      <c r="F132" s="59"/>
      <c r="G132" s="59"/>
    </row>
    <row r="133" spans="1:10" ht="12.75" customHeight="1" x14ac:dyDescent="0.2">
      <c r="A133" s="54"/>
      <c r="B133" s="240" t="s">
        <v>950</v>
      </c>
      <c r="C133" s="241"/>
      <c r="D133" s="28" t="str">
        <f>"Rs. "&amp;TEXT(F66,"0.00")&amp;" lacs/ 0.04%"</f>
        <v>Rs. 55.61 lacs/ 0.04%</v>
      </c>
      <c r="E133" s="60"/>
      <c r="F133" s="59"/>
      <c r="G133" s="59"/>
    </row>
    <row r="134" spans="1:10" x14ac:dyDescent="0.2">
      <c r="A134" s="54"/>
      <c r="B134" s="240" t="s">
        <v>173</v>
      </c>
      <c r="C134" s="241"/>
      <c r="D134" s="61" t="s">
        <v>143</v>
      </c>
      <c r="E134" s="60"/>
      <c r="F134" s="59"/>
      <c r="G134" s="59"/>
    </row>
    <row r="135" spans="1:10" x14ac:dyDescent="0.2">
      <c r="A135" s="62"/>
      <c r="B135" s="63" t="s">
        <v>143</v>
      </c>
      <c r="C135" s="63" t="s">
        <v>951</v>
      </c>
      <c r="D135" s="63" t="s">
        <v>174</v>
      </c>
      <c r="E135" s="62"/>
      <c r="F135" s="62"/>
      <c r="G135" s="62"/>
      <c r="H135" s="62"/>
      <c r="J135" s="56"/>
    </row>
    <row r="136" spans="1:10" x14ac:dyDescent="0.2">
      <c r="A136" s="62"/>
      <c r="B136" s="64" t="s">
        <v>175</v>
      </c>
      <c r="C136" s="65">
        <v>45900</v>
      </c>
      <c r="D136" s="65">
        <v>45930</v>
      </c>
      <c r="E136" s="62"/>
      <c r="F136" s="62"/>
      <c r="G136" s="62"/>
      <c r="J136" s="56"/>
    </row>
    <row r="137" spans="1:10" ht="12.75" customHeight="1" x14ac:dyDescent="0.2">
      <c r="A137" s="66"/>
      <c r="B137" s="91" t="s">
        <v>176</v>
      </c>
      <c r="C137" s="68">
        <v>540.93799999999999</v>
      </c>
      <c r="D137" s="68">
        <v>539.98900000000003</v>
      </c>
      <c r="E137" s="66"/>
      <c r="F137" s="69"/>
      <c r="G137" s="70"/>
    </row>
    <row r="138" spans="1:10" ht="12.75" customHeight="1" x14ac:dyDescent="0.2">
      <c r="A138" s="66"/>
      <c r="B138" s="91" t="s">
        <v>1085</v>
      </c>
      <c r="C138" s="68">
        <v>540.38930000000005</v>
      </c>
      <c r="D138" s="68">
        <v>539.4402</v>
      </c>
      <c r="E138" s="66"/>
      <c r="F138" s="69"/>
      <c r="G138" s="70"/>
    </row>
    <row r="139" spans="1:10" ht="12.75" customHeight="1" x14ac:dyDescent="0.2">
      <c r="A139" s="66"/>
      <c r="B139" s="91" t="s">
        <v>177</v>
      </c>
      <c r="C139" s="68">
        <v>505.70089999999999</v>
      </c>
      <c r="D139" s="68">
        <v>504.60210000000001</v>
      </c>
      <c r="E139" s="66"/>
      <c r="F139" s="69"/>
      <c r="G139" s="70"/>
    </row>
    <row r="140" spans="1:10" ht="12.75" customHeight="1" x14ac:dyDescent="0.2">
      <c r="A140" s="66"/>
      <c r="B140" s="91" t="s">
        <v>1086</v>
      </c>
      <c r="C140" s="68">
        <v>405.5437</v>
      </c>
      <c r="D140" s="68">
        <v>404.66180000000003</v>
      </c>
      <c r="E140" s="66"/>
      <c r="F140" s="69"/>
      <c r="G140" s="70"/>
    </row>
    <row r="141" spans="1:10" ht="12.75" customHeight="1" x14ac:dyDescent="0.2">
      <c r="A141" s="66"/>
      <c r="B141" s="66"/>
      <c r="C141" s="66"/>
      <c r="D141" s="66"/>
      <c r="E141" s="66"/>
      <c r="F141" s="66"/>
      <c r="G141" s="66"/>
    </row>
    <row r="142" spans="1:10" x14ac:dyDescent="0.2">
      <c r="A142" s="62"/>
      <c r="B142" s="245" t="s">
        <v>952</v>
      </c>
      <c r="C142" s="246"/>
      <c r="D142" s="71" t="s">
        <v>172</v>
      </c>
      <c r="E142" s="62"/>
      <c r="F142" s="62"/>
      <c r="G142" s="62"/>
    </row>
    <row r="143" spans="1:10" x14ac:dyDescent="0.2">
      <c r="A143" s="72"/>
      <c r="B143" s="73"/>
      <c r="C143" s="73"/>
      <c r="D143" s="73"/>
      <c r="E143" s="72"/>
      <c r="F143" s="72"/>
      <c r="G143" s="72"/>
    </row>
    <row r="144" spans="1:10" x14ac:dyDescent="0.2">
      <c r="A144" s="72"/>
      <c r="B144" s="240" t="s">
        <v>178</v>
      </c>
      <c r="C144" s="241"/>
      <c r="D144" s="28" t="s">
        <v>172</v>
      </c>
      <c r="E144" s="74"/>
      <c r="F144" s="72"/>
      <c r="G144" s="72"/>
    </row>
    <row r="145" spans="1:7" x14ac:dyDescent="0.2">
      <c r="A145" s="72"/>
      <c r="B145" s="240" t="s">
        <v>179</v>
      </c>
      <c r="C145" s="241"/>
      <c r="D145" s="28" t="s">
        <v>172</v>
      </c>
      <c r="E145" s="74"/>
      <c r="F145" s="72"/>
      <c r="G145" s="72"/>
    </row>
    <row r="146" spans="1:7" x14ac:dyDescent="0.2">
      <c r="A146" s="72"/>
      <c r="B146" s="240" t="s">
        <v>180</v>
      </c>
      <c r="C146" s="241"/>
      <c r="D146" s="28" t="s">
        <v>172</v>
      </c>
      <c r="E146" s="74"/>
      <c r="F146" s="72"/>
      <c r="G146" s="72"/>
    </row>
    <row r="147" spans="1:7" x14ac:dyDescent="0.2">
      <c r="A147" s="72"/>
      <c r="B147" s="240" t="s">
        <v>181</v>
      </c>
      <c r="C147" s="241"/>
      <c r="D147" s="75">
        <v>0.49459563982271287</v>
      </c>
      <c r="E147" s="72"/>
      <c r="F147" s="55"/>
      <c r="G147" s="76"/>
    </row>
    <row r="148" spans="1:7" x14ac:dyDescent="0.2"/>
    <row r="149" spans="1:7" ht="13.5" x14ac:dyDescent="0.25">
      <c r="B149" s="92" t="s">
        <v>1038</v>
      </c>
      <c r="C149" s="93"/>
      <c r="D149" s="93"/>
      <c r="E149" s="18"/>
      <c r="F149" s="19"/>
    </row>
    <row r="150" spans="1:7" ht="67.5" x14ac:dyDescent="0.25">
      <c r="B150" s="94" t="s">
        <v>1087</v>
      </c>
      <c r="C150" s="94" t="s">
        <v>1088</v>
      </c>
      <c r="D150" s="94" t="s">
        <v>1089</v>
      </c>
      <c r="E150" s="94" t="s">
        <v>1090</v>
      </c>
      <c r="F150" s="94" t="s">
        <v>1091</v>
      </c>
    </row>
    <row r="151" spans="1:7" ht="13.5" x14ac:dyDescent="0.2">
      <c r="B151" s="95" t="s">
        <v>1113</v>
      </c>
      <c r="C151" s="96" t="s">
        <v>1093</v>
      </c>
      <c r="D151" s="20">
        <v>0</v>
      </c>
      <c r="E151" s="21">
        <v>0</v>
      </c>
      <c r="F151" s="97">
        <v>0.54925000000000002</v>
      </c>
    </row>
    <row r="152" spans="1:7" x14ac:dyDescent="0.2"/>
    <row r="153" spans="1:7" x14ac:dyDescent="0.2">
      <c r="B153" s="239" t="s">
        <v>953</v>
      </c>
      <c r="C153" s="239"/>
    </row>
    <row r="154" spans="1:7" x14ac:dyDescent="0.2"/>
    <row r="155" spans="1:7" ht="153.75" customHeight="1" x14ac:dyDescent="0.2"/>
    <row r="156" spans="1:7" x14ac:dyDescent="0.2"/>
    <row r="157" spans="1:7" x14ac:dyDescent="0.2"/>
    <row r="158" spans="1:7" x14ac:dyDescent="0.2">
      <c r="B158" s="77" t="s">
        <v>954</v>
      </c>
      <c r="C158" s="78"/>
      <c r="D158" s="77"/>
    </row>
    <row r="159" spans="1:7" x14ac:dyDescent="0.2">
      <c r="B159" s="77" t="s">
        <v>1114</v>
      </c>
      <c r="D159" s="77"/>
    </row>
    <row r="160" spans="1:7" ht="165" customHeight="1" x14ac:dyDescent="0.2"/>
    <row r="161" spans="10:10" x14ac:dyDescent="0.2"/>
    <row r="162" spans="10:10" x14ac:dyDescent="0.2">
      <c r="J162" s="26"/>
    </row>
    <row r="163" spans="10:10" x14ac:dyDescent="0.2"/>
    <row r="164" spans="10:10" x14ac:dyDescent="0.2"/>
    <row r="165" spans="10:10" x14ac:dyDescent="0.2"/>
    <row r="166" spans="10:10" x14ac:dyDescent="0.2"/>
    <row r="167" spans="10:10" ht="14.25" customHeight="1" x14ac:dyDescent="0.2"/>
    <row r="168" spans="10:10" ht="14.25" customHeight="1" x14ac:dyDescent="0.2"/>
    <row r="169" spans="10:10" ht="14.25" customHeight="1" x14ac:dyDescent="0.2"/>
    <row r="170" spans="10:10" ht="14.25" customHeight="1" x14ac:dyDescent="0.2"/>
    <row r="171" spans="10:10" ht="14.25" customHeight="1" x14ac:dyDescent="0.2"/>
  </sheetData>
  <mergeCells count="18">
    <mergeCell ref="B153:C153"/>
    <mergeCell ref="B147:C147"/>
    <mergeCell ref="A1:H1"/>
    <mergeCell ref="A2:H2"/>
    <mergeCell ref="A3:H3"/>
    <mergeCell ref="B146:C146"/>
    <mergeCell ref="B125:H125"/>
    <mergeCell ref="B126:H126"/>
    <mergeCell ref="B127:H127"/>
    <mergeCell ref="B128:H128"/>
    <mergeCell ref="B129:H129"/>
    <mergeCell ref="B131:D131"/>
    <mergeCell ref="B132:C132"/>
    <mergeCell ref="B133:C133"/>
    <mergeCell ref="B134:C134"/>
    <mergeCell ref="B144:C144"/>
    <mergeCell ref="B145:C145"/>
    <mergeCell ref="B142:C142"/>
  </mergeCells>
  <hyperlinks>
    <hyperlink ref="I1" location="Index!B2" display="Index" xr:uid="{ABBB8E25-4FFF-4EE3-A02F-581314C399B1}"/>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99BF-0AF2-4D36-8506-F5AB5BD9F580}">
  <sheetPr>
    <outlinePr summaryBelow="0" summaryRight="0"/>
  </sheetPr>
  <dimension ref="A1:Q141"/>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52.7109375" bestFit="1" customWidth="1"/>
    <col min="4" max="4" width="17"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811</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11</v>
      </c>
      <c r="C7" s="22" t="s">
        <v>12</v>
      </c>
      <c r="D7" s="22" t="s">
        <v>13</v>
      </c>
      <c r="E7" s="36">
        <v>810559</v>
      </c>
      <c r="F7" s="37">
        <v>15225.540256</v>
      </c>
      <c r="G7" s="38">
        <v>9.5780950000000004E-2</v>
      </c>
      <c r="H7" s="29" t="s">
        <v>143</v>
      </c>
    </row>
    <row r="8" spans="1:9" ht="12.75" customHeight="1" x14ac:dyDescent="0.2">
      <c r="A8" s="35">
        <v>2</v>
      </c>
      <c r="B8" s="22" t="s">
        <v>333</v>
      </c>
      <c r="C8" s="22" t="s">
        <v>334</v>
      </c>
      <c r="D8" s="22" t="s">
        <v>239</v>
      </c>
      <c r="E8" s="36">
        <v>418401</v>
      </c>
      <c r="F8" s="37">
        <v>14338.602269999999</v>
      </c>
      <c r="G8" s="38">
        <v>9.0201390000000006E-2</v>
      </c>
      <c r="H8" s="29" t="s">
        <v>143</v>
      </c>
    </row>
    <row r="9" spans="1:9" ht="12.75" customHeight="1" x14ac:dyDescent="0.2">
      <c r="A9" s="35">
        <v>3</v>
      </c>
      <c r="B9" s="22" t="s">
        <v>421</v>
      </c>
      <c r="C9" s="22" t="s">
        <v>422</v>
      </c>
      <c r="D9" s="22" t="s">
        <v>423</v>
      </c>
      <c r="E9" s="36">
        <v>3085016</v>
      </c>
      <c r="F9" s="37">
        <v>12387.881748</v>
      </c>
      <c r="G9" s="38">
        <v>7.7929780000000004E-2</v>
      </c>
      <c r="H9" s="29" t="s">
        <v>143</v>
      </c>
    </row>
    <row r="10" spans="1:9" ht="12.75" customHeight="1" x14ac:dyDescent="0.2">
      <c r="A10" s="35">
        <v>4</v>
      </c>
      <c r="B10" s="22" t="s">
        <v>439</v>
      </c>
      <c r="C10" s="22" t="s">
        <v>440</v>
      </c>
      <c r="D10" s="22" t="s">
        <v>423</v>
      </c>
      <c r="E10" s="36">
        <v>446824</v>
      </c>
      <c r="F10" s="37">
        <v>11234.942655999999</v>
      </c>
      <c r="G10" s="38">
        <v>7.0676870000000003E-2</v>
      </c>
      <c r="H10" s="29" t="s">
        <v>143</v>
      </c>
    </row>
    <row r="11" spans="1:9" ht="12.75" customHeight="1" x14ac:dyDescent="0.2">
      <c r="A11" s="35">
        <v>5</v>
      </c>
      <c r="B11" s="22" t="s">
        <v>343</v>
      </c>
      <c r="C11" s="22" t="s">
        <v>344</v>
      </c>
      <c r="D11" s="22" t="s">
        <v>284</v>
      </c>
      <c r="E11" s="36">
        <v>2892836</v>
      </c>
      <c r="F11" s="37">
        <v>9416.1811799999996</v>
      </c>
      <c r="G11" s="38">
        <v>5.9235389999999999E-2</v>
      </c>
      <c r="H11" s="29" t="s">
        <v>143</v>
      </c>
    </row>
    <row r="12" spans="1:9" ht="12.75" customHeight="1" x14ac:dyDescent="0.2">
      <c r="A12" s="35">
        <v>6</v>
      </c>
      <c r="B12" s="22" t="s">
        <v>419</v>
      </c>
      <c r="C12" s="22" t="s">
        <v>420</v>
      </c>
      <c r="D12" s="22" t="s">
        <v>46</v>
      </c>
      <c r="E12" s="36">
        <v>212692</v>
      </c>
      <c r="F12" s="37">
        <v>7161.3396400000001</v>
      </c>
      <c r="G12" s="38">
        <v>4.5050609999999998E-2</v>
      </c>
      <c r="H12" s="29" t="s">
        <v>143</v>
      </c>
    </row>
    <row r="13" spans="1:9" ht="12.75" customHeight="1" x14ac:dyDescent="0.2">
      <c r="A13" s="35">
        <v>7</v>
      </c>
      <c r="B13" s="22" t="s">
        <v>499</v>
      </c>
      <c r="C13" s="22" t="s">
        <v>500</v>
      </c>
      <c r="D13" s="22" t="s">
        <v>239</v>
      </c>
      <c r="E13" s="36">
        <v>40244</v>
      </c>
      <c r="F13" s="37">
        <v>6450.7107599999999</v>
      </c>
      <c r="G13" s="38">
        <v>4.058018E-2</v>
      </c>
      <c r="H13" s="29" t="s">
        <v>143</v>
      </c>
    </row>
    <row r="14" spans="1:9" ht="12.75" customHeight="1" x14ac:dyDescent="0.2">
      <c r="A14" s="35">
        <v>8</v>
      </c>
      <c r="B14" s="22" t="s">
        <v>732</v>
      </c>
      <c r="C14" s="22" t="s">
        <v>733</v>
      </c>
      <c r="D14" s="22" t="s">
        <v>188</v>
      </c>
      <c r="E14" s="36">
        <v>79027</v>
      </c>
      <c r="F14" s="37">
        <v>5855.1104299999997</v>
      </c>
      <c r="G14" s="38">
        <v>3.6833369999999997E-2</v>
      </c>
      <c r="H14" s="29" t="s">
        <v>143</v>
      </c>
    </row>
    <row r="15" spans="1:9" ht="12.75" customHeight="1" x14ac:dyDescent="0.2">
      <c r="A15" s="35">
        <v>9</v>
      </c>
      <c r="B15" s="22" t="s">
        <v>652</v>
      </c>
      <c r="C15" s="22" t="s">
        <v>653</v>
      </c>
      <c r="D15" s="22" t="s">
        <v>454</v>
      </c>
      <c r="E15" s="36">
        <v>443054</v>
      </c>
      <c r="F15" s="37">
        <v>5107.9695659999998</v>
      </c>
      <c r="G15" s="38">
        <v>3.2133259999999997E-2</v>
      </c>
      <c r="H15" s="29" t="s">
        <v>143</v>
      </c>
    </row>
    <row r="16" spans="1:9" ht="12.75" customHeight="1" x14ac:dyDescent="0.2">
      <c r="A16" s="35">
        <v>10</v>
      </c>
      <c r="B16" s="22" t="s">
        <v>356</v>
      </c>
      <c r="C16" s="22" t="s">
        <v>357</v>
      </c>
      <c r="D16" s="22" t="s">
        <v>46</v>
      </c>
      <c r="E16" s="36">
        <v>225560</v>
      </c>
      <c r="F16" s="37">
        <v>4935.9294799999998</v>
      </c>
      <c r="G16" s="38">
        <v>3.1050979999999999E-2</v>
      </c>
      <c r="H16" s="29" t="s">
        <v>143</v>
      </c>
    </row>
    <row r="17" spans="1:8" ht="12.75" customHeight="1" x14ac:dyDescent="0.2">
      <c r="A17" s="35">
        <v>11</v>
      </c>
      <c r="B17" s="22" t="s">
        <v>796</v>
      </c>
      <c r="C17" s="22" t="s">
        <v>797</v>
      </c>
      <c r="D17" s="22" t="s">
        <v>191</v>
      </c>
      <c r="E17" s="36">
        <v>37883</v>
      </c>
      <c r="F17" s="37">
        <v>4639.5310099999997</v>
      </c>
      <c r="G17" s="38">
        <v>2.9186400000000001E-2</v>
      </c>
      <c r="H17" s="29" t="s">
        <v>143</v>
      </c>
    </row>
    <row r="18" spans="1:8" ht="12.75" customHeight="1" x14ac:dyDescent="0.2">
      <c r="A18" s="35">
        <v>12</v>
      </c>
      <c r="B18" s="22" t="s">
        <v>676</v>
      </c>
      <c r="C18" s="22" t="s">
        <v>677</v>
      </c>
      <c r="D18" s="22" t="s">
        <v>454</v>
      </c>
      <c r="E18" s="36">
        <v>74826</v>
      </c>
      <c r="F18" s="37">
        <v>4482.8256600000004</v>
      </c>
      <c r="G18" s="38">
        <v>2.8200599999999999E-2</v>
      </c>
      <c r="H18" s="29" t="s">
        <v>143</v>
      </c>
    </row>
    <row r="19" spans="1:8" ht="12.75" customHeight="1" x14ac:dyDescent="0.2">
      <c r="A19" s="35">
        <v>13</v>
      </c>
      <c r="B19" s="22" t="s">
        <v>501</v>
      </c>
      <c r="C19" s="22" t="s">
        <v>502</v>
      </c>
      <c r="D19" s="22" t="s">
        <v>230</v>
      </c>
      <c r="E19" s="36">
        <v>320033</v>
      </c>
      <c r="F19" s="37">
        <v>4238.1970190000002</v>
      </c>
      <c r="G19" s="38">
        <v>2.666168E-2</v>
      </c>
      <c r="H19" s="29" t="s">
        <v>143</v>
      </c>
    </row>
    <row r="20" spans="1:8" ht="12.75" customHeight="1" x14ac:dyDescent="0.2">
      <c r="A20" s="35">
        <v>14</v>
      </c>
      <c r="B20" s="22" t="s">
        <v>802</v>
      </c>
      <c r="C20" s="22" t="s">
        <v>803</v>
      </c>
      <c r="D20" s="22" t="s">
        <v>284</v>
      </c>
      <c r="E20" s="36">
        <v>89438</v>
      </c>
      <c r="F20" s="37">
        <v>4183.46245</v>
      </c>
      <c r="G20" s="38">
        <v>2.6317360000000001E-2</v>
      </c>
      <c r="H20" s="29" t="s">
        <v>143</v>
      </c>
    </row>
    <row r="21" spans="1:8" ht="12.75" customHeight="1" x14ac:dyDescent="0.2">
      <c r="A21" s="35">
        <v>15</v>
      </c>
      <c r="B21" s="22" t="s">
        <v>728</v>
      </c>
      <c r="C21" s="22" t="s">
        <v>729</v>
      </c>
      <c r="D21" s="22" t="s">
        <v>284</v>
      </c>
      <c r="E21" s="36">
        <v>76997</v>
      </c>
      <c r="F21" s="37">
        <v>3445.923738</v>
      </c>
      <c r="G21" s="38">
        <v>2.1677640000000001E-2</v>
      </c>
      <c r="H21" s="29" t="s">
        <v>143</v>
      </c>
    </row>
    <row r="22" spans="1:8" ht="12.75" customHeight="1" x14ac:dyDescent="0.2">
      <c r="A22" s="35">
        <v>16</v>
      </c>
      <c r="B22" s="22" t="s">
        <v>39</v>
      </c>
      <c r="C22" s="22" t="s">
        <v>40</v>
      </c>
      <c r="D22" s="22" t="s">
        <v>41</v>
      </c>
      <c r="E22" s="36">
        <v>236298</v>
      </c>
      <c r="F22" s="37">
        <v>3431.9921519999998</v>
      </c>
      <c r="G22" s="38">
        <v>2.1590000000000002E-2</v>
      </c>
      <c r="H22" s="29" t="s">
        <v>143</v>
      </c>
    </row>
    <row r="23" spans="1:8" ht="12.75" customHeight="1" x14ac:dyDescent="0.2">
      <c r="A23" s="35">
        <v>17</v>
      </c>
      <c r="B23" s="22" t="s">
        <v>207</v>
      </c>
      <c r="C23" s="22" t="s">
        <v>208</v>
      </c>
      <c r="D23" s="22" t="s">
        <v>46</v>
      </c>
      <c r="E23" s="36">
        <v>750079</v>
      </c>
      <c r="F23" s="37">
        <v>3407.6088970000001</v>
      </c>
      <c r="G23" s="38">
        <v>2.1436609999999998E-2</v>
      </c>
      <c r="H23" s="29" t="s">
        <v>143</v>
      </c>
    </row>
    <row r="24" spans="1:8" ht="12.75" customHeight="1" x14ac:dyDescent="0.2">
      <c r="A24" s="35">
        <v>18</v>
      </c>
      <c r="B24" s="22" t="s">
        <v>513</v>
      </c>
      <c r="C24" s="22" t="s">
        <v>514</v>
      </c>
      <c r="D24" s="22" t="s">
        <v>239</v>
      </c>
      <c r="E24" s="36">
        <v>58394</v>
      </c>
      <c r="F24" s="37">
        <v>3195.6116499999998</v>
      </c>
      <c r="G24" s="38">
        <v>2.0102979999999999E-2</v>
      </c>
      <c r="H24" s="29" t="s">
        <v>143</v>
      </c>
    </row>
    <row r="25" spans="1:8" ht="12.75" customHeight="1" x14ac:dyDescent="0.2">
      <c r="A25" s="35">
        <v>19</v>
      </c>
      <c r="B25" s="22" t="s">
        <v>88</v>
      </c>
      <c r="C25" s="22" t="s">
        <v>89</v>
      </c>
      <c r="D25" s="22" t="s">
        <v>90</v>
      </c>
      <c r="E25" s="36">
        <v>336214</v>
      </c>
      <c r="F25" s="37">
        <v>3012.6455470000001</v>
      </c>
      <c r="G25" s="38">
        <v>1.8951969999999999E-2</v>
      </c>
      <c r="H25" s="29" t="s">
        <v>143</v>
      </c>
    </row>
    <row r="26" spans="1:8" ht="12.75" customHeight="1" x14ac:dyDescent="0.2">
      <c r="A26" s="35">
        <v>20</v>
      </c>
      <c r="B26" s="22" t="s">
        <v>743</v>
      </c>
      <c r="C26" s="22" t="s">
        <v>744</v>
      </c>
      <c r="D26" s="22" t="s">
        <v>745</v>
      </c>
      <c r="E26" s="36">
        <v>936397</v>
      </c>
      <c r="F26" s="37">
        <v>2951.9915424999999</v>
      </c>
      <c r="G26" s="38">
        <v>1.8570409999999999E-2</v>
      </c>
      <c r="H26" s="29" t="s">
        <v>143</v>
      </c>
    </row>
    <row r="27" spans="1:8" ht="12.75" customHeight="1" x14ac:dyDescent="0.2">
      <c r="A27" s="35">
        <v>21</v>
      </c>
      <c r="B27" s="22" t="s">
        <v>469</v>
      </c>
      <c r="C27" s="22" t="s">
        <v>470</v>
      </c>
      <c r="D27" s="22" t="s">
        <v>284</v>
      </c>
      <c r="E27" s="36">
        <v>217005</v>
      </c>
      <c r="F27" s="37">
        <v>2841.2464650000002</v>
      </c>
      <c r="G27" s="38">
        <v>1.7873739999999999E-2</v>
      </c>
      <c r="H27" s="29" t="s">
        <v>143</v>
      </c>
    </row>
    <row r="28" spans="1:8" ht="12.75" customHeight="1" x14ac:dyDescent="0.2">
      <c r="A28" s="35">
        <v>22</v>
      </c>
      <c r="B28" s="22" t="s">
        <v>431</v>
      </c>
      <c r="C28" s="22" t="s">
        <v>432</v>
      </c>
      <c r="D28" s="22" t="s">
        <v>203</v>
      </c>
      <c r="E28" s="36">
        <v>215942</v>
      </c>
      <c r="F28" s="37">
        <v>2438.633006</v>
      </c>
      <c r="G28" s="38">
        <v>1.5340970000000001E-2</v>
      </c>
      <c r="H28" s="29" t="s">
        <v>143</v>
      </c>
    </row>
    <row r="29" spans="1:8" ht="12.75" customHeight="1" x14ac:dyDescent="0.2">
      <c r="A29" s="35">
        <v>23</v>
      </c>
      <c r="B29" s="22" t="s">
        <v>204</v>
      </c>
      <c r="C29" s="22" t="s">
        <v>205</v>
      </c>
      <c r="D29" s="22" t="s">
        <v>206</v>
      </c>
      <c r="E29" s="36">
        <v>379591</v>
      </c>
      <c r="F29" s="37">
        <v>2343.594834</v>
      </c>
      <c r="G29" s="38">
        <v>1.474311E-2</v>
      </c>
      <c r="H29" s="29" t="s">
        <v>143</v>
      </c>
    </row>
    <row r="30" spans="1:8" ht="12.75" customHeight="1" x14ac:dyDescent="0.2">
      <c r="A30" s="35">
        <v>24</v>
      </c>
      <c r="B30" s="22" t="s">
        <v>698</v>
      </c>
      <c r="C30" s="22" t="s">
        <v>699</v>
      </c>
      <c r="D30" s="22" t="s">
        <v>46</v>
      </c>
      <c r="E30" s="36">
        <v>96237</v>
      </c>
      <c r="F30" s="37">
        <v>2261.5695000000001</v>
      </c>
      <c r="G30" s="38">
        <v>1.4227099999999999E-2</v>
      </c>
      <c r="H30" s="29" t="s">
        <v>143</v>
      </c>
    </row>
    <row r="31" spans="1:8" ht="12.75" customHeight="1" x14ac:dyDescent="0.2">
      <c r="A31" s="35">
        <v>25</v>
      </c>
      <c r="B31" s="22" t="s">
        <v>276</v>
      </c>
      <c r="C31" s="22" t="s">
        <v>277</v>
      </c>
      <c r="D31" s="22" t="s">
        <v>206</v>
      </c>
      <c r="E31" s="36">
        <v>1332543</v>
      </c>
      <c r="F31" s="37">
        <v>2239.0720028999999</v>
      </c>
      <c r="G31" s="38">
        <v>1.408557E-2</v>
      </c>
      <c r="H31" s="29" t="s">
        <v>143</v>
      </c>
    </row>
    <row r="32" spans="1:8" ht="12.75" customHeight="1" x14ac:dyDescent="0.2">
      <c r="A32" s="35">
        <v>26</v>
      </c>
      <c r="B32" s="22" t="s">
        <v>503</v>
      </c>
      <c r="C32" s="22" t="s">
        <v>504</v>
      </c>
      <c r="D32" s="22" t="s">
        <v>239</v>
      </c>
      <c r="E32" s="36">
        <v>25666</v>
      </c>
      <c r="F32" s="37">
        <v>2227.4238099999998</v>
      </c>
      <c r="G32" s="38">
        <v>1.40123E-2</v>
      </c>
      <c r="H32" s="29" t="s">
        <v>143</v>
      </c>
    </row>
    <row r="33" spans="1:8" ht="12.75" customHeight="1" x14ac:dyDescent="0.2">
      <c r="A33" s="35">
        <v>27</v>
      </c>
      <c r="B33" s="22" t="s">
        <v>812</v>
      </c>
      <c r="C33" s="22" t="s">
        <v>813</v>
      </c>
      <c r="D33" s="22" t="s">
        <v>46</v>
      </c>
      <c r="E33" s="36">
        <v>174891</v>
      </c>
      <c r="F33" s="37">
        <v>2083.3015919999998</v>
      </c>
      <c r="G33" s="38">
        <v>1.310565E-2</v>
      </c>
      <c r="H33" s="29" t="s">
        <v>143</v>
      </c>
    </row>
    <row r="34" spans="1:8" ht="12.75" customHeight="1" x14ac:dyDescent="0.2">
      <c r="A34" s="35">
        <v>28</v>
      </c>
      <c r="B34" s="22" t="s">
        <v>750</v>
      </c>
      <c r="C34" s="22" t="s">
        <v>751</v>
      </c>
      <c r="D34" s="22" t="s">
        <v>284</v>
      </c>
      <c r="E34" s="36">
        <v>288634</v>
      </c>
      <c r="F34" s="37">
        <v>1945.8261110000001</v>
      </c>
      <c r="G34" s="38">
        <v>1.2240819999999999E-2</v>
      </c>
      <c r="H34" s="29" t="s">
        <v>143</v>
      </c>
    </row>
    <row r="35" spans="1:8" ht="12.75" customHeight="1" x14ac:dyDescent="0.2">
      <c r="A35" s="35">
        <v>29</v>
      </c>
      <c r="B35" s="22" t="s">
        <v>511</v>
      </c>
      <c r="C35" s="22" t="s">
        <v>512</v>
      </c>
      <c r="D35" s="22" t="s">
        <v>230</v>
      </c>
      <c r="E35" s="36">
        <v>416579</v>
      </c>
      <c r="F35" s="37">
        <v>1848.3610229999999</v>
      </c>
      <c r="G35" s="38">
        <v>1.162768E-2</v>
      </c>
      <c r="H35" s="29" t="s">
        <v>143</v>
      </c>
    </row>
    <row r="36" spans="1:8" ht="12.75" customHeight="1" x14ac:dyDescent="0.2">
      <c r="A36" s="35">
        <v>30</v>
      </c>
      <c r="B36" s="22" t="s">
        <v>490</v>
      </c>
      <c r="C36" s="22" t="s">
        <v>491</v>
      </c>
      <c r="D36" s="22" t="s">
        <v>284</v>
      </c>
      <c r="E36" s="36">
        <v>1285051</v>
      </c>
      <c r="F36" s="37">
        <v>1804.7256244</v>
      </c>
      <c r="G36" s="38">
        <v>1.1353179999999999E-2</v>
      </c>
      <c r="H36" s="29" t="s">
        <v>143</v>
      </c>
    </row>
    <row r="37" spans="1:8" ht="12.75" customHeight="1" x14ac:dyDescent="0.2">
      <c r="A37" s="35">
        <v>31</v>
      </c>
      <c r="B37" s="22" t="s">
        <v>228</v>
      </c>
      <c r="C37" s="22" t="s">
        <v>229</v>
      </c>
      <c r="D37" s="22" t="s">
        <v>230</v>
      </c>
      <c r="E37" s="36">
        <v>94931</v>
      </c>
      <c r="F37" s="37">
        <v>1709.5174480000001</v>
      </c>
      <c r="G37" s="38">
        <v>1.075425E-2</v>
      </c>
      <c r="H37" s="29" t="s">
        <v>143</v>
      </c>
    </row>
    <row r="38" spans="1:8" ht="12.75" customHeight="1" x14ac:dyDescent="0.2">
      <c r="A38" s="35">
        <v>32</v>
      </c>
      <c r="B38" s="22" t="s">
        <v>252</v>
      </c>
      <c r="C38" s="22" t="s">
        <v>253</v>
      </c>
      <c r="D38" s="22" t="s">
        <v>254</v>
      </c>
      <c r="E38" s="36">
        <v>38824</v>
      </c>
      <c r="F38" s="37">
        <v>862.82457599999998</v>
      </c>
      <c r="G38" s="38">
        <v>5.4278599999999996E-3</v>
      </c>
      <c r="H38" s="29" t="s">
        <v>143</v>
      </c>
    </row>
    <row r="39" spans="1:8" ht="12.75" customHeight="1" x14ac:dyDescent="0.2">
      <c r="A39" s="35">
        <v>33</v>
      </c>
      <c r="B39" s="22" t="s">
        <v>237</v>
      </c>
      <c r="C39" s="22" t="s">
        <v>238</v>
      </c>
      <c r="D39" s="22" t="s">
        <v>239</v>
      </c>
      <c r="E39" s="36">
        <v>16314</v>
      </c>
      <c r="F39" s="37">
        <v>560.98951799999998</v>
      </c>
      <c r="G39" s="38">
        <v>3.52908E-3</v>
      </c>
      <c r="H39" s="29" t="s">
        <v>143</v>
      </c>
    </row>
    <row r="40" spans="1:8" ht="12.75" customHeight="1" x14ac:dyDescent="0.2">
      <c r="A40" s="39"/>
      <c r="B40" s="39"/>
      <c r="C40" s="40" t="s">
        <v>142</v>
      </c>
      <c r="D40" s="39"/>
      <c r="E40" s="39" t="s">
        <v>143</v>
      </c>
      <c r="F40" s="41">
        <v>154271.08316179999</v>
      </c>
      <c r="G40" s="42">
        <v>0.97048973999999999</v>
      </c>
      <c r="H40" s="29" t="s">
        <v>143</v>
      </c>
    </row>
    <row r="41" spans="1:8" ht="12.75" customHeight="1" x14ac:dyDescent="0.2">
      <c r="A41" s="39"/>
      <c r="B41" s="39"/>
      <c r="C41" s="43"/>
      <c r="D41" s="39"/>
      <c r="E41" s="39"/>
      <c r="F41" s="44"/>
      <c r="G41" s="44"/>
      <c r="H41" s="29" t="s">
        <v>143</v>
      </c>
    </row>
    <row r="42" spans="1:8" ht="12.75" customHeight="1" x14ac:dyDescent="0.2">
      <c r="A42" s="39"/>
      <c r="B42" s="39"/>
      <c r="C42" s="40" t="s">
        <v>144</v>
      </c>
      <c r="D42" s="39"/>
      <c r="E42" s="39"/>
      <c r="F42" s="39"/>
      <c r="G42" s="39"/>
      <c r="H42" s="29" t="s">
        <v>143</v>
      </c>
    </row>
    <row r="43" spans="1:8" ht="12.75" customHeight="1" x14ac:dyDescent="0.2">
      <c r="A43" s="39"/>
      <c r="B43" s="39"/>
      <c r="C43" s="40" t="s">
        <v>142</v>
      </c>
      <c r="D43" s="39"/>
      <c r="E43" s="39" t="s">
        <v>143</v>
      </c>
      <c r="F43" s="45" t="s">
        <v>145</v>
      </c>
      <c r="G43" s="42">
        <v>0</v>
      </c>
      <c r="H43" s="29" t="s">
        <v>143</v>
      </c>
    </row>
    <row r="44" spans="1:8" ht="12.75" customHeight="1" x14ac:dyDescent="0.2">
      <c r="A44" s="39"/>
      <c r="B44" s="39"/>
      <c r="C44" s="43"/>
      <c r="D44" s="39"/>
      <c r="E44" s="39"/>
      <c r="F44" s="44"/>
      <c r="G44" s="44"/>
      <c r="H44" s="29" t="s">
        <v>143</v>
      </c>
    </row>
    <row r="45" spans="1:8" ht="12.75" customHeight="1" x14ac:dyDescent="0.2">
      <c r="A45" s="39"/>
      <c r="B45" s="39"/>
      <c r="C45" s="40" t="s">
        <v>146</v>
      </c>
      <c r="D45" s="39"/>
      <c r="E45" s="39"/>
      <c r="F45" s="39"/>
      <c r="G45" s="39"/>
      <c r="H45" s="29" t="s">
        <v>143</v>
      </c>
    </row>
    <row r="46" spans="1:8" ht="12.75" customHeight="1" x14ac:dyDescent="0.2">
      <c r="A46" s="39"/>
      <c r="B46" s="39"/>
      <c r="C46" s="40" t="s">
        <v>142</v>
      </c>
      <c r="D46" s="39"/>
      <c r="E46" s="39" t="s">
        <v>143</v>
      </c>
      <c r="F46" s="45" t="s">
        <v>145</v>
      </c>
      <c r="G46" s="42">
        <v>0</v>
      </c>
      <c r="H46" s="29" t="s">
        <v>143</v>
      </c>
    </row>
    <row r="47" spans="1:8" ht="12.75" customHeight="1" x14ac:dyDescent="0.2">
      <c r="A47" s="39"/>
      <c r="B47" s="39"/>
      <c r="C47" s="43"/>
      <c r="D47" s="39"/>
      <c r="E47" s="39"/>
      <c r="F47" s="44"/>
      <c r="G47" s="44"/>
      <c r="H47" s="29" t="s">
        <v>143</v>
      </c>
    </row>
    <row r="48" spans="1:8" ht="12.75" customHeight="1" x14ac:dyDescent="0.2">
      <c r="A48" s="39"/>
      <c r="B48" s="39"/>
      <c r="C48" s="40" t="s">
        <v>147</v>
      </c>
      <c r="D48" s="39"/>
      <c r="E48" s="39"/>
      <c r="F48" s="39"/>
      <c r="G48" s="39"/>
      <c r="H48" s="29" t="s">
        <v>143</v>
      </c>
    </row>
    <row r="49" spans="1:8" ht="12.75" customHeight="1" x14ac:dyDescent="0.2">
      <c r="A49" s="39"/>
      <c r="B49" s="39"/>
      <c r="C49" s="40" t="s">
        <v>142</v>
      </c>
      <c r="D49" s="39"/>
      <c r="E49" s="39" t="s">
        <v>143</v>
      </c>
      <c r="F49" s="45" t="s">
        <v>145</v>
      </c>
      <c r="G49" s="42">
        <v>0</v>
      </c>
      <c r="H49" s="29" t="s">
        <v>143</v>
      </c>
    </row>
    <row r="50" spans="1:8" ht="12.75" customHeight="1" x14ac:dyDescent="0.2">
      <c r="A50" s="39"/>
      <c r="B50" s="39"/>
      <c r="C50" s="43"/>
      <c r="D50" s="39"/>
      <c r="E50" s="39"/>
      <c r="F50" s="44"/>
      <c r="G50" s="44"/>
      <c r="H50" s="29" t="s">
        <v>143</v>
      </c>
    </row>
    <row r="51" spans="1:8" ht="12.75" customHeight="1" x14ac:dyDescent="0.2">
      <c r="A51" s="39"/>
      <c r="B51" s="39"/>
      <c r="C51" s="40" t="s">
        <v>148</v>
      </c>
      <c r="D51" s="39"/>
      <c r="E51" s="39"/>
      <c r="F51" s="44"/>
      <c r="G51" s="44"/>
      <c r="H51" s="29" t="s">
        <v>143</v>
      </c>
    </row>
    <row r="52" spans="1:8" ht="12.75" customHeight="1" x14ac:dyDescent="0.2">
      <c r="A52" s="39"/>
      <c r="B52" s="39"/>
      <c r="C52" s="40" t="s">
        <v>142</v>
      </c>
      <c r="D52" s="39"/>
      <c r="E52" s="39" t="s">
        <v>143</v>
      </c>
      <c r="F52" s="45" t="s">
        <v>145</v>
      </c>
      <c r="G52" s="42">
        <v>0</v>
      </c>
      <c r="H52" s="29" t="s">
        <v>143</v>
      </c>
    </row>
    <row r="53" spans="1:8" ht="12.75" customHeight="1" x14ac:dyDescent="0.2">
      <c r="A53" s="39"/>
      <c r="B53" s="39"/>
      <c r="C53" s="43"/>
      <c r="D53" s="39"/>
      <c r="E53" s="39"/>
      <c r="F53" s="44"/>
      <c r="G53" s="44"/>
      <c r="H53" s="29" t="s">
        <v>143</v>
      </c>
    </row>
    <row r="54" spans="1:8" ht="12.75" customHeight="1" x14ac:dyDescent="0.2">
      <c r="A54" s="39"/>
      <c r="B54" s="39"/>
      <c r="C54" s="40" t="s">
        <v>149</v>
      </c>
      <c r="D54" s="39"/>
      <c r="E54" s="39"/>
      <c r="F54" s="44"/>
      <c r="G54" s="44"/>
      <c r="H54" s="29" t="s">
        <v>143</v>
      </c>
    </row>
    <row r="55" spans="1:8" ht="12.75" customHeight="1" x14ac:dyDescent="0.2">
      <c r="A55" s="39"/>
      <c r="B55" s="39"/>
      <c r="C55" s="40" t="s">
        <v>142</v>
      </c>
      <c r="D55" s="39"/>
      <c r="E55" s="39" t="s">
        <v>143</v>
      </c>
      <c r="F55" s="45" t="s">
        <v>145</v>
      </c>
      <c r="G55" s="42">
        <v>0</v>
      </c>
      <c r="H55" s="29" t="s">
        <v>143</v>
      </c>
    </row>
    <row r="56" spans="1:8" ht="12.75" customHeight="1" x14ac:dyDescent="0.2">
      <c r="A56" s="39"/>
      <c r="B56" s="39"/>
      <c r="C56" s="43"/>
      <c r="D56" s="39"/>
      <c r="E56" s="39"/>
      <c r="F56" s="44"/>
      <c r="G56" s="44"/>
      <c r="H56" s="29" t="s">
        <v>143</v>
      </c>
    </row>
    <row r="57" spans="1:8" ht="12.75" customHeight="1" x14ac:dyDescent="0.2">
      <c r="A57" s="39"/>
      <c r="B57" s="39"/>
      <c r="C57" s="40" t="s">
        <v>150</v>
      </c>
      <c r="D57" s="39"/>
      <c r="E57" s="39"/>
      <c r="F57" s="41">
        <f>F40</f>
        <v>154271.08316179999</v>
      </c>
      <c r="G57" s="42">
        <f>G40</f>
        <v>0.97048973999999999</v>
      </c>
      <c r="H57" s="29" t="s">
        <v>143</v>
      </c>
    </row>
    <row r="58" spans="1:8" ht="12.75" customHeight="1" x14ac:dyDescent="0.2">
      <c r="A58" s="39"/>
      <c r="B58" s="39"/>
      <c r="C58" s="43"/>
      <c r="D58" s="39"/>
      <c r="E58" s="39"/>
      <c r="F58" s="44"/>
      <c r="G58" s="44"/>
      <c r="H58" s="29" t="s">
        <v>143</v>
      </c>
    </row>
    <row r="59" spans="1:8" ht="12.75" customHeight="1" x14ac:dyDescent="0.2">
      <c r="A59" s="39"/>
      <c r="B59" s="39"/>
      <c r="C59" s="40" t="s">
        <v>151</v>
      </c>
      <c r="D59" s="39"/>
      <c r="E59" s="39"/>
      <c r="F59" s="44"/>
      <c r="G59" s="44"/>
      <c r="H59" s="29" t="s">
        <v>143</v>
      </c>
    </row>
    <row r="60" spans="1:8" ht="12.75" customHeight="1" x14ac:dyDescent="0.2">
      <c r="A60" s="39"/>
      <c r="B60" s="39"/>
      <c r="C60" s="40" t="s">
        <v>10</v>
      </c>
      <c r="D60" s="39"/>
      <c r="E60" s="39"/>
      <c r="F60" s="44"/>
      <c r="G60" s="44"/>
      <c r="H60" s="29" t="s">
        <v>143</v>
      </c>
    </row>
    <row r="61" spans="1:8" ht="12.75" customHeight="1" x14ac:dyDescent="0.2">
      <c r="A61" s="39"/>
      <c r="B61" s="39"/>
      <c r="C61" s="40" t="s">
        <v>142</v>
      </c>
      <c r="D61" s="39"/>
      <c r="E61" s="39" t="s">
        <v>143</v>
      </c>
      <c r="F61" s="45" t="s">
        <v>145</v>
      </c>
      <c r="G61" s="42">
        <v>0</v>
      </c>
      <c r="H61" s="29" t="s">
        <v>143</v>
      </c>
    </row>
    <row r="62" spans="1:8" ht="12.75" customHeight="1" x14ac:dyDescent="0.2">
      <c r="A62" s="39"/>
      <c r="B62" s="39"/>
      <c r="C62" s="43"/>
      <c r="D62" s="39"/>
      <c r="E62" s="39"/>
      <c r="F62" s="44"/>
      <c r="G62" s="44"/>
      <c r="H62" s="29" t="s">
        <v>143</v>
      </c>
    </row>
    <row r="63" spans="1:8" ht="12.75" customHeight="1" x14ac:dyDescent="0.2">
      <c r="A63" s="39"/>
      <c r="B63" s="39"/>
      <c r="C63" s="40" t="s">
        <v>152</v>
      </c>
      <c r="D63" s="39"/>
      <c r="E63" s="39"/>
      <c r="F63" s="39"/>
      <c r="G63" s="39"/>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153</v>
      </c>
      <c r="D66" s="39"/>
      <c r="E66" s="39"/>
      <c r="F66" s="39"/>
      <c r="G66" s="39"/>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154</v>
      </c>
      <c r="D69" s="39"/>
      <c r="E69" s="39"/>
      <c r="F69" s="44"/>
      <c r="G69" s="44"/>
      <c r="H69" s="29" t="s">
        <v>143</v>
      </c>
    </row>
    <row r="70" spans="1:8" ht="12.75" customHeight="1" x14ac:dyDescent="0.2">
      <c r="A70" s="39"/>
      <c r="B70" s="39"/>
      <c r="C70" s="40" t="s">
        <v>142</v>
      </c>
      <c r="D70" s="39"/>
      <c r="E70" s="39" t="s">
        <v>143</v>
      </c>
      <c r="F70" s="45" t="s">
        <v>145</v>
      </c>
      <c r="G70" s="42">
        <v>0</v>
      </c>
      <c r="H70" s="29" t="s">
        <v>143</v>
      </c>
    </row>
    <row r="71" spans="1:8" ht="12.75" customHeight="1" x14ac:dyDescent="0.2">
      <c r="A71" s="87"/>
      <c r="B71" s="87"/>
      <c r="C71" s="71"/>
      <c r="D71" s="87"/>
      <c r="E71" s="87"/>
      <c r="F71" s="88"/>
      <c r="G71" s="89"/>
      <c r="H71" s="90"/>
    </row>
    <row r="72" spans="1:8" ht="12.75" customHeight="1" x14ac:dyDescent="0.2">
      <c r="A72" s="39"/>
      <c r="B72" s="39"/>
      <c r="C72" s="40" t="s">
        <v>1170</v>
      </c>
      <c r="D72" s="39"/>
      <c r="E72" s="39"/>
      <c r="F72" s="39"/>
      <c r="G72" s="39"/>
      <c r="H72" s="29" t="s">
        <v>143</v>
      </c>
    </row>
    <row r="73" spans="1:8" ht="12.75" customHeight="1" x14ac:dyDescent="0.2">
      <c r="A73" s="35">
        <v>1</v>
      </c>
      <c r="B73" s="22" t="s">
        <v>315</v>
      </c>
      <c r="C73" s="22" t="s">
        <v>316</v>
      </c>
      <c r="D73" s="22" t="s">
        <v>239</v>
      </c>
      <c r="E73" s="36">
        <v>65256</v>
      </c>
      <c r="F73" s="37">
        <v>6.5532685439999998</v>
      </c>
      <c r="G73" s="38" t="s">
        <v>141</v>
      </c>
      <c r="H73" s="29" t="s">
        <v>143</v>
      </c>
    </row>
    <row r="74" spans="1:8" ht="12.75" customHeight="1" x14ac:dyDescent="0.2">
      <c r="A74" s="39"/>
      <c r="B74" s="39"/>
      <c r="C74" s="40" t="s">
        <v>142</v>
      </c>
      <c r="D74" s="39"/>
      <c r="E74" s="39" t="s">
        <v>143</v>
      </c>
      <c r="F74" s="41">
        <f>F73</f>
        <v>6.5532685439999998</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155</v>
      </c>
      <c r="D76" s="39"/>
      <c r="E76" s="39"/>
      <c r="F76" s="41">
        <f>F74</f>
        <v>6.5532685439999998</v>
      </c>
      <c r="G76" s="42">
        <f>G74</f>
        <v>0</v>
      </c>
      <c r="H76" s="29" t="s">
        <v>143</v>
      </c>
    </row>
    <row r="77" spans="1:8" ht="12.75" customHeight="1" x14ac:dyDescent="0.2">
      <c r="A77" s="39"/>
      <c r="B77" s="39"/>
      <c r="C77" s="43"/>
      <c r="D77" s="39"/>
      <c r="E77" s="39"/>
      <c r="F77" s="44"/>
      <c r="G77" s="44"/>
      <c r="H77" s="29" t="s">
        <v>143</v>
      </c>
    </row>
    <row r="78" spans="1:8" ht="12.75" customHeight="1" x14ac:dyDescent="0.2">
      <c r="A78" s="39"/>
      <c r="B78" s="39"/>
      <c r="C78" s="40" t="s">
        <v>156</v>
      </c>
      <c r="D78" s="39"/>
      <c r="E78" s="39"/>
      <c r="F78" s="44"/>
      <c r="G78" s="44"/>
      <c r="H78" s="29" t="s">
        <v>143</v>
      </c>
    </row>
    <row r="79" spans="1:8" ht="12.75" customHeight="1" x14ac:dyDescent="0.2">
      <c r="A79" s="39"/>
      <c r="B79" s="39"/>
      <c r="C79" s="40" t="s">
        <v>157</v>
      </c>
      <c r="D79" s="39"/>
      <c r="E79" s="39"/>
      <c r="F79" s="44"/>
      <c r="G79" s="44"/>
      <c r="H79" s="29" t="s">
        <v>143</v>
      </c>
    </row>
    <row r="80" spans="1:8" ht="12.75" customHeight="1" x14ac:dyDescent="0.2">
      <c r="A80" s="39"/>
      <c r="B80" s="39"/>
      <c r="C80" s="40" t="s">
        <v>142</v>
      </c>
      <c r="D80" s="39"/>
      <c r="E80" s="39" t="s">
        <v>143</v>
      </c>
      <c r="F80" s="45" t="s">
        <v>145</v>
      </c>
      <c r="G80" s="42">
        <v>0</v>
      </c>
      <c r="H80" s="29" t="s">
        <v>143</v>
      </c>
    </row>
    <row r="81" spans="1:8" ht="12.75" customHeight="1" x14ac:dyDescent="0.2">
      <c r="A81" s="39"/>
      <c r="B81" s="39"/>
      <c r="C81" s="43"/>
      <c r="D81" s="39"/>
      <c r="E81" s="39"/>
      <c r="F81" s="44"/>
      <c r="G81" s="44"/>
      <c r="H81" s="29" t="s">
        <v>143</v>
      </c>
    </row>
    <row r="82" spans="1:8" ht="12.75" customHeight="1" x14ac:dyDescent="0.2">
      <c r="A82" s="39"/>
      <c r="B82" s="39"/>
      <c r="C82" s="40" t="s">
        <v>158</v>
      </c>
      <c r="D82" s="39"/>
      <c r="E82" s="39"/>
      <c r="F82" s="44"/>
      <c r="G82" s="44"/>
      <c r="H82" s="29" t="s">
        <v>143</v>
      </c>
    </row>
    <row r="83" spans="1:8" ht="12.75" customHeight="1" x14ac:dyDescent="0.2">
      <c r="A83" s="39"/>
      <c r="B83" s="39"/>
      <c r="C83" s="40" t="s">
        <v>142</v>
      </c>
      <c r="D83" s="39"/>
      <c r="E83" s="39" t="s">
        <v>143</v>
      </c>
      <c r="F83" s="45" t="s">
        <v>145</v>
      </c>
      <c r="G83" s="42">
        <v>0</v>
      </c>
      <c r="H83" s="29" t="s">
        <v>143</v>
      </c>
    </row>
    <row r="84" spans="1:8" ht="12.75" customHeight="1" x14ac:dyDescent="0.2">
      <c r="A84" s="39"/>
      <c r="B84" s="39"/>
      <c r="C84" s="43"/>
      <c r="D84" s="39"/>
      <c r="E84" s="39"/>
      <c r="F84" s="44"/>
      <c r="G84" s="44"/>
      <c r="H84" s="29" t="s">
        <v>143</v>
      </c>
    </row>
    <row r="85" spans="1:8" ht="12.75" customHeight="1" x14ac:dyDescent="0.2">
      <c r="A85" s="39"/>
      <c r="B85" s="39"/>
      <c r="C85" s="40" t="s">
        <v>159</v>
      </c>
      <c r="D85" s="39"/>
      <c r="E85" s="39"/>
      <c r="F85" s="44"/>
      <c r="G85" s="44"/>
      <c r="H85" s="29" t="s">
        <v>143</v>
      </c>
    </row>
    <row r="86" spans="1:8" ht="12.75" customHeight="1" x14ac:dyDescent="0.2">
      <c r="A86" s="39"/>
      <c r="B86" s="39"/>
      <c r="C86" s="40" t="s">
        <v>142</v>
      </c>
      <c r="D86" s="39"/>
      <c r="E86" s="39" t="s">
        <v>143</v>
      </c>
      <c r="F86" s="45" t="s">
        <v>145</v>
      </c>
      <c r="G86" s="42">
        <v>0</v>
      </c>
      <c r="H86" s="29" t="s">
        <v>143</v>
      </c>
    </row>
    <row r="87" spans="1:8" ht="12.75" customHeight="1" x14ac:dyDescent="0.2">
      <c r="A87" s="39"/>
      <c r="B87" s="39"/>
      <c r="C87" s="43"/>
      <c r="D87" s="39"/>
      <c r="E87" s="39"/>
      <c r="F87" s="44"/>
      <c r="G87" s="44"/>
      <c r="H87" s="29" t="s">
        <v>143</v>
      </c>
    </row>
    <row r="88" spans="1:8" ht="12.75" customHeight="1" x14ac:dyDescent="0.2">
      <c r="A88" s="39"/>
      <c r="B88" s="39"/>
      <c r="C88" s="40" t="s">
        <v>160</v>
      </c>
      <c r="D88" s="39"/>
      <c r="E88" s="39"/>
      <c r="F88" s="44"/>
      <c r="G88" s="44"/>
      <c r="H88" s="29" t="s">
        <v>143</v>
      </c>
    </row>
    <row r="89" spans="1:8" ht="12.75" customHeight="1" x14ac:dyDescent="0.2">
      <c r="A89" s="35">
        <v>1</v>
      </c>
      <c r="B89" s="22"/>
      <c r="C89" s="22" t="s">
        <v>161</v>
      </c>
      <c r="D89" s="22"/>
      <c r="E89" s="46"/>
      <c r="F89" s="37">
        <v>4508.0345889999999</v>
      </c>
      <c r="G89" s="38">
        <v>2.8359180000000001E-2</v>
      </c>
      <c r="H89" s="29">
        <v>5.51</v>
      </c>
    </row>
    <row r="90" spans="1:8" ht="12.75" customHeight="1" x14ac:dyDescent="0.2">
      <c r="A90" s="39"/>
      <c r="B90" s="39"/>
      <c r="C90" s="40" t="s">
        <v>142</v>
      </c>
      <c r="D90" s="39"/>
      <c r="E90" s="39" t="s">
        <v>143</v>
      </c>
      <c r="F90" s="41">
        <v>4508.0345889999999</v>
      </c>
      <c r="G90" s="42">
        <v>2.8359180000000001E-2</v>
      </c>
      <c r="H90" s="29" t="s">
        <v>143</v>
      </c>
    </row>
    <row r="91" spans="1:8" ht="12.75" customHeight="1" x14ac:dyDescent="0.2">
      <c r="A91" s="39"/>
      <c r="B91" s="39"/>
      <c r="C91" s="43"/>
      <c r="D91" s="39"/>
      <c r="E91" s="39"/>
      <c r="F91" s="44"/>
      <c r="G91" s="44"/>
      <c r="H91" s="29" t="s">
        <v>143</v>
      </c>
    </row>
    <row r="92" spans="1:8" ht="12.75" customHeight="1" x14ac:dyDescent="0.2">
      <c r="A92" s="39"/>
      <c r="B92" s="39"/>
      <c r="C92" s="40" t="s">
        <v>162</v>
      </c>
      <c r="D92" s="39"/>
      <c r="E92" s="39"/>
      <c r="F92" s="41">
        <v>4508.0345889999999</v>
      </c>
      <c r="G92" s="42">
        <v>2.8359180000000001E-2</v>
      </c>
      <c r="H92" s="29" t="s">
        <v>143</v>
      </c>
    </row>
    <row r="93" spans="1:8" ht="12.75" customHeight="1" x14ac:dyDescent="0.2">
      <c r="A93" s="39"/>
      <c r="B93" s="39"/>
      <c r="C93" s="44"/>
      <c r="D93" s="39"/>
      <c r="E93" s="39"/>
      <c r="F93" s="39"/>
      <c r="G93" s="39"/>
      <c r="H93" s="29" t="s">
        <v>143</v>
      </c>
    </row>
    <row r="94" spans="1:8" ht="12.75" customHeight="1" x14ac:dyDescent="0.2">
      <c r="A94" s="39"/>
      <c r="B94" s="39"/>
      <c r="C94" s="40" t="s">
        <v>163</v>
      </c>
      <c r="D94" s="39"/>
      <c r="E94" s="39"/>
      <c r="F94" s="39"/>
      <c r="G94" s="39"/>
      <c r="H94" s="29" t="s">
        <v>143</v>
      </c>
    </row>
    <row r="95" spans="1:8" ht="12.75" customHeight="1" x14ac:dyDescent="0.2">
      <c r="A95" s="39"/>
      <c r="B95" s="39"/>
      <c r="C95" s="40" t="s">
        <v>164</v>
      </c>
      <c r="D95" s="39"/>
      <c r="E95" s="39"/>
      <c r="F95" s="39"/>
      <c r="G95" s="39"/>
      <c r="H95" s="29" t="s">
        <v>143</v>
      </c>
    </row>
    <row r="96" spans="1:8" ht="12.75" customHeight="1" x14ac:dyDescent="0.2">
      <c r="A96" s="39"/>
      <c r="B96" s="39"/>
      <c r="C96" s="40" t="s">
        <v>142</v>
      </c>
      <c r="D96" s="39"/>
      <c r="E96" s="39" t="s">
        <v>143</v>
      </c>
      <c r="F96" s="45" t="s">
        <v>145</v>
      </c>
      <c r="G96" s="42">
        <v>0</v>
      </c>
      <c r="H96" s="29" t="s">
        <v>143</v>
      </c>
    </row>
    <row r="97" spans="1:17" ht="12.75" customHeight="1" x14ac:dyDescent="0.2">
      <c r="A97" s="39"/>
      <c r="B97" s="39"/>
      <c r="C97" s="43"/>
      <c r="D97" s="39"/>
      <c r="E97" s="39"/>
      <c r="F97" s="44"/>
      <c r="G97" s="44"/>
      <c r="H97" s="29" t="s">
        <v>143</v>
      </c>
    </row>
    <row r="98" spans="1:17" ht="12.75" customHeight="1" x14ac:dyDescent="0.2">
      <c r="A98" s="39"/>
      <c r="B98" s="39"/>
      <c r="C98" s="40" t="s">
        <v>165</v>
      </c>
      <c r="D98" s="39"/>
      <c r="E98" s="39"/>
      <c r="F98" s="39"/>
      <c r="G98" s="39"/>
      <c r="H98" s="29" t="s">
        <v>143</v>
      </c>
    </row>
    <row r="99" spans="1:17" ht="12.75" customHeight="1" x14ac:dyDescent="0.2">
      <c r="A99" s="39"/>
      <c r="B99" s="39"/>
      <c r="C99" s="40" t="s">
        <v>166</v>
      </c>
      <c r="D99" s="39"/>
      <c r="E99" s="39"/>
      <c r="F99" s="39"/>
      <c r="G99" s="39"/>
      <c r="H99" s="29" t="s">
        <v>143</v>
      </c>
    </row>
    <row r="100" spans="1:17" ht="12.75" customHeight="1" x14ac:dyDescent="0.2">
      <c r="A100" s="39"/>
      <c r="B100" s="39"/>
      <c r="C100" s="40" t="s">
        <v>142</v>
      </c>
      <c r="D100" s="39"/>
      <c r="E100" s="39" t="s">
        <v>143</v>
      </c>
      <c r="F100" s="45" t="s">
        <v>145</v>
      </c>
      <c r="G100" s="42">
        <v>0</v>
      </c>
      <c r="H100" s="29" t="s">
        <v>143</v>
      </c>
    </row>
    <row r="101" spans="1:17" ht="12.75" customHeight="1" x14ac:dyDescent="0.2">
      <c r="A101" s="39"/>
      <c r="B101" s="39"/>
      <c r="C101" s="43"/>
      <c r="D101" s="39"/>
      <c r="E101" s="39"/>
      <c r="F101" s="44"/>
      <c r="G101" s="44"/>
      <c r="H101" s="29" t="s">
        <v>143</v>
      </c>
    </row>
    <row r="102" spans="1:17" ht="12.75" customHeight="1" x14ac:dyDescent="0.2">
      <c r="A102" s="39"/>
      <c r="B102" s="39"/>
      <c r="C102" s="40" t="s">
        <v>167</v>
      </c>
      <c r="D102" s="39"/>
      <c r="E102" s="39"/>
      <c r="F102" s="44"/>
      <c r="G102" s="44"/>
      <c r="H102" s="29" t="s">
        <v>143</v>
      </c>
    </row>
    <row r="103" spans="1:17" ht="12.75" customHeight="1" x14ac:dyDescent="0.2">
      <c r="A103" s="39"/>
      <c r="B103" s="39"/>
      <c r="C103" s="40" t="s">
        <v>142</v>
      </c>
      <c r="D103" s="39"/>
      <c r="E103" s="39" t="s">
        <v>143</v>
      </c>
      <c r="F103" s="45" t="s">
        <v>145</v>
      </c>
      <c r="G103" s="42">
        <v>0</v>
      </c>
      <c r="H103" s="29" t="s">
        <v>143</v>
      </c>
    </row>
    <row r="104" spans="1:17" ht="12.75" customHeight="1" x14ac:dyDescent="0.2">
      <c r="A104" s="39"/>
      <c r="B104" s="39"/>
      <c r="C104" s="43"/>
      <c r="D104" s="39"/>
      <c r="E104" s="39"/>
      <c r="F104" s="44"/>
      <c r="G104" s="44"/>
      <c r="H104" s="29" t="s">
        <v>143</v>
      </c>
    </row>
    <row r="105" spans="1:17" ht="12.75" customHeight="1" x14ac:dyDescent="0.2">
      <c r="A105" s="46"/>
      <c r="B105" s="22"/>
      <c r="C105" s="22" t="s">
        <v>319</v>
      </c>
      <c r="D105" s="22"/>
      <c r="E105" s="46"/>
      <c r="F105" s="37">
        <v>1499.9999869999999</v>
      </c>
      <c r="G105" s="38">
        <v>9.4362100000000004E-3</v>
      </c>
      <c r="H105" s="29" t="s">
        <v>143</v>
      </c>
    </row>
    <row r="106" spans="1:17" ht="12.75" customHeight="1" x14ac:dyDescent="0.2">
      <c r="A106" s="46"/>
      <c r="B106" s="22"/>
      <c r="C106" s="22" t="s">
        <v>168</v>
      </c>
      <c r="D106" s="22"/>
      <c r="E106" s="46"/>
      <c r="F106" s="37">
        <v>-1323.57425246</v>
      </c>
      <c r="G106" s="38">
        <v>-8.3263499999999997E-3</v>
      </c>
      <c r="H106" s="29" t="s">
        <v>143</v>
      </c>
    </row>
    <row r="107" spans="1:17" ht="12.75" customHeight="1" x14ac:dyDescent="0.2">
      <c r="A107" s="43"/>
      <c r="B107" s="43"/>
      <c r="C107" s="40" t="s">
        <v>169</v>
      </c>
      <c r="D107" s="44"/>
      <c r="E107" s="44"/>
      <c r="F107" s="41">
        <v>158962.09675388399</v>
      </c>
      <c r="G107" s="47">
        <v>1.0000000099999999</v>
      </c>
      <c r="H107" s="29" t="s">
        <v>143</v>
      </c>
    </row>
    <row r="108" spans="1:17" ht="12.75" customHeight="1" x14ac:dyDescent="0.2">
      <c r="A108" s="48"/>
      <c r="B108" s="48"/>
      <c r="C108" s="49"/>
      <c r="D108" s="50"/>
      <c r="E108" s="50"/>
      <c r="F108" s="51"/>
      <c r="G108" s="52"/>
      <c r="H108" s="53"/>
    </row>
    <row r="109" spans="1:17" x14ac:dyDescent="0.2">
      <c r="A109" s="54"/>
      <c r="B109" s="243" t="s">
        <v>945</v>
      </c>
      <c r="C109" s="243"/>
      <c r="D109" s="243"/>
      <c r="E109" s="243"/>
      <c r="F109" s="243"/>
      <c r="G109" s="243"/>
      <c r="H109" s="243"/>
      <c r="J109" s="56"/>
    </row>
    <row r="110" spans="1:17" x14ac:dyDescent="0.2">
      <c r="A110" s="54"/>
      <c r="B110" s="243" t="s">
        <v>946</v>
      </c>
      <c r="C110" s="243"/>
      <c r="D110" s="243"/>
      <c r="E110" s="243"/>
      <c r="F110" s="243"/>
      <c r="G110" s="243"/>
      <c r="H110" s="243"/>
      <c r="J110" s="56"/>
    </row>
    <row r="111" spans="1:17" x14ac:dyDescent="0.2">
      <c r="A111" s="54"/>
      <c r="B111" s="243" t="s">
        <v>947</v>
      </c>
      <c r="C111" s="243"/>
      <c r="D111" s="243"/>
      <c r="E111" s="243"/>
      <c r="F111" s="243"/>
      <c r="G111" s="243"/>
      <c r="H111" s="243"/>
      <c r="J111" s="56"/>
    </row>
    <row r="112" spans="1:17" s="58" customFormat="1" ht="66.75" customHeight="1" x14ac:dyDescent="0.25">
      <c r="A112" s="57"/>
      <c r="B112" s="244" t="s">
        <v>948</v>
      </c>
      <c r="C112" s="244"/>
      <c r="D112" s="244"/>
      <c r="E112" s="244"/>
      <c r="F112" s="244"/>
      <c r="G112" s="244"/>
      <c r="H112" s="244"/>
      <c r="I112"/>
      <c r="J112" s="56"/>
      <c r="K112"/>
      <c r="L112"/>
      <c r="M112"/>
      <c r="N112"/>
      <c r="O112"/>
      <c r="P112"/>
      <c r="Q112"/>
    </row>
    <row r="113" spans="1:10" x14ac:dyDescent="0.2">
      <c r="A113" s="54"/>
      <c r="B113" s="243" t="s">
        <v>949</v>
      </c>
      <c r="C113" s="243"/>
      <c r="D113" s="243"/>
      <c r="E113" s="243"/>
      <c r="F113" s="243"/>
      <c r="G113" s="243"/>
      <c r="H113" s="243"/>
      <c r="J113" s="56"/>
    </row>
    <row r="114" spans="1:10" x14ac:dyDescent="0.2">
      <c r="A114" s="54"/>
      <c r="B114" s="54"/>
      <c r="C114" s="54"/>
      <c r="D114" s="59"/>
      <c r="E114" s="59"/>
      <c r="F114" s="59"/>
      <c r="G114" s="59"/>
    </row>
    <row r="115" spans="1:10" x14ac:dyDescent="0.2">
      <c r="A115" s="54"/>
      <c r="B115" s="247" t="s">
        <v>170</v>
      </c>
      <c r="C115" s="248"/>
      <c r="D115" s="249"/>
      <c r="E115" s="60"/>
      <c r="F115" s="59"/>
      <c r="G115" s="59"/>
    </row>
    <row r="116" spans="1:10" ht="27.75" customHeight="1" x14ac:dyDescent="0.2">
      <c r="A116" s="54"/>
      <c r="B116" s="240" t="s">
        <v>171</v>
      </c>
      <c r="C116" s="241"/>
      <c r="D116" s="28" t="s">
        <v>172</v>
      </c>
      <c r="E116" s="60"/>
      <c r="F116" s="59"/>
      <c r="G116" s="59"/>
    </row>
    <row r="117" spans="1:10" ht="12.75" customHeight="1" x14ac:dyDescent="0.2">
      <c r="A117" s="54"/>
      <c r="B117" s="240" t="s">
        <v>950</v>
      </c>
      <c r="C117" s="241"/>
      <c r="D117" s="40" t="s">
        <v>172</v>
      </c>
      <c r="E117" s="60"/>
      <c r="F117" s="59"/>
      <c r="G117" s="59"/>
    </row>
    <row r="118" spans="1:10" x14ac:dyDescent="0.2">
      <c r="A118" s="54"/>
      <c r="B118" s="240" t="s">
        <v>173</v>
      </c>
      <c r="C118" s="241"/>
      <c r="D118" s="61" t="s">
        <v>143</v>
      </c>
      <c r="E118" s="60"/>
      <c r="F118" s="59"/>
      <c r="G118" s="59"/>
    </row>
    <row r="119" spans="1:10" x14ac:dyDescent="0.2">
      <c r="A119" s="62"/>
      <c r="B119" s="63" t="s">
        <v>143</v>
      </c>
      <c r="C119" s="63" t="s">
        <v>951</v>
      </c>
      <c r="D119" s="63" t="s">
        <v>174</v>
      </c>
      <c r="E119" s="62"/>
      <c r="F119" s="62"/>
      <c r="G119" s="62"/>
      <c r="H119" s="62"/>
      <c r="J119" s="56"/>
    </row>
    <row r="120" spans="1:10" x14ac:dyDescent="0.2">
      <c r="A120" s="62"/>
      <c r="B120" s="64" t="s">
        <v>175</v>
      </c>
      <c r="C120" s="65">
        <v>45900</v>
      </c>
      <c r="D120" s="65">
        <v>45930</v>
      </c>
      <c r="E120" s="62"/>
      <c r="F120" s="62"/>
      <c r="G120" s="62"/>
      <c r="J120" s="56"/>
    </row>
    <row r="121" spans="1:10" ht="12.75" customHeight="1" x14ac:dyDescent="0.2">
      <c r="A121" s="66"/>
      <c r="B121" s="67" t="s">
        <v>176</v>
      </c>
      <c r="C121" s="68">
        <v>108.2265</v>
      </c>
      <c r="D121" s="68">
        <v>107.3895</v>
      </c>
      <c r="E121" s="66"/>
      <c r="F121" s="69"/>
      <c r="G121" s="70"/>
    </row>
    <row r="122" spans="1:10" ht="12.75" customHeight="1" x14ac:dyDescent="0.2">
      <c r="A122" s="66"/>
      <c r="B122" s="67" t="s">
        <v>1085</v>
      </c>
      <c r="C122" s="68">
        <v>33.416499999999999</v>
      </c>
      <c r="D122" s="68">
        <v>33.158000000000001</v>
      </c>
      <c r="E122" s="66"/>
      <c r="F122" s="69"/>
      <c r="G122" s="70"/>
    </row>
    <row r="123" spans="1:10" ht="12.75" customHeight="1" x14ac:dyDescent="0.2">
      <c r="A123" s="66"/>
      <c r="B123" s="67" t="s">
        <v>177</v>
      </c>
      <c r="C123" s="68">
        <v>98.624600000000001</v>
      </c>
      <c r="D123" s="68">
        <v>97.792599999999993</v>
      </c>
      <c r="E123" s="66"/>
      <c r="F123" s="69"/>
      <c r="G123" s="70"/>
    </row>
    <row r="124" spans="1:10" ht="12.75" customHeight="1" x14ac:dyDescent="0.2">
      <c r="A124" s="66"/>
      <c r="B124" s="67" t="s">
        <v>1086</v>
      </c>
      <c r="C124" s="68">
        <v>29.946999999999999</v>
      </c>
      <c r="D124" s="68">
        <v>29.694400000000002</v>
      </c>
      <c r="E124" s="66"/>
      <c r="F124" s="69"/>
      <c r="G124" s="70"/>
    </row>
    <row r="125" spans="1:10" ht="12.75" customHeight="1" x14ac:dyDescent="0.2">
      <c r="A125" s="66"/>
      <c r="B125" s="66"/>
      <c r="C125" s="66"/>
      <c r="D125" s="66"/>
      <c r="E125" s="66"/>
      <c r="F125" s="66"/>
      <c r="G125" s="66"/>
    </row>
    <row r="126" spans="1:10" x14ac:dyDescent="0.2">
      <c r="A126" s="62"/>
      <c r="B126" s="245" t="s">
        <v>952</v>
      </c>
      <c r="C126" s="246"/>
      <c r="D126" s="71" t="s">
        <v>172</v>
      </c>
      <c r="E126" s="62"/>
      <c r="F126" s="62"/>
      <c r="G126" s="62"/>
    </row>
    <row r="127" spans="1:10" x14ac:dyDescent="0.2">
      <c r="A127" s="72"/>
      <c r="B127" s="73"/>
      <c r="C127" s="73"/>
      <c r="D127" s="73"/>
      <c r="E127" s="72"/>
      <c r="F127" s="72"/>
      <c r="G127" s="72"/>
    </row>
    <row r="128" spans="1:10" x14ac:dyDescent="0.2">
      <c r="A128" s="72"/>
      <c r="B128" s="240" t="s">
        <v>178</v>
      </c>
      <c r="C128" s="241"/>
      <c r="D128" s="28" t="s">
        <v>172</v>
      </c>
      <c r="E128" s="74"/>
      <c r="F128" s="72"/>
      <c r="G128" s="72"/>
    </row>
    <row r="129" spans="1:7" x14ac:dyDescent="0.2">
      <c r="A129" s="72"/>
      <c r="B129" s="240" t="s">
        <v>179</v>
      </c>
      <c r="C129" s="241"/>
      <c r="D129" s="28" t="s">
        <v>172</v>
      </c>
      <c r="E129" s="74"/>
      <c r="F129" s="72"/>
      <c r="G129" s="72"/>
    </row>
    <row r="130" spans="1:7" ht="17.100000000000001" customHeight="1" x14ac:dyDescent="0.2">
      <c r="A130" s="72"/>
      <c r="B130" s="240" t="s">
        <v>180</v>
      </c>
      <c r="C130" s="241"/>
      <c r="D130" s="28" t="s">
        <v>172</v>
      </c>
      <c r="E130" s="74"/>
      <c r="F130" s="72"/>
      <c r="G130" s="72"/>
    </row>
    <row r="131" spans="1:7" ht="17.100000000000001" customHeight="1" x14ac:dyDescent="0.2">
      <c r="A131" s="72"/>
      <c r="B131" s="240" t="s">
        <v>181</v>
      </c>
      <c r="C131" s="241"/>
      <c r="D131" s="75">
        <v>0.26679862260092663</v>
      </c>
      <c r="E131" s="72"/>
      <c r="F131" s="55"/>
      <c r="G131" s="76"/>
    </row>
    <row r="132" spans="1:7" x14ac:dyDescent="0.2"/>
    <row r="133" spans="1:7" x14ac:dyDescent="0.2">
      <c r="B133" s="239" t="s">
        <v>953</v>
      </c>
      <c r="C133" s="239"/>
    </row>
    <row r="134" spans="1:7" x14ac:dyDescent="0.2"/>
    <row r="135" spans="1:7" ht="153.75" customHeight="1" x14ac:dyDescent="0.2"/>
    <row r="136" spans="1:7" x14ac:dyDescent="0.2"/>
    <row r="137" spans="1:7" x14ac:dyDescent="0.2"/>
    <row r="138" spans="1:7" x14ac:dyDescent="0.2">
      <c r="B138" s="77" t="s">
        <v>954</v>
      </c>
      <c r="C138" s="78"/>
      <c r="D138" s="77"/>
    </row>
    <row r="139" spans="1:7" x14ac:dyDescent="0.2">
      <c r="B139" s="77" t="s">
        <v>1115</v>
      </c>
      <c r="D139" s="77"/>
    </row>
    <row r="140" spans="1:7" ht="165" customHeight="1" x14ac:dyDescent="0.2"/>
    <row r="141" spans="1:7" x14ac:dyDescent="0.2"/>
  </sheetData>
  <mergeCells count="18">
    <mergeCell ref="B115:D115"/>
    <mergeCell ref="B116:C116"/>
    <mergeCell ref="B133:C133"/>
    <mergeCell ref="B131:C131"/>
    <mergeCell ref="A1:H1"/>
    <mergeCell ref="A2:H2"/>
    <mergeCell ref="A3:H3"/>
    <mergeCell ref="B130:C130"/>
    <mergeCell ref="B109:H109"/>
    <mergeCell ref="B110:H110"/>
    <mergeCell ref="B117:C117"/>
    <mergeCell ref="B118:C118"/>
    <mergeCell ref="B128:C128"/>
    <mergeCell ref="B129:C129"/>
    <mergeCell ref="B111:H111"/>
    <mergeCell ref="B112:H112"/>
    <mergeCell ref="B113:H113"/>
    <mergeCell ref="B126:C126"/>
  </mergeCells>
  <hyperlinks>
    <hyperlink ref="I1" location="Index!B2" display="Index" xr:uid="{00301D17-6B3C-4B14-A4B3-52130B895623}"/>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0537-BD70-4A49-86F6-526E9E03E9FA}">
  <sheetPr>
    <outlinePr summaryBelow="0" summaryRight="0"/>
  </sheetPr>
  <dimension ref="A1:Q158"/>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47" customWidth="1"/>
    <col min="4" max="4" width="16.5703125" bestFit="1" customWidth="1"/>
    <col min="5" max="5" width="13.5703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814</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11</v>
      </c>
      <c r="C7" s="22" t="s">
        <v>12</v>
      </c>
      <c r="D7" s="22" t="s">
        <v>13</v>
      </c>
      <c r="E7" s="36">
        <v>1811705</v>
      </c>
      <c r="F7" s="37">
        <v>34031.066720000003</v>
      </c>
      <c r="G7" s="38">
        <v>7.6891390000000004E-2</v>
      </c>
      <c r="H7" s="29" t="s">
        <v>143</v>
      </c>
    </row>
    <row r="8" spans="1:9" ht="12.75" customHeight="1" x14ac:dyDescent="0.2">
      <c r="A8" s="35">
        <v>2</v>
      </c>
      <c r="B8" s="22" t="s">
        <v>321</v>
      </c>
      <c r="C8" s="22" t="s">
        <v>322</v>
      </c>
      <c r="D8" s="22" t="s">
        <v>33</v>
      </c>
      <c r="E8" s="36">
        <v>3239118</v>
      </c>
      <c r="F8" s="37">
        <v>30804.012180000002</v>
      </c>
      <c r="G8" s="38">
        <v>6.9600040000000002E-2</v>
      </c>
      <c r="H8" s="29" t="s">
        <v>143</v>
      </c>
    </row>
    <row r="9" spans="1:9" ht="12.75" customHeight="1" x14ac:dyDescent="0.2">
      <c r="A9" s="35">
        <v>3</v>
      </c>
      <c r="B9" s="22" t="s">
        <v>343</v>
      </c>
      <c r="C9" s="22" t="s">
        <v>344</v>
      </c>
      <c r="D9" s="22" t="s">
        <v>284</v>
      </c>
      <c r="E9" s="36">
        <v>6560070</v>
      </c>
      <c r="F9" s="37">
        <v>21353.027849999999</v>
      </c>
      <c r="G9" s="38">
        <v>4.8246039999999997E-2</v>
      </c>
      <c r="H9" s="29" t="s">
        <v>143</v>
      </c>
    </row>
    <row r="10" spans="1:9" ht="12.75" customHeight="1" x14ac:dyDescent="0.2">
      <c r="A10" s="35">
        <v>4</v>
      </c>
      <c r="B10" s="22" t="s">
        <v>17</v>
      </c>
      <c r="C10" s="22" t="s">
        <v>18</v>
      </c>
      <c r="D10" s="22" t="s">
        <v>19</v>
      </c>
      <c r="E10" s="36">
        <v>1532287</v>
      </c>
      <c r="F10" s="37">
        <v>20900.394680000001</v>
      </c>
      <c r="G10" s="38">
        <v>4.7223340000000003E-2</v>
      </c>
      <c r="H10" s="29" t="s">
        <v>143</v>
      </c>
    </row>
    <row r="11" spans="1:9" ht="12.75" customHeight="1" x14ac:dyDescent="0.2">
      <c r="A11" s="35">
        <v>5</v>
      </c>
      <c r="B11" s="22" t="s">
        <v>327</v>
      </c>
      <c r="C11" s="22" t="s">
        <v>328</v>
      </c>
      <c r="D11" s="22" t="s">
        <v>33</v>
      </c>
      <c r="E11" s="36">
        <v>1674071</v>
      </c>
      <c r="F11" s="37">
        <v>18943.787435999999</v>
      </c>
      <c r="G11" s="38">
        <v>4.2802489999999999E-2</v>
      </c>
      <c r="H11" s="29" t="s">
        <v>143</v>
      </c>
    </row>
    <row r="12" spans="1:9" ht="12.75" customHeight="1" x14ac:dyDescent="0.2">
      <c r="A12" s="35">
        <v>6</v>
      </c>
      <c r="B12" s="22" t="s">
        <v>51</v>
      </c>
      <c r="C12" s="22" t="s">
        <v>52</v>
      </c>
      <c r="D12" s="22" t="s">
        <v>53</v>
      </c>
      <c r="E12" s="36">
        <v>1090073</v>
      </c>
      <c r="F12" s="37">
        <v>15299.174555</v>
      </c>
      <c r="G12" s="38">
        <v>3.4567680000000003E-2</v>
      </c>
      <c r="H12" s="29" t="s">
        <v>143</v>
      </c>
    </row>
    <row r="13" spans="1:9" ht="12.75" customHeight="1" x14ac:dyDescent="0.2">
      <c r="A13" s="35">
        <v>7</v>
      </c>
      <c r="B13" s="22" t="s">
        <v>732</v>
      </c>
      <c r="C13" s="22" t="s">
        <v>733</v>
      </c>
      <c r="D13" s="22" t="s">
        <v>188</v>
      </c>
      <c r="E13" s="36">
        <v>164533</v>
      </c>
      <c r="F13" s="37">
        <v>12190.249970000001</v>
      </c>
      <c r="G13" s="38">
        <v>2.754322E-2</v>
      </c>
      <c r="H13" s="29" t="s">
        <v>143</v>
      </c>
    </row>
    <row r="14" spans="1:9" ht="12.75" customHeight="1" x14ac:dyDescent="0.2">
      <c r="A14" s="35">
        <v>8</v>
      </c>
      <c r="B14" s="22" t="s">
        <v>242</v>
      </c>
      <c r="C14" s="22" t="s">
        <v>243</v>
      </c>
      <c r="D14" s="22" t="s">
        <v>191</v>
      </c>
      <c r="E14" s="36">
        <v>1919216</v>
      </c>
      <c r="F14" s="37">
        <v>11824.289776</v>
      </c>
      <c r="G14" s="38">
        <v>2.6716360000000001E-2</v>
      </c>
      <c r="H14" s="29" t="s">
        <v>143</v>
      </c>
    </row>
    <row r="15" spans="1:9" ht="12.75" customHeight="1" x14ac:dyDescent="0.2">
      <c r="A15" s="35">
        <v>9</v>
      </c>
      <c r="B15" s="22" t="s">
        <v>469</v>
      </c>
      <c r="C15" s="22" t="s">
        <v>470</v>
      </c>
      <c r="D15" s="22" t="s">
        <v>284</v>
      </c>
      <c r="E15" s="36">
        <v>884793</v>
      </c>
      <c r="F15" s="37">
        <v>11584.594749</v>
      </c>
      <c r="G15" s="38">
        <v>2.6174780000000002E-2</v>
      </c>
      <c r="H15" s="29" t="s">
        <v>143</v>
      </c>
    </row>
    <row r="16" spans="1:9" ht="12.75" customHeight="1" x14ac:dyDescent="0.2">
      <c r="A16" s="35">
        <v>10</v>
      </c>
      <c r="B16" s="22" t="s">
        <v>31</v>
      </c>
      <c r="C16" s="22" t="s">
        <v>32</v>
      </c>
      <c r="D16" s="22" t="s">
        <v>33</v>
      </c>
      <c r="E16" s="36">
        <v>829125</v>
      </c>
      <c r="F16" s="37">
        <v>11176.605</v>
      </c>
      <c r="G16" s="38">
        <v>2.525295E-2</v>
      </c>
      <c r="H16" s="29" t="s">
        <v>143</v>
      </c>
    </row>
    <row r="17" spans="1:8" ht="12.75" customHeight="1" x14ac:dyDescent="0.2">
      <c r="A17" s="35">
        <v>11</v>
      </c>
      <c r="B17" s="22" t="s">
        <v>303</v>
      </c>
      <c r="C17" s="22" t="s">
        <v>304</v>
      </c>
      <c r="D17" s="22" t="s">
        <v>275</v>
      </c>
      <c r="E17" s="36">
        <v>1864265</v>
      </c>
      <c r="F17" s="37">
        <v>11096.10528</v>
      </c>
      <c r="G17" s="38">
        <v>2.5071059999999999E-2</v>
      </c>
      <c r="H17" s="29" t="s">
        <v>143</v>
      </c>
    </row>
    <row r="18" spans="1:8" ht="12.75" customHeight="1" x14ac:dyDescent="0.2">
      <c r="A18" s="35">
        <v>12</v>
      </c>
      <c r="B18" s="22" t="s">
        <v>648</v>
      </c>
      <c r="C18" s="22" t="s">
        <v>649</v>
      </c>
      <c r="D18" s="22" t="s">
        <v>191</v>
      </c>
      <c r="E18" s="36">
        <v>545635</v>
      </c>
      <c r="F18" s="37">
        <v>10947.620639999999</v>
      </c>
      <c r="G18" s="38">
        <v>2.4735569999999998E-2</v>
      </c>
      <c r="H18" s="29" t="s">
        <v>143</v>
      </c>
    </row>
    <row r="19" spans="1:8" ht="12.75" customHeight="1" x14ac:dyDescent="0.2">
      <c r="A19" s="35">
        <v>13</v>
      </c>
      <c r="B19" s="22" t="s">
        <v>394</v>
      </c>
      <c r="C19" s="22" t="s">
        <v>395</v>
      </c>
      <c r="D19" s="22" t="s">
        <v>191</v>
      </c>
      <c r="E19" s="36">
        <v>1244766</v>
      </c>
      <c r="F19" s="37">
        <v>10749.799176</v>
      </c>
      <c r="G19" s="38">
        <v>2.42886E-2</v>
      </c>
      <c r="H19" s="29" t="s">
        <v>143</v>
      </c>
    </row>
    <row r="20" spans="1:8" ht="12.75" customHeight="1" x14ac:dyDescent="0.2">
      <c r="A20" s="35">
        <v>14</v>
      </c>
      <c r="B20" s="22" t="s">
        <v>354</v>
      </c>
      <c r="C20" s="22" t="s">
        <v>355</v>
      </c>
      <c r="D20" s="22" t="s">
        <v>188</v>
      </c>
      <c r="E20" s="36">
        <v>1639820</v>
      </c>
      <c r="F20" s="37">
        <v>10280.851489999999</v>
      </c>
      <c r="G20" s="38">
        <v>2.3229039999999999E-2</v>
      </c>
      <c r="H20" s="29" t="s">
        <v>143</v>
      </c>
    </row>
    <row r="21" spans="1:8" ht="12.75" customHeight="1" x14ac:dyDescent="0.2">
      <c r="A21" s="35">
        <v>15</v>
      </c>
      <c r="B21" s="22" t="s">
        <v>341</v>
      </c>
      <c r="C21" s="22" t="s">
        <v>342</v>
      </c>
      <c r="D21" s="22" t="s">
        <v>259</v>
      </c>
      <c r="E21" s="36">
        <v>504624</v>
      </c>
      <c r="F21" s="37">
        <v>9828.5616480000008</v>
      </c>
      <c r="G21" s="38">
        <v>2.220712E-2</v>
      </c>
      <c r="H21" s="29" t="s">
        <v>143</v>
      </c>
    </row>
    <row r="22" spans="1:8" ht="12.75" customHeight="1" x14ac:dyDescent="0.2">
      <c r="A22" s="35">
        <v>16</v>
      </c>
      <c r="B22" s="22" t="s">
        <v>419</v>
      </c>
      <c r="C22" s="22" t="s">
        <v>420</v>
      </c>
      <c r="D22" s="22" t="s">
        <v>46</v>
      </c>
      <c r="E22" s="36">
        <v>275874</v>
      </c>
      <c r="F22" s="37">
        <v>9288.6775799999996</v>
      </c>
      <c r="G22" s="38">
        <v>2.0987280000000001E-2</v>
      </c>
      <c r="H22" s="29" t="s">
        <v>143</v>
      </c>
    </row>
    <row r="23" spans="1:8" ht="12.75" customHeight="1" x14ac:dyDescent="0.2">
      <c r="A23" s="35">
        <v>17</v>
      </c>
      <c r="B23" s="22" t="s">
        <v>82</v>
      </c>
      <c r="C23" s="22" t="s">
        <v>83</v>
      </c>
      <c r="D23" s="22" t="s">
        <v>13</v>
      </c>
      <c r="E23" s="36">
        <v>2692219</v>
      </c>
      <c r="F23" s="37">
        <v>9231.6189510000004</v>
      </c>
      <c r="G23" s="38">
        <v>2.0858350000000001E-2</v>
      </c>
      <c r="H23" s="29" t="s">
        <v>143</v>
      </c>
    </row>
    <row r="24" spans="1:8" ht="12.75" customHeight="1" x14ac:dyDescent="0.2">
      <c r="A24" s="35">
        <v>18</v>
      </c>
      <c r="B24" s="22" t="s">
        <v>368</v>
      </c>
      <c r="C24" s="22" t="s">
        <v>369</v>
      </c>
      <c r="D24" s="22" t="s">
        <v>215</v>
      </c>
      <c r="E24" s="36">
        <v>1217518</v>
      </c>
      <c r="F24" s="37">
        <v>7849.9473049999997</v>
      </c>
      <c r="G24" s="38">
        <v>1.7736539999999999E-2</v>
      </c>
      <c r="H24" s="29" t="s">
        <v>143</v>
      </c>
    </row>
    <row r="25" spans="1:8" ht="12.75" customHeight="1" x14ac:dyDescent="0.2">
      <c r="A25" s="35">
        <v>19</v>
      </c>
      <c r="B25" s="22" t="s">
        <v>360</v>
      </c>
      <c r="C25" s="22" t="s">
        <v>361</v>
      </c>
      <c r="D25" s="22" t="s">
        <v>33</v>
      </c>
      <c r="E25" s="36">
        <v>15747039</v>
      </c>
      <c r="F25" s="37">
        <v>7298.7525765</v>
      </c>
      <c r="G25" s="38">
        <v>1.649115E-2</v>
      </c>
      <c r="H25" s="29" t="s">
        <v>143</v>
      </c>
    </row>
    <row r="26" spans="1:8" ht="12.75" customHeight="1" x14ac:dyDescent="0.2">
      <c r="A26" s="35">
        <v>20</v>
      </c>
      <c r="B26" s="22" t="s">
        <v>211</v>
      </c>
      <c r="C26" s="22" t="s">
        <v>212</v>
      </c>
      <c r="D26" s="22" t="s">
        <v>90</v>
      </c>
      <c r="E26" s="36">
        <v>457842</v>
      </c>
      <c r="F26" s="37">
        <v>7121.7323100000003</v>
      </c>
      <c r="G26" s="38">
        <v>1.609118E-2</v>
      </c>
      <c r="H26" s="29" t="s">
        <v>143</v>
      </c>
    </row>
    <row r="27" spans="1:8" ht="12.75" customHeight="1" x14ac:dyDescent="0.2">
      <c r="A27" s="35">
        <v>21</v>
      </c>
      <c r="B27" s="22" t="s">
        <v>358</v>
      </c>
      <c r="C27" s="22" t="s">
        <v>359</v>
      </c>
      <c r="D27" s="22" t="s">
        <v>206</v>
      </c>
      <c r="E27" s="36">
        <v>2321128</v>
      </c>
      <c r="F27" s="37">
        <v>6819.474064</v>
      </c>
      <c r="G27" s="38">
        <v>1.540824E-2</v>
      </c>
      <c r="H27" s="29" t="s">
        <v>143</v>
      </c>
    </row>
    <row r="28" spans="1:8" ht="12.75" customHeight="1" x14ac:dyDescent="0.2">
      <c r="A28" s="35">
        <v>22</v>
      </c>
      <c r="B28" s="22" t="s">
        <v>231</v>
      </c>
      <c r="C28" s="22" t="s">
        <v>232</v>
      </c>
      <c r="D28" s="22" t="s">
        <v>206</v>
      </c>
      <c r="E28" s="36">
        <v>663825</v>
      </c>
      <c r="F28" s="37">
        <v>6314.3033999999998</v>
      </c>
      <c r="G28" s="38">
        <v>1.4266829999999999E-2</v>
      </c>
      <c r="H28" s="29" t="s">
        <v>143</v>
      </c>
    </row>
    <row r="29" spans="1:8" ht="12.75" customHeight="1" x14ac:dyDescent="0.2">
      <c r="A29" s="35">
        <v>23</v>
      </c>
      <c r="B29" s="22" t="s">
        <v>93</v>
      </c>
      <c r="C29" s="22" t="s">
        <v>94</v>
      </c>
      <c r="D29" s="22" t="s">
        <v>56</v>
      </c>
      <c r="E29" s="36">
        <v>1343146</v>
      </c>
      <c r="F29" s="37">
        <v>6044.8285729999998</v>
      </c>
      <c r="G29" s="38">
        <v>1.365797E-2</v>
      </c>
      <c r="H29" s="29" t="s">
        <v>143</v>
      </c>
    </row>
    <row r="30" spans="1:8" ht="12.75" customHeight="1" x14ac:dyDescent="0.2">
      <c r="A30" s="35">
        <v>24</v>
      </c>
      <c r="B30" s="22" t="s">
        <v>362</v>
      </c>
      <c r="C30" s="22" t="s">
        <v>363</v>
      </c>
      <c r="D30" s="22" t="s">
        <v>33</v>
      </c>
      <c r="E30" s="36">
        <v>1561198</v>
      </c>
      <c r="F30" s="37">
        <v>5799.8505699999996</v>
      </c>
      <c r="G30" s="38">
        <v>1.310446E-2</v>
      </c>
      <c r="H30" s="29" t="s">
        <v>143</v>
      </c>
    </row>
    <row r="31" spans="1:8" ht="12.75" customHeight="1" x14ac:dyDescent="0.2">
      <c r="A31" s="35">
        <v>25</v>
      </c>
      <c r="B31" s="22" t="s">
        <v>686</v>
      </c>
      <c r="C31" s="22" t="s">
        <v>687</v>
      </c>
      <c r="D31" s="22" t="s">
        <v>215</v>
      </c>
      <c r="E31" s="36">
        <v>109074</v>
      </c>
      <c r="F31" s="37">
        <v>5625.4915499999997</v>
      </c>
      <c r="G31" s="38">
        <v>1.27105E-2</v>
      </c>
      <c r="H31" s="29" t="s">
        <v>143</v>
      </c>
    </row>
    <row r="32" spans="1:8" ht="12.75" customHeight="1" x14ac:dyDescent="0.2">
      <c r="A32" s="35">
        <v>26</v>
      </c>
      <c r="B32" s="22" t="s">
        <v>186</v>
      </c>
      <c r="C32" s="22" t="s">
        <v>187</v>
      </c>
      <c r="D32" s="22" t="s">
        <v>188</v>
      </c>
      <c r="E32" s="36">
        <v>575186</v>
      </c>
      <c r="F32" s="37">
        <v>5578.1538280000004</v>
      </c>
      <c r="G32" s="38">
        <v>1.260354E-2</v>
      </c>
      <c r="H32" s="29" t="s">
        <v>143</v>
      </c>
    </row>
    <row r="33" spans="1:8" ht="12.75" customHeight="1" x14ac:dyDescent="0.2">
      <c r="A33" s="35">
        <v>27</v>
      </c>
      <c r="B33" s="22" t="s">
        <v>443</v>
      </c>
      <c r="C33" s="22" t="s">
        <v>444</v>
      </c>
      <c r="D33" s="22" t="s">
        <v>33</v>
      </c>
      <c r="E33" s="36">
        <v>746276</v>
      </c>
      <c r="F33" s="37">
        <v>5489.2331180000001</v>
      </c>
      <c r="G33" s="38">
        <v>1.240263E-2</v>
      </c>
      <c r="H33" s="29" t="s">
        <v>143</v>
      </c>
    </row>
    <row r="34" spans="1:8" ht="12.75" customHeight="1" x14ac:dyDescent="0.2">
      <c r="A34" s="35">
        <v>28</v>
      </c>
      <c r="B34" s="22" t="s">
        <v>465</v>
      </c>
      <c r="C34" s="22" t="s">
        <v>466</v>
      </c>
      <c r="D34" s="22" t="s">
        <v>275</v>
      </c>
      <c r="E34" s="36">
        <v>1041746</v>
      </c>
      <c r="F34" s="37">
        <v>5432.1845169999997</v>
      </c>
      <c r="G34" s="38">
        <v>1.227373E-2</v>
      </c>
      <c r="H34" s="29" t="s">
        <v>143</v>
      </c>
    </row>
    <row r="35" spans="1:8" ht="12.75" customHeight="1" x14ac:dyDescent="0.2">
      <c r="A35" s="35">
        <v>29</v>
      </c>
      <c r="B35" s="22" t="s">
        <v>345</v>
      </c>
      <c r="C35" s="22" t="s">
        <v>346</v>
      </c>
      <c r="D35" s="22" t="s">
        <v>191</v>
      </c>
      <c r="E35" s="36">
        <v>333014</v>
      </c>
      <c r="F35" s="37">
        <v>5364.1895119999999</v>
      </c>
      <c r="G35" s="38">
        <v>1.21201E-2</v>
      </c>
      <c r="H35" s="29" t="s">
        <v>143</v>
      </c>
    </row>
    <row r="36" spans="1:8" ht="12.75" customHeight="1" x14ac:dyDescent="0.2">
      <c r="A36" s="35">
        <v>30</v>
      </c>
      <c r="B36" s="22" t="s">
        <v>325</v>
      </c>
      <c r="C36" s="22" t="s">
        <v>326</v>
      </c>
      <c r="D36" s="22" t="s">
        <v>215</v>
      </c>
      <c r="E36" s="36">
        <v>344194</v>
      </c>
      <c r="F36" s="37">
        <v>4962.5890920000002</v>
      </c>
      <c r="G36" s="38">
        <v>1.1212710000000001E-2</v>
      </c>
      <c r="H36" s="29" t="s">
        <v>143</v>
      </c>
    </row>
    <row r="37" spans="1:8" ht="12.75" customHeight="1" x14ac:dyDescent="0.2">
      <c r="A37" s="35">
        <v>31</v>
      </c>
      <c r="B37" s="22" t="s">
        <v>392</v>
      </c>
      <c r="C37" s="22" t="s">
        <v>393</v>
      </c>
      <c r="D37" s="22" t="s">
        <v>206</v>
      </c>
      <c r="E37" s="36">
        <v>717133</v>
      </c>
      <c r="F37" s="37">
        <v>4931.0065080000004</v>
      </c>
      <c r="G37" s="38">
        <v>1.114135E-2</v>
      </c>
      <c r="H37" s="29" t="s">
        <v>143</v>
      </c>
    </row>
    <row r="38" spans="1:8" ht="12.75" customHeight="1" x14ac:dyDescent="0.2">
      <c r="A38" s="35">
        <v>32</v>
      </c>
      <c r="B38" s="22" t="s">
        <v>378</v>
      </c>
      <c r="C38" s="22" t="s">
        <v>379</v>
      </c>
      <c r="D38" s="22" t="s">
        <v>223</v>
      </c>
      <c r="E38" s="36">
        <v>223340</v>
      </c>
      <c r="F38" s="37">
        <v>4762.7254999999996</v>
      </c>
      <c r="G38" s="38">
        <v>1.0761130000000001E-2</v>
      </c>
      <c r="H38" s="29" t="s">
        <v>143</v>
      </c>
    </row>
    <row r="39" spans="1:8" ht="12.75" customHeight="1" x14ac:dyDescent="0.2">
      <c r="A39" s="35">
        <v>33</v>
      </c>
      <c r="B39" s="22" t="s">
        <v>682</v>
      </c>
      <c r="C39" s="22" t="s">
        <v>683</v>
      </c>
      <c r="D39" s="22" t="s">
        <v>191</v>
      </c>
      <c r="E39" s="36">
        <v>1260897</v>
      </c>
      <c r="F39" s="37">
        <v>4701.2544644999998</v>
      </c>
      <c r="G39" s="38">
        <v>1.062224E-2</v>
      </c>
      <c r="H39" s="29" t="s">
        <v>143</v>
      </c>
    </row>
    <row r="40" spans="1:8" ht="12.75" customHeight="1" x14ac:dyDescent="0.2">
      <c r="A40" s="35">
        <v>34</v>
      </c>
      <c r="B40" s="22" t="s">
        <v>380</v>
      </c>
      <c r="C40" s="22" t="s">
        <v>381</v>
      </c>
      <c r="D40" s="22" t="s">
        <v>382</v>
      </c>
      <c r="E40" s="36">
        <v>422325</v>
      </c>
      <c r="F40" s="37">
        <v>4539.9937499999996</v>
      </c>
      <c r="G40" s="38">
        <v>1.025788E-2</v>
      </c>
      <c r="H40" s="29" t="s">
        <v>143</v>
      </c>
    </row>
    <row r="41" spans="1:8" ht="12.75" customHeight="1" x14ac:dyDescent="0.2">
      <c r="A41" s="35">
        <v>35</v>
      </c>
      <c r="B41" s="22" t="s">
        <v>54</v>
      </c>
      <c r="C41" s="22" t="s">
        <v>55</v>
      </c>
      <c r="D41" s="22" t="s">
        <v>56</v>
      </c>
      <c r="E41" s="36">
        <v>79533</v>
      </c>
      <c r="F41" s="37">
        <v>4449.4736849999999</v>
      </c>
      <c r="G41" s="38">
        <v>1.0053350000000001E-2</v>
      </c>
      <c r="H41" s="29" t="s">
        <v>143</v>
      </c>
    </row>
    <row r="42" spans="1:8" ht="12.75" customHeight="1" x14ac:dyDescent="0.2">
      <c r="A42" s="35">
        <v>36</v>
      </c>
      <c r="B42" s="22" t="s">
        <v>396</v>
      </c>
      <c r="C42" s="22" t="s">
        <v>397</v>
      </c>
      <c r="D42" s="22" t="s">
        <v>259</v>
      </c>
      <c r="E42" s="36">
        <v>1096915</v>
      </c>
      <c r="F42" s="37">
        <v>4396.4353199999996</v>
      </c>
      <c r="G42" s="38">
        <v>9.9335099999999996E-3</v>
      </c>
      <c r="H42" s="29" t="s">
        <v>143</v>
      </c>
    </row>
    <row r="43" spans="1:8" ht="12.75" customHeight="1" x14ac:dyDescent="0.2">
      <c r="A43" s="35">
        <v>37</v>
      </c>
      <c r="B43" s="22" t="s">
        <v>323</v>
      </c>
      <c r="C43" s="22" t="s">
        <v>324</v>
      </c>
      <c r="D43" s="22" t="s">
        <v>33</v>
      </c>
      <c r="E43" s="36">
        <v>216759</v>
      </c>
      <c r="F43" s="37">
        <v>4319.3565930000004</v>
      </c>
      <c r="G43" s="38">
        <v>9.7593599999999999E-3</v>
      </c>
      <c r="H43" s="29" t="s">
        <v>143</v>
      </c>
    </row>
    <row r="44" spans="1:8" ht="12.75" customHeight="1" x14ac:dyDescent="0.2">
      <c r="A44" s="35">
        <v>38</v>
      </c>
      <c r="B44" s="22" t="s">
        <v>748</v>
      </c>
      <c r="C44" s="22" t="s">
        <v>749</v>
      </c>
      <c r="D44" s="22" t="s">
        <v>188</v>
      </c>
      <c r="E44" s="36">
        <v>206251</v>
      </c>
      <c r="F44" s="37">
        <v>4199.2703600000004</v>
      </c>
      <c r="G44" s="38">
        <v>9.4880299999999997E-3</v>
      </c>
      <c r="H44" s="29" t="s">
        <v>143</v>
      </c>
    </row>
    <row r="45" spans="1:8" ht="12.75" customHeight="1" x14ac:dyDescent="0.2">
      <c r="A45" s="35">
        <v>39</v>
      </c>
      <c r="B45" s="22" t="s">
        <v>374</v>
      </c>
      <c r="C45" s="22" t="s">
        <v>375</v>
      </c>
      <c r="D45" s="22" t="s">
        <v>33</v>
      </c>
      <c r="E45" s="36">
        <v>7255247</v>
      </c>
      <c r="F45" s="37">
        <v>4148.5502346000003</v>
      </c>
      <c r="G45" s="38">
        <v>9.3734300000000003E-3</v>
      </c>
      <c r="H45" s="29" t="s">
        <v>143</v>
      </c>
    </row>
    <row r="46" spans="1:8" ht="12.75" customHeight="1" x14ac:dyDescent="0.2">
      <c r="A46" s="35">
        <v>40</v>
      </c>
      <c r="B46" s="22" t="s">
        <v>216</v>
      </c>
      <c r="C46" s="22" t="s">
        <v>217</v>
      </c>
      <c r="D46" s="22" t="s">
        <v>215</v>
      </c>
      <c r="E46" s="36">
        <v>257972</v>
      </c>
      <c r="F46" s="37">
        <v>4104.3345200000003</v>
      </c>
      <c r="G46" s="38">
        <v>9.2735300000000003E-3</v>
      </c>
      <c r="H46" s="29" t="s">
        <v>143</v>
      </c>
    </row>
    <row r="47" spans="1:8" ht="12.75" customHeight="1" x14ac:dyDescent="0.2">
      <c r="A47" s="35">
        <v>41</v>
      </c>
      <c r="B47" s="22" t="s">
        <v>531</v>
      </c>
      <c r="C47" s="22" t="s">
        <v>532</v>
      </c>
      <c r="D47" s="22" t="s">
        <v>33</v>
      </c>
      <c r="E47" s="36">
        <v>2395330</v>
      </c>
      <c r="F47" s="37">
        <v>3885.4647930000001</v>
      </c>
      <c r="G47" s="38">
        <v>8.7790000000000003E-3</v>
      </c>
      <c r="H47" s="29" t="s">
        <v>143</v>
      </c>
    </row>
    <row r="48" spans="1:8" ht="12.75" customHeight="1" x14ac:dyDescent="0.2">
      <c r="A48" s="35">
        <v>42</v>
      </c>
      <c r="B48" s="22" t="s">
        <v>515</v>
      </c>
      <c r="C48" s="22" t="s">
        <v>516</v>
      </c>
      <c r="D48" s="22" t="s">
        <v>215</v>
      </c>
      <c r="E48" s="36">
        <v>275867</v>
      </c>
      <c r="F48" s="37">
        <v>3862.9656009999999</v>
      </c>
      <c r="G48" s="38">
        <v>8.7281700000000004E-3</v>
      </c>
      <c r="H48" s="29" t="s">
        <v>143</v>
      </c>
    </row>
    <row r="49" spans="1:8" ht="12.75" customHeight="1" x14ac:dyDescent="0.2">
      <c r="A49" s="35">
        <v>43</v>
      </c>
      <c r="B49" s="22" t="s">
        <v>478</v>
      </c>
      <c r="C49" s="22" t="s">
        <v>479</v>
      </c>
      <c r="D49" s="22" t="s">
        <v>223</v>
      </c>
      <c r="E49" s="36">
        <v>130000</v>
      </c>
      <c r="F49" s="37">
        <v>3352.18</v>
      </c>
      <c r="G49" s="38">
        <v>7.5740699999999996E-3</v>
      </c>
      <c r="H49" s="29" t="s">
        <v>143</v>
      </c>
    </row>
    <row r="50" spans="1:8" ht="12.75" customHeight="1" x14ac:dyDescent="0.2">
      <c r="A50" s="35">
        <v>44</v>
      </c>
      <c r="B50" s="22" t="s">
        <v>488</v>
      </c>
      <c r="C50" s="22" t="s">
        <v>489</v>
      </c>
      <c r="D50" s="22" t="s">
        <v>46</v>
      </c>
      <c r="E50" s="36">
        <v>880166</v>
      </c>
      <c r="F50" s="37">
        <v>3022.9301270000001</v>
      </c>
      <c r="G50" s="38">
        <v>6.8301500000000001E-3</v>
      </c>
      <c r="H50" s="29" t="s">
        <v>143</v>
      </c>
    </row>
    <row r="51" spans="1:8" ht="12.75" customHeight="1" x14ac:dyDescent="0.2">
      <c r="A51" s="35">
        <v>45</v>
      </c>
      <c r="B51" s="22" t="s">
        <v>387</v>
      </c>
      <c r="C51" s="22" t="s">
        <v>388</v>
      </c>
      <c r="D51" s="22" t="s">
        <v>389</v>
      </c>
      <c r="E51" s="36">
        <v>840615</v>
      </c>
      <c r="F51" s="37">
        <v>2936.2681950000001</v>
      </c>
      <c r="G51" s="38">
        <v>6.6343399999999999E-3</v>
      </c>
      <c r="H51" s="29" t="s">
        <v>143</v>
      </c>
    </row>
    <row r="52" spans="1:8" ht="12.75" customHeight="1" x14ac:dyDescent="0.2">
      <c r="A52" s="35">
        <v>46</v>
      </c>
      <c r="B52" s="22" t="s">
        <v>484</v>
      </c>
      <c r="C52" s="22" t="s">
        <v>485</v>
      </c>
      <c r="D52" s="22" t="s">
        <v>223</v>
      </c>
      <c r="E52" s="36">
        <v>202966</v>
      </c>
      <c r="F52" s="37">
        <v>2646.879606</v>
      </c>
      <c r="G52" s="38">
        <v>5.9804799999999998E-3</v>
      </c>
      <c r="H52" s="29" t="s">
        <v>143</v>
      </c>
    </row>
    <row r="53" spans="1:8" ht="12.75" customHeight="1" x14ac:dyDescent="0.2">
      <c r="A53" s="35">
        <v>47</v>
      </c>
      <c r="B53" s="22" t="s">
        <v>776</v>
      </c>
      <c r="C53" s="22" t="s">
        <v>777</v>
      </c>
      <c r="D53" s="22" t="s">
        <v>284</v>
      </c>
      <c r="E53" s="36">
        <v>467205</v>
      </c>
      <c r="F53" s="37">
        <v>1976.0435474999999</v>
      </c>
      <c r="G53" s="38">
        <v>4.4647699999999998E-3</v>
      </c>
      <c r="H53" s="29" t="s">
        <v>143</v>
      </c>
    </row>
    <row r="54" spans="1:8" ht="12.75" customHeight="1" x14ac:dyDescent="0.2">
      <c r="A54" s="35">
        <v>48</v>
      </c>
      <c r="B54" s="22" t="s">
        <v>221</v>
      </c>
      <c r="C54" s="22" t="s">
        <v>222</v>
      </c>
      <c r="D54" s="22" t="s">
        <v>223</v>
      </c>
      <c r="E54" s="36">
        <v>94906</v>
      </c>
      <c r="F54" s="37">
        <v>1936.2722120000001</v>
      </c>
      <c r="G54" s="38">
        <v>4.3749100000000001E-3</v>
      </c>
      <c r="H54" s="29" t="s">
        <v>143</v>
      </c>
    </row>
    <row r="55" spans="1:8" ht="12.75" customHeight="1" x14ac:dyDescent="0.2">
      <c r="A55" s="35">
        <v>49</v>
      </c>
      <c r="B55" s="22" t="s">
        <v>337</v>
      </c>
      <c r="C55" s="22" t="s">
        <v>338</v>
      </c>
      <c r="D55" s="22" t="s">
        <v>223</v>
      </c>
      <c r="E55" s="36">
        <v>24358</v>
      </c>
      <c r="F55" s="37">
        <v>1898.9496799999999</v>
      </c>
      <c r="G55" s="38">
        <v>4.2905799999999996E-3</v>
      </c>
      <c r="H55" s="29" t="s">
        <v>143</v>
      </c>
    </row>
    <row r="56" spans="1:8" ht="12.75" customHeight="1" x14ac:dyDescent="0.2">
      <c r="A56" s="35">
        <v>50</v>
      </c>
      <c r="B56" s="22" t="s">
        <v>385</v>
      </c>
      <c r="C56" s="22" t="s">
        <v>386</v>
      </c>
      <c r="D56" s="22" t="s">
        <v>191</v>
      </c>
      <c r="E56" s="36">
        <v>49461</v>
      </c>
      <c r="F56" s="37">
        <v>932.33984999999996</v>
      </c>
      <c r="G56" s="38">
        <v>2.1065699999999999E-3</v>
      </c>
      <c r="H56" s="29" t="s">
        <v>143</v>
      </c>
    </row>
    <row r="57" spans="1:8" ht="12.75" customHeight="1" x14ac:dyDescent="0.2">
      <c r="A57" s="39"/>
      <c r="B57" s="39"/>
      <c r="C57" s="40" t="s">
        <v>142</v>
      </c>
      <c r="D57" s="39"/>
      <c r="E57" s="39" t="s">
        <v>143</v>
      </c>
      <c r="F57" s="41">
        <v>410233.86264309997</v>
      </c>
      <c r="G57" s="42">
        <v>0.92690174000000003</v>
      </c>
      <c r="H57" s="29" t="s">
        <v>143</v>
      </c>
    </row>
    <row r="58" spans="1:8" ht="12.75" customHeight="1" x14ac:dyDescent="0.2">
      <c r="A58" s="39"/>
      <c r="B58" s="39"/>
      <c r="C58" s="43"/>
      <c r="D58" s="39"/>
      <c r="E58" s="39"/>
      <c r="F58" s="44"/>
      <c r="G58" s="44"/>
      <c r="H58" s="29" t="s">
        <v>143</v>
      </c>
    </row>
    <row r="59" spans="1:8" ht="12.75" customHeight="1" x14ac:dyDescent="0.2">
      <c r="A59" s="39"/>
      <c r="B59" s="39"/>
      <c r="C59" s="40" t="s">
        <v>144</v>
      </c>
      <c r="D59" s="39"/>
      <c r="E59" s="39"/>
      <c r="F59" s="39"/>
      <c r="G59" s="39"/>
      <c r="H59" s="29" t="s">
        <v>143</v>
      </c>
    </row>
    <row r="60" spans="1:8" ht="12.75" customHeight="1" x14ac:dyDescent="0.2">
      <c r="A60" s="35">
        <v>1</v>
      </c>
      <c r="B60" s="22" t="s">
        <v>815</v>
      </c>
      <c r="C60" s="31" t="s">
        <v>1116</v>
      </c>
      <c r="D60" s="22" t="s">
        <v>206</v>
      </c>
      <c r="E60" s="36">
        <v>64187</v>
      </c>
      <c r="F60" s="37">
        <v>5334.5554330539999</v>
      </c>
      <c r="G60" s="38">
        <v>1.205315E-2</v>
      </c>
      <c r="H60" s="29" t="s">
        <v>143</v>
      </c>
    </row>
    <row r="61" spans="1:8" ht="12.75" customHeight="1" x14ac:dyDescent="0.2">
      <c r="A61" s="39"/>
      <c r="B61" s="39"/>
      <c r="C61" s="40" t="s">
        <v>142</v>
      </c>
      <c r="D61" s="39"/>
      <c r="E61" s="39" t="s">
        <v>143</v>
      </c>
      <c r="F61" s="41">
        <v>5334.5554330539999</v>
      </c>
      <c r="G61" s="42">
        <v>1.205315E-2</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146</v>
      </c>
      <c r="D63" s="39"/>
      <c r="E63" s="39"/>
      <c r="F63" s="39"/>
      <c r="G63" s="39"/>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147</v>
      </c>
      <c r="D66" s="39"/>
      <c r="E66" s="39"/>
      <c r="F66" s="39"/>
      <c r="G66" s="39"/>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148</v>
      </c>
      <c r="D69" s="39"/>
      <c r="E69" s="39"/>
      <c r="F69" s="44"/>
      <c r="G69" s="44"/>
      <c r="H69" s="29" t="s">
        <v>143</v>
      </c>
    </row>
    <row r="70" spans="1:8" ht="12.75" customHeight="1" x14ac:dyDescent="0.2">
      <c r="A70" s="39"/>
      <c r="B70" s="39"/>
      <c r="C70" s="40" t="s">
        <v>142</v>
      </c>
      <c r="D70" s="39"/>
      <c r="E70" s="39" t="s">
        <v>143</v>
      </c>
      <c r="F70" s="45" t="s">
        <v>145</v>
      </c>
      <c r="G70" s="42">
        <v>0</v>
      </c>
      <c r="H70" s="29" t="s">
        <v>143</v>
      </c>
    </row>
    <row r="71" spans="1:8" ht="12.75" customHeight="1" x14ac:dyDescent="0.2">
      <c r="A71" s="39"/>
      <c r="B71" s="39"/>
      <c r="C71" s="43"/>
      <c r="D71" s="39"/>
      <c r="E71" s="39"/>
      <c r="F71" s="44"/>
      <c r="G71" s="44"/>
      <c r="H71" s="29" t="s">
        <v>143</v>
      </c>
    </row>
    <row r="72" spans="1:8" ht="12.75" customHeight="1" x14ac:dyDescent="0.2">
      <c r="A72" s="39"/>
      <c r="B72" s="39"/>
      <c r="C72" s="40" t="s">
        <v>149</v>
      </c>
      <c r="D72" s="39"/>
      <c r="E72" s="39"/>
      <c r="F72" s="44"/>
      <c r="G72" s="44"/>
      <c r="H72" s="29" t="s">
        <v>143</v>
      </c>
    </row>
    <row r="73" spans="1:8" ht="12.75" customHeight="1" x14ac:dyDescent="0.2">
      <c r="A73" s="39"/>
      <c r="B73" s="39"/>
      <c r="C73" s="40" t="s">
        <v>142</v>
      </c>
      <c r="D73" s="39"/>
      <c r="E73" s="39" t="s">
        <v>143</v>
      </c>
      <c r="F73" s="45" t="s">
        <v>145</v>
      </c>
      <c r="G73" s="42">
        <v>0</v>
      </c>
      <c r="H73" s="29" t="s">
        <v>143</v>
      </c>
    </row>
    <row r="74" spans="1:8" ht="12.75" customHeight="1" x14ac:dyDescent="0.2">
      <c r="A74" s="39"/>
      <c r="B74" s="39"/>
      <c r="C74" s="43"/>
      <c r="D74" s="39"/>
      <c r="E74" s="39"/>
      <c r="F74" s="44"/>
      <c r="G74" s="44"/>
      <c r="H74" s="29" t="s">
        <v>143</v>
      </c>
    </row>
    <row r="75" spans="1:8" ht="12.75" customHeight="1" x14ac:dyDescent="0.2">
      <c r="A75" s="39"/>
      <c r="B75" s="39"/>
      <c r="C75" s="40" t="s">
        <v>150</v>
      </c>
      <c r="D75" s="39"/>
      <c r="E75" s="39"/>
      <c r="F75" s="41">
        <v>415568.41807615402</v>
      </c>
      <c r="G75" s="42">
        <v>0.93895488999999999</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151</v>
      </c>
      <c r="D77" s="39"/>
      <c r="E77" s="39"/>
      <c r="F77" s="44"/>
      <c r="G77" s="44"/>
      <c r="H77" s="29" t="s">
        <v>143</v>
      </c>
    </row>
    <row r="78" spans="1:8" ht="12.75" customHeight="1" x14ac:dyDescent="0.2">
      <c r="A78" s="39"/>
      <c r="B78" s="39"/>
      <c r="C78" s="40" t="s">
        <v>10</v>
      </c>
      <c r="D78" s="39"/>
      <c r="E78" s="39"/>
      <c r="F78" s="44"/>
      <c r="G78" s="44"/>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152</v>
      </c>
      <c r="D81" s="39"/>
      <c r="E81" s="39"/>
      <c r="F81" s="39"/>
      <c r="G81" s="39"/>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153</v>
      </c>
      <c r="D84" s="39"/>
      <c r="E84" s="39"/>
      <c r="F84" s="39"/>
      <c r="G84" s="39"/>
      <c r="H84" s="29" t="s">
        <v>143</v>
      </c>
    </row>
    <row r="85" spans="1:8" ht="12.75" customHeight="1" x14ac:dyDescent="0.2">
      <c r="A85" s="39"/>
      <c r="B85" s="39"/>
      <c r="C85" s="40" t="s">
        <v>142</v>
      </c>
      <c r="D85" s="39"/>
      <c r="E85" s="39" t="s">
        <v>143</v>
      </c>
      <c r="F85" s="45" t="s">
        <v>145</v>
      </c>
      <c r="G85" s="42">
        <v>0</v>
      </c>
      <c r="H85" s="29" t="s">
        <v>143</v>
      </c>
    </row>
    <row r="86" spans="1:8" ht="12.75" customHeight="1" x14ac:dyDescent="0.2">
      <c r="A86" s="39"/>
      <c r="B86" s="39"/>
      <c r="C86" s="43"/>
      <c r="D86" s="39"/>
      <c r="E86" s="39"/>
      <c r="F86" s="44"/>
      <c r="G86" s="44"/>
      <c r="H86" s="29" t="s">
        <v>143</v>
      </c>
    </row>
    <row r="87" spans="1:8" ht="12.75" customHeight="1" x14ac:dyDescent="0.2">
      <c r="A87" s="39"/>
      <c r="B87" s="39"/>
      <c r="C87" s="40" t="s">
        <v>154</v>
      </c>
      <c r="D87" s="39"/>
      <c r="E87" s="39"/>
      <c r="F87" s="44"/>
      <c r="G87" s="44"/>
      <c r="H87" s="29" t="s">
        <v>143</v>
      </c>
    </row>
    <row r="88" spans="1:8" ht="12.75" customHeight="1" x14ac:dyDescent="0.2">
      <c r="A88" s="39"/>
      <c r="B88" s="39"/>
      <c r="C88" s="40" t="s">
        <v>142</v>
      </c>
      <c r="D88" s="39"/>
      <c r="E88" s="39" t="s">
        <v>143</v>
      </c>
      <c r="F88" s="45" t="s">
        <v>145</v>
      </c>
      <c r="G88" s="42">
        <v>0</v>
      </c>
      <c r="H88" s="29" t="s">
        <v>143</v>
      </c>
    </row>
    <row r="89" spans="1:8" ht="12.75" customHeight="1" x14ac:dyDescent="0.2">
      <c r="A89" s="39"/>
      <c r="B89" s="39"/>
      <c r="C89" s="43"/>
      <c r="D89" s="39"/>
      <c r="E89" s="39"/>
      <c r="F89" s="44"/>
      <c r="G89" s="44"/>
      <c r="H89" s="29" t="s">
        <v>143</v>
      </c>
    </row>
    <row r="90" spans="1:8" ht="12.75" customHeight="1" x14ac:dyDescent="0.2">
      <c r="A90" s="39"/>
      <c r="B90" s="39"/>
      <c r="C90" s="40" t="s">
        <v>155</v>
      </c>
      <c r="D90" s="39"/>
      <c r="E90" s="39"/>
      <c r="F90" s="41">
        <v>0</v>
      </c>
      <c r="G90" s="42">
        <v>0</v>
      </c>
      <c r="H90" s="29" t="s">
        <v>143</v>
      </c>
    </row>
    <row r="91" spans="1:8" ht="12.75" customHeight="1" x14ac:dyDescent="0.2">
      <c r="A91" s="39"/>
      <c r="B91" s="39"/>
      <c r="C91" s="43"/>
      <c r="D91" s="39"/>
      <c r="E91" s="39"/>
      <c r="F91" s="44"/>
      <c r="G91" s="44"/>
      <c r="H91" s="29" t="s">
        <v>143</v>
      </c>
    </row>
    <row r="92" spans="1:8" ht="12.75" customHeight="1" x14ac:dyDescent="0.2">
      <c r="A92" s="39"/>
      <c r="B92" s="39"/>
      <c r="C92" s="40" t="s">
        <v>156</v>
      </c>
      <c r="D92" s="39"/>
      <c r="E92" s="39"/>
      <c r="F92" s="44"/>
      <c r="G92" s="44"/>
      <c r="H92" s="29" t="s">
        <v>143</v>
      </c>
    </row>
    <row r="93" spans="1:8" ht="12.75" customHeight="1" x14ac:dyDescent="0.2">
      <c r="A93" s="39"/>
      <c r="B93" s="39"/>
      <c r="C93" s="40" t="s">
        <v>157</v>
      </c>
      <c r="D93" s="39"/>
      <c r="E93" s="39"/>
      <c r="F93" s="44"/>
      <c r="G93" s="44"/>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158</v>
      </c>
      <c r="D96" s="39"/>
      <c r="E96" s="39"/>
      <c r="F96" s="44"/>
      <c r="G96" s="44"/>
      <c r="H96" s="29" t="s">
        <v>143</v>
      </c>
    </row>
    <row r="97" spans="1:8" ht="12.75" customHeight="1" x14ac:dyDescent="0.2">
      <c r="A97" s="39"/>
      <c r="B97" s="39"/>
      <c r="C97" s="40" t="s">
        <v>142</v>
      </c>
      <c r="D97" s="39"/>
      <c r="E97" s="39" t="s">
        <v>143</v>
      </c>
      <c r="F97" s="45" t="s">
        <v>145</v>
      </c>
      <c r="G97" s="42">
        <v>0</v>
      </c>
      <c r="H97" s="29" t="s">
        <v>143</v>
      </c>
    </row>
    <row r="98" spans="1:8" ht="12.75" customHeight="1" x14ac:dyDescent="0.2">
      <c r="A98" s="39"/>
      <c r="B98" s="39"/>
      <c r="C98" s="43"/>
      <c r="D98" s="39"/>
      <c r="E98" s="39"/>
      <c r="F98" s="44"/>
      <c r="G98" s="44"/>
      <c r="H98" s="29" t="s">
        <v>143</v>
      </c>
    </row>
    <row r="99" spans="1:8" ht="12.75" customHeight="1" x14ac:dyDescent="0.2">
      <c r="A99" s="39"/>
      <c r="B99" s="39"/>
      <c r="C99" s="40" t="s">
        <v>159</v>
      </c>
      <c r="D99" s="39"/>
      <c r="E99" s="39"/>
      <c r="F99" s="44"/>
      <c r="G99" s="44"/>
      <c r="H99" s="29" t="s">
        <v>143</v>
      </c>
    </row>
    <row r="100" spans="1:8" ht="12.75" customHeight="1" x14ac:dyDescent="0.2">
      <c r="A100" s="39"/>
      <c r="B100" s="39"/>
      <c r="C100" s="40" t="s">
        <v>142</v>
      </c>
      <c r="D100" s="39"/>
      <c r="E100" s="39" t="s">
        <v>143</v>
      </c>
      <c r="F100" s="45" t="s">
        <v>145</v>
      </c>
      <c r="G100" s="42">
        <v>0</v>
      </c>
      <c r="H100" s="29" t="s">
        <v>143</v>
      </c>
    </row>
    <row r="101" spans="1:8" ht="12.75" customHeight="1" x14ac:dyDescent="0.2">
      <c r="A101" s="39"/>
      <c r="B101" s="39"/>
      <c r="C101" s="43"/>
      <c r="D101" s="39"/>
      <c r="E101" s="39"/>
      <c r="F101" s="44"/>
      <c r="G101" s="44"/>
      <c r="H101" s="29" t="s">
        <v>143</v>
      </c>
    </row>
    <row r="102" spans="1:8" ht="12.75" customHeight="1" x14ac:dyDescent="0.2">
      <c r="A102" s="39"/>
      <c r="B102" s="39"/>
      <c r="C102" s="40" t="s">
        <v>160</v>
      </c>
      <c r="D102" s="39"/>
      <c r="E102" s="39"/>
      <c r="F102" s="44"/>
      <c r="G102" s="44"/>
      <c r="H102" s="29" t="s">
        <v>143</v>
      </c>
    </row>
    <row r="103" spans="1:8" ht="12.75" customHeight="1" x14ac:dyDescent="0.2">
      <c r="A103" s="35">
        <v>1</v>
      </c>
      <c r="B103" s="22"/>
      <c r="C103" s="22" t="s">
        <v>161</v>
      </c>
      <c r="D103" s="22"/>
      <c r="E103" s="46"/>
      <c r="F103" s="37">
        <v>12785.186802046001</v>
      </c>
      <c r="G103" s="38">
        <v>2.8887449999999999E-2</v>
      </c>
      <c r="H103" s="29">
        <v>5.51</v>
      </c>
    </row>
    <row r="104" spans="1:8" ht="12.75" customHeight="1" x14ac:dyDescent="0.2">
      <c r="A104" s="39"/>
      <c r="B104" s="39"/>
      <c r="C104" s="40" t="s">
        <v>142</v>
      </c>
      <c r="D104" s="39"/>
      <c r="E104" s="39" t="s">
        <v>143</v>
      </c>
      <c r="F104" s="41">
        <v>12785.186802046001</v>
      </c>
      <c r="G104" s="42">
        <v>2.8887449999999999E-2</v>
      </c>
      <c r="H104" s="29" t="s">
        <v>143</v>
      </c>
    </row>
    <row r="105" spans="1:8" ht="12.75" customHeight="1" x14ac:dyDescent="0.2">
      <c r="A105" s="39"/>
      <c r="B105" s="39"/>
      <c r="C105" s="43"/>
      <c r="D105" s="39"/>
      <c r="E105" s="39"/>
      <c r="F105" s="44"/>
      <c r="G105" s="44"/>
      <c r="H105" s="29" t="s">
        <v>143</v>
      </c>
    </row>
    <row r="106" spans="1:8" ht="12.75" customHeight="1" x14ac:dyDescent="0.2">
      <c r="A106" s="39"/>
      <c r="B106" s="39"/>
      <c r="C106" s="40" t="s">
        <v>162</v>
      </c>
      <c r="D106" s="39"/>
      <c r="E106" s="39"/>
      <c r="F106" s="41">
        <v>12785.186802046001</v>
      </c>
      <c r="G106" s="42">
        <v>2.8887449999999999E-2</v>
      </c>
      <c r="H106" s="29" t="s">
        <v>143</v>
      </c>
    </row>
    <row r="107" spans="1:8" ht="12.75" customHeight="1" x14ac:dyDescent="0.2">
      <c r="A107" s="39"/>
      <c r="B107" s="39"/>
      <c r="C107" s="44"/>
      <c r="D107" s="39"/>
      <c r="E107" s="39"/>
      <c r="F107" s="39"/>
      <c r="G107" s="39"/>
      <c r="H107" s="29" t="s">
        <v>143</v>
      </c>
    </row>
    <row r="108" spans="1:8" ht="12.75" customHeight="1" x14ac:dyDescent="0.2">
      <c r="A108" s="39"/>
      <c r="B108" s="39"/>
      <c r="C108" s="40" t="s">
        <v>163</v>
      </c>
      <c r="D108" s="39"/>
      <c r="E108" s="39"/>
      <c r="F108" s="39"/>
      <c r="G108" s="39"/>
      <c r="H108" s="29" t="s">
        <v>143</v>
      </c>
    </row>
    <row r="109" spans="1:8" ht="12.75" customHeight="1" x14ac:dyDescent="0.2">
      <c r="A109" s="39"/>
      <c r="B109" s="39"/>
      <c r="C109" s="40" t="s">
        <v>164</v>
      </c>
      <c r="D109" s="39"/>
      <c r="E109" s="39"/>
      <c r="F109" s="39"/>
      <c r="G109" s="39"/>
      <c r="H109" s="29" t="s">
        <v>143</v>
      </c>
    </row>
    <row r="110" spans="1:8" ht="12.75" customHeight="1" x14ac:dyDescent="0.2">
      <c r="A110" s="35">
        <v>1</v>
      </c>
      <c r="B110" s="22" t="s">
        <v>317</v>
      </c>
      <c r="C110" s="22" t="s">
        <v>318</v>
      </c>
      <c r="D110" s="22"/>
      <c r="E110" s="79">
        <v>529260.26300000004</v>
      </c>
      <c r="F110" s="37">
        <v>12511.543254036</v>
      </c>
      <c r="G110" s="38">
        <v>2.826917E-2</v>
      </c>
      <c r="H110" s="29" t="s">
        <v>143</v>
      </c>
    </row>
    <row r="111" spans="1:8" ht="12.75" customHeight="1" x14ac:dyDescent="0.2">
      <c r="A111" s="35">
        <v>2</v>
      </c>
      <c r="B111" s="22" t="s">
        <v>494</v>
      </c>
      <c r="C111" s="22" t="s">
        <v>1133</v>
      </c>
      <c r="D111" s="22"/>
      <c r="E111" s="79">
        <v>33026302.7575</v>
      </c>
      <c r="F111" s="37">
        <v>5073.5997085150002</v>
      </c>
      <c r="G111" s="38">
        <v>1.146353E-2</v>
      </c>
      <c r="H111" s="29" t="s">
        <v>143</v>
      </c>
    </row>
    <row r="112" spans="1:8" ht="12.75" customHeight="1" x14ac:dyDescent="0.2">
      <c r="A112" s="39"/>
      <c r="B112" s="39"/>
      <c r="C112" s="40" t="s">
        <v>142</v>
      </c>
      <c r="D112" s="39"/>
      <c r="E112" s="39" t="s">
        <v>143</v>
      </c>
      <c r="F112" s="41">
        <v>17585.142962550999</v>
      </c>
      <c r="G112" s="42">
        <v>3.9732700000000003E-2</v>
      </c>
      <c r="H112" s="29" t="s">
        <v>143</v>
      </c>
    </row>
    <row r="113" spans="1:17" ht="12.75" customHeight="1" x14ac:dyDescent="0.2">
      <c r="A113" s="39"/>
      <c r="B113" s="39"/>
      <c r="C113" s="43"/>
      <c r="D113" s="39"/>
      <c r="E113" s="39"/>
      <c r="F113" s="44"/>
      <c r="G113" s="44"/>
      <c r="H113" s="29" t="s">
        <v>143</v>
      </c>
    </row>
    <row r="114" spans="1:17" ht="12.75" customHeight="1" x14ac:dyDescent="0.2">
      <c r="A114" s="39"/>
      <c r="B114" s="39"/>
      <c r="C114" s="40" t="s">
        <v>165</v>
      </c>
      <c r="D114" s="39"/>
      <c r="E114" s="39"/>
      <c r="F114" s="39"/>
      <c r="G114" s="39"/>
      <c r="H114" s="29" t="s">
        <v>143</v>
      </c>
    </row>
    <row r="115" spans="1:17" ht="12.75" customHeight="1" x14ac:dyDescent="0.2">
      <c r="A115" s="39"/>
      <c r="B115" s="39"/>
      <c r="C115" s="40" t="s">
        <v>166</v>
      </c>
      <c r="D115" s="39"/>
      <c r="E115" s="39"/>
      <c r="F115" s="39"/>
      <c r="G115" s="39"/>
      <c r="H115" s="29" t="s">
        <v>143</v>
      </c>
    </row>
    <row r="116" spans="1:17" ht="12.75" customHeight="1" x14ac:dyDescent="0.2">
      <c r="A116" s="39"/>
      <c r="B116" s="39"/>
      <c r="C116" s="40" t="s">
        <v>142</v>
      </c>
      <c r="D116" s="39"/>
      <c r="E116" s="39" t="s">
        <v>143</v>
      </c>
      <c r="F116" s="45" t="s">
        <v>145</v>
      </c>
      <c r="G116" s="42">
        <v>0</v>
      </c>
      <c r="H116" s="29" t="s">
        <v>143</v>
      </c>
    </row>
    <row r="117" spans="1:17" ht="12.75" customHeight="1" x14ac:dyDescent="0.2">
      <c r="A117" s="39"/>
      <c r="B117" s="39"/>
      <c r="C117" s="43"/>
      <c r="D117" s="39"/>
      <c r="E117" s="39"/>
      <c r="F117" s="44"/>
      <c r="G117" s="44"/>
      <c r="H117" s="29" t="s">
        <v>143</v>
      </c>
    </row>
    <row r="118" spans="1:17" ht="12.75" customHeight="1" x14ac:dyDescent="0.2">
      <c r="A118" s="39"/>
      <c r="B118" s="39"/>
      <c r="C118" s="40" t="s">
        <v>167</v>
      </c>
      <c r="D118" s="39"/>
      <c r="E118" s="39"/>
      <c r="F118" s="44"/>
      <c r="G118" s="44"/>
      <c r="H118" s="29" t="s">
        <v>143</v>
      </c>
    </row>
    <row r="119" spans="1:17" ht="12.75" customHeight="1" x14ac:dyDescent="0.2">
      <c r="A119" s="39"/>
      <c r="B119" s="39"/>
      <c r="C119" s="40" t="s">
        <v>142</v>
      </c>
      <c r="D119" s="39"/>
      <c r="E119" s="39" t="s">
        <v>143</v>
      </c>
      <c r="F119" s="45" t="s">
        <v>145</v>
      </c>
      <c r="G119" s="42">
        <v>0</v>
      </c>
      <c r="H119" s="29" t="s">
        <v>143</v>
      </c>
    </row>
    <row r="120" spans="1:17" ht="12.75" customHeight="1" x14ac:dyDescent="0.2">
      <c r="A120" s="39"/>
      <c r="B120" s="39"/>
      <c r="C120" s="43"/>
      <c r="D120" s="39"/>
      <c r="E120" s="39"/>
      <c r="F120" s="44"/>
      <c r="G120" s="44"/>
      <c r="H120" s="29" t="s">
        <v>143</v>
      </c>
    </row>
    <row r="121" spans="1:17" ht="12.75" customHeight="1" x14ac:dyDescent="0.2">
      <c r="A121" s="46"/>
      <c r="B121" s="22"/>
      <c r="C121" s="22" t="s">
        <v>319</v>
      </c>
      <c r="D121" s="22"/>
      <c r="E121" s="46"/>
      <c r="F121" s="37">
        <v>24.9994254</v>
      </c>
      <c r="G121" s="38">
        <v>5.6490000000000003E-5</v>
      </c>
      <c r="H121" s="29" t="s">
        <v>143</v>
      </c>
    </row>
    <row r="122" spans="1:17" ht="12.75" customHeight="1" x14ac:dyDescent="0.2">
      <c r="A122" s="46"/>
      <c r="B122" s="22"/>
      <c r="C122" s="22" t="s">
        <v>168</v>
      </c>
      <c r="D122" s="22"/>
      <c r="E122" s="46"/>
      <c r="F122" s="37">
        <v>-3377.58595418</v>
      </c>
      <c r="G122" s="38">
        <v>-7.6314800000000004E-3</v>
      </c>
      <c r="H122" s="29" t="s">
        <v>143</v>
      </c>
    </row>
    <row r="123" spans="1:17" ht="12.75" customHeight="1" x14ac:dyDescent="0.2">
      <c r="A123" s="43"/>
      <c r="B123" s="43"/>
      <c r="C123" s="40" t="s">
        <v>169</v>
      </c>
      <c r="D123" s="44"/>
      <c r="E123" s="44"/>
      <c r="F123" s="41">
        <v>442586.16131197102</v>
      </c>
      <c r="G123" s="47">
        <v>1.0000000499999999</v>
      </c>
      <c r="H123" s="29" t="s">
        <v>143</v>
      </c>
    </row>
    <row r="124" spans="1:17" ht="12.75" customHeight="1" x14ac:dyDescent="0.2">
      <c r="A124" s="48"/>
      <c r="B124" s="48"/>
      <c r="C124" s="49"/>
      <c r="D124" s="50"/>
      <c r="E124" s="50"/>
      <c r="F124" s="51"/>
      <c r="G124" s="52"/>
      <c r="H124" s="53"/>
    </row>
    <row r="125" spans="1:17" x14ac:dyDescent="0.2">
      <c r="A125" s="54"/>
      <c r="B125" s="243" t="s">
        <v>945</v>
      </c>
      <c r="C125" s="243"/>
      <c r="D125" s="243"/>
      <c r="E125" s="243"/>
      <c r="F125" s="243"/>
      <c r="G125" s="243"/>
      <c r="H125" s="243"/>
      <c r="J125" s="56"/>
    </row>
    <row r="126" spans="1:17" x14ac:dyDescent="0.2">
      <c r="A126" s="54"/>
      <c r="B126" s="243" t="s">
        <v>946</v>
      </c>
      <c r="C126" s="243"/>
      <c r="D126" s="243"/>
      <c r="E126" s="243"/>
      <c r="F126" s="243"/>
      <c r="G126" s="243"/>
      <c r="H126" s="243"/>
      <c r="J126" s="56"/>
    </row>
    <row r="127" spans="1:17" x14ac:dyDescent="0.2">
      <c r="A127" s="54"/>
      <c r="B127" s="243" t="s">
        <v>947</v>
      </c>
      <c r="C127" s="243"/>
      <c r="D127" s="243"/>
      <c r="E127" s="243"/>
      <c r="F127" s="243"/>
      <c r="G127" s="243"/>
      <c r="H127" s="243"/>
      <c r="J127" s="56"/>
    </row>
    <row r="128" spans="1:17" s="58" customFormat="1" ht="66.75" customHeight="1" x14ac:dyDescent="0.25">
      <c r="A128" s="57"/>
      <c r="B128" s="244" t="s">
        <v>948</v>
      </c>
      <c r="C128" s="244"/>
      <c r="D128" s="244"/>
      <c r="E128" s="244"/>
      <c r="F128" s="244"/>
      <c r="G128" s="244"/>
      <c r="H128" s="244"/>
      <c r="I128"/>
      <c r="J128" s="56"/>
      <c r="K128"/>
      <c r="L128"/>
      <c r="M128"/>
      <c r="N128"/>
      <c r="O128"/>
      <c r="P128"/>
      <c r="Q128"/>
    </row>
    <row r="129" spans="1:10" x14ac:dyDescent="0.2">
      <c r="A129" s="54"/>
      <c r="B129" s="243" t="s">
        <v>949</v>
      </c>
      <c r="C129" s="243"/>
      <c r="D129" s="243"/>
      <c r="E129" s="243"/>
      <c r="F129" s="243"/>
      <c r="G129" s="243"/>
      <c r="H129" s="243"/>
      <c r="J129" s="56"/>
    </row>
    <row r="130" spans="1:10" x14ac:dyDescent="0.2">
      <c r="A130" s="54"/>
      <c r="B130" s="54"/>
      <c r="C130" s="54"/>
      <c r="D130" s="59"/>
      <c r="E130" s="59"/>
      <c r="F130" s="59"/>
      <c r="G130" s="59"/>
    </row>
    <row r="131" spans="1:10" x14ac:dyDescent="0.2">
      <c r="A131" s="54"/>
      <c r="B131" s="247" t="s">
        <v>170</v>
      </c>
      <c r="C131" s="248"/>
      <c r="D131" s="249"/>
      <c r="E131" s="60"/>
      <c r="F131" s="59"/>
      <c r="G131" s="59"/>
    </row>
    <row r="132" spans="1:10" ht="27.75" customHeight="1" x14ac:dyDescent="0.2">
      <c r="A132" s="54"/>
      <c r="B132" s="240" t="s">
        <v>171</v>
      </c>
      <c r="C132" s="241"/>
      <c r="D132" s="28" t="s">
        <v>172</v>
      </c>
      <c r="E132" s="60"/>
      <c r="F132" s="59"/>
      <c r="G132" s="59"/>
    </row>
    <row r="133" spans="1:10" ht="12.75" customHeight="1" x14ac:dyDescent="0.2">
      <c r="A133" s="54"/>
      <c r="B133" s="240" t="s">
        <v>950</v>
      </c>
      <c r="C133" s="241"/>
      <c r="D133" s="28" t="s">
        <v>172</v>
      </c>
      <c r="E133" s="60"/>
      <c r="F133" s="59"/>
      <c r="G133" s="59"/>
    </row>
    <row r="134" spans="1:10" x14ac:dyDescent="0.2">
      <c r="A134" s="54"/>
      <c r="B134" s="240" t="s">
        <v>173</v>
      </c>
      <c r="C134" s="241"/>
      <c r="D134" s="61" t="s">
        <v>143</v>
      </c>
      <c r="E134" s="60"/>
      <c r="F134" s="59"/>
      <c r="G134" s="59"/>
    </row>
    <row r="135" spans="1:10" x14ac:dyDescent="0.2">
      <c r="A135" s="62"/>
      <c r="B135" s="63" t="s">
        <v>143</v>
      </c>
      <c r="C135" s="63" t="s">
        <v>951</v>
      </c>
      <c r="D135" s="63" t="s">
        <v>174</v>
      </c>
      <c r="E135" s="62"/>
      <c r="F135" s="62"/>
      <c r="G135" s="62"/>
      <c r="H135" s="62"/>
      <c r="J135" s="56"/>
    </row>
    <row r="136" spans="1:10" x14ac:dyDescent="0.2">
      <c r="A136" s="62"/>
      <c r="B136" s="64" t="s">
        <v>175</v>
      </c>
      <c r="C136" s="65">
        <v>45900</v>
      </c>
      <c r="D136" s="65">
        <v>45930</v>
      </c>
      <c r="E136" s="62"/>
      <c r="F136" s="62"/>
      <c r="G136" s="62"/>
      <c r="J136" s="56"/>
    </row>
    <row r="137" spans="1:10" ht="12.75" customHeight="1" x14ac:dyDescent="0.2">
      <c r="A137" s="66"/>
      <c r="B137" s="67" t="s">
        <v>176</v>
      </c>
      <c r="C137" s="68">
        <v>36.980699999999999</v>
      </c>
      <c r="D137" s="68">
        <v>37.398600000000002</v>
      </c>
      <c r="E137" s="66"/>
      <c r="F137" s="69"/>
      <c r="G137" s="70"/>
    </row>
    <row r="138" spans="1:10" ht="12.75" customHeight="1" x14ac:dyDescent="0.2">
      <c r="A138" s="66"/>
      <c r="B138" s="67" t="s">
        <v>1085</v>
      </c>
      <c r="C138" s="68">
        <v>25.381599999999999</v>
      </c>
      <c r="D138" s="68">
        <v>25.668500000000002</v>
      </c>
      <c r="E138" s="66"/>
      <c r="F138" s="69"/>
      <c r="G138" s="70"/>
    </row>
    <row r="139" spans="1:10" ht="12.75" customHeight="1" x14ac:dyDescent="0.2">
      <c r="A139" s="66"/>
      <c r="B139" s="67" t="s">
        <v>177</v>
      </c>
      <c r="C139" s="68">
        <v>34.118000000000002</v>
      </c>
      <c r="D139" s="68">
        <v>34.471299999999999</v>
      </c>
      <c r="E139" s="66"/>
      <c r="F139" s="69"/>
      <c r="G139" s="70"/>
    </row>
    <row r="140" spans="1:10" ht="12.75" customHeight="1" x14ac:dyDescent="0.2">
      <c r="A140" s="66"/>
      <c r="B140" s="67" t="s">
        <v>1086</v>
      </c>
      <c r="C140" s="68">
        <v>23.391300000000001</v>
      </c>
      <c r="D140" s="68">
        <v>23.633500000000002</v>
      </c>
      <c r="E140" s="66"/>
      <c r="F140" s="69"/>
      <c r="G140" s="70"/>
    </row>
    <row r="141" spans="1:10" ht="12.75" customHeight="1" x14ac:dyDescent="0.2">
      <c r="A141" s="66"/>
      <c r="B141" s="66"/>
      <c r="C141" s="66"/>
      <c r="D141" s="66"/>
      <c r="E141" s="66"/>
      <c r="F141" s="66"/>
      <c r="G141" s="66"/>
    </row>
    <row r="142" spans="1:10" x14ac:dyDescent="0.2">
      <c r="A142" s="62"/>
      <c r="B142" s="245" t="s">
        <v>952</v>
      </c>
      <c r="C142" s="246"/>
      <c r="D142" s="71" t="s">
        <v>172</v>
      </c>
      <c r="E142" s="62"/>
      <c r="F142" s="62"/>
      <c r="G142" s="62"/>
    </row>
    <row r="143" spans="1:10" x14ac:dyDescent="0.2">
      <c r="A143" s="72"/>
      <c r="B143" s="73"/>
      <c r="C143" s="73"/>
      <c r="D143" s="73"/>
      <c r="E143" s="72"/>
      <c r="F143" s="72"/>
      <c r="G143" s="72"/>
    </row>
    <row r="144" spans="1:10" ht="26.25" customHeight="1" x14ac:dyDescent="0.2">
      <c r="A144" s="72"/>
      <c r="B144" s="240" t="s">
        <v>178</v>
      </c>
      <c r="C144" s="241"/>
      <c r="D144" s="28" t="s">
        <v>172</v>
      </c>
      <c r="E144" s="72"/>
      <c r="F144" s="72"/>
      <c r="G144" s="72"/>
      <c r="H144" s="72"/>
    </row>
    <row r="145" spans="1:8" ht="27.75" customHeight="1" x14ac:dyDescent="0.2">
      <c r="A145" s="72"/>
      <c r="B145" s="240" t="s">
        <v>179</v>
      </c>
      <c r="C145" s="241"/>
      <c r="D145" s="85" t="str">
        <f>"Rs. "&amp;TEXT(F61,"0.00")&amp;" Lacs"</f>
        <v>Rs. 5334.56 Lacs</v>
      </c>
      <c r="E145" s="74"/>
      <c r="F145" s="72"/>
      <c r="G145" s="72"/>
      <c r="H145" s="72"/>
    </row>
    <row r="146" spans="1:8" ht="17.100000000000001" customHeight="1" x14ac:dyDescent="0.2">
      <c r="A146" s="72"/>
      <c r="B146" s="240" t="s">
        <v>180</v>
      </c>
      <c r="C146" s="241"/>
      <c r="D146" s="28" t="s">
        <v>172</v>
      </c>
      <c r="E146" s="74"/>
      <c r="F146" s="72"/>
      <c r="G146" s="72"/>
      <c r="H146" s="72"/>
    </row>
    <row r="147" spans="1:8" ht="17.100000000000001" customHeight="1" x14ac:dyDescent="0.2">
      <c r="A147" s="72"/>
      <c r="B147" s="240" t="s">
        <v>181</v>
      </c>
      <c r="C147" s="241"/>
      <c r="D147" s="75">
        <v>0.62607650910081991</v>
      </c>
      <c r="E147" s="72"/>
      <c r="F147" s="55"/>
      <c r="G147" s="76"/>
      <c r="H147" s="76"/>
    </row>
    <row r="148" spans="1:8" x14ac:dyDescent="0.2"/>
    <row r="149" spans="1:8" x14ac:dyDescent="0.2">
      <c r="B149" s="239" t="s">
        <v>953</v>
      </c>
      <c r="C149" s="239"/>
    </row>
    <row r="150" spans="1:8" x14ac:dyDescent="0.2"/>
    <row r="151" spans="1:8" ht="153.75" customHeight="1" x14ac:dyDescent="0.2"/>
    <row r="152" spans="1:8" x14ac:dyDescent="0.2"/>
    <row r="153" spans="1:8" x14ac:dyDescent="0.2"/>
    <row r="154" spans="1:8" x14ac:dyDescent="0.2">
      <c r="B154" s="77" t="s">
        <v>954</v>
      </c>
      <c r="C154" s="78"/>
      <c r="D154" s="77" t="s">
        <v>957</v>
      </c>
    </row>
    <row r="155" spans="1:8" x14ac:dyDescent="0.2">
      <c r="B155" s="77" t="s">
        <v>1117</v>
      </c>
      <c r="D155" s="77" t="s">
        <v>1118</v>
      </c>
    </row>
    <row r="156" spans="1:8" x14ac:dyDescent="0.2">
      <c r="B156" s="86"/>
    </row>
    <row r="157" spans="1:8" ht="165" customHeight="1" x14ac:dyDescent="0.2"/>
    <row r="158" spans="1:8" x14ac:dyDescent="0.2"/>
  </sheetData>
  <mergeCells count="18">
    <mergeCell ref="B131:D131"/>
    <mergeCell ref="B132:C132"/>
    <mergeCell ref="B149:C149"/>
    <mergeCell ref="B147:C147"/>
    <mergeCell ref="A1:H1"/>
    <mergeCell ref="A2:H2"/>
    <mergeCell ref="A3:H3"/>
    <mergeCell ref="B146:C146"/>
    <mergeCell ref="B125:H125"/>
    <mergeCell ref="B126:H126"/>
    <mergeCell ref="B133:C133"/>
    <mergeCell ref="B134:C134"/>
    <mergeCell ref="B144:C144"/>
    <mergeCell ref="B145:C145"/>
    <mergeCell ref="B127:H127"/>
    <mergeCell ref="B128:H128"/>
    <mergeCell ref="B129:H129"/>
    <mergeCell ref="B142:C142"/>
  </mergeCells>
  <hyperlinks>
    <hyperlink ref="I1" location="Index!B2" display="Index" xr:uid="{F150483D-AA97-4EC7-8798-2E3E0C7356D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B23E2-66E2-4D7D-8E12-D0FC16FEF972}">
  <sheetPr>
    <outlinePr summaryBelow="0" summaryRight="0"/>
  </sheetPr>
  <dimension ref="A1:Q157"/>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816</v>
      </c>
      <c r="B2" s="242"/>
      <c r="C2" s="242"/>
      <c r="D2" s="242"/>
      <c r="E2" s="242"/>
      <c r="F2" s="242"/>
      <c r="G2" s="242"/>
      <c r="H2" s="242"/>
    </row>
    <row r="3" spans="1:9" ht="12.75" customHeight="1" x14ac:dyDescent="0.2">
      <c r="A3" s="242" t="s">
        <v>1171</v>
      </c>
      <c r="B3" s="242"/>
      <c r="C3" s="242"/>
      <c r="D3" s="242"/>
      <c r="E3" s="242"/>
      <c r="F3" s="242"/>
      <c r="G3" s="242"/>
      <c r="H3" s="242"/>
    </row>
    <row r="4" spans="1:9" s="26" customFormat="1" ht="30"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1294318</v>
      </c>
      <c r="F7" s="37">
        <v>12308.964180000001</v>
      </c>
      <c r="G7" s="38">
        <v>8.5359660000000004E-2</v>
      </c>
      <c r="H7" s="29" t="s">
        <v>143</v>
      </c>
    </row>
    <row r="8" spans="1:9" ht="12.75" customHeight="1" x14ac:dyDescent="0.2">
      <c r="A8" s="35">
        <v>2</v>
      </c>
      <c r="B8" s="22" t="s">
        <v>17</v>
      </c>
      <c r="C8" s="22" t="s">
        <v>18</v>
      </c>
      <c r="D8" s="22" t="s">
        <v>19</v>
      </c>
      <c r="E8" s="36">
        <v>592000</v>
      </c>
      <c r="F8" s="37">
        <v>8074.88</v>
      </c>
      <c r="G8" s="38">
        <v>5.5997320000000003E-2</v>
      </c>
      <c r="H8" s="29" t="s">
        <v>143</v>
      </c>
    </row>
    <row r="9" spans="1:9" ht="12.75" customHeight="1" x14ac:dyDescent="0.2">
      <c r="A9" s="35">
        <v>3</v>
      </c>
      <c r="B9" s="22" t="s">
        <v>31</v>
      </c>
      <c r="C9" s="22" t="s">
        <v>32</v>
      </c>
      <c r="D9" s="22" t="s">
        <v>33</v>
      </c>
      <c r="E9" s="36">
        <v>583000</v>
      </c>
      <c r="F9" s="37">
        <v>7858.84</v>
      </c>
      <c r="G9" s="38">
        <v>5.4499140000000001E-2</v>
      </c>
      <c r="H9" s="29" t="s">
        <v>143</v>
      </c>
    </row>
    <row r="10" spans="1:9" ht="12.75" customHeight="1" x14ac:dyDescent="0.2">
      <c r="A10" s="35">
        <v>4</v>
      </c>
      <c r="B10" s="22" t="s">
        <v>11</v>
      </c>
      <c r="C10" s="22" t="s">
        <v>12</v>
      </c>
      <c r="D10" s="22" t="s">
        <v>13</v>
      </c>
      <c r="E10" s="36">
        <v>310165</v>
      </c>
      <c r="F10" s="37">
        <v>5826.1393600000001</v>
      </c>
      <c r="G10" s="38">
        <v>4.0402849999999997E-2</v>
      </c>
      <c r="H10" s="29" t="s">
        <v>143</v>
      </c>
    </row>
    <row r="11" spans="1:9" ht="12.75" customHeight="1" x14ac:dyDescent="0.2">
      <c r="A11" s="35">
        <v>5</v>
      </c>
      <c r="B11" s="22" t="s">
        <v>327</v>
      </c>
      <c r="C11" s="22" t="s">
        <v>328</v>
      </c>
      <c r="D11" s="22" t="s">
        <v>33</v>
      </c>
      <c r="E11" s="36">
        <v>505000</v>
      </c>
      <c r="F11" s="37">
        <v>5714.58</v>
      </c>
      <c r="G11" s="38">
        <v>3.962922E-2</v>
      </c>
      <c r="H11" s="29" t="s">
        <v>143</v>
      </c>
    </row>
    <row r="12" spans="1:9" ht="12.75" customHeight="1" x14ac:dyDescent="0.2">
      <c r="A12" s="35">
        <v>6</v>
      </c>
      <c r="B12" s="22" t="s">
        <v>42</v>
      </c>
      <c r="C12" s="22" t="s">
        <v>43</v>
      </c>
      <c r="D12" s="22" t="s">
        <v>33</v>
      </c>
      <c r="E12" s="36">
        <v>595000</v>
      </c>
      <c r="F12" s="37">
        <v>5191.0775000000003</v>
      </c>
      <c r="G12" s="38">
        <v>3.5998860000000001E-2</v>
      </c>
      <c r="H12" s="29" t="s">
        <v>143</v>
      </c>
    </row>
    <row r="13" spans="1:9" ht="12.75" customHeight="1" x14ac:dyDescent="0.2">
      <c r="A13" s="35">
        <v>7</v>
      </c>
      <c r="B13" s="22" t="s">
        <v>325</v>
      </c>
      <c r="C13" s="22" t="s">
        <v>326</v>
      </c>
      <c r="D13" s="22" t="s">
        <v>215</v>
      </c>
      <c r="E13" s="36">
        <v>352000</v>
      </c>
      <c r="F13" s="37">
        <v>5075.1360000000004</v>
      </c>
      <c r="G13" s="38">
        <v>3.5194830000000003E-2</v>
      </c>
      <c r="H13" s="29" t="s">
        <v>143</v>
      </c>
    </row>
    <row r="14" spans="1:9" ht="12.75" customHeight="1" x14ac:dyDescent="0.2">
      <c r="A14" s="35">
        <v>8</v>
      </c>
      <c r="B14" s="22" t="s">
        <v>14</v>
      </c>
      <c r="C14" s="22" t="s">
        <v>15</v>
      </c>
      <c r="D14" s="22" t="s">
        <v>16</v>
      </c>
      <c r="E14" s="36">
        <v>138000</v>
      </c>
      <c r="F14" s="37">
        <v>5049.42</v>
      </c>
      <c r="G14" s="38">
        <v>3.5016489999999997E-2</v>
      </c>
      <c r="H14" s="29" t="s">
        <v>143</v>
      </c>
    </row>
    <row r="15" spans="1:9" ht="12.75" customHeight="1" x14ac:dyDescent="0.2">
      <c r="A15" s="35">
        <v>9</v>
      </c>
      <c r="B15" s="22" t="s">
        <v>421</v>
      </c>
      <c r="C15" s="22" t="s">
        <v>422</v>
      </c>
      <c r="D15" s="22" t="s">
        <v>423</v>
      </c>
      <c r="E15" s="36">
        <v>1210000</v>
      </c>
      <c r="F15" s="37">
        <v>4858.7550000000001</v>
      </c>
      <c r="G15" s="38">
        <v>3.369428E-2</v>
      </c>
      <c r="H15" s="29" t="s">
        <v>143</v>
      </c>
    </row>
    <row r="16" spans="1:9" ht="12.75" customHeight="1" x14ac:dyDescent="0.2">
      <c r="A16" s="35">
        <v>10</v>
      </c>
      <c r="B16" s="22" t="s">
        <v>23</v>
      </c>
      <c r="C16" s="22" t="s">
        <v>24</v>
      </c>
      <c r="D16" s="22" t="s">
        <v>25</v>
      </c>
      <c r="E16" s="36">
        <v>32000</v>
      </c>
      <c r="F16" s="37">
        <v>3911.04</v>
      </c>
      <c r="G16" s="38">
        <v>2.7122110000000001E-2</v>
      </c>
      <c r="H16" s="29" t="s">
        <v>143</v>
      </c>
    </row>
    <row r="17" spans="1:8" ht="12.75" customHeight="1" x14ac:dyDescent="0.2">
      <c r="A17" s="35">
        <v>11</v>
      </c>
      <c r="B17" s="22" t="s">
        <v>435</v>
      </c>
      <c r="C17" s="22" t="s">
        <v>436</v>
      </c>
      <c r="D17" s="22" t="s">
        <v>194</v>
      </c>
      <c r="E17" s="36">
        <v>236775</v>
      </c>
      <c r="F17" s="37">
        <v>3559.4385750000001</v>
      </c>
      <c r="G17" s="38">
        <v>2.4683839999999999E-2</v>
      </c>
      <c r="H17" s="29" t="s">
        <v>143</v>
      </c>
    </row>
    <row r="18" spans="1:8" ht="12.75" customHeight="1" x14ac:dyDescent="0.2">
      <c r="A18" s="35">
        <v>12</v>
      </c>
      <c r="B18" s="22" t="s">
        <v>805</v>
      </c>
      <c r="C18" s="22" t="s">
        <v>806</v>
      </c>
      <c r="D18" s="22" t="s">
        <v>239</v>
      </c>
      <c r="E18" s="36">
        <v>19735</v>
      </c>
      <c r="F18" s="37">
        <v>3314.49325</v>
      </c>
      <c r="G18" s="38">
        <v>2.2985200000000001E-2</v>
      </c>
      <c r="H18" s="29" t="s">
        <v>143</v>
      </c>
    </row>
    <row r="19" spans="1:8" ht="12.75" customHeight="1" x14ac:dyDescent="0.2">
      <c r="A19" s="35">
        <v>13</v>
      </c>
      <c r="B19" s="22" t="s">
        <v>499</v>
      </c>
      <c r="C19" s="22" t="s">
        <v>500</v>
      </c>
      <c r="D19" s="22" t="s">
        <v>239</v>
      </c>
      <c r="E19" s="36">
        <v>19168</v>
      </c>
      <c r="F19" s="37">
        <v>3072.4387200000001</v>
      </c>
      <c r="G19" s="38">
        <v>2.130661E-2</v>
      </c>
      <c r="H19" s="29" t="s">
        <v>143</v>
      </c>
    </row>
    <row r="20" spans="1:8" ht="12.75" customHeight="1" x14ac:dyDescent="0.2">
      <c r="A20" s="35">
        <v>14</v>
      </c>
      <c r="B20" s="22" t="s">
        <v>73</v>
      </c>
      <c r="C20" s="22" t="s">
        <v>74</v>
      </c>
      <c r="D20" s="22" t="s">
        <v>75</v>
      </c>
      <c r="E20" s="36">
        <v>1700000</v>
      </c>
      <c r="F20" s="37">
        <v>2996.93</v>
      </c>
      <c r="G20" s="38">
        <v>2.078298E-2</v>
      </c>
      <c r="H20" s="29" t="s">
        <v>143</v>
      </c>
    </row>
    <row r="21" spans="1:8" ht="12.75" customHeight="1" x14ac:dyDescent="0.2">
      <c r="A21" s="35">
        <v>15</v>
      </c>
      <c r="B21" s="22" t="s">
        <v>246</v>
      </c>
      <c r="C21" s="22" t="s">
        <v>247</v>
      </c>
      <c r="D21" s="22" t="s">
        <v>194</v>
      </c>
      <c r="E21" s="36">
        <v>54500</v>
      </c>
      <c r="F21" s="37">
        <v>2956.625</v>
      </c>
      <c r="G21" s="38">
        <v>2.0503469999999999E-2</v>
      </c>
      <c r="H21" s="29" t="s">
        <v>143</v>
      </c>
    </row>
    <row r="22" spans="1:8" ht="12.75" customHeight="1" x14ac:dyDescent="0.2">
      <c r="A22" s="35">
        <v>16</v>
      </c>
      <c r="B22" s="22" t="s">
        <v>417</v>
      </c>
      <c r="C22" s="22" t="s">
        <v>418</v>
      </c>
      <c r="D22" s="22" t="s">
        <v>239</v>
      </c>
      <c r="E22" s="36">
        <v>434000</v>
      </c>
      <c r="F22" s="37">
        <v>2952.0680000000002</v>
      </c>
      <c r="G22" s="38">
        <v>2.047187E-2</v>
      </c>
      <c r="H22" s="29" t="s">
        <v>143</v>
      </c>
    </row>
    <row r="23" spans="1:8" ht="12.75" customHeight="1" x14ac:dyDescent="0.2">
      <c r="A23" s="35">
        <v>17</v>
      </c>
      <c r="B23" s="22" t="s">
        <v>291</v>
      </c>
      <c r="C23" s="22" t="s">
        <v>292</v>
      </c>
      <c r="D23" s="22" t="s">
        <v>254</v>
      </c>
      <c r="E23" s="36">
        <v>530885</v>
      </c>
      <c r="F23" s="37">
        <v>2857.4885125000001</v>
      </c>
      <c r="G23" s="38">
        <v>1.9815989999999999E-2</v>
      </c>
      <c r="H23" s="29" t="s">
        <v>143</v>
      </c>
    </row>
    <row r="24" spans="1:8" ht="12.75" customHeight="1" x14ac:dyDescent="0.2">
      <c r="A24" s="35">
        <v>18</v>
      </c>
      <c r="B24" s="22" t="s">
        <v>511</v>
      </c>
      <c r="C24" s="22" t="s">
        <v>512</v>
      </c>
      <c r="D24" s="22" t="s">
        <v>230</v>
      </c>
      <c r="E24" s="36">
        <v>602000</v>
      </c>
      <c r="F24" s="37">
        <v>2671.0740000000001</v>
      </c>
      <c r="G24" s="38">
        <v>1.8523250000000002E-2</v>
      </c>
      <c r="H24" s="29" t="s">
        <v>143</v>
      </c>
    </row>
    <row r="25" spans="1:8" ht="12.75" customHeight="1" x14ac:dyDescent="0.2">
      <c r="A25" s="35">
        <v>19</v>
      </c>
      <c r="B25" s="22" t="s">
        <v>20</v>
      </c>
      <c r="C25" s="22" t="s">
        <v>21</v>
      </c>
      <c r="D25" s="22" t="s">
        <v>22</v>
      </c>
      <c r="E25" s="36">
        <v>782000</v>
      </c>
      <c r="F25" s="37">
        <v>2662.319</v>
      </c>
      <c r="G25" s="38">
        <v>1.8462530000000001E-2</v>
      </c>
      <c r="H25" s="29" t="s">
        <v>143</v>
      </c>
    </row>
    <row r="26" spans="1:8" ht="12.75" customHeight="1" x14ac:dyDescent="0.2">
      <c r="A26" s="35">
        <v>20</v>
      </c>
      <c r="B26" s="22" t="s">
        <v>103</v>
      </c>
      <c r="C26" s="22" t="s">
        <v>104</v>
      </c>
      <c r="D26" s="22" t="s">
        <v>25</v>
      </c>
      <c r="E26" s="36">
        <v>465833</v>
      </c>
      <c r="F26" s="37">
        <v>2655.0151835000001</v>
      </c>
      <c r="G26" s="38">
        <v>1.8411879999999999E-2</v>
      </c>
      <c r="H26" s="29" t="s">
        <v>143</v>
      </c>
    </row>
    <row r="27" spans="1:8" ht="12.75" customHeight="1" x14ac:dyDescent="0.2">
      <c r="A27" s="35">
        <v>21</v>
      </c>
      <c r="B27" s="22" t="s">
        <v>349</v>
      </c>
      <c r="C27" s="22" t="s">
        <v>350</v>
      </c>
      <c r="D27" s="22" t="s">
        <v>194</v>
      </c>
      <c r="E27" s="36">
        <v>150000</v>
      </c>
      <c r="F27" s="37">
        <v>2391.4499999999998</v>
      </c>
      <c r="G27" s="38">
        <v>1.6584120000000001E-2</v>
      </c>
      <c r="H27" s="29" t="s">
        <v>143</v>
      </c>
    </row>
    <row r="28" spans="1:8" ht="12.75" customHeight="1" x14ac:dyDescent="0.2">
      <c r="A28" s="35">
        <v>22</v>
      </c>
      <c r="B28" s="22" t="s">
        <v>101</v>
      </c>
      <c r="C28" s="22" t="s">
        <v>102</v>
      </c>
      <c r="D28" s="22" t="s">
        <v>64</v>
      </c>
      <c r="E28" s="36">
        <v>256337</v>
      </c>
      <c r="F28" s="37">
        <v>2355.2243560000002</v>
      </c>
      <c r="G28" s="38">
        <v>1.6332909999999999E-2</v>
      </c>
      <c r="H28" s="29" t="s">
        <v>143</v>
      </c>
    </row>
    <row r="29" spans="1:8" ht="12.75" customHeight="1" x14ac:dyDescent="0.2">
      <c r="A29" s="35">
        <v>23</v>
      </c>
      <c r="B29" s="22" t="s">
        <v>776</v>
      </c>
      <c r="C29" s="22" t="s">
        <v>777</v>
      </c>
      <c r="D29" s="22" t="s">
        <v>284</v>
      </c>
      <c r="E29" s="36">
        <v>540000</v>
      </c>
      <c r="F29" s="37">
        <v>2283.9299999999998</v>
      </c>
      <c r="G29" s="38">
        <v>1.5838499999999998E-2</v>
      </c>
      <c r="H29" s="29" t="s">
        <v>143</v>
      </c>
    </row>
    <row r="30" spans="1:8" ht="12.75" customHeight="1" x14ac:dyDescent="0.2">
      <c r="A30" s="35">
        <v>24</v>
      </c>
      <c r="B30" s="22" t="s">
        <v>501</v>
      </c>
      <c r="C30" s="22" t="s">
        <v>502</v>
      </c>
      <c r="D30" s="22" t="s">
        <v>230</v>
      </c>
      <c r="E30" s="36">
        <v>170000</v>
      </c>
      <c r="F30" s="37">
        <v>2251.31</v>
      </c>
      <c r="G30" s="38">
        <v>1.5612289999999999E-2</v>
      </c>
      <c r="H30" s="29" t="s">
        <v>143</v>
      </c>
    </row>
    <row r="31" spans="1:8" ht="12.75" customHeight="1" x14ac:dyDescent="0.2">
      <c r="A31" s="35">
        <v>25</v>
      </c>
      <c r="B31" s="22" t="s">
        <v>748</v>
      </c>
      <c r="C31" s="22" t="s">
        <v>749</v>
      </c>
      <c r="D31" s="22" t="s">
        <v>188</v>
      </c>
      <c r="E31" s="36">
        <v>110000</v>
      </c>
      <c r="F31" s="37">
        <v>2239.6</v>
      </c>
      <c r="G31" s="38">
        <v>1.5531079999999999E-2</v>
      </c>
      <c r="H31" s="29" t="s">
        <v>143</v>
      </c>
    </row>
    <row r="32" spans="1:8" ht="12.75" customHeight="1" x14ac:dyDescent="0.2">
      <c r="A32" s="35">
        <v>26</v>
      </c>
      <c r="B32" s="22" t="s">
        <v>433</v>
      </c>
      <c r="C32" s="22" t="s">
        <v>434</v>
      </c>
      <c r="D32" s="22" t="s">
        <v>215</v>
      </c>
      <c r="E32" s="36">
        <v>74734</v>
      </c>
      <c r="F32" s="37">
        <v>2158.6168560000001</v>
      </c>
      <c r="G32" s="38">
        <v>1.496948E-2</v>
      </c>
      <c r="H32" s="29" t="s">
        <v>143</v>
      </c>
    </row>
    <row r="33" spans="1:8" ht="12.75" customHeight="1" x14ac:dyDescent="0.2">
      <c r="A33" s="35">
        <v>27</v>
      </c>
      <c r="B33" s="22" t="s">
        <v>443</v>
      </c>
      <c r="C33" s="22" t="s">
        <v>444</v>
      </c>
      <c r="D33" s="22" t="s">
        <v>33</v>
      </c>
      <c r="E33" s="36">
        <v>270000</v>
      </c>
      <c r="F33" s="37">
        <v>1985.9849999999999</v>
      </c>
      <c r="G33" s="38">
        <v>1.3772319999999999E-2</v>
      </c>
      <c r="H33" s="29" t="s">
        <v>143</v>
      </c>
    </row>
    <row r="34" spans="1:8" ht="12.75" customHeight="1" x14ac:dyDescent="0.2">
      <c r="A34" s="35">
        <v>28</v>
      </c>
      <c r="B34" s="22" t="s">
        <v>431</v>
      </c>
      <c r="C34" s="22" t="s">
        <v>432</v>
      </c>
      <c r="D34" s="22" t="s">
        <v>203</v>
      </c>
      <c r="E34" s="36">
        <v>169962</v>
      </c>
      <c r="F34" s="37">
        <v>1919.380866</v>
      </c>
      <c r="G34" s="38">
        <v>1.331044E-2</v>
      </c>
      <c r="H34" s="29" t="s">
        <v>143</v>
      </c>
    </row>
    <row r="35" spans="1:8" ht="12.75" customHeight="1" x14ac:dyDescent="0.2">
      <c r="A35" s="35">
        <v>29</v>
      </c>
      <c r="B35" s="22" t="s">
        <v>807</v>
      </c>
      <c r="C35" s="22" t="s">
        <v>808</v>
      </c>
      <c r="D35" s="22" t="s">
        <v>185</v>
      </c>
      <c r="E35" s="36">
        <v>268000</v>
      </c>
      <c r="F35" s="37">
        <v>1757.5440000000001</v>
      </c>
      <c r="G35" s="38">
        <v>1.218814E-2</v>
      </c>
      <c r="H35" s="29" t="s">
        <v>143</v>
      </c>
    </row>
    <row r="36" spans="1:8" ht="12.75" customHeight="1" x14ac:dyDescent="0.2">
      <c r="A36" s="35">
        <v>30</v>
      </c>
      <c r="B36" s="22" t="s">
        <v>513</v>
      </c>
      <c r="C36" s="22" t="s">
        <v>514</v>
      </c>
      <c r="D36" s="22" t="s">
        <v>239</v>
      </c>
      <c r="E36" s="36">
        <v>32000</v>
      </c>
      <c r="F36" s="37">
        <v>1751.2</v>
      </c>
      <c r="G36" s="38">
        <v>1.2144139999999999E-2</v>
      </c>
      <c r="H36" s="29" t="s">
        <v>143</v>
      </c>
    </row>
    <row r="37" spans="1:8" ht="12.75" customHeight="1" x14ac:dyDescent="0.2">
      <c r="A37" s="35">
        <v>31</v>
      </c>
      <c r="B37" s="22" t="s">
        <v>817</v>
      </c>
      <c r="C37" s="22" t="s">
        <v>818</v>
      </c>
      <c r="D37" s="22" t="s">
        <v>133</v>
      </c>
      <c r="E37" s="36">
        <v>325000</v>
      </c>
      <c r="F37" s="37">
        <v>1734.5250000000001</v>
      </c>
      <c r="G37" s="38">
        <v>1.2028509999999999E-2</v>
      </c>
      <c r="H37" s="29" t="s">
        <v>143</v>
      </c>
    </row>
    <row r="38" spans="1:8" ht="12.75" customHeight="1" x14ac:dyDescent="0.2">
      <c r="A38" s="35">
        <v>32</v>
      </c>
      <c r="B38" s="22" t="s">
        <v>424</v>
      </c>
      <c r="C38" s="22" t="s">
        <v>425</v>
      </c>
      <c r="D38" s="22" t="s">
        <v>215</v>
      </c>
      <c r="E38" s="36">
        <v>125000</v>
      </c>
      <c r="F38" s="37">
        <v>1731.375</v>
      </c>
      <c r="G38" s="38">
        <v>1.2006660000000001E-2</v>
      </c>
      <c r="H38" s="29" t="s">
        <v>143</v>
      </c>
    </row>
    <row r="39" spans="1:8" ht="12.75" customHeight="1" x14ac:dyDescent="0.2">
      <c r="A39" s="35">
        <v>33</v>
      </c>
      <c r="B39" s="22" t="s">
        <v>195</v>
      </c>
      <c r="C39" s="22" t="s">
        <v>196</v>
      </c>
      <c r="D39" s="22" t="s">
        <v>19</v>
      </c>
      <c r="E39" s="36">
        <v>380000</v>
      </c>
      <c r="F39" s="37">
        <v>1684.92</v>
      </c>
      <c r="G39" s="38">
        <v>1.168451E-2</v>
      </c>
      <c r="H39" s="29" t="s">
        <v>143</v>
      </c>
    </row>
    <row r="40" spans="1:8" ht="12.75" customHeight="1" x14ac:dyDescent="0.2">
      <c r="A40" s="35">
        <v>34</v>
      </c>
      <c r="B40" s="22" t="s">
        <v>301</v>
      </c>
      <c r="C40" s="22" t="s">
        <v>302</v>
      </c>
      <c r="D40" s="22" t="s">
        <v>64</v>
      </c>
      <c r="E40" s="36">
        <v>35000</v>
      </c>
      <c r="F40" s="37">
        <v>1650.46</v>
      </c>
      <c r="G40" s="38">
        <v>1.1445540000000001E-2</v>
      </c>
      <c r="H40" s="29" t="s">
        <v>143</v>
      </c>
    </row>
    <row r="41" spans="1:8" ht="12.75" customHeight="1" x14ac:dyDescent="0.2">
      <c r="A41" s="35">
        <v>35</v>
      </c>
      <c r="B41" s="22" t="s">
        <v>233</v>
      </c>
      <c r="C41" s="22" t="s">
        <v>234</v>
      </c>
      <c r="D41" s="22" t="s">
        <v>41</v>
      </c>
      <c r="E41" s="36">
        <v>335000</v>
      </c>
      <c r="F41" s="37">
        <v>1584.3824999999999</v>
      </c>
      <c r="G41" s="38">
        <v>1.098731E-2</v>
      </c>
      <c r="H41" s="29" t="s">
        <v>143</v>
      </c>
    </row>
    <row r="42" spans="1:8" ht="12.75" customHeight="1" x14ac:dyDescent="0.2">
      <c r="A42" s="35">
        <v>36</v>
      </c>
      <c r="B42" s="22" t="s">
        <v>819</v>
      </c>
      <c r="C42" s="22" t="s">
        <v>820</v>
      </c>
      <c r="D42" s="22" t="s">
        <v>46</v>
      </c>
      <c r="E42" s="36">
        <v>612000</v>
      </c>
      <c r="F42" s="37">
        <v>1513.9656</v>
      </c>
      <c r="G42" s="38">
        <v>1.049898E-2</v>
      </c>
      <c r="H42" s="29" t="s">
        <v>143</v>
      </c>
    </row>
    <row r="43" spans="1:8" ht="12.75" customHeight="1" x14ac:dyDescent="0.2">
      <c r="A43" s="35">
        <v>37</v>
      </c>
      <c r="B43" s="22" t="s">
        <v>821</v>
      </c>
      <c r="C43" s="22" t="s">
        <v>822</v>
      </c>
      <c r="D43" s="22" t="s">
        <v>75</v>
      </c>
      <c r="E43" s="36">
        <v>113589</v>
      </c>
      <c r="F43" s="37">
        <v>1471.0911390000001</v>
      </c>
      <c r="G43" s="38">
        <v>1.020166E-2</v>
      </c>
      <c r="H43" s="29" t="s">
        <v>143</v>
      </c>
    </row>
    <row r="44" spans="1:8" ht="12.75" customHeight="1" x14ac:dyDescent="0.2">
      <c r="A44" s="35">
        <v>38</v>
      </c>
      <c r="B44" s="22" t="s">
        <v>339</v>
      </c>
      <c r="C44" s="22" t="s">
        <v>340</v>
      </c>
      <c r="D44" s="22" t="s">
        <v>25</v>
      </c>
      <c r="E44" s="36">
        <v>53000</v>
      </c>
      <c r="F44" s="37">
        <v>1461.1569999999999</v>
      </c>
      <c r="G44" s="38">
        <v>1.0132769999999999E-2</v>
      </c>
      <c r="H44" s="29" t="s">
        <v>143</v>
      </c>
    </row>
    <row r="45" spans="1:8" ht="12.75" customHeight="1" x14ac:dyDescent="0.2">
      <c r="A45" s="35">
        <v>39</v>
      </c>
      <c r="B45" s="22" t="s">
        <v>204</v>
      </c>
      <c r="C45" s="22" t="s">
        <v>205</v>
      </c>
      <c r="D45" s="22" t="s">
        <v>206</v>
      </c>
      <c r="E45" s="36">
        <v>235000</v>
      </c>
      <c r="F45" s="37">
        <v>1450.89</v>
      </c>
      <c r="G45" s="38">
        <v>1.0061570000000001E-2</v>
      </c>
      <c r="H45" s="29" t="s">
        <v>143</v>
      </c>
    </row>
    <row r="46" spans="1:8" ht="12.75" customHeight="1" x14ac:dyDescent="0.2">
      <c r="A46" s="35">
        <v>40</v>
      </c>
      <c r="B46" s="22" t="s">
        <v>29</v>
      </c>
      <c r="C46" s="22" t="s">
        <v>30</v>
      </c>
      <c r="D46" s="22" t="s">
        <v>22</v>
      </c>
      <c r="E46" s="36">
        <v>515053</v>
      </c>
      <c r="F46" s="37">
        <v>1443.4360325</v>
      </c>
      <c r="G46" s="38">
        <v>1.0009880000000001E-2</v>
      </c>
      <c r="H46" s="29" t="s">
        <v>143</v>
      </c>
    </row>
    <row r="47" spans="1:8" ht="12.75" customHeight="1" x14ac:dyDescent="0.2">
      <c r="A47" s="35">
        <v>41</v>
      </c>
      <c r="B47" s="22" t="s">
        <v>287</v>
      </c>
      <c r="C47" s="22" t="s">
        <v>288</v>
      </c>
      <c r="D47" s="22" t="s">
        <v>185</v>
      </c>
      <c r="E47" s="36">
        <v>40000</v>
      </c>
      <c r="F47" s="37">
        <v>1405.4</v>
      </c>
      <c r="G47" s="38">
        <v>9.7461100000000005E-3</v>
      </c>
      <c r="H47" s="29" t="s">
        <v>143</v>
      </c>
    </row>
    <row r="48" spans="1:8" ht="12.75" customHeight="1" x14ac:dyDescent="0.2">
      <c r="A48" s="35">
        <v>42</v>
      </c>
      <c r="B48" s="22" t="s">
        <v>515</v>
      </c>
      <c r="C48" s="22" t="s">
        <v>516</v>
      </c>
      <c r="D48" s="22" t="s">
        <v>215</v>
      </c>
      <c r="E48" s="36">
        <v>100000</v>
      </c>
      <c r="F48" s="37">
        <v>1400.3</v>
      </c>
      <c r="G48" s="38">
        <v>9.7107400000000007E-3</v>
      </c>
      <c r="H48" s="29" t="s">
        <v>143</v>
      </c>
    </row>
    <row r="49" spans="1:8" ht="12.75" customHeight="1" x14ac:dyDescent="0.2">
      <c r="A49" s="35">
        <v>43</v>
      </c>
      <c r="B49" s="22" t="s">
        <v>505</v>
      </c>
      <c r="C49" s="22" t="s">
        <v>506</v>
      </c>
      <c r="D49" s="22" t="s">
        <v>41</v>
      </c>
      <c r="E49" s="36">
        <v>140000</v>
      </c>
      <c r="F49" s="37">
        <v>1385.09</v>
      </c>
      <c r="G49" s="38">
        <v>9.6052599999999991E-3</v>
      </c>
      <c r="H49" s="29" t="s">
        <v>143</v>
      </c>
    </row>
    <row r="50" spans="1:8" ht="12.75" customHeight="1" x14ac:dyDescent="0.2">
      <c r="A50" s="35">
        <v>44</v>
      </c>
      <c r="B50" s="22" t="s">
        <v>482</v>
      </c>
      <c r="C50" s="22" t="s">
        <v>483</v>
      </c>
      <c r="D50" s="22" t="s">
        <v>259</v>
      </c>
      <c r="E50" s="36">
        <v>112500</v>
      </c>
      <c r="F50" s="37">
        <v>1289.4749999999999</v>
      </c>
      <c r="G50" s="38">
        <v>8.9421899999999992E-3</v>
      </c>
      <c r="H50" s="29" t="s">
        <v>143</v>
      </c>
    </row>
    <row r="51" spans="1:8" ht="12.75" customHeight="1" x14ac:dyDescent="0.2">
      <c r="A51" s="35">
        <v>45</v>
      </c>
      <c r="B51" s="22" t="s">
        <v>823</v>
      </c>
      <c r="C51" s="22" t="s">
        <v>824</v>
      </c>
      <c r="D51" s="22" t="s">
        <v>46</v>
      </c>
      <c r="E51" s="36">
        <v>110000</v>
      </c>
      <c r="F51" s="37">
        <v>1281.5</v>
      </c>
      <c r="G51" s="38">
        <v>8.8868899999999997E-3</v>
      </c>
      <c r="H51" s="29" t="s">
        <v>143</v>
      </c>
    </row>
    <row r="52" spans="1:8" ht="12.75" customHeight="1" x14ac:dyDescent="0.2">
      <c r="A52" s="35">
        <v>46</v>
      </c>
      <c r="B52" s="22" t="s">
        <v>688</v>
      </c>
      <c r="C52" s="22" t="s">
        <v>689</v>
      </c>
      <c r="D52" s="22" t="s">
        <v>61</v>
      </c>
      <c r="E52" s="36">
        <v>274000</v>
      </c>
      <c r="F52" s="37">
        <v>1133.8119999999999</v>
      </c>
      <c r="G52" s="38">
        <v>7.8627100000000002E-3</v>
      </c>
      <c r="H52" s="29" t="s">
        <v>143</v>
      </c>
    </row>
    <row r="53" spans="1:8" ht="12.75" customHeight="1" x14ac:dyDescent="0.2">
      <c r="A53" s="35">
        <v>47</v>
      </c>
      <c r="B53" s="22" t="s">
        <v>136</v>
      </c>
      <c r="C53" s="22" t="s">
        <v>137</v>
      </c>
      <c r="D53" s="22" t="s">
        <v>138</v>
      </c>
      <c r="E53" s="36">
        <v>294000</v>
      </c>
      <c r="F53" s="37">
        <v>970.053</v>
      </c>
      <c r="G53" s="38">
        <v>6.7270799999999999E-3</v>
      </c>
      <c r="H53" s="29" t="s">
        <v>143</v>
      </c>
    </row>
    <row r="54" spans="1:8" ht="12.75" customHeight="1" x14ac:dyDescent="0.2">
      <c r="A54" s="35">
        <v>48</v>
      </c>
      <c r="B54" s="22" t="s">
        <v>276</v>
      </c>
      <c r="C54" s="22" t="s">
        <v>277</v>
      </c>
      <c r="D54" s="22" t="s">
        <v>206</v>
      </c>
      <c r="E54" s="36">
        <v>454147</v>
      </c>
      <c r="F54" s="37">
        <v>763.10320409999997</v>
      </c>
      <c r="G54" s="38">
        <v>5.2919300000000002E-3</v>
      </c>
      <c r="H54" s="29" t="s">
        <v>143</v>
      </c>
    </row>
    <row r="55" spans="1:8" ht="12.75" customHeight="1" x14ac:dyDescent="0.2">
      <c r="A55" s="39"/>
      <c r="B55" s="39"/>
      <c r="C55" s="40" t="s">
        <v>142</v>
      </c>
      <c r="D55" s="39"/>
      <c r="E55" s="39" t="s">
        <v>143</v>
      </c>
      <c r="F55" s="41">
        <v>140015.8988346</v>
      </c>
      <c r="G55" s="42">
        <v>0.97097610000000001</v>
      </c>
      <c r="H55" s="29" t="s">
        <v>143</v>
      </c>
    </row>
    <row r="56" spans="1:8" ht="12.75" customHeight="1" x14ac:dyDescent="0.2">
      <c r="A56" s="39"/>
      <c r="B56" s="39"/>
      <c r="C56" s="43"/>
      <c r="D56" s="39"/>
      <c r="E56" s="39"/>
      <c r="F56" s="44"/>
      <c r="G56" s="44"/>
      <c r="H56" s="29" t="s">
        <v>143</v>
      </c>
    </row>
    <row r="57" spans="1:8" ht="12.75" customHeight="1" x14ac:dyDescent="0.2">
      <c r="A57" s="39"/>
      <c r="B57" s="39"/>
      <c r="C57" s="40" t="s">
        <v>144</v>
      </c>
      <c r="D57" s="39"/>
      <c r="E57" s="39"/>
      <c r="F57" s="39"/>
      <c r="G57" s="39"/>
      <c r="H57" s="29" t="s">
        <v>143</v>
      </c>
    </row>
    <row r="58" spans="1:8" ht="12.75" customHeight="1" x14ac:dyDescent="0.2">
      <c r="A58" s="39"/>
      <c r="B58" s="39"/>
      <c r="C58" s="40" t="s">
        <v>142</v>
      </c>
      <c r="D58" s="39"/>
      <c r="E58" s="39" t="s">
        <v>143</v>
      </c>
      <c r="F58" s="45" t="s">
        <v>145</v>
      </c>
      <c r="G58" s="42">
        <v>0</v>
      </c>
      <c r="H58" s="29" t="s">
        <v>143</v>
      </c>
    </row>
    <row r="59" spans="1:8" ht="12.75" customHeight="1" x14ac:dyDescent="0.2">
      <c r="A59" s="39"/>
      <c r="B59" s="39"/>
      <c r="C59" s="43"/>
      <c r="D59" s="39"/>
      <c r="E59" s="39"/>
      <c r="F59" s="44"/>
      <c r="G59" s="44"/>
      <c r="H59" s="29" t="s">
        <v>143</v>
      </c>
    </row>
    <row r="60" spans="1:8" ht="12.75" customHeight="1" x14ac:dyDescent="0.2">
      <c r="A60" s="39"/>
      <c r="B60" s="39"/>
      <c r="C60" s="40" t="s">
        <v>146</v>
      </c>
      <c r="D60" s="39"/>
      <c r="E60" s="39"/>
      <c r="F60" s="39"/>
      <c r="G60" s="39"/>
      <c r="H60" s="29" t="s">
        <v>143</v>
      </c>
    </row>
    <row r="61" spans="1:8" ht="12.75" customHeight="1" x14ac:dyDescent="0.2">
      <c r="A61" s="39"/>
      <c r="B61" s="39"/>
      <c r="C61" s="40" t="s">
        <v>142</v>
      </c>
      <c r="D61" s="39"/>
      <c r="E61" s="39" t="s">
        <v>143</v>
      </c>
      <c r="F61" s="45" t="s">
        <v>145</v>
      </c>
      <c r="G61" s="42">
        <v>0</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147</v>
      </c>
      <c r="D63" s="39"/>
      <c r="E63" s="39"/>
      <c r="F63" s="39"/>
      <c r="G63" s="39"/>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148</v>
      </c>
      <c r="D66" s="39"/>
      <c r="E66" s="39"/>
      <c r="F66" s="44"/>
      <c r="G66" s="44"/>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149</v>
      </c>
      <c r="D69" s="39"/>
      <c r="E69" s="39"/>
      <c r="F69" s="44"/>
      <c r="G69" s="44"/>
      <c r="H69" s="29" t="s">
        <v>143</v>
      </c>
    </row>
    <row r="70" spans="1:8" ht="12.75" customHeight="1" x14ac:dyDescent="0.2">
      <c r="A70" s="39"/>
      <c r="B70" s="39"/>
      <c r="C70" s="40" t="s">
        <v>142</v>
      </c>
      <c r="D70" s="39"/>
      <c r="E70" s="39" t="s">
        <v>143</v>
      </c>
      <c r="F70" s="45" t="s">
        <v>145</v>
      </c>
      <c r="G70" s="42">
        <v>0</v>
      </c>
      <c r="H70" s="29" t="s">
        <v>143</v>
      </c>
    </row>
    <row r="71" spans="1:8" ht="12.75" customHeight="1" x14ac:dyDescent="0.2">
      <c r="A71" s="39"/>
      <c r="B71" s="39"/>
      <c r="C71" s="43"/>
      <c r="D71" s="39"/>
      <c r="E71" s="39"/>
      <c r="F71" s="44"/>
      <c r="G71" s="44"/>
      <c r="H71" s="29" t="s">
        <v>143</v>
      </c>
    </row>
    <row r="72" spans="1:8" ht="12.75" customHeight="1" x14ac:dyDescent="0.2">
      <c r="A72" s="39"/>
      <c r="B72" s="39"/>
      <c r="C72" s="40" t="s">
        <v>150</v>
      </c>
      <c r="D72" s="39"/>
      <c r="E72" s="39"/>
      <c r="F72" s="41">
        <v>140015.8988346</v>
      </c>
      <c r="G72" s="42">
        <v>0.97097610000000001</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151</v>
      </c>
      <c r="D74" s="39"/>
      <c r="E74" s="39"/>
      <c r="F74" s="44"/>
      <c r="G74" s="44"/>
      <c r="H74" s="29" t="s">
        <v>143</v>
      </c>
    </row>
    <row r="75" spans="1:8" ht="12.75" customHeight="1" x14ac:dyDescent="0.2">
      <c r="A75" s="39"/>
      <c r="B75" s="39"/>
      <c r="C75" s="40" t="s">
        <v>10</v>
      </c>
      <c r="D75" s="39"/>
      <c r="E75" s="39"/>
      <c r="F75" s="44"/>
      <c r="G75" s="44"/>
      <c r="H75" s="29" t="s">
        <v>143</v>
      </c>
    </row>
    <row r="76" spans="1:8" ht="12.75" customHeight="1" x14ac:dyDescent="0.2">
      <c r="A76" s="39"/>
      <c r="B76" s="39"/>
      <c r="C76" s="40" t="s">
        <v>142</v>
      </c>
      <c r="D76" s="39"/>
      <c r="E76" s="39" t="s">
        <v>143</v>
      </c>
      <c r="F76" s="45" t="s">
        <v>145</v>
      </c>
      <c r="G76" s="42">
        <v>0</v>
      </c>
      <c r="H76" s="29" t="s">
        <v>143</v>
      </c>
    </row>
    <row r="77" spans="1:8" ht="12.75" customHeight="1" x14ac:dyDescent="0.2">
      <c r="A77" s="39"/>
      <c r="B77" s="39"/>
      <c r="C77" s="43"/>
      <c r="D77" s="39"/>
      <c r="E77" s="39"/>
      <c r="F77" s="44"/>
      <c r="G77" s="44"/>
      <c r="H77" s="29" t="s">
        <v>143</v>
      </c>
    </row>
    <row r="78" spans="1:8" ht="12.75" customHeight="1" x14ac:dyDescent="0.2">
      <c r="A78" s="39"/>
      <c r="B78" s="39"/>
      <c r="C78" s="40" t="s">
        <v>152</v>
      </c>
      <c r="D78" s="39"/>
      <c r="E78" s="39"/>
      <c r="F78" s="39"/>
      <c r="G78" s="39"/>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153</v>
      </c>
      <c r="D81" s="39"/>
      <c r="E81" s="39"/>
      <c r="F81" s="39"/>
      <c r="G81" s="39"/>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154</v>
      </c>
      <c r="D84" s="39"/>
      <c r="E84" s="39"/>
      <c r="F84" s="44"/>
      <c r="G84" s="44"/>
      <c r="H84" s="29" t="s">
        <v>143</v>
      </c>
    </row>
    <row r="85" spans="1:8" ht="12.75" customHeight="1" x14ac:dyDescent="0.2">
      <c r="A85" s="39"/>
      <c r="B85" s="39"/>
      <c r="C85" s="40" t="s">
        <v>142</v>
      </c>
      <c r="D85" s="39"/>
      <c r="E85" s="39" t="s">
        <v>143</v>
      </c>
      <c r="F85" s="45" t="s">
        <v>145</v>
      </c>
      <c r="G85" s="42">
        <v>0</v>
      </c>
      <c r="H85" s="29" t="s">
        <v>143</v>
      </c>
    </row>
    <row r="86" spans="1:8" ht="12.75" customHeight="1" x14ac:dyDescent="0.2">
      <c r="A86" s="39"/>
      <c r="B86" s="39"/>
      <c r="C86" s="43"/>
      <c r="D86" s="39"/>
      <c r="E86" s="39"/>
      <c r="F86" s="44"/>
      <c r="G86" s="44"/>
      <c r="H86" s="29" t="s">
        <v>143</v>
      </c>
    </row>
    <row r="87" spans="1:8" ht="12.75" customHeight="1" x14ac:dyDescent="0.2">
      <c r="A87" s="39"/>
      <c r="B87" s="39"/>
      <c r="C87" s="40" t="s">
        <v>155</v>
      </c>
      <c r="D87" s="39"/>
      <c r="E87" s="39"/>
      <c r="F87" s="41">
        <v>0</v>
      </c>
      <c r="G87" s="42">
        <v>0</v>
      </c>
      <c r="H87" s="29" t="s">
        <v>143</v>
      </c>
    </row>
    <row r="88" spans="1:8" ht="12.75" customHeight="1" x14ac:dyDescent="0.2">
      <c r="A88" s="39"/>
      <c r="B88" s="39"/>
      <c r="C88" s="43"/>
      <c r="D88" s="39"/>
      <c r="E88" s="39"/>
      <c r="F88" s="44"/>
      <c r="G88" s="44"/>
      <c r="H88" s="29" t="s">
        <v>143</v>
      </c>
    </row>
    <row r="89" spans="1:8" ht="12.75" customHeight="1" x14ac:dyDescent="0.2">
      <c r="A89" s="39"/>
      <c r="B89" s="39"/>
      <c r="C89" s="40" t="s">
        <v>156</v>
      </c>
      <c r="D89" s="39"/>
      <c r="E89" s="39"/>
      <c r="F89" s="44"/>
      <c r="G89" s="44"/>
      <c r="H89" s="29" t="s">
        <v>143</v>
      </c>
    </row>
    <row r="90" spans="1:8" ht="12.75" customHeight="1" x14ac:dyDescent="0.2">
      <c r="A90" s="39"/>
      <c r="B90" s="39"/>
      <c r="C90" s="40" t="s">
        <v>157</v>
      </c>
      <c r="D90" s="39"/>
      <c r="E90" s="39"/>
      <c r="F90" s="44"/>
      <c r="G90" s="44"/>
      <c r="H90" s="29" t="s">
        <v>143</v>
      </c>
    </row>
    <row r="91" spans="1:8" ht="12.75" customHeight="1" x14ac:dyDescent="0.2">
      <c r="A91" s="39"/>
      <c r="B91" s="39"/>
      <c r="C91" s="40" t="s">
        <v>142</v>
      </c>
      <c r="D91" s="39"/>
      <c r="E91" s="39" t="s">
        <v>143</v>
      </c>
      <c r="F91" s="45" t="s">
        <v>145</v>
      </c>
      <c r="G91" s="42">
        <v>0</v>
      </c>
      <c r="H91" s="29" t="s">
        <v>143</v>
      </c>
    </row>
    <row r="92" spans="1:8" ht="12.75" customHeight="1" x14ac:dyDescent="0.2">
      <c r="A92" s="39"/>
      <c r="B92" s="39"/>
      <c r="C92" s="43"/>
      <c r="D92" s="39"/>
      <c r="E92" s="39"/>
      <c r="F92" s="44"/>
      <c r="G92" s="44"/>
      <c r="H92" s="29" t="s">
        <v>143</v>
      </c>
    </row>
    <row r="93" spans="1:8" ht="12.75" customHeight="1" x14ac:dyDescent="0.2">
      <c r="A93" s="39"/>
      <c r="B93" s="39"/>
      <c r="C93" s="40" t="s">
        <v>158</v>
      </c>
      <c r="D93" s="39"/>
      <c r="E93" s="39"/>
      <c r="F93" s="44"/>
      <c r="G93" s="44"/>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159</v>
      </c>
      <c r="D96" s="39"/>
      <c r="E96" s="39"/>
      <c r="F96" s="44"/>
      <c r="G96" s="44"/>
      <c r="H96" s="29" t="s">
        <v>143</v>
      </c>
    </row>
    <row r="97" spans="1:8" ht="12.75" customHeight="1" x14ac:dyDescent="0.2">
      <c r="A97" s="39"/>
      <c r="B97" s="39"/>
      <c r="C97" s="40" t="s">
        <v>142</v>
      </c>
      <c r="D97" s="39"/>
      <c r="E97" s="39" t="s">
        <v>143</v>
      </c>
      <c r="F97" s="45" t="s">
        <v>145</v>
      </c>
      <c r="G97" s="42">
        <v>0</v>
      </c>
      <c r="H97" s="29" t="s">
        <v>143</v>
      </c>
    </row>
    <row r="98" spans="1:8" ht="12.75" customHeight="1" x14ac:dyDescent="0.2">
      <c r="A98" s="39"/>
      <c r="B98" s="39"/>
      <c r="C98" s="43"/>
      <c r="D98" s="39"/>
      <c r="E98" s="39"/>
      <c r="F98" s="44"/>
      <c r="G98" s="44"/>
      <c r="H98" s="29" t="s">
        <v>143</v>
      </c>
    </row>
    <row r="99" spans="1:8" ht="12.75" customHeight="1" x14ac:dyDescent="0.2">
      <c r="A99" s="39"/>
      <c r="B99" s="39"/>
      <c r="C99" s="40" t="s">
        <v>160</v>
      </c>
      <c r="D99" s="39"/>
      <c r="E99" s="39"/>
      <c r="F99" s="44"/>
      <c r="G99" s="44"/>
      <c r="H99" s="29" t="s">
        <v>143</v>
      </c>
    </row>
    <row r="100" spans="1:8" ht="12.75" customHeight="1" x14ac:dyDescent="0.2">
      <c r="A100" s="35">
        <v>1</v>
      </c>
      <c r="B100" s="22"/>
      <c r="C100" s="22" t="s">
        <v>161</v>
      </c>
      <c r="D100" s="22"/>
      <c r="E100" s="46"/>
      <c r="F100" s="37">
        <v>3974.041881998</v>
      </c>
      <c r="G100" s="38">
        <v>2.7559009999999998E-2</v>
      </c>
      <c r="H100" s="29">
        <v>5.51</v>
      </c>
    </row>
    <row r="101" spans="1:8" ht="12.75" customHeight="1" x14ac:dyDescent="0.2">
      <c r="A101" s="39"/>
      <c r="B101" s="39"/>
      <c r="C101" s="40" t="s">
        <v>142</v>
      </c>
      <c r="D101" s="39"/>
      <c r="E101" s="39" t="s">
        <v>143</v>
      </c>
      <c r="F101" s="41">
        <v>3974.041881998</v>
      </c>
      <c r="G101" s="42">
        <v>2.7559009999999998E-2</v>
      </c>
      <c r="H101" s="29" t="s">
        <v>143</v>
      </c>
    </row>
    <row r="102" spans="1:8" ht="12.75" customHeight="1" x14ac:dyDescent="0.2">
      <c r="A102" s="39"/>
      <c r="B102" s="39"/>
      <c r="C102" s="43"/>
      <c r="D102" s="39"/>
      <c r="E102" s="39"/>
      <c r="F102" s="44"/>
      <c r="G102" s="44"/>
      <c r="H102" s="29" t="s">
        <v>143</v>
      </c>
    </row>
    <row r="103" spans="1:8" ht="12.75" customHeight="1" x14ac:dyDescent="0.2">
      <c r="A103" s="39"/>
      <c r="B103" s="39"/>
      <c r="C103" s="40" t="s">
        <v>162</v>
      </c>
      <c r="D103" s="39"/>
      <c r="E103" s="39"/>
      <c r="F103" s="41">
        <v>3974.041881998</v>
      </c>
      <c r="G103" s="42">
        <v>2.7559009999999998E-2</v>
      </c>
      <c r="H103" s="29" t="s">
        <v>143</v>
      </c>
    </row>
    <row r="104" spans="1:8" ht="12.75" customHeight="1" x14ac:dyDescent="0.2">
      <c r="A104" s="39"/>
      <c r="B104" s="39"/>
      <c r="C104" s="44"/>
      <c r="D104" s="39"/>
      <c r="E104" s="39"/>
      <c r="F104" s="39"/>
      <c r="G104" s="39"/>
      <c r="H104" s="29" t="s">
        <v>143</v>
      </c>
    </row>
    <row r="105" spans="1:8" ht="12.75" customHeight="1" x14ac:dyDescent="0.2">
      <c r="A105" s="39"/>
      <c r="B105" s="39"/>
      <c r="C105" s="40" t="s">
        <v>163</v>
      </c>
      <c r="D105" s="39"/>
      <c r="E105" s="39"/>
      <c r="F105" s="39"/>
      <c r="G105" s="39"/>
      <c r="H105" s="29" t="s">
        <v>143</v>
      </c>
    </row>
    <row r="106" spans="1:8" ht="12.75" customHeight="1" x14ac:dyDescent="0.2">
      <c r="A106" s="39"/>
      <c r="B106" s="39"/>
      <c r="C106" s="40" t="s">
        <v>164</v>
      </c>
      <c r="D106" s="39"/>
      <c r="E106" s="39"/>
      <c r="F106" s="39"/>
      <c r="G106" s="39"/>
      <c r="H106" s="29" t="s">
        <v>143</v>
      </c>
    </row>
    <row r="107" spans="1:8" ht="12.75" customHeight="1" x14ac:dyDescent="0.2">
      <c r="A107" s="39"/>
      <c r="B107" s="39"/>
      <c r="C107" s="40" t="s">
        <v>142</v>
      </c>
      <c r="D107" s="39"/>
      <c r="E107" s="39" t="s">
        <v>143</v>
      </c>
      <c r="F107" s="45" t="s">
        <v>145</v>
      </c>
      <c r="G107" s="42">
        <v>0</v>
      </c>
      <c r="H107" s="29" t="s">
        <v>143</v>
      </c>
    </row>
    <row r="108" spans="1:8" ht="12.75" customHeight="1" x14ac:dyDescent="0.2">
      <c r="A108" s="39"/>
      <c r="B108" s="39"/>
      <c r="C108" s="43"/>
      <c r="D108" s="39"/>
      <c r="E108" s="39"/>
      <c r="F108" s="44"/>
      <c r="G108" s="44"/>
      <c r="H108" s="29" t="s">
        <v>143</v>
      </c>
    </row>
    <row r="109" spans="1:8" ht="12.75" customHeight="1" x14ac:dyDescent="0.2">
      <c r="A109" s="39"/>
      <c r="B109" s="39"/>
      <c r="C109" s="40" t="s">
        <v>165</v>
      </c>
      <c r="D109" s="39"/>
      <c r="E109" s="39"/>
      <c r="F109" s="39"/>
      <c r="G109" s="39"/>
      <c r="H109" s="29" t="s">
        <v>143</v>
      </c>
    </row>
    <row r="110" spans="1:8" ht="12.75" customHeight="1" x14ac:dyDescent="0.2">
      <c r="A110" s="39"/>
      <c r="B110" s="39"/>
      <c r="C110" s="40" t="s">
        <v>166</v>
      </c>
      <c r="D110" s="39"/>
      <c r="E110" s="39"/>
      <c r="F110" s="39"/>
      <c r="G110" s="39"/>
      <c r="H110" s="29" t="s">
        <v>143</v>
      </c>
    </row>
    <row r="111" spans="1:8" ht="12.75" customHeight="1" x14ac:dyDescent="0.2">
      <c r="A111" s="39"/>
      <c r="B111" s="39"/>
      <c r="C111" s="40" t="s">
        <v>142</v>
      </c>
      <c r="D111" s="39"/>
      <c r="E111" s="39" t="s">
        <v>143</v>
      </c>
      <c r="F111" s="45" t="s">
        <v>145</v>
      </c>
      <c r="G111" s="42">
        <v>0</v>
      </c>
      <c r="H111" s="29" t="s">
        <v>143</v>
      </c>
    </row>
    <row r="112" spans="1:8" ht="12.75" customHeight="1" x14ac:dyDescent="0.2">
      <c r="A112" s="39"/>
      <c r="B112" s="39"/>
      <c r="C112" s="43"/>
      <c r="D112" s="39"/>
      <c r="E112" s="39"/>
      <c r="F112" s="44"/>
      <c r="G112" s="44"/>
      <c r="H112" s="29" t="s">
        <v>143</v>
      </c>
    </row>
    <row r="113" spans="1:17" ht="12.75" customHeight="1" x14ac:dyDescent="0.2">
      <c r="A113" s="39"/>
      <c r="B113" s="39"/>
      <c r="C113" s="40" t="s">
        <v>167</v>
      </c>
      <c r="D113" s="39"/>
      <c r="E113" s="39"/>
      <c r="F113" s="44"/>
      <c r="G113" s="44"/>
      <c r="H113" s="29" t="s">
        <v>143</v>
      </c>
    </row>
    <row r="114" spans="1:17" ht="12.75" customHeight="1" x14ac:dyDescent="0.2">
      <c r="A114" s="39"/>
      <c r="B114" s="39"/>
      <c r="C114" s="40" t="s">
        <v>142</v>
      </c>
      <c r="D114" s="39"/>
      <c r="E114" s="39" t="s">
        <v>143</v>
      </c>
      <c r="F114" s="45" t="s">
        <v>145</v>
      </c>
      <c r="G114" s="42">
        <v>0</v>
      </c>
      <c r="H114" s="29" t="s">
        <v>143</v>
      </c>
    </row>
    <row r="115" spans="1:17" ht="12.75" customHeight="1" x14ac:dyDescent="0.2">
      <c r="A115" s="39"/>
      <c r="B115" s="39"/>
      <c r="C115" s="43"/>
      <c r="D115" s="39"/>
      <c r="E115" s="39"/>
      <c r="F115" s="44"/>
      <c r="G115" s="44"/>
      <c r="H115" s="29" t="s">
        <v>143</v>
      </c>
    </row>
    <row r="116" spans="1:17" ht="12.75" customHeight="1" x14ac:dyDescent="0.2">
      <c r="A116" s="46"/>
      <c r="B116" s="22"/>
      <c r="C116" s="22" t="s">
        <v>168</v>
      </c>
      <c r="D116" s="22"/>
      <c r="E116" s="46"/>
      <c r="F116" s="37">
        <v>211.24428431000001</v>
      </c>
      <c r="G116" s="38">
        <v>1.4649299999999999E-3</v>
      </c>
      <c r="H116" s="29" t="s">
        <v>143</v>
      </c>
    </row>
    <row r="117" spans="1:17" ht="12.75" customHeight="1" x14ac:dyDescent="0.2">
      <c r="A117" s="43"/>
      <c r="B117" s="43"/>
      <c r="C117" s="40" t="s">
        <v>169</v>
      </c>
      <c r="D117" s="44"/>
      <c r="E117" s="44"/>
      <c r="F117" s="41">
        <v>144201.18500090801</v>
      </c>
      <c r="G117" s="47">
        <v>1.00000004</v>
      </c>
      <c r="H117" s="29" t="s">
        <v>143</v>
      </c>
    </row>
    <row r="118" spans="1:17" ht="12.75" customHeight="1" x14ac:dyDescent="0.2">
      <c r="A118" s="48"/>
      <c r="B118" s="48"/>
      <c r="C118" s="49"/>
      <c r="D118" s="50"/>
      <c r="E118" s="50"/>
      <c r="F118" s="51"/>
      <c r="G118" s="52"/>
      <c r="H118" s="53"/>
    </row>
    <row r="119" spans="1:17" x14ac:dyDescent="0.2">
      <c r="A119" s="54"/>
      <c r="B119" s="243" t="s">
        <v>945</v>
      </c>
      <c r="C119" s="243"/>
      <c r="D119" s="243"/>
      <c r="E119" s="243"/>
      <c r="F119" s="243"/>
      <c r="G119" s="243"/>
      <c r="H119" s="243"/>
      <c r="J119" s="56"/>
    </row>
    <row r="120" spans="1:17" x14ac:dyDescent="0.2">
      <c r="A120" s="54"/>
      <c r="B120" s="243" t="s">
        <v>946</v>
      </c>
      <c r="C120" s="243"/>
      <c r="D120" s="243"/>
      <c r="E120" s="243"/>
      <c r="F120" s="243"/>
      <c r="G120" s="243"/>
      <c r="H120" s="243"/>
      <c r="J120" s="56"/>
    </row>
    <row r="121" spans="1:17" x14ac:dyDescent="0.2">
      <c r="A121" s="54"/>
      <c r="B121" s="243" t="s">
        <v>947</v>
      </c>
      <c r="C121" s="243"/>
      <c r="D121" s="243"/>
      <c r="E121" s="243"/>
      <c r="F121" s="243"/>
      <c r="G121" s="243"/>
      <c r="H121" s="243"/>
      <c r="J121" s="56"/>
    </row>
    <row r="122" spans="1:17" s="58" customFormat="1" ht="66.75" customHeight="1" x14ac:dyDescent="0.25">
      <c r="A122" s="57"/>
      <c r="B122" s="244" t="s">
        <v>948</v>
      </c>
      <c r="C122" s="244"/>
      <c r="D122" s="244"/>
      <c r="E122" s="244"/>
      <c r="F122" s="244"/>
      <c r="G122" s="244"/>
      <c r="H122" s="244"/>
      <c r="I122"/>
      <c r="J122" s="56"/>
      <c r="K122"/>
      <c r="L122"/>
      <c r="M122"/>
      <c r="N122"/>
      <c r="O122"/>
      <c r="P122"/>
      <c r="Q122"/>
    </row>
    <row r="123" spans="1:17" x14ac:dyDescent="0.2">
      <c r="A123" s="54"/>
      <c r="B123" s="243" t="s">
        <v>949</v>
      </c>
      <c r="C123" s="243"/>
      <c r="D123" s="243"/>
      <c r="E123" s="243"/>
      <c r="F123" s="243"/>
      <c r="G123" s="243"/>
      <c r="H123" s="243"/>
      <c r="J123" s="56"/>
    </row>
    <row r="124" spans="1:17" x14ac:dyDescent="0.2">
      <c r="A124" s="54"/>
      <c r="B124" s="54"/>
      <c r="C124" s="54"/>
      <c r="D124" s="59"/>
      <c r="E124" s="59"/>
      <c r="F124" s="59"/>
      <c r="G124" s="59"/>
    </row>
    <row r="125" spans="1:17" x14ac:dyDescent="0.2">
      <c r="A125" s="54"/>
      <c r="B125" s="247" t="s">
        <v>170</v>
      </c>
      <c r="C125" s="248"/>
      <c r="D125" s="249"/>
      <c r="E125" s="60"/>
      <c r="F125" s="59"/>
      <c r="G125" s="59"/>
    </row>
    <row r="126" spans="1:17" ht="27.75" customHeight="1" x14ac:dyDescent="0.2">
      <c r="A126" s="54"/>
      <c r="B126" s="240" t="s">
        <v>171</v>
      </c>
      <c r="C126" s="241"/>
      <c r="D126" s="28" t="s">
        <v>172</v>
      </c>
      <c r="E126" s="60"/>
      <c r="F126" s="59"/>
      <c r="G126" s="59"/>
    </row>
    <row r="127" spans="1:17" ht="12.75" customHeight="1" x14ac:dyDescent="0.2">
      <c r="A127" s="54"/>
      <c r="B127" s="240" t="s">
        <v>950</v>
      </c>
      <c r="C127" s="241"/>
      <c r="D127" s="28" t="s">
        <v>172</v>
      </c>
      <c r="E127" s="60"/>
      <c r="F127" s="59"/>
      <c r="G127" s="59"/>
    </row>
    <row r="128" spans="1:17" x14ac:dyDescent="0.2">
      <c r="A128" s="54"/>
      <c r="B128" s="240" t="s">
        <v>173</v>
      </c>
      <c r="C128" s="241"/>
      <c r="D128" s="61" t="s">
        <v>143</v>
      </c>
      <c r="E128" s="60"/>
      <c r="F128" s="59"/>
      <c r="G128" s="59"/>
    </row>
    <row r="129" spans="1:10" x14ac:dyDescent="0.2">
      <c r="A129" s="62"/>
      <c r="B129" s="63" t="s">
        <v>143</v>
      </c>
      <c r="C129" s="63" t="s">
        <v>951</v>
      </c>
      <c r="D129" s="63" t="s">
        <v>174</v>
      </c>
      <c r="E129" s="62"/>
      <c r="F129" s="62"/>
      <c r="G129" s="62"/>
      <c r="H129" s="62"/>
      <c r="J129" s="56"/>
    </row>
    <row r="130" spans="1:10" x14ac:dyDescent="0.2">
      <c r="A130" s="62"/>
      <c r="B130" s="64" t="s">
        <v>175</v>
      </c>
      <c r="C130" s="65">
        <v>45900</v>
      </c>
      <c r="D130" s="65">
        <v>45930</v>
      </c>
      <c r="E130" s="62"/>
      <c r="F130" s="62"/>
      <c r="G130" s="62"/>
      <c r="J130" s="56"/>
    </row>
    <row r="131" spans="1:10" ht="12.75" customHeight="1" x14ac:dyDescent="0.2">
      <c r="A131" s="66"/>
      <c r="B131" s="67" t="s">
        <v>176</v>
      </c>
      <c r="C131" s="68">
        <v>231.84030000000001</v>
      </c>
      <c r="D131" s="68">
        <v>230.44820000000001</v>
      </c>
      <c r="E131" s="66"/>
      <c r="F131" s="69"/>
      <c r="G131" s="70"/>
    </row>
    <row r="132" spans="1:10" ht="12.75" customHeight="1" x14ac:dyDescent="0.2">
      <c r="A132" s="66"/>
      <c r="B132" s="67" t="s">
        <v>1085</v>
      </c>
      <c r="C132" s="68">
        <v>20.460599999999999</v>
      </c>
      <c r="D132" s="68">
        <v>20.337800000000001</v>
      </c>
      <c r="E132" s="66"/>
      <c r="F132" s="69"/>
      <c r="G132" s="70"/>
    </row>
    <row r="133" spans="1:10" ht="12.75" customHeight="1" x14ac:dyDescent="0.2">
      <c r="A133" s="66"/>
      <c r="B133" s="67" t="s">
        <v>177</v>
      </c>
      <c r="C133" s="68">
        <v>218.7311</v>
      </c>
      <c r="D133" s="68">
        <v>217.32490000000001</v>
      </c>
      <c r="E133" s="66"/>
      <c r="F133" s="69"/>
      <c r="G133" s="70"/>
    </row>
    <row r="134" spans="1:10" ht="12.75" customHeight="1" x14ac:dyDescent="0.2">
      <c r="A134" s="66"/>
      <c r="B134" s="67" t="s">
        <v>1086</v>
      </c>
      <c r="C134" s="68">
        <v>16.829000000000001</v>
      </c>
      <c r="D134" s="68">
        <v>16.720800000000001</v>
      </c>
      <c r="E134" s="66"/>
      <c r="F134" s="69"/>
      <c r="G134" s="70"/>
    </row>
    <row r="135" spans="1:10" ht="12.75" customHeight="1" x14ac:dyDescent="0.2">
      <c r="A135" s="66"/>
      <c r="B135" s="66"/>
      <c r="C135" s="66"/>
      <c r="D135" s="66"/>
      <c r="E135" s="66"/>
      <c r="F135" s="66"/>
      <c r="G135" s="66"/>
    </row>
    <row r="136" spans="1:10" x14ac:dyDescent="0.2">
      <c r="A136" s="62"/>
      <c r="B136" s="245" t="s">
        <v>952</v>
      </c>
      <c r="C136" s="246"/>
      <c r="D136" s="71" t="s">
        <v>172</v>
      </c>
      <c r="E136" s="62"/>
      <c r="F136" s="62"/>
      <c r="G136" s="62"/>
    </row>
    <row r="137" spans="1:10" x14ac:dyDescent="0.2">
      <c r="A137" s="72"/>
      <c r="B137" s="73"/>
      <c r="C137" s="73"/>
      <c r="D137" s="73"/>
      <c r="E137" s="72"/>
      <c r="F137" s="72"/>
      <c r="G137" s="72"/>
    </row>
    <row r="138" spans="1:10" ht="30" customHeight="1" x14ac:dyDescent="0.2">
      <c r="A138" s="72"/>
      <c r="B138" s="240" t="s">
        <v>178</v>
      </c>
      <c r="C138" s="241"/>
      <c r="D138" s="28" t="s">
        <v>172</v>
      </c>
      <c r="E138" s="74"/>
      <c r="F138" s="72"/>
      <c r="G138" s="72"/>
    </row>
    <row r="139" spans="1:10" ht="27.75" customHeight="1" x14ac:dyDescent="0.2">
      <c r="A139" s="72"/>
      <c r="B139" s="240" t="s">
        <v>179</v>
      </c>
      <c r="C139" s="241"/>
      <c r="D139" s="28" t="s">
        <v>172</v>
      </c>
      <c r="E139" s="74"/>
      <c r="F139" s="72"/>
      <c r="G139" s="72"/>
    </row>
    <row r="140" spans="1:10" x14ac:dyDescent="0.2">
      <c r="A140" s="72"/>
      <c r="B140" s="240" t="s">
        <v>180</v>
      </c>
      <c r="C140" s="241"/>
      <c r="D140" s="28" t="s">
        <v>172</v>
      </c>
      <c r="E140" s="74"/>
      <c r="F140" s="72"/>
      <c r="G140" s="72"/>
    </row>
    <row r="141" spans="1:10" x14ac:dyDescent="0.2">
      <c r="A141" s="72"/>
      <c r="B141" s="240" t="s">
        <v>181</v>
      </c>
      <c r="C141" s="241"/>
      <c r="D141" s="75">
        <v>0.53292216918919988</v>
      </c>
      <c r="E141" s="72"/>
      <c r="F141" s="55"/>
      <c r="G141" s="76"/>
    </row>
    <row r="142" spans="1:10" x14ac:dyDescent="0.2"/>
    <row r="143" spans="1:10" x14ac:dyDescent="0.2">
      <c r="B143" s="239" t="s">
        <v>953</v>
      </c>
      <c r="C143" s="239"/>
    </row>
    <row r="144" spans="1:10" x14ac:dyDescent="0.2"/>
    <row r="145" spans="2:10" ht="153.75" customHeight="1" x14ac:dyDescent="0.2"/>
    <row r="146" spans="2:10" x14ac:dyDescent="0.2"/>
    <row r="147" spans="2:10" x14ac:dyDescent="0.2"/>
    <row r="148" spans="2:10" x14ac:dyDescent="0.2">
      <c r="B148" s="77" t="s">
        <v>954</v>
      </c>
      <c r="C148" s="78"/>
      <c r="D148" s="77"/>
    </row>
    <row r="149" spans="2:10" x14ac:dyDescent="0.2">
      <c r="B149" s="77" t="s">
        <v>1119</v>
      </c>
      <c r="D149" s="77"/>
    </row>
    <row r="150" spans="2:10" ht="165" customHeight="1" x14ac:dyDescent="0.2"/>
    <row r="151" spans="2:10" x14ac:dyDescent="0.2"/>
    <row r="152" spans="2:10" x14ac:dyDescent="0.2">
      <c r="J152" s="26"/>
    </row>
    <row r="153" spans="2:10" x14ac:dyDescent="0.2"/>
    <row r="154" spans="2:10" x14ac:dyDescent="0.2"/>
    <row r="155" spans="2:10" x14ac:dyDescent="0.2"/>
    <row r="156" spans="2:10" ht="14.25" customHeight="1" x14ac:dyDescent="0.2"/>
    <row r="157" spans="2:10" ht="14.25" customHeight="1" x14ac:dyDescent="0.2"/>
  </sheetData>
  <mergeCells count="18">
    <mergeCell ref="B125:D125"/>
    <mergeCell ref="B126:C126"/>
    <mergeCell ref="B143:C143"/>
    <mergeCell ref="B141:C141"/>
    <mergeCell ref="A1:H1"/>
    <mergeCell ref="A2:H2"/>
    <mergeCell ref="A3:H3"/>
    <mergeCell ref="B140:C140"/>
    <mergeCell ref="B119:H119"/>
    <mergeCell ref="B120:H120"/>
    <mergeCell ref="B127:C127"/>
    <mergeCell ref="B128:C128"/>
    <mergeCell ref="B138:C138"/>
    <mergeCell ref="B139:C139"/>
    <mergeCell ref="B121:H121"/>
    <mergeCell ref="B122:H122"/>
    <mergeCell ref="B123:H123"/>
    <mergeCell ref="B136:C136"/>
  </mergeCells>
  <hyperlinks>
    <hyperlink ref="I1" location="Index!B2" display="Index" xr:uid="{930CB1FF-9D92-48A7-8B77-1BA0D6C01BF0}"/>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23B3-D57A-473D-B11C-D3DDDDE99938}">
  <sheetPr>
    <outlinePr summaryBelow="0" summaryRight="0"/>
  </sheetPr>
  <dimension ref="A1:Q145"/>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41" customWidth="1"/>
    <col min="4" max="4" width="19.140625"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825</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3180198</v>
      </c>
      <c r="F7" s="37">
        <v>30243.682980000001</v>
      </c>
      <c r="G7" s="38">
        <v>9.2219480000000006E-2</v>
      </c>
      <c r="H7" s="29" t="s">
        <v>143</v>
      </c>
    </row>
    <row r="8" spans="1:9" ht="12.75" customHeight="1" x14ac:dyDescent="0.2">
      <c r="A8" s="35">
        <v>2</v>
      </c>
      <c r="B8" s="22" t="s">
        <v>31</v>
      </c>
      <c r="C8" s="22" t="s">
        <v>32</v>
      </c>
      <c r="D8" s="22" t="s">
        <v>33</v>
      </c>
      <c r="E8" s="36">
        <v>2172271</v>
      </c>
      <c r="F8" s="37">
        <v>29282.213080000001</v>
      </c>
      <c r="G8" s="38">
        <v>8.9287749999999999E-2</v>
      </c>
      <c r="H8" s="29" t="s">
        <v>143</v>
      </c>
    </row>
    <row r="9" spans="1:9" ht="12.75" customHeight="1" x14ac:dyDescent="0.2">
      <c r="A9" s="35">
        <v>3</v>
      </c>
      <c r="B9" s="22" t="s">
        <v>11</v>
      </c>
      <c r="C9" s="22" t="s">
        <v>12</v>
      </c>
      <c r="D9" s="22" t="s">
        <v>13</v>
      </c>
      <c r="E9" s="36">
        <v>977000</v>
      </c>
      <c r="F9" s="37">
        <v>18351.968000000001</v>
      </c>
      <c r="G9" s="38">
        <v>5.5959090000000003E-2</v>
      </c>
      <c r="H9" s="29" t="s">
        <v>143</v>
      </c>
    </row>
    <row r="10" spans="1:9" ht="12.75" customHeight="1" x14ac:dyDescent="0.2">
      <c r="A10" s="35">
        <v>4</v>
      </c>
      <c r="B10" s="22" t="s">
        <v>325</v>
      </c>
      <c r="C10" s="22" t="s">
        <v>326</v>
      </c>
      <c r="D10" s="22" t="s">
        <v>215</v>
      </c>
      <c r="E10" s="36">
        <v>1067000</v>
      </c>
      <c r="F10" s="37">
        <v>15384.005999999999</v>
      </c>
      <c r="G10" s="38">
        <v>4.6909140000000002E-2</v>
      </c>
      <c r="H10" s="29" t="s">
        <v>143</v>
      </c>
    </row>
    <row r="11" spans="1:9" ht="12.75" customHeight="1" x14ac:dyDescent="0.2">
      <c r="A11" s="35">
        <v>5</v>
      </c>
      <c r="B11" s="22" t="s">
        <v>17</v>
      </c>
      <c r="C11" s="22" t="s">
        <v>18</v>
      </c>
      <c r="D11" s="22" t="s">
        <v>19</v>
      </c>
      <c r="E11" s="36">
        <v>1011076</v>
      </c>
      <c r="F11" s="37">
        <v>13791.076639999999</v>
      </c>
      <c r="G11" s="38">
        <v>4.2051949999999998E-2</v>
      </c>
      <c r="H11" s="29" t="s">
        <v>143</v>
      </c>
    </row>
    <row r="12" spans="1:9" ht="12.75" customHeight="1" x14ac:dyDescent="0.2">
      <c r="A12" s="35">
        <v>6</v>
      </c>
      <c r="B12" s="22" t="s">
        <v>728</v>
      </c>
      <c r="C12" s="22" t="s">
        <v>729</v>
      </c>
      <c r="D12" s="22" t="s">
        <v>284</v>
      </c>
      <c r="E12" s="36">
        <v>258923</v>
      </c>
      <c r="F12" s="37">
        <v>11587.839942000001</v>
      </c>
      <c r="G12" s="38">
        <v>3.533381E-2</v>
      </c>
      <c r="H12" s="29" t="s">
        <v>143</v>
      </c>
    </row>
    <row r="13" spans="1:9" ht="12.75" customHeight="1" x14ac:dyDescent="0.2">
      <c r="A13" s="35">
        <v>7</v>
      </c>
      <c r="B13" s="22" t="s">
        <v>42</v>
      </c>
      <c r="C13" s="22" t="s">
        <v>43</v>
      </c>
      <c r="D13" s="22" t="s">
        <v>33</v>
      </c>
      <c r="E13" s="36">
        <v>1307239</v>
      </c>
      <c r="F13" s="37">
        <v>11405.006655499999</v>
      </c>
      <c r="G13" s="38">
        <v>3.4776309999999998E-2</v>
      </c>
      <c r="H13" s="29" t="s">
        <v>143</v>
      </c>
    </row>
    <row r="14" spans="1:9" ht="12.75" customHeight="1" x14ac:dyDescent="0.2">
      <c r="A14" s="35">
        <v>8</v>
      </c>
      <c r="B14" s="22" t="s">
        <v>34</v>
      </c>
      <c r="C14" s="22" t="s">
        <v>35</v>
      </c>
      <c r="D14" s="22" t="s">
        <v>19</v>
      </c>
      <c r="E14" s="36">
        <v>3353195</v>
      </c>
      <c r="F14" s="37">
        <v>11389.1268175</v>
      </c>
      <c r="G14" s="38">
        <v>3.4727889999999997E-2</v>
      </c>
      <c r="H14" s="29" t="s">
        <v>143</v>
      </c>
    </row>
    <row r="15" spans="1:9" ht="12.75" customHeight="1" x14ac:dyDescent="0.2">
      <c r="A15" s="35">
        <v>9</v>
      </c>
      <c r="B15" s="22" t="s">
        <v>327</v>
      </c>
      <c r="C15" s="22" t="s">
        <v>328</v>
      </c>
      <c r="D15" s="22" t="s">
        <v>33</v>
      </c>
      <c r="E15" s="36">
        <v>976671</v>
      </c>
      <c r="F15" s="37">
        <v>11052.009035999999</v>
      </c>
      <c r="G15" s="38">
        <v>3.3699949999999999E-2</v>
      </c>
      <c r="H15" s="29" t="s">
        <v>143</v>
      </c>
    </row>
    <row r="16" spans="1:9" ht="12.75" customHeight="1" x14ac:dyDescent="0.2">
      <c r="A16" s="35">
        <v>10</v>
      </c>
      <c r="B16" s="22" t="s">
        <v>349</v>
      </c>
      <c r="C16" s="22" t="s">
        <v>350</v>
      </c>
      <c r="D16" s="22" t="s">
        <v>194</v>
      </c>
      <c r="E16" s="36">
        <v>662000</v>
      </c>
      <c r="F16" s="37">
        <v>10554.266</v>
      </c>
      <c r="G16" s="38">
        <v>3.2182219999999997E-2</v>
      </c>
      <c r="H16" s="29" t="s">
        <v>143</v>
      </c>
    </row>
    <row r="17" spans="1:8" ht="12.75" customHeight="1" x14ac:dyDescent="0.2">
      <c r="A17" s="35">
        <v>11</v>
      </c>
      <c r="B17" s="22" t="s">
        <v>14</v>
      </c>
      <c r="C17" s="22" t="s">
        <v>15</v>
      </c>
      <c r="D17" s="22" t="s">
        <v>16</v>
      </c>
      <c r="E17" s="36">
        <v>277730</v>
      </c>
      <c r="F17" s="37">
        <v>10162.1407</v>
      </c>
      <c r="G17" s="38">
        <v>3.0986550000000002E-2</v>
      </c>
      <c r="H17" s="29" t="s">
        <v>143</v>
      </c>
    </row>
    <row r="18" spans="1:8" ht="12.75" customHeight="1" x14ac:dyDescent="0.2">
      <c r="A18" s="35">
        <v>12</v>
      </c>
      <c r="B18" s="22" t="s">
        <v>429</v>
      </c>
      <c r="C18" s="22" t="s">
        <v>430</v>
      </c>
      <c r="D18" s="22" t="s">
        <v>275</v>
      </c>
      <c r="E18" s="36">
        <v>557008</v>
      </c>
      <c r="F18" s="37">
        <v>9973.7852480000001</v>
      </c>
      <c r="G18" s="38">
        <v>3.0412209999999999E-2</v>
      </c>
      <c r="H18" s="29" t="s">
        <v>143</v>
      </c>
    </row>
    <row r="19" spans="1:8" ht="12.75" customHeight="1" x14ac:dyDescent="0.2">
      <c r="A19" s="35">
        <v>13</v>
      </c>
      <c r="B19" s="22" t="s">
        <v>323</v>
      </c>
      <c r="C19" s="22" t="s">
        <v>324</v>
      </c>
      <c r="D19" s="22" t="s">
        <v>33</v>
      </c>
      <c r="E19" s="36">
        <v>496353</v>
      </c>
      <c r="F19" s="37">
        <v>9890.8262309999991</v>
      </c>
      <c r="G19" s="38">
        <v>3.0159249999999999E-2</v>
      </c>
      <c r="H19" s="29" t="s">
        <v>143</v>
      </c>
    </row>
    <row r="20" spans="1:8" ht="12.75" customHeight="1" x14ac:dyDescent="0.2">
      <c r="A20" s="35">
        <v>14</v>
      </c>
      <c r="B20" s="22" t="s">
        <v>237</v>
      </c>
      <c r="C20" s="22" t="s">
        <v>238</v>
      </c>
      <c r="D20" s="22" t="s">
        <v>239</v>
      </c>
      <c r="E20" s="36">
        <v>278803</v>
      </c>
      <c r="F20" s="37">
        <v>9587.1987609999996</v>
      </c>
      <c r="G20" s="38">
        <v>2.9233430000000001E-2</v>
      </c>
      <c r="H20" s="29" t="s">
        <v>143</v>
      </c>
    </row>
    <row r="21" spans="1:8" ht="12.75" customHeight="1" x14ac:dyDescent="0.2">
      <c r="A21" s="35">
        <v>15</v>
      </c>
      <c r="B21" s="22" t="s">
        <v>333</v>
      </c>
      <c r="C21" s="22" t="s">
        <v>334</v>
      </c>
      <c r="D21" s="22" t="s">
        <v>239</v>
      </c>
      <c r="E21" s="36">
        <v>271223</v>
      </c>
      <c r="F21" s="37">
        <v>9294.8122100000001</v>
      </c>
      <c r="G21" s="38">
        <v>2.834188E-2</v>
      </c>
      <c r="H21" s="29" t="s">
        <v>143</v>
      </c>
    </row>
    <row r="22" spans="1:8" ht="12.75" customHeight="1" x14ac:dyDescent="0.2">
      <c r="A22" s="35">
        <v>16</v>
      </c>
      <c r="B22" s="22" t="s">
        <v>515</v>
      </c>
      <c r="C22" s="22" t="s">
        <v>516</v>
      </c>
      <c r="D22" s="22" t="s">
        <v>215</v>
      </c>
      <c r="E22" s="36">
        <v>596688</v>
      </c>
      <c r="F22" s="37">
        <v>8355.4220640000003</v>
      </c>
      <c r="G22" s="38">
        <v>2.547748E-2</v>
      </c>
      <c r="H22" s="29" t="s">
        <v>143</v>
      </c>
    </row>
    <row r="23" spans="1:8" ht="12.75" customHeight="1" x14ac:dyDescent="0.2">
      <c r="A23" s="35">
        <v>17</v>
      </c>
      <c r="B23" s="22" t="s">
        <v>54</v>
      </c>
      <c r="C23" s="22" t="s">
        <v>55</v>
      </c>
      <c r="D23" s="22" t="s">
        <v>56</v>
      </c>
      <c r="E23" s="36">
        <v>145000</v>
      </c>
      <c r="F23" s="37">
        <v>8112.0249999999996</v>
      </c>
      <c r="G23" s="38">
        <v>2.473531E-2</v>
      </c>
      <c r="H23" s="29" t="s">
        <v>143</v>
      </c>
    </row>
    <row r="24" spans="1:8" ht="12.75" customHeight="1" x14ac:dyDescent="0.2">
      <c r="A24" s="35">
        <v>18</v>
      </c>
      <c r="B24" s="22" t="s">
        <v>23</v>
      </c>
      <c r="C24" s="22" t="s">
        <v>24</v>
      </c>
      <c r="D24" s="22" t="s">
        <v>25</v>
      </c>
      <c r="E24" s="36">
        <v>62000</v>
      </c>
      <c r="F24" s="37">
        <v>7577.64</v>
      </c>
      <c r="G24" s="38">
        <v>2.3105850000000001E-2</v>
      </c>
      <c r="H24" s="29" t="s">
        <v>143</v>
      </c>
    </row>
    <row r="25" spans="1:8" ht="12.75" customHeight="1" x14ac:dyDescent="0.2">
      <c r="A25" s="35">
        <v>19</v>
      </c>
      <c r="B25" s="22" t="s">
        <v>84</v>
      </c>
      <c r="C25" s="22" t="s">
        <v>85</v>
      </c>
      <c r="D25" s="22" t="s">
        <v>41</v>
      </c>
      <c r="E25" s="36">
        <v>109075</v>
      </c>
      <c r="F25" s="37">
        <v>7410.0101249999998</v>
      </c>
      <c r="G25" s="38">
        <v>2.259471E-2</v>
      </c>
      <c r="H25" s="29" t="s">
        <v>143</v>
      </c>
    </row>
    <row r="26" spans="1:8" ht="12.75" customHeight="1" x14ac:dyDescent="0.2">
      <c r="A26" s="35">
        <v>20</v>
      </c>
      <c r="B26" s="22" t="s">
        <v>287</v>
      </c>
      <c r="C26" s="22" t="s">
        <v>288</v>
      </c>
      <c r="D26" s="22" t="s">
        <v>185</v>
      </c>
      <c r="E26" s="36">
        <v>202732</v>
      </c>
      <c r="F26" s="37">
        <v>7122.9888199999996</v>
      </c>
      <c r="G26" s="38">
        <v>2.1719519999999999E-2</v>
      </c>
      <c r="H26" s="29" t="s">
        <v>143</v>
      </c>
    </row>
    <row r="27" spans="1:8" ht="12.75" customHeight="1" x14ac:dyDescent="0.2">
      <c r="A27" s="35">
        <v>21</v>
      </c>
      <c r="B27" s="22" t="s">
        <v>20</v>
      </c>
      <c r="C27" s="22" t="s">
        <v>21</v>
      </c>
      <c r="D27" s="22" t="s">
        <v>22</v>
      </c>
      <c r="E27" s="36">
        <v>1967000</v>
      </c>
      <c r="F27" s="37">
        <v>6696.6514999999999</v>
      </c>
      <c r="G27" s="38">
        <v>2.0419530000000002E-2</v>
      </c>
      <c r="H27" s="29" t="s">
        <v>143</v>
      </c>
    </row>
    <row r="28" spans="1:8" ht="12.75" customHeight="1" x14ac:dyDescent="0.2">
      <c r="A28" s="35">
        <v>22</v>
      </c>
      <c r="B28" s="22" t="s">
        <v>738</v>
      </c>
      <c r="C28" s="22" t="s">
        <v>739</v>
      </c>
      <c r="D28" s="22" t="s">
        <v>194</v>
      </c>
      <c r="E28" s="36">
        <v>515708</v>
      </c>
      <c r="F28" s="37">
        <v>6310.7187960000001</v>
      </c>
      <c r="G28" s="38">
        <v>1.9242740000000001E-2</v>
      </c>
      <c r="H28" s="29" t="s">
        <v>143</v>
      </c>
    </row>
    <row r="29" spans="1:8" ht="12.75" customHeight="1" x14ac:dyDescent="0.2">
      <c r="A29" s="35">
        <v>23</v>
      </c>
      <c r="B29" s="22" t="s">
        <v>503</v>
      </c>
      <c r="C29" s="22" t="s">
        <v>504</v>
      </c>
      <c r="D29" s="22" t="s">
        <v>239</v>
      </c>
      <c r="E29" s="36">
        <v>70454</v>
      </c>
      <c r="F29" s="37">
        <v>6114.3503899999996</v>
      </c>
      <c r="G29" s="38">
        <v>1.8643969999999999E-2</v>
      </c>
      <c r="H29" s="29" t="s">
        <v>143</v>
      </c>
    </row>
    <row r="30" spans="1:8" ht="12.75" customHeight="1" x14ac:dyDescent="0.2">
      <c r="A30" s="35">
        <v>24</v>
      </c>
      <c r="B30" s="22" t="s">
        <v>688</v>
      </c>
      <c r="C30" s="22" t="s">
        <v>689</v>
      </c>
      <c r="D30" s="22" t="s">
        <v>61</v>
      </c>
      <c r="E30" s="36">
        <v>1428942</v>
      </c>
      <c r="F30" s="37">
        <v>5912.961996</v>
      </c>
      <c r="G30" s="38">
        <v>1.802989E-2</v>
      </c>
      <c r="H30" s="29" t="s">
        <v>143</v>
      </c>
    </row>
    <row r="31" spans="1:8" ht="12.75" customHeight="1" x14ac:dyDescent="0.2">
      <c r="A31" s="35">
        <v>25</v>
      </c>
      <c r="B31" s="22" t="s">
        <v>511</v>
      </c>
      <c r="C31" s="22" t="s">
        <v>512</v>
      </c>
      <c r="D31" s="22" t="s">
        <v>230</v>
      </c>
      <c r="E31" s="36">
        <v>1187500</v>
      </c>
      <c r="F31" s="37">
        <v>5268.9375</v>
      </c>
      <c r="G31" s="38">
        <v>1.606612E-2</v>
      </c>
      <c r="H31" s="29" t="s">
        <v>143</v>
      </c>
    </row>
    <row r="32" spans="1:8" ht="12.75" customHeight="1" x14ac:dyDescent="0.2">
      <c r="A32" s="35">
        <v>26</v>
      </c>
      <c r="B32" s="22" t="s">
        <v>424</v>
      </c>
      <c r="C32" s="22" t="s">
        <v>425</v>
      </c>
      <c r="D32" s="22" t="s">
        <v>215</v>
      </c>
      <c r="E32" s="36">
        <v>285965</v>
      </c>
      <c r="F32" s="37">
        <v>3960.9012149999999</v>
      </c>
      <c r="G32" s="38">
        <v>1.2077640000000001E-2</v>
      </c>
      <c r="H32" s="29" t="s">
        <v>143</v>
      </c>
    </row>
    <row r="33" spans="1:8" ht="12.75" customHeight="1" x14ac:dyDescent="0.2">
      <c r="A33" s="35">
        <v>27</v>
      </c>
      <c r="B33" s="22" t="s">
        <v>204</v>
      </c>
      <c r="C33" s="22" t="s">
        <v>205</v>
      </c>
      <c r="D33" s="22" t="s">
        <v>206</v>
      </c>
      <c r="E33" s="36">
        <v>586911</v>
      </c>
      <c r="F33" s="37">
        <v>3623.588514</v>
      </c>
      <c r="G33" s="38">
        <v>1.1049099999999999E-2</v>
      </c>
      <c r="H33" s="29" t="s">
        <v>143</v>
      </c>
    </row>
    <row r="34" spans="1:8" ht="12.75" customHeight="1" x14ac:dyDescent="0.2">
      <c r="A34" s="35">
        <v>28</v>
      </c>
      <c r="B34" s="22" t="s">
        <v>431</v>
      </c>
      <c r="C34" s="22" t="s">
        <v>432</v>
      </c>
      <c r="D34" s="22" t="s">
        <v>203</v>
      </c>
      <c r="E34" s="36">
        <v>319989</v>
      </c>
      <c r="F34" s="37">
        <v>3613.635777</v>
      </c>
      <c r="G34" s="38">
        <v>1.1018750000000001E-2</v>
      </c>
      <c r="H34" s="29" t="s">
        <v>143</v>
      </c>
    </row>
    <row r="35" spans="1:8" ht="12.75" customHeight="1" x14ac:dyDescent="0.2">
      <c r="A35" s="35">
        <v>29</v>
      </c>
      <c r="B35" s="22" t="s">
        <v>76</v>
      </c>
      <c r="C35" s="22" t="s">
        <v>77</v>
      </c>
      <c r="D35" s="22" t="s">
        <v>64</v>
      </c>
      <c r="E35" s="36">
        <v>85031</v>
      </c>
      <c r="F35" s="37">
        <v>3454.2143129999999</v>
      </c>
      <c r="G35" s="38">
        <v>1.0532639999999999E-2</v>
      </c>
      <c r="H35" s="29" t="s">
        <v>143</v>
      </c>
    </row>
    <row r="36" spans="1:8" ht="12.75" customHeight="1" x14ac:dyDescent="0.2">
      <c r="A36" s="35">
        <v>30</v>
      </c>
      <c r="B36" s="22" t="s">
        <v>469</v>
      </c>
      <c r="C36" s="22" t="s">
        <v>470</v>
      </c>
      <c r="D36" s="22" t="s">
        <v>284</v>
      </c>
      <c r="E36" s="36">
        <v>235000</v>
      </c>
      <c r="F36" s="37">
        <v>3076.855</v>
      </c>
      <c r="G36" s="38">
        <v>9.3819899999999998E-3</v>
      </c>
      <c r="H36" s="29" t="s">
        <v>143</v>
      </c>
    </row>
    <row r="37" spans="1:8" ht="12.75" customHeight="1" x14ac:dyDescent="0.2">
      <c r="A37" s="35">
        <v>31</v>
      </c>
      <c r="B37" s="22" t="s">
        <v>740</v>
      </c>
      <c r="C37" s="22" t="s">
        <v>741</v>
      </c>
      <c r="D37" s="22" t="s">
        <v>275</v>
      </c>
      <c r="E37" s="36">
        <v>162331</v>
      </c>
      <c r="F37" s="37">
        <v>3067.7312379999998</v>
      </c>
      <c r="G37" s="38">
        <v>9.3541700000000002E-3</v>
      </c>
      <c r="H37" s="29" t="s">
        <v>143</v>
      </c>
    </row>
    <row r="38" spans="1:8" ht="12.75" customHeight="1" x14ac:dyDescent="0.2">
      <c r="A38" s="39"/>
      <c r="B38" s="39"/>
      <c r="C38" s="40" t="s">
        <v>142</v>
      </c>
      <c r="D38" s="39"/>
      <c r="E38" s="39" t="s">
        <v>143</v>
      </c>
      <c r="F38" s="41">
        <v>301628.59054900002</v>
      </c>
      <c r="G38" s="42">
        <v>0.91973031999999999</v>
      </c>
      <c r="H38" s="29" t="s">
        <v>143</v>
      </c>
    </row>
    <row r="39" spans="1:8" ht="12.75" customHeight="1" x14ac:dyDescent="0.2">
      <c r="A39" s="39"/>
      <c r="B39" s="39"/>
      <c r="C39" s="43"/>
      <c r="D39" s="39"/>
      <c r="E39" s="39"/>
      <c r="F39" s="44"/>
      <c r="G39" s="44"/>
      <c r="H39" s="29" t="s">
        <v>143</v>
      </c>
    </row>
    <row r="40" spans="1:8" ht="12.75" customHeight="1" x14ac:dyDescent="0.2">
      <c r="A40" s="39"/>
      <c r="B40" s="39"/>
      <c r="C40" s="40" t="s">
        <v>144</v>
      </c>
      <c r="D40" s="39"/>
      <c r="E40" s="39"/>
      <c r="F40" s="39"/>
      <c r="G40" s="39"/>
      <c r="H40" s="29" t="s">
        <v>143</v>
      </c>
    </row>
    <row r="41" spans="1:8" ht="12.75" customHeight="1" x14ac:dyDescent="0.2">
      <c r="A41" s="39"/>
      <c r="B41" s="39"/>
      <c r="C41" s="40" t="s">
        <v>142</v>
      </c>
      <c r="D41" s="39"/>
      <c r="E41" s="39" t="s">
        <v>143</v>
      </c>
      <c r="F41" s="45" t="s">
        <v>145</v>
      </c>
      <c r="G41" s="42">
        <v>0</v>
      </c>
      <c r="H41" s="29" t="s">
        <v>143</v>
      </c>
    </row>
    <row r="42" spans="1:8" ht="12.75" customHeight="1" x14ac:dyDescent="0.2">
      <c r="A42" s="39"/>
      <c r="B42" s="39"/>
      <c r="C42" s="43"/>
      <c r="D42" s="39"/>
      <c r="E42" s="39"/>
      <c r="F42" s="44"/>
      <c r="G42" s="44"/>
      <c r="H42" s="29" t="s">
        <v>143</v>
      </c>
    </row>
    <row r="43" spans="1:8" ht="12.75" customHeight="1" x14ac:dyDescent="0.2">
      <c r="A43" s="39"/>
      <c r="B43" s="39"/>
      <c r="C43" s="40" t="s">
        <v>146</v>
      </c>
      <c r="D43" s="39"/>
      <c r="E43" s="39"/>
      <c r="F43" s="39"/>
      <c r="G43" s="39"/>
      <c r="H43" s="29" t="s">
        <v>143</v>
      </c>
    </row>
    <row r="44" spans="1:8" ht="12.75" customHeight="1" x14ac:dyDescent="0.2">
      <c r="A44" s="39"/>
      <c r="B44" s="39"/>
      <c r="C44" s="40" t="s">
        <v>142</v>
      </c>
      <c r="D44" s="39"/>
      <c r="E44" s="39" t="s">
        <v>143</v>
      </c>
      <c r="F44" s="45" t="s">
        <v>145</v>
      </c>
      <c r="G44" s="42">
        <v>0</v>
      </c>
      <c r="H44" s="29" t="s">
        <v>143</v>
      </c>
    </row>
    <row r="45" spans="1:8" ht="12.75" customHeight="1" x14ac:dyDescent="0.2">
      <c r="A45" s="39"/>
      <c r="B45" s="39"/>
      <c r="C45" s="43"/>
      <c r="D45" s="39"/>
      <c r="E45" s="39"/>
      <c r="F45" s="44"/>
      <c r="G45" s="44"/>
      <c r="H45" s="29" t="s">
        <v>143</v>
      </c>
    </row>
    <row r="46" spans="1:8" ht="12.75" customHeight="1" x14ac:dyDescent="0.2">
      <c r="A46" s="39"/>
      <c r="B46" s="39"/>
      <c r="C46" s="40" t="s">
        <v>147</v>
      </c>
      <c r="D46" s="39"/>
      <c r="E46" s="39"/>
      <c r="F46" s="39"/>
      <c r="G46" s="39"/>
      <c r="H46" s="29" t="s">
        <v>143</v>
      </c>
    </row>
    <row r="47" spans="1:8" ht="12.75" customHeight="1" x14ac:dyDescent="0.2">
      <c r="A47" s="39"/>
      <c r="B47" s="39"/>
      <c r="C47" s="40" t="s">
        <v>142</v>
      </c>
      <c r="D47" s="39"/>
      <c r="E47" s="39" t="s">
        <v>143</v>
      </c>
      <c r="F47" s="45" t="s">
        <v>145</v>
      </c>
      <c r="G47" s="42">
        <v>0</v>
      </c>
      <c r="H47" s="29" t="s">
        <v>143</v>
      </c>
    </row>
    <row r="48" spans="1:8" ht="12.75" customHeight="1" x14ac:dyDescent="0.2">
      <c r="A48" s="39"/>
      <c r="B48" s="39"/>
      <c r="C48" s="43"/>
      <c r="D48" s="39"/>
      <c r="E48" s="39"/>
      <c r="F48" s="44"/>
      <c r="G48" s="44"/>
      <c r="H48" s="29" t="s">
        <v>143</v>
      </c>
    </row>
    <row r="49" spans="1:8" ht="12.75" customHeight="1" x14ac:dyDescent="0.2">
      <c r="A49" s="39"/>
      <c r="B49" s="39"/>
      <c r="C49" s="40" t="s">
        <v>148</v>
      </c>
      <c r="D49" s="39"/>
      <c r="E49" s="39"/>
      <c r="F49" s="44"/>
      <c r="G49" s="44"/>
      <c r="H49" s="29" t="s">
        <v>143</v>
      </c>
    </row>
    <row r="50" spans="1:8" ht="12.75" customHeight="1" x14ac:dyDescent="0.2">
      <c r="A50" s="39"/>
      <c r="B50" s="39"/>
      <c r="C50" s="40" t="s">
        <v>142</v>
      </c>
      <c r="D50" s="39"/>
      <c r="E50" s="39" t="s">
        <v>143</v>
      </c>
      <c r="F50" s="45" t="s">
        <v>145</v>
      </c>
      <c r="G50" s="42">
        <v>0</v>
      </c>
      <c r="H50" s="29" t="s">
        <v>143</v>
      </c>
    </row>
    <row r="51" spans="1:8" ht="12.75" customHeight="1" x14ac:dyDescent="0.2">
      <c r="A51" s="39"/>
      <c r="B51" s="39"/>
      <c r="C51" s="43"/>
      <c r="D51" s="39"/>
      <c r="E51" s="39"/>
      <c r="F51" s="44"/>
      <c r="G51" s="44"/>
      <c r="H51" s="29" t="s">
        <v>143</v>
      </c>
    </row>
    <row r="52" spans="1:8" ht="12.75" customHeight="1" x14ac:dyDescent="0.2">
      <c r="A52" s="39"/>
      <c r="B52" s="39"/>
      <c r="C52" s="40" t="s">
        <v>149</v>
      </c>
      <c r="D52" s="39"/>
      <c r="E52" s="39"/>
      <c r="F52" s="44"/>
      <c r="G52" s="44"/>
      <c r="H52" s="29" t="s">
        <v>143</v>
      </c>
    </row>
    <row r="53" spans="1:8" ht="12.75" customHeight="1" x14ac:dyDescent="0.2">
      <c r="A53" s="39"/>
      <c r="B53" s="39"/>
      <c r="C53" s="40" t="s">
        <v>142</v>
      </c>
      <c r="D53" s="39"/>
      <c r="E53" s="39" t="s">
        <v>143</v>
      </c>
      <c r="F53" s="45" t="s">
        <v>145</v>
      </c>
      <c r="G53" s="42">
        <v>0</v>
      </c>
      <c r="H53" s="29" t="s">
        <v>143</v>
      </c>
    </row>
    <row r="54" spans="1:8" ht="12.75" customHeight="1" x14ac:dyDescent="0.2">
      <c r="A54" s="39"/>
      <c r="B54" s="39"/>
      <c r="C54" s="43"/>
      <c r="D54" s="39"/>
      <c r="E54" s="39"/>
      <c r="F54" s="44"/>
      <c r="G54" s="44"/>
      <c r="H54" s="29" t="s">
        <v>143</v>
      </c>
    </row>
    <row r="55" spans="1:8" ht="12.75" customHeight="1" x14ac:dyDescent="0.2">
      <c r="A55" s="39"/>
      <c r="B55" s="39"/>
      <c r="C55" s="40" t="s">
        <v>150</v>
      </c>
      <c r="D55" s="39"/>
      <c r="E55" s="39"/>
      <c r="F55" s="41">
        <f>F38</f>
        <v>301628.59054900002</v>
      </c>
      <c r="G55" s="42">
        <f>G38</f>
        <v>0.91973031999999999</v>
      </c>
      <c r="H55" s="29" t="s">
        <v>143</v>
      </c>
    </row>
    <row r="56" spans="1:8" ht="12.75" customHeight="1" x14ac:dyDescent="0.2">
      <c r="A56" s="39"/>
      <c r="B56" s="39"/>
      <c r="C56" s="43"/>
      <c r="D56" s="39"/>
      <c r="E56" s="39"/>
      <c r="F56" s="44"/>
      <c r="G56" s="44"/>
      <c r="H56" s="29" t="s">
        <v>143</v>
      </c>
    </row>
    <row r="57" spans="1:8" ht="12.75" customHeight="1" x14ac:dyDescent="0.2">
      <c r="A57" s="39"/>
      <c r="B57" s="39"/>
      <c r="C57" s="40" t="s">
        <v>151</v>
      </c>
      <c r="D57" s="39"/>
      <c r="E57" s="39"/>
      <c r="F57" s="44"/>
      <c r="G57" s="44"/>
      <c r="H57" s="29" t="s">
        <v>143</v>
      </c>
    </row>
    <row r="58" spans="1:8" ht="12.75" customHeight="1" x14ac:dyDescent="0.2">
      <c r="A58" s="39"/>
      <c r="B58" s="39"/>
      <c r="C58" s="40" t="s">
        <v>10</v>
      </c>
      <c r="D58" s="39"/>
      <c r="E58" s="39"/>
      <c r="F58" s="44"/>
      <c r="G58" s="44"/>
      <c r="H58" s="29" t="s">
        <v>143</v>
      </c>
    </row>
    <row r="59" spans="1:8" ht="12.75" customHeight="1" x14ac:dyDescent="0.2">
      <c r="A59" s="39"/>
      <c r="B59" s="39"/>
      <c r="C59" s="40" t="s">
        <v>142</v>
      </c>
      <c r="D59" s="39"/>
      <c r="E59" s="39" t="s">
        <v>143</v>
      </c>
      <c r="F59" s="45" t="s">
        <v>145</v>
      </c>
      <c r="G59" s="42">
        <v>0</v>
      </c>
      <c r="H59" s="29" t="s">
        <v>143</v>
      </c>
    </row>
    <row r="60" spans="1:8" ht="12.75" customHeight="1" x14ac:dyDescent="0.2">
      <c r="A60" s="39"/>
      <c r="B60" s="39"/>
      <c r="C60" s="43"/>
      <c r="D60" s="39"/>
      <c r="E60" s="39"/>
      <c r="F60" s="44"/>
      <c r="G60" s="44"/>
      <c r="H60" s="29" t="s">
        <v>143</v>
      </c>
    </row>
    <row r="61" spans="1:8" ht="12.75" customHeight="1" x14ac:dyDescent="0.2">
      <c r="A61" s="39"/>
      <c r="B61" s="39"/>
      <c r="C61" s="40" t="s">
        <v>152</v>
      </c>
      <c r="D61" s="39"/>
      <c r="E61" s="39"/>
      <c r="F61" s="39"/>
      <c r="G61" s="39"/>
      <c r="H61" s="29" t="s">
        <v>143</v>
      </c>
    </row>
    <row r="62" spans="1:8" ht="12.75" customHeight="1" x14ac:dyDescent="0.2">
      <c r="A62" s="39"/>
      <c r="B62" s="39"/>
      <c r="C62" s="40" t="s">
        <v>142</v>
      </c>
      <c r="D62" s="39"/>
      <c r="E62" s="39" t="s">
        <v>143</v>
      </c>
      <c r="F62" s="45" t="s">
        <v>145</v>
      </c>
      <c r="G62" s="42">
        <v>0</v>
      </c>
      <c r="H62" s="29" t="s">
        <v>143</v>
      </c>
    </row>
    <row r="63" spans="1:8" ht="12.75" customHeight="1" x14ac:dyDescent="0.2">
      <c r="A63" s="39"/>
      <c r="B63" s="39"/>
      <c r="C63" s="43"/>
      <c r="D63" s="39"/>
      <c r="E63" s="39"/>
      <c r="F63" s="44"/>
      <c r="G63" s="44"/>
      <c r="H63" s="29" t="s">
        <v>143</v>
      </c>
    </row>
    <row r="64" spans="1:8" ht="12.75" customHeight="1" x14ac:dyDescent="0.2">
      <c r="A64" s="39"/>
      <c r="B64" s="39"/>
      <c r="C64" s="40" t="s">
        <v>153</v>
      </c>
      <c r="D64" s="39"/>
      <c r="E64" s="39"/>
      <c r="F64" s="39"/>
      <c r="G64" s="39"/>
      <c r="H64" s="29" t="s">
        <v>143</v>
      </c>
    </row>
    <row r="65" spans="1:8" ht="12.75" customHeight="1" x14ac:dyDescent="0.2">
      <c r="A65" s="39"/>
      <c r="B65" s="39"/>
      <c r="C65" s="40" t="s">
        <v>142</v>
      </c>
      <c r="D65" s="39"/>
      <c r="E65" s="39" t="s">
        <v>143</v>
      </c>
      <c r="F65" s="45" t="s">
        <v>145</v>
      </c>
      <c r="G65" s="42">
        <v>0</v>
      </c>
      <c r="H65" s="29" t="s">
        <v>143</v>
      </c>
    </row>
    <row r="66" spans="1:8" ht="12.75" customHeight="1" x14ac:dyDescent="0.2">
      <c r="A66" s="39"/>
      <c r="B66" s="39"/>
      <c r="C66" s="43"/>
      <c r="D66" s="39"/>
      <c r="E66" s="39"/>
      <c r="F66" s="44"/>
      <c r="G66" s="44"/>
      <c r="H66" s="29" t="s">
        <v>143</v>
      </c>
    </row>
    <row r="67" spans="1:8" ht="12.75" customHeight="1" x14ac:dyDescent="0.2">
      <c r="A67" s="39"/>
      <c r="B67" s="39"/>
      <c r="C67" s="40" t="s">
        <v>154</v>
      </c>
      <c r="D67" s="39"/>
      <c r="E67" s="39"/>
      <c r="F67" s="44"/>
      <c r="G67" s="44"/>
      <c r="H67" s="29" t="s">
        <v>143</v>
      </c>
    </row>
    <row r="68" spans="1:8" ht="12.75" customHeight="1" x14ac:dyDescent="0.2">
      <c r="A68" s="39"/>
      <c r="B68" s="39"/>
      <c r="C68" s="40" t="s">
        <v>142</v>
      </c>
      <c r="D68" s="39"/>
      <c r="E68" s="39" t="s">
        <v>143</v>
      </c>
      <c r="F68" s="45" t="s">
        <v>145</v>
      </c>
      <c r="G68" s="42">
        <v>0</v>
      </c>
      <c r="H68" s="29" t="s">
        <v>143</v>
      </c>
    </row>
    <row r="69" spans="1:8" ht="12.75" customHeight="1" x14ac:dyDescent="0.2">
      <c r="A69" s="39"/>
      <c r="B69" s="39"/>
      <c r="C69" s="43"/>
      <c r="D69" s="39"/>
      <c r="E69" s="39"/>
      <c r="F69" s="44"/>
      <c r="G69" s="44"/>
      <c r="H69" s="29" t="s">
        <v>143</v>
      </c>
    </row>
    <row r="70" spans="1:8" ht="12.75" customHeight="1" x14ac:dyDescent="0.2">
      <c r="A70" s="39"/>
      <c r="B70" s="39"/>
      <c r="C70" s="40" t="s">
        <v>1170</v>
      </c>
      <c r="D70" s="39"/>
      <c r="E70" s="39"/>
      <c r="F70" s="39"/>
      <c r="G70" s="39"/>
      <c r="H70" s="29" t="s">
        <v>143</v>
      </c>
    </row>
    <row r="71" spans="1:8" ht="12.75" customHeight="1" x14ac:dyDescent="0.2">
      <c r="A71" s="35">
        <v>1</v>
      </c>
      <c r="B71" s="22" t="s">
        <v>315</v>
      </c>
      <c r="C71" s="22" t="s">
        <v>316</v>
      </c>
      <c r="D71" s="22" t="s">
        <v>239</v>
      </c>
      <c r="E71" s="36">
        <v>1115212</v>
      </c>
      <c r="F71" s="37">
        <v>111.99404988800001</v>
      </c>
      <c r="G71" s="38">
        <v>3.4149000000000001E-4</v>
      </c>
      <c r="H71" s="29" t="s">
        <v>143</v>
      </c>
    </row>
    <row r="72" spans="1:8" ht="12.75" customHeight="1" x14ac:dyDescent="0.2">
      <c r="A72" s="39"/>
      <c r="B72" s="39"/>
      <c r="C72" s="40" t="s">
        <v>142</v>
      </c>
      <c r="D72" s="39"/>
      <c r="E72" s="39" t="s">
        <v>143</v>
      </c>
      <c r="F72" s="41">
        <f>F71</f>
        <v>111.99404988800001</v>
      </c>
      <c r="G72" s="42">
        <f>G71</f>
        <v>3.4149000000000001E-4</v>
      </c>
      <c r="H72" s="29" t="s">
        <v>143</v>
      </c>
    </row>
    <row r="73" spans="1:8" ht="12.75" customHeight="1" x14ac:dyDescent="0.2">
      <c r="A73" s="39"/>
      <c r="B73" s="39"/>
      <c r="C73" s="43"/>
      <c r="D73" s="39"/>
      <c r="E73" s="39"/>
      <c r="F73" s="44"/>
      <c r="G73" s="44"/>
      <c r="H73" s="29" t="s">
        <v>143</v>
      </c>
    </row>
    <row r="74" spans="1:8" ht="12.75" customHeight="1" x14ac:dyDescent="0.2">
      <c r="A74" s="39"/>
      <c r="B74" s="39"/>
      <c r="C74" s="40" t="s">
        <v>155</v>
      </c>
      <c r="D74" s="39"/>
      <c r="E74" s="39"/>
      <c r="F74" s="41">
        <f>F72</f>
        <v>111.99404988800001</v>
      </c>
      <c r="G74" s="42">
        <f>G72</f>
        <v>3.4149000000000001E-4</v>
      </c>
      <c r="H74" s="29" t="s">
        <v>143</v>
      </c>
    </row>
    <row r="75" spans="1:8" ht="12.75" customHeight="1" x14ac:dyDescent="0.2">
      <c r="A75" s="39"/>
      <c r="B75" s="39"/>
      <c r="C75" s="43"/>
      <c r="D75" s="39"/>
      <c r="E75" s="39"/>
      <c r="F75" s="44"/>
      <c r="G75" s="44"/>
      <c r="H75" s="29" t="s">
        <v>143</v>
      </c>
    </row>
    <row r="76" spans="1:8" ht="12.75" customHeight="1" x14ac:dyDescent="0.2">
      <c r="A76" s="39"/>
      <c r="B76" s="39"/>
      <c r="C76" s="40" t="s">
        <v>156</v>
      </c>
      <c r="D76" s="39"/>
      <c r="E76" s="39"/>
      <c r="F76" s="44"/>
      <c r="G76" s="44"/>
      <c r="H76" s="29" t="s">
        <v>143</v>
      </c>
    </row>
    <row r="77" spans="1:8" ht="12.75" customHeight="1" x14ac:dyDescent="0.2">
      <c r="A77" s="39"/>
      <c r="B77" s="39"/>
      <c r="C77" s="40" t="s">
        <v>157</v>
      </c>
      <c r="D77" s="39"/>
      <c r="E77" s="39"/>
      <c r="F77" s="44"/>
      <c r="G77" s="44"/>
      <c r="H77" s="29" t="s">
        <v>143</v>
      </c>
    </row>
    <row r="78" spans="1:8" ht="12.75" customHeight="1" x14ac:dyDescent="0.2">
      <c r="A78" s="39"/>
      <c r="B78" s="39"/>
      <c r="C78" s="40" t="s">
        <v>142</v>
      </c>
      <c r="D78" s="39"/>
      <c r="E78" s="39" t="s">
        <v>143</v>
      </c>
      <c r="F78" s="45" t="s">
        <v>145</v>
      </c>
      <c r="G78" s="42">
        <v>0</v>
      </c>
      <c r="H78" s="29" t="s">
        <v>143</v>
      </c>
    </row>
    <row r="79" spans="1:8" ht="12.75" customHeight="1" x14ac:dyDescent="0.2">
      <c r="A79" s="39"/>
      <c r="B79" s="39"/>
      <c r="C79" s="43"/>
      <c r="D79" s="39"/>
      <c r="E79" s="39"/>
      <c r="F79" s="44"/>
      <c r="G79" s="44"/>
      <c r="H79" s="29" t="s">
        <v>143</v>
      </c>
    </row>
    <row r="80" spans="1:8" ht="12.75" customHeight="1" x14ac:dyDescent="0.2">
      <c r="A80" s="39"/>
      <c r="B80" s="39"/>
      <c r="C80" s="40" t="s">
        <v>158</v>
      </c>
      <c r="D80" s="39"/>
      <c r="E80" s="39"/>
      <c r="F80" s="44"/>
      <c r="G80" s="44"/>
      <c r="H80" s="29" t="s">
        <v>143</v>
      </c>
    </row>
    <row r="81" spans="1:8" ht="12.75" customHeight="1" x14ac:dyDescent="0.2">
      <c r="A81" s="39"/>
      <c r="B81" s="39"/>
      <c r="C81" s="40" t="s">
        <v>142</v>
      </c>
      <c r="D81" s="39"/>
      <c r="E81" s="39" t="s">
        <v>143</v>
      </c>
      <c r="F81" s="45" t="s">
        <v>145</v>
      </c>
      <c r="G81" s="42">
        <v>0</v>
      </c>
      <c r="H81" s="29" t="s">
        <v>143</v>
      </c>
    </row>
    <row r="82" spans="1:8" ht="12.75" customHeight="1" x14ac:dyDescent="0.2">
      <c r="A82" s="39"/>
      <c r="B82" s="39"/>
      <c r="C82" s="43"/>
      <c r="D82" s="39"/>
      <c r="E82" s="39"/>
      <c r="F82" s="44"/>
      <c r="G82" s="44"/>
      <c r="H82" s="29" t="s">
        <v>143</v>
      </c>
    </row>
    <row r="83" spans="1:8" ht="12.75" customHeight="1" x14ac:dyDescent="0.2">
      <c r="A83" s="39"/>
      <c r="B83" s="39"/>
      <c r="C83" s="40" t="s">
        <v>159</v>
      </c>
      <c r="D83" s="39"/>
      <c r="E83" s="39"/>
      <c r="F83" s="44"/>
      <c r="G83" s="44"/>
      <c r="H83" s="29" t="s">
        <v>143</v>
      </c>
    </row>
    <row r="84" spans="1:8" ht="12.75" customHeight="1" x14ac:dyDescent="0.2">
      <c r="A84" s="39"/>
      <c r="B84" s="39"/>
      <c r="C84" s="40" t="s">
        <v>142</v>
      </c>
      <c r="D84" s="39"/>
      <c r="E84" s="39" t="s">
        <v>143</v>
      </c>
      <c r="F84" s="45" t="s">
        <v>145</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160</v>
      </c>
      <c r="D86" s="39"/>
      <c r="E86" s="39"/>
      <c r="F86" s="44"/>
      <c r="G86" s="44"/>
      <c r="H86" s="29" t="s">
        <v>143</v>
      </c>
    </row>
    <row r="87" spans="1:8" ht="12.75" customHeight="1" x14ac:dyDescent="0.2">
      <c r="A87" s="35">
        <v>1</v>
      </c>
      <c r="B87" s="22"/>
      <c r="C87" s="22" t="s">
        <v>161</v>
      </c>
      <c r="D87" s="22"/>
      <c r="E87" s="46"/>
      <c r="F87" s="37">
        <v>20638.025329925</v>
      </c>
      <c r="G87" s="38">
        <v>6.2929769999999996E-2</v>
      </c>
      <c r="H87" s="29">
        <v>5.51</v>
      </c>
    </row>
    <row r="88" spans="1:8" ht="12.75" customHeight="1" x14ac:dyDescent="0.2">
      <c r="A88" s="39"/>
      <c r="B88" s="39"/>
      <c r="C88" s="40" t="s">
        <v>142</v>
      </c>
      <c r="D88" s="39"/>
      <c r="E88" s="39" t="s">
        <v>143</v>
      </c>
      <c r="F88" s="41">
        <v>20638.025329925</v>
      </c>
      <c r="G88" s="42">
        <v>6.2929769999999996E-2</v>
      </c>
      <c r="H88" s="29" t="s">
        <v>143</v>
      </c>
    </row>
    <row r="89" spans="1:8" ht="12.75" customHeight="1" x14ac:dyDescent="0.2">
      <c r="A89" s="39"/>
      <c r="B89" s="39"/>
      <c r="C89" s="43"/>
      <c r="D89" s="39"/>
      <c r="E89" s="39"/>
      <c r="F89" s="44"/>
      <c r="G89" s="44"/>
      <c r="H89" s="29" t="s">
        <v>143</v>
      </c>
    </row>
    <row r="90" spans="1:8" ht="12.75" customHeight="1" x14ac:dyDescent="0.2">
      <c r="A90" s="39"/>
      <c r="B90" s="39"/>
      <c r="C90" s="40" t="s">
        <v>162</v>
      </c>
      <c r="D90" s="39"/>
      <c r="E90" s="39"/>
      <c r="F90" s="41">
        <v>20638.025329925</v>
      </c>
      <c r="G90" s="42">
        <v>6.2929769999999996E-2</v>
      </c>
      <c r="H90" s="29" t="s">
        <v>143</v>
      </c>
    </row>
    <row r="91" spans="1:8" ht="12.75" customHeight="1" x14ac:dyDescent="0.2">
      <c r="A91" s="39"/>
      <c r="B91" s="39"/>
      <c r="C91" s="44"/>
      <c r="D91" s="39"/>
      <c r="E91" s="39"/>
      <c r="F91" s="39"/>
      <c r="G91" s="39"/>
      <c r="H91" s="29" t="s">
        <v>143</v>
      </c>
    </row>
    <row r="92" spans="1:8" ht="12.75" customHeight="1" x14ac:dyDescent="0.2">
      <c r="A92" s="39"/>
      <c r="B92" s="39"/>
      <c r="C92" s="40" t="s">
        <v>163</v>
      </c>
      <c r="D92" s="39"/>
      <c r="E92" s="39"/>
      <c r="F92" s="39"/>
      <c r="G92" s="39"/>
      <c r="H92" s="29" t="s">
        <v>143</v>
      </c>
    </row>
    <row r="93" spans="1:8" ht="12.75" customHeight="1" x14ac:dyDescent="0.2">
      <c r="A93" s="39"/>
      <c r="B93" s="39"/>
      <c r="C93" s="40" t="s">
        <v>164</v>
      </c>
      <c r="D93" s="39"/>
      <c r="E93" s="39"/>
      <c r="F93" s="39"/>
      <c r="G93" s="39"/>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165</v>
      </c>
      <c r="D96" s="39"/>
      <c r="E96" s="39"/>
      <c r="F96" s="39"/>
      <c r="G96" s="39"/>
      <c r="H96" s="29" t="s">
        <v>143</v>
      </c>
    </row>
    <row r="97" spans="1:17" ht="12.75" customHeight="1" x14ac:dyDescent="0.2">
      <c r="A97" s="39"/>
      <c r="B97" s="39"/>
      <c r="C97" s="40" t="s">
        <v>166</v>
      </c>
      <c r="D97" s="39"/>
      <c r="E97" s="39"/>
      <c r="F97" s="39"/>
      <c r="G97" s="39"/>
      <c r="H97" s="29" t="s">
        <v>143</v>
      </c>
    </row>
    <row r="98" spans="1:17" ht="12.75" customHeight="1" x14ac:dyDescent="0.2">
      <c r="A98" s="39"/>
      <c r="B98" s="39"/>
      <c r="C98" s="40" t="s">
        <v>142</v>
      </c>
      <c r="D98" s="39"/>
      <c r="E98" s="39" t="s">
        <v>143</v>
      </c>
      <c r="F98" s="45" t="s">
        <v>145</v>
      </c>
      <c r="G98" s="42">
        <v>0</v>
      </c>
      <c r="H98" s="29" t="s">
        <v>143</v>
      </c>
    </row>
    <row r="99" spans="1:17" ht="12.75" customHeight="1" x14ac:dyDescent="0.2">
      <c r="A99" s="39"/>
      <c r="B99" s="39"/>
      <c r="C99" s="43"/>
      <c r="D99" s="39"/>
      <c r="E99" s="39"/>
      <c r="F99" s="44"/>
      <c r="G99" s="44"/>
      <c r="H99" s="29" t="s">
        <v>143</v>
      </c>
    </row>
    <row r="100" spans="1:17" ht="12.75" customHeight="1" x14ac:dyDescent="0.2">
      <c r="A100" s="39"/>
      <c r="B100" s="39"/>
      <c r="C100" s="40" t="s">
        <v>167</v>
      </c>
      <c r="D100" s="39"/>
      <c r="E100" s="39"/>
      <c r="F100" s="44"/>
      <c r="G100" s="44"/>
      <c r="H100" s="29" t="s">
        <v>143</v>
      </c>
    </row>
    <row r="101" spans="1:17" ht="12.75" customHeight="1" x14ac:dyDescent="0.2">
      <c r="A101" s="39"/>
      <c r="B101" s="39"/>
      <c r="C101" s="40" t="s">
        <v>142</v>
      </c>
      <c r="D101" s="39"/>
      <c r="E101" s="39" t="s">
        <v>143</v>
      </c>
      <c r="F101" s="45" t="s">
        <v>145</v>
      </c>
      <c r="G101" s="42">
        <v>0</v>
      </c>
      <c r="H101" s="29" t="s">
        <v>143</v>
      </c>
    </row>
    <row r="102" spans="1:17" ht="12.75" customHeight="1" x14ac:dyDescent="0.2">
      <c r="A102" s="39"/>
      <c r="B102" s="39"/>
      <c r="C102" s="43"/>
      <c r="D102" s="39"/>
      <c r="E102" s="39"/>
      <c r="F102" s="44"/>
      <c r="G102" s="44"/>
      <c r="H102" s="29" t="s">
        <v>143</v>
      </c>
    </row>
    <row r="103" spans="1:17" ht="12.75" customHeight="1" x14ac:dyDescent="0.2">
      <c r="A103" s="46"/>
      <c r="B103" s="22"/>
      <c r="C103" s="22" t="s">
        <v>168</v>
      </c>
      <c r="D103" s="22"/>
      <c r="E103" s="46"/>
      <c r="F103" s="37">
        <v>5574.6988871399999</v>
      </c>
      <c r="G103" s="38">
        <v>1.6998449999999998E-2</v>
      </c>
      <c r="H103" s="29" t="s">
        <v>143</v>
      </c>
    </row>
    <row r="104" spans="1:17" ht="12.75" customHeight="1" x14ac:dyDescent="0.2">
      <c r="A104" s="43"/>
      <c r="B104" s="43"/>
      <c r="C104" s="40" t="s">
        <v>169</v>
      </c>
      <c r="D104" s="44"/>
      <c r="E104" s="44"/>
      <c r="F104" s="41">
        <v>327953.30881595297</v>
      </c>
      <c r="G104" s="47">
        <v>1.00000003</v>
      </c>
      <c r="H104" s="29" t="s">
        <v>143</v>
      </c>
    </row>
    <row r="105" spans="1:17" ht="12.75" customHeight="1" x14ac:dyDescent="0.2">
      <c r="A105" s="48"/>
      <c r="B105" s="48"/>
      <c r="C105" s="49"/>
      <c r="D105" s="50"/>
      <c r="E105" s="50"/>
      <c r="F105" s="51"/>
      <c r="G105" s="52"/>
      <c r="H105" s="53"/>
    </row>
    <row r="106" spans="1:17" x14ac:dyDescent="0.2">
      <c r="A106" s="54"/>
      <c r="B106" s="243" t="s">
        <v>945</v>
      </c>
      <c r="C106" s="243"/>
      <c r="D106" s="243"/>
      <c r="E106" s="243"/>
      <c r="F106" s="243"/>
      <c r="G106" s="243"/>
      <c r="H106" s="243"/>
      <c r="J106" s="56"/>
    </row>
    <row r="107" spans="1:17" x14ac:dyDescent="0.2">
      <c r="A107" s="54"/>
      <c r="B107" s="243" t="s">
        <v>946</v>
      </c>
      <c r="C107" s="243"/>
      <c r="D107" s="243"/>
      <c r="E107" s="243"/>
      <c r="F107" s="243"/>
      <c r="G107" s="243"/>
      <c r="H107" s="243"/>
      <c r="J107" s="56"/>
    </row>
    <row r="108" spans="1:17" x14ac:dyDescent="0.2">
      <c r="A108" s="54"/>
      <c r="B108" s="243" t="s">
        <v>947</v>
      </c>
      <c r="C108" s="243"/>
      <c r="D108" s="243"/>
      <c r="E108" s="243"/>
      <c r="F108" s="243"/>
      <c r="G108" s="243"/>
      <c r="H108" s="243"/>
      <c r="J108" s="56"/>
    </row>
    <row r="109" spans="1:17" s="58" customFormat="1" ht="66.75" customHeight="1" x14ac:dyDescent="0.25">
      <c r="A109" s="57"/>
      <c r="B109" s="244" t="s">
        <v>948</v>
      </c>
      <c r="C109" s="244"/>
      <c r="D109" s="244"/>
      <c r="E109" s="244"/>
      <c r="F109" s="244"/>
      <c r="G109" s="244"/>
      <c r="H109" s="244"/>
      <c r="I109"/>
      <c r="J109" s="56"/>
      <c r="K109"/>
      <c r="L109"/>
      <c r="M109"/>
      <c r="N109"/>
      <c r="O109"/>
      <c r="P109"/>
      <c r="Q109"/>
    </row>
    <row r="110" spans="1:17" x14ac:dyDescent="0.2">
      <c r="A110" s="54"/>
      <c r="B110" s="243" t="s">
        <v>949</v>
      </c>
      <c r="C110" s="243"/>
      <c r="D110" s="243"/>
      <c r="E110" s="243"/>
      <c r="F110" s="243"/>
      <c r="G110" s="243"/>
      <c r="H110" s="243"/>
      <c r="J110" s="56"/>
    </row>
    <row r="111" spans="1:17" x14ac:dyDescent="0.2">
      <c r="A111" s="54"/>
      <c r="B111" s="54"/>
      <c r="C111" s="54"/>
      <c r="D111" s="59"/>
      <c r="E111" s="59"/>
      <c r="F111" s="59"/>
      <c r="G111" s="59"/>
    </row>
    <row r="112" spans="1:17" x14ac:dyDescent="0.2">
      <c r="A112" s="54"/>
      <c r="B112" s="247" t="s">
        <v>170</v>
      </c>
      <c r="C112" s="248"/>
      <c r="D112" s="249"/>
      <c r="E112" s="60"/>
      <c r="F112" s="59"/>
      <c r="G112" s="59"/>
    </row>
    <row r="113" spans="1:10" ht="27.75" customHeight="1" x14ac:dyDescent="0.2">
      <c r="A113" s="54"/>
      <c r="B113" s="240" t="s">
        <v>171</v>
      </c>
      <c r="C113" s="241"/>
      <c r="D113" s="28" t="s">
        <v>172</v>
      </c>
      <c r="E113" s="60"/>
      <c r="F113" s="59"/>
      <c r="G113" s="59"/>
    </row>
    <row r="114" spans="1:10" ht="12.75" customHeight="1" x14ac:dyDescent="0.2">
      <c r="A114" s="54"/>
      <c r="B114" s="240" t="s">
        <v>950</v>
      </c>
      <c r="C114" s="241"/>
      <c r="D114" s="40" t="s">
        <v>172</v>
      </c>
      <c r="E114" s="60"/>
      <c r="F114" s="59"/>
      <c r="G114" s="59"/>
    </row>
    <row r="115" spans="1:10" x14ac:dyDescent="0.2">
      <c r="A115" s="54"/>
      <c r="B115" s="240" t="s">
        <v>173</v>
      </c>
      <c r="C115" s="241"/>
      <c r="D115" s="61" t="s">
        <v>143</v>
      </c>
      <c r="E115" s="60"/>
      <c r="F115" s="59"/>
      <c r="G115" s="59"/>
    </row>
    <row r="116" spans="1:10" x14ac:dyDescent="0.2">
      <c r="A116" s="62"/>
      <c r="B116" s="63" t="s">
        <v>143</v>
      </c>
      <c r="C116" s="63" t="s">
        <v>951</v>
      </c>
      <c r="D116" s="63" t="s">
        <v>174</v>
      </c>
      <c r="E116" s="62"/>
      <c r="F116" s="62"/>
      <c r="G116" s="62"/>
      <c r="H116" s="62"/>
      <c r="J116" s="56"/>
    </row>
    <row r="117" spans="1:10" x14ac:dyDescent="0.2">
      <c r="A117" s="62"/>
      <c r="B117" s="64" t="s">
        <v>175</v>
      </c>
      <c r="C117" s="65">
        <v>45900</v>
      </c>
      <c r="D117" s="65">
        <v>45930</v>
      </c>
      <c r="E117" s="62"/>
      <c r="F117" s="62"/>
      <c r="G117" s="62"/>
      <c r="J117" s="56"/>
    </row>
    <row r="118" spans="1:10" ht="12.75" customHeight="1" x14ac:dyDescent="0.2">
      <c r="A118" s="66"/>
      <c r="B118" s="67" t="s">
        <v>176</v>
      </c>
      <c r="C118" s="68">
        <v>22.294899999999998</v>
      </c>
      <c r="D118" s="68">
        <v>22.3538</v>
      </c>
      <c r="E118" s="66"/>
      <c r="F118" s="69"/>
      <c r="G118" s="70"/>
    </row>
    <row r="119" spans="1:10" ht="12.75" customHeight="1" x14ac:dyDescent="0.2">
      <c r="A119" s="66"/>
      <c r="B119" s="67" t="s">
        <v>1085</v>
      </c>
      <c r="C119" s="68">
        <v>17.363700000000001</v>
      </c>
      <c r="D119" s="68">
        <v>17.409500000000001</v>
      </c>
      <c r="E119" s="66"/>
      <c r="F119" s="69"/>
      <c r="G119" s="70"/>
    </row>
    <row r="120" spans="1:10" ht="12.75" customHeight="1" x14ac:dyDescent="0.2">
      <c r="A120" s="66"/>
      <c r="B120" s="67" t="s">
        <v>177</v>
      </c>
      <c r="C120" s="68">
        <v>20.735199999999999</v>
      </c>
      <c r="D120" s="68">
        <v>20.7683</v>
      </c>
      <c r="E120" s="66"/>
      <c r="F120" s="69"/>
      <c r="G120" s="70"/>
    </row>
    <row r="121" spans="1:10" ht="12.75" customHeight="1" x14ac:dyDescent="0.2">
      <c r="A121" s="66"/>
      <c r="B121" s="67" t="s">
        <v>1086</v>
      </c>
      <c r="C121" s="68">
        <v>16.133299999999998</v>
      </c>
      <c r="D121" s="68">
        <v>16.159099999999999</v>
      </c>
      <c r="E121" s="66"/>
      <c r="F121" s="69"/>
      <c r="G121" s="70"/>
    </row>
    <row r="122" spans="1:10" ht="12.75" customHeight="1" x14ac:dyDescent="0.2">
      <c r="A122" s="66"/>
      <c r="B122" s="66"/>
      <c r="C122" s="66"/>
      <c r="D122" s="66"/>
      <c r="E122" s="66"/>
      <c r="F122" s="66"/>
      <c r="G122" s="66"/>
    </row>
    <row r="123" spans="1:10" x14ac:dyDescent="0.2">
      <c r="A123" s="62"/>
      <c r="B123" s="245" t="s">
        <v>952</v>
      </c>
      <c r="C123" s="246"/>
      <c r="D123" s="71" t="s">
        <v>172</v>
      </c>
      <c r="E123" s="62"/>
      <c r="F123" s="62"/>
      <c r="G123" s="62"/>
    </row>
    <row r="124" spans="1:10" x14ac:dyDescent="0.2">
      <c r="A124" s="72"/>
      <c r="B124" s="73"/>
      <c r="C124" s="73"/>
      <c r="D124" s="73"/>
      <c r="E124" s="72"/>
      <c r="F124" s="72"/>
      <c r="G124" s="72"/>
    </row>
    <row r="125" spans="1:10" x14ac:dyDescent="0.2">
      <c r="A125" s="72"/>
      <c r="B125" s="240" t="s">
        <v>178</v>
      </c>
      <c r="C125" s="241"/>
      <c r="D125" s="28" t="s">
        <v>172</v>
      </c>
      <c r="E125" s="74"/>
      <c r="F125" s="72"/>
      <c r="G125" s="72"/>
    </row>
    <row r="126" spans="1:10" x14ac:dyDescent="0.2">
      <c r="A126" s="72"/>
      <c r="B126" s="240" t="s">
        <v>179</v>
      </c>
      <c r="C126" s="241"/>
      <c r="D126" s="28" t="s">
        <v>172</v>
      </c>
      <c r="E126" s="74"/>
      <c r="F126" s="72"/>
      <c r="G126" s="72"/>
    </row>
    <row r="127" spans="1:10" x14ac:dyDescent="0.2">
      <c r="A127" s="72"/>
      <c r="B127" s="240" t="s">
        <v>180</v>
      </c>
      <c r="C127" s="241"/>
      <c r="D127" s="28" t="s">
        <v>172</v>
      </c>
      <c r="E127" s="74"/>
      <c r="F127" s="72"/>
      <c r="G127" s="72"/>
    </row>
    <row r="128" spans="1:10" x14ac:dyDescent="0.2">
      <c r="A128" s="72"/>
      <c r="B128" s="240" t="s">
        <v>181</v>
      </c>
      <c r="C128" s="241"/>
      <c r="D128" s="75">
        <v>0.3868612579590095</v>
      </c>
      <c r="E128" s="72"/>
      <c r="F128" s="55"/>
      <c r="G128" s="76"/>
    </row>
    <row r="129" spans="2:10" x14ac:dyDescent="0.2"/>
    <row r="130" spans="2:10" x14ac:dyDescent="0.2">
      <c r="B130" s="239" t="s">
        <v>953</v>
      </c>
      <c r="C130" s="239"/>
    </row>
    <row r="131" spans="2:10" x14ac:dyDescent="0.2"/>
    <row r="132" spans="2:10" ht="153.75" customHeight="1" x14ac:dyDescent="0.2"/>
    <row r="133" spans="2:10" x14ac:dyDescent="0.2"/>
    <row r="134" spans="2:10" x14ac:dyDescent="0.2"/>
    <row r="135" spans="2:10" x14ac:dyDescent="0.2">
      <c r="B135" s="77" t="s">
        <v>954</v>
      </c>
      <c r="C135" s="78"/>
      <c r="D135" s="77"/>
    </row>
    <row r="136" spans="2:10" x14ac:dyDescent="0.2">
      <c r="B136" s="77" t="s">
        <v>1120</v>
      </c>
      <c r="D136" s="77"/>
    </row>
    <row r="137" spans="2:10" ht="165" customHeight="1" x14ac:dyDescent="0.2"/>
    <row r="138" spans="2:10" x14ac:dyDescent="0.2"/>
    <row r="139" spans="2:10" x14ac:dyDescent="0.2">
      <c r="J139" s="26"/>
    </row>
    <row r="140" spans="2:10" x14ac:dyDescent="0.2"/>
    <row r="141" spans="2:10" x14ac:dyDescent="0.2"/>
    <row r="142" spans="2:10" x14ac:dyDescent="0.2"/>
    <row r="143" spans="2:10" x14ac:dyDescent="0.2"/>
    <row r="144" spans="2:10" x14ac:dyDescent="0.2"/>
    <row r="145" customFormat="1" x14ac:dyDescent="0.2"/>
  </sheetData>
  <mergeCells count="18">
    <mergeCell ref="B112:D112"/>
    <mergeCell ref="B113:C113"/>
    <mergeCell ref="B130:C130"/>
    <mergeCell ref="B128:C128"/>
    <mergeCell ref="A1:H1"/>
    <mergeCell ref="A2:H2"/>
    <mergeCell ref="A3:H3"/>
    <mergeCell ref="B127:C127"/>
    <mergeCell ref="B106:H106"/>
    <mergeCell ref="B107:H107"/>
    <mergeCell ref="B114:C114"/>
    <mergeCell ref="B115:C115"/>
    <mergeCell ref="B125:C125"/>
    <mergeCell ref="B126:C126"/>
    <mergeCell ref="B108:H108"/>
    <mergeCell ref="B109:H109"/>
    <mergeCell ref="B110:H110"/>
    <mergeCell ref="B123:C123"/>
  </mergeCells>
  <hyperlinks>
    <hyperlink ref="I1" location="Index!B2" display="Index" xr:uid="{BE3A2197-B857-480E-AAD8-B4AE38EA6E5F}"/>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8E6F-5A7A-44AF-92D6-90AD78F4CDCD}">
  <sheetPr>
    <outlinePr summaryBelow="0" summaryRight="0"/>
  </sheetPr>
  <dimension ref="A1:Q148"/>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34.140625" customWidth="1"/>
    <col min="4" max="4" width="17.7109375" bestFit="1" customWidth="1"/>
    <col min="5" max="5" width="11.42578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826</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343</v>
      </c>
      <c r="C7" s="22" t="s">
        <v>344</v>
      </c>
      <c r="D7" s="22" t="s">
        <v>284</v>
      </c>
      <c r="E7" s="36">
        <v>3037687</v>
      </c>
      <c r="F7" s="37">
        <v>9887.6711849999992</v>
      </c>
      <c r="G7" s="38">
        <v>5.4673979999999997E-2</v>
      </c>
      <c r="H7" s="29" t="s">
        <v>143</v>
      </c>
    </row>
    <row r="8" spans="1:9" ht="12.75" customHeight="1" x14ac:dyDescent="0.2">
      <c r="A8" s="35">
        <v>2</v>
      </c>
      <c r="B8" s="22" t="s">
        <v>11</v>
      </c>
      <c r="C8" s="22" t="s">
        <v>12</v>
      </c>
      <c r="D8" s="22" t="s">
        <v>13</v>
      </c>
      <c r="E8" s="36">
        <v>522560</v>
      </c>
      <c r="F8" s="37">
        <v>9815.7670400000006</v>
      </c>
      <c r="G8" s="38">
        <v>5.4276379999999999E-2</v>
      </c>
      <c r="H8" s="29" t="s">
        <v>143</v>
      </c>
    </row>
    <row r="9" spans="1:9" ht="12.75" customHeight="1" x14ac:dyDescent="0.2">
      <c r="A9" s="35">
        <v>3</v>
      </c>
      <c r="B9" s="22" t="s">
        <v>323</v>
      </c>
      <c r="C9" s="22" t="s">
        <v>324</v>
      </c>
      <c r="D9" s="22" t="s">
        <v>33</v>
      </c>
      <c r="E9" s="36">
        <v>458868</v>
      </c>
      <c r="F9" s="37">
        <v>9143.8626359999998</v>
      </c>
      <c r="G9" s="38">
        <v>5.0561080000000001E-2</v>
      </c>
      <c r="H9" s="29" t="s">
        <v>143</v>
      </c>
    </row>
    <row r="10" spans="1:9" ht="12.75" customHeight="1" x14ac:dyDescent="0.2">
      <c r="A10" s="35">
        <v>4</v>
      </c>
      <c r="B10" s="22" t="s">
        <v>14</v>
      </c>
      <c r="C10" s="22" t="s">
        <v>15</v>
      </c>
      <c r="D10" s="22" t="s">
        <v>16</v>
      </c>
      <c r="E10" s="36">
        <v>218399</v>
      </c>
      <c r="F10" s="37">
        <v>7991.2194099999997</v>
      </c>
      <c r="G10" s="38">
        <v>4.4187530000000003E-2</v>
      </c>
      <c r="H10" s="29" t="s">
        <v>143</v>
      </c>
    </row>
    <row r="11" spans="1:9" ht="12.75" customHeight="1" x14ac:dyDescent="0.2">
      <c r="A11" s="35">
        <v>5</v>
      </c>
      <c r="B11" s="22" t="s">
        <v>44</v>
      </c>
      <c r="C11" s="22" t="s">
        <v>45</v>
      </c>
      <c r="D11" s="22" t="s">
        <v>46</v>
      </c>
      <c r="E11" s="36">
        <v>81788</v>
      </c>
      <c r="F11" s="37">
        <v>6615.8313200000002</v>
      </c>
      <c r="G11" s="38">
        <v>3.658231E-2</v>
      </c>
      <c r="H11" s="29" t="s">
        <v>143</v>
      </c>
    </row>
    <row r="12" spans="1:9" ht="12.75" customHeight="1" x14ac:dyDescent="0.2">
      <c r="A12" s="35">
        <v>6</v>
      </c>
      <c r="B12" s="22" t="s">
        <v>17</v>
      </c>
      <c r="C12" s="22" t="s">
        <v>18</v>
      </c>
      <c r="D12" s="22" t="s">
        <v>19</v>
      </c>
      <c r="E12" s="36">
        <v>450032</v>
      </c>
      <c r="F12" s="37">
        <v>6138.4364800000003</v>
      </c>
      <c r="G12" s="38">
        <v>3.3942550000000002E-2</v>
      </c>
      <c r="H12" s="29" t="s">
        <v>143</v>
      </c>
    </row>
    <row r="13" spans="1:9" ht="12.75" customHeight="1" x14ac:dyDescent="0.2">
      <c r="A13" s="35">
        <v>7</v>
      </c>
      <c r="B13" s="22" t="s">
        <v>333</v>
      </c>
      <c r="C13" s="22" t="s">
        <v>334</v>
      </c>
      <c r="D13" s="22" t="s">
        <v>239</v>
      </c>
      <c r="E13" s="36">
        <v>165749</v>
      </c>
      <c r="F13" s="37">
        <v>5680.2182300000004</v>
      </c>
      <c r="G13" s="38">
        <v>3.1408829999999999E-2</v>
      </c>
      <c r="H13" s="29" t="s">
        <v>143</v>
      </c>
    </row>
    <row r="14" spans="1:9" ht="12.75" customHeight="1" x14ac:dyDescent="0.2">
      <c r="A14" s="35">
        <v>8</v>
      </c>
      <c r="B14" s="22" t="s">
        <v>358</v>
      </c>
      <c r="C14" s="22" t="s">
        <v>359</v>
      </c>
      <c r="D14" s="22" t="s">
        <v>206</v>
      </c>
      <c r="E14" s="36">
        <v>1688302</v>
      </c>
      <c r="F14" s="37">
        <v>4960.2312760000004</v>
      </c>
      <c r="G14" s="38">
        <v>2.7427650000000001E-2</v>
      </c>
      <c r="H14" s="29" t="s">
        <v>143</v>
      </c>
    </row>
    <row r="15" spans="1:9" ht="12.75" customHeight="1" x14ac:dyDescent="0.2">
      <c r="A15" s="35">
        <v>9</v>
      </c>
      <c r="B15" s="22" t="s">
        <v>341</v>
      </c>
      <c r="C15" s="22" t="s">
        <v>342</v>
      </c>
      <c r="D15" s="22" t="s">
        <v>259</v>
      </c>
      <c r="E15" s="36">
        <v>238924</v>
      </c>
      <c r="F15" s="37">
        <v>4653.5227480000003</v>
      </c>
      <c r="G15" s="38">
        <v>2.57317E-2</v>
      </c>
      <c r="H15" s="29" t="s">
        <v>143</v>
      </c>
    </row>
    <row r="16" spans="1:9" ht="12.75" customHeight="1" x14ac:dyDescent="0.2">
      <c r="A16" s="35">
        <v>10</v>
      </c>
      <c r="B16" s="22" t="s">
        <v>426</v>
      </c>
      <c r="C16" s="22" t="s">
        <v>427</v>
      </c>
      <c r="D16" s="22" t="s">
        <v>428</v>
      </c>
      <c r="E16" s="36">
        <v>584396</v>
      </c>
      <c r="F16" s="37">
        <v>4452.8053220000002</v>
      </c>
      <c r="G16" s="38">
        <v>2.4621830000000001E-2</v>
      </c>
      <c r="H16" s="29" t="s">
        <v>143</v>
      </c>
    </row>
    <row r="17" spans="1:8" ht="12.75" customHeight="1" x14ac:dyDescent="0.2">
      <c r="A17" s="35">
        <v>11</v>
      </c>
      <c r="B17" s="22" t="s">
        <v>103</v>
      </c>
      <c r="C17" s="22" t="s">
        <v>104</v>
      </c>
      <c r="D17" s="22" t="s">
        <v>25</v>
      </c>
      <c r="E17" s="36">
        <v>778529</v>
      </c>
      <c r="F17" s="37">
        <v>4437.2260354999999</v>
      </c>
      <c r="G17" s="38">
        <v>2.4535689999999999E-2</v>
      </c>
      <c r="H17" s="29" t="s">
        <v>143</v>
      </c>
    </row>
    <row r="18" spans="1:8" ht="12.75" customHeight="1" x14ac:dyDescent="0.2">
      <c r="A18" s="35">
        <v>12</v>
      </c>
      <c r="B18" s="22" t="s">
        <v>790</v>
      </c>
      <c r="C18" s="22" t="s">
        <v>791</v>
      </c>
      <c r="D18" s="22" t="s">
        <v>275</v>
      </c>
      <c r="E18" s="36">
        <v>546537</v>
      </c>
      <c r="F18" s="37">
        <v>4134.2791365000003</v>
      </c>
      <c r="G18" s="38">
        <v>2.2860539999999999E-2</v>
      </c>
      <c r="H18" s="29" t="s">
        <v>143</v>
      </c>
    </row>
    <row r="19" spans="1:8" ht="12.75" customHeight="1" x14ac:dyDescent="0.2">
      <c r="A19" s="35">
        <v>13</v>
      </c>
      <c r="B19" s="22" t="s">
        <v>505</v>
      </c>
      <c r="C19" s="22" t="s">
        <v>506</v>
      </c>
      <c r="D19" s="22" t="s">
        <v>41</v>
      </c>
      <c r="E19" s="36">
        <v>397564</v>
      </c>
      <c r="F19" s="37">
        <v>3933.299434</v>
      </c>
      <c r="G19" s="38">
        <v>2.174922E-2</v>
      </c>
      <c r="H19" s="29" t="s">
        <v>143</v>
      </c>
    </row>
    <row r="20" spans="1:8" ht="12.75" customHeight="1" x14ac:dyDescent="0.2">
      <c r="A20" s="35">
        <v>14</v>
      </c>
      <c r="B20" s="22" t="s">
        <v>301</v>
      </c>
      <c r="C20" s="22" t="s">
        <v>302</v>
      </c>
      <c r="D20" s="22" t="s">
        <v>64</v>
      </c>
      <c r="E20" s="36">
        <v>80193</v>
      </c>
      <c r="F20" s="37">
        <v>3781.5811079999999</v>
      </c>
      <c r="G20" s="38">
        <v>2.0910290000000002E-2</v>
      </c>
      <c r="H20" s="29" t="s">
        <v>143</v>
      </c>
    </row>
    <row r="21" spans="1:8" ht="12.75" customHeight="1" x14ac:dyDescent="0.2">
      <c r="A21" s="35">
        <v>15</v>
      </c>
      <c r="B21" s="22" t="s">
        <v>93</v>
      </c>
      <c r="C21" s="22" t="s">
        <v>94</v>
      </c>
      <c r="D21" s="22" t="s">
        <v>56</v>
      </c>
      <c r="E21" s="36">
        <v>829451</v>
      </c>
      <c r="F21" s="37">
        <v>3732.9442254999999</v>
      </c>
      <c r="G21" s="38">
        <v>2.0641349999999999E-2</v>
      </c>
      <c r="H21" s="29" t="s">
        <v>143</v>
      </c>
    </row>
    <row r="22" spans="1:8" ht="12.75" customHeight="1" x14ac:dyDescent="0.2">
      <c r="A22" s="35">
        <v>16</v>
      </c>
      <c r="B22" s="22" t="s">
        <v>204</v>
      </c>
      <c r="C22" s="22" t="s">
        <v>205</v>
      </c>
      <c r="D22" s="22" t="s">
        <v>206</v>
      </c>
      <c r="E22" s="36">
        <v>604375</v>
      </c>
      <c r="F22" s="37">
        <v>3731.4112500000001</v>
      </c>
      <c r="G22" s="38">
        <v>2.0632879999999999E-2</v>
      </c>
      <c r="H22" s="29" t="s">
        <v>143</v>
      </c>
    </row>
    <row r="23" spans="1:8" ht="12.75" customHeight="1" x14ac:dyDescent="0.2">
      <c r="A23" s="35">
        <v>17</v>
      </c>
      <c r="B23" s="22" t="s">
        <v>49</v>
      </c>
      <c r="C23" s="22" t="s">
        <v>50</v>
      </c>
      <c r="D23" s="22" t="s">
        <v>22</v>
      </c>
      <c r="E23" s="36">
        <v>956556</v>
      </c>
      <c r="F23" s="37">
        <v>3717.6548939999998</v>
      </c>
      <c r="G23" s="38">
        <v>2.0556809999999998E-2</v>
      </c>
      <c r="H23" s="29" t="s">
        <v>143</v>
      </c>
    </row>
    <row r="24" spans="1:8" ht="12.75" customHeight="1" x14ac:dyDescent="0.2">
      <c r="A24" s="35">
        <v>18</v>
      </c>
      <c r="B24" s="22" t="s">
        <v>501</v>
      </c>
      <c r="C24" s="22" t="s">
        <v>502</v>
      </c>
      <c r="D24" s="22" t="s">
        <v>230</v>
      </c>
      <c r="E24" s="36">
        <v>279909</v>
      </c>
      <c r="F24" s="37">
        <v>3706.834887</v>
      </c>
      <c r="G24" s="38">
        <v>2.0496980000000001E-2</v>
      </c>
      <c r="H24" s="29" t="s">
        <v>143</v>
      </c>
    </row>
    <row r="25" spans="1:8" ht="12.75" customHeight="1" x14ac:dyDescent="0.2">
      <c r="A25" s="35">
        <v>19</v>
      </c>
      <c r="B25" s="22" t="s">
        <v>218</v>
      </c>
      <c r="C25" s="22" t="s">
        <v>219</v>
      </c>
      <c r="D25" s="22" t="s">
        <v>220</v>
      </c>
      <c r="E25" s="36">
        <v>206052</v>
      </c>
      <c r="F25" s="37">
        <v>3507.00504</v>
      </c>
      <c r="G25" s="38">
        <v>1.9392019999999999E-2</v>
      </c>
      <c r="H25" s="29" t="s">
        <v>143</v>
      </c>
    </row>
    <row r="26" spans="1:8" ht="12.75" customHeight="1" x14ac:dyDescent="0.2">
      <c r="A26" s="35">
        <v>20</v>
      </c>
      <c r="B26" s="22" t="s">
        <v>482</v>
      </c>
      <c r="C26" s="22" t="s">
        <v>483</v>
      </c>
      <c r="D26" s="22" t="s">
        <v>259</v>
      </c>
      <c r="E26" s="36">
        <v>296292</v>
      </c>
      <c r="F26" s="37">
        <v>3396.0989039999999</v>
      </c>
      <c r="G26" s="38">
        <v>1.8778759999999999E-2</v>
      </c>
      <c r="H26" s="29" t="s">
        <v>143</v>
      </c>
    </row>
    <row r="27" spans="1:8" ht="12.75" customHeight="1" x14ac:dyDescent="0.2">
      <c r="A27" s="35">
        <v>21</v>
      </c>
      <c r="B27" s="22" t="s">
        <v>228</v>
      </c>
      <c r="C27" s="22" t="s">
        <v>229</v>
      </c>
      <c r="D27" s="22" t="s">
        <v>230</v>
      </c>
      <c r="E27" s="36">
        <v>188178</v>
      </c>
      <c r="F27" s="37">
        <v>3388.7094240000001</v>
      </c>
      <c r="G27" s="38">
        <v>1.8737899999999998E-2</v>
      </c>
      <c r="H27" s="29" t="s">
        <v>143</v>
      </c>
    </row>
    <row r="28" spans="1:8" ht="12.75" customHeight="1" x14ac:dyDescent="0.2">
      <c r="A28" s="35">
        <v>22</v>
      </c>
      <c r="B28" s="22" t="s">
        <v>26</v>
      </c>
      <c r="C28" s="22" t="s">
        <v>27</v>
      </c>
      <c r="D28" s="22" t="s">
        <v>28</v>
      </c>
      <c r="E28" s="36">
        <v>836771</v>
      </c>
      <c r="F28" s="37">
        <v>3380.1364545000001</v>
      </c>
      <c r="G28" s="38">
        <v>1.8690499999999999E-2</v>
      </c>
      <c r="H28" s="29" t="s">
        <v>143</v>
      </c>
    </row>
    <row r="29" spans="1:8" ht="12.75" customHeight="1" x14ac:dyDescent="0.2">
      <c r="A29" s="35">
        <v>23</v>
      </c>
      <c r="B29" s="22" t="s">
        <v>240</v>
      </c>
      <c r="C29" s="22" t="s">
        <v>241</v>
      </c>
      <c r="D29" s="22" t="s">
        <v>188</v>
      </c>
      <c r="E29" s="36">
        <v>99875</v>
      </c>
      <c r="F29" s="37">
        <v>3114.2023749999998</v>
      </c>
      <c r="G29" s="38">
        <v>1.7220010000000001E-2</v>
      </c>
      <c r="H29" s="29" t="s">
        <v>143</v>
      </c>
    </row>
    <row r="30" spans="1:8" ht="12.75" customHeight="1" x14ac:dyDescent="0.2">
      <c r="A30" s="35">
        <v>24</v>
      </c>
      <c r="B30" s="22" t="s">
        <v>107</v>
      </c>
      <c r="C30" s="22" t="s">
        <v>108</v>
      </c>
      <c r="D30" s="22" t="s">
        <v>64</v>
      </c>
      <c r="E30" s="36">
        <v>240195</v>
      </c>
      <c r="F30" s="37">
        <v>2890.5066299999999</v>
      </c>
      <c r="G30" s="38">
        <v>1.5983089999999998E-2</v>
      </c>
      <c r="H30" s="29" t="s">
        <v>143</v>
      </c>
    </row>
    <row r="31" spans="1:8" ht="12.75" customHeight="1" x14ac:dyDescent="0.2">
      <c r="A31" s="35">
        <v>25</v>
      </c>
      <c r="B31" s="22" t="s">
        <v>368</v>
      </c>
      <c r="C31" s="22" t="s">
        <v>369</v>
      </c>
      <c r="D31" s="22" t="s">
        <v>215</v>
      </c>
      <c r="E31" s="36">
        <v>435856</v>
      </c>
      <c r="F31" s="37">
        <v>2810.18156</v>
      </c>
      <c r="G31" s="38">
        <v>1.5538929999999999E-2</v>
      </c>
      <c r="H31" s="29" t="s">
        <v>143</v>
      </c>
    </row>
    <row r="32" spans="1:8" ht="12.75" customHeight="1" x14ac:dyDescent="0.2">
      <c r="A32" s="35">
        <v>26</v>
      </c>
      <c r="B32" s="22" t="s">
        <v>827</v>
      </c>
      <c r="C32" s="22" t="s">
        <v>828</v>
      </c>
      <c r="D32" s="22" t="s">
        <v>188</v>
      </c>
      <c r="E32" s="36">
        <v>160489</v>
      </c>
      <c r="F32" s="37">
        <v>2788.656864</v>
      </c>
      <c r="G32" s="38">
        <v>1.541991E-2</v>
      </c>
      <c r="H32" s="29" t="s">
        <v>143</v>
      </c>
    </row>
    <row r="33" spans="1:8" ht="12.75" customHeight="1" x14ac:dyDescent="0.2">
      <c r="A33" s="35">
        <v>27</v>
      </c>
      <c r="B33" s="22" t="s">
        <v>264</v>
      </c>
      <c r="C33" s="22" t="s">
        <v>265</v>
      </c>
      <c r="D33" s="22" t="s">
        <v>223</v>
      </c>
      <c r="E33" s="36">
        <v>270142</v>
      </c>
      <c r="F33" s="37">
        <v>2766.2540800000002</v>
      </c>
      <c r="G33" s="38">
        <v>1.529603E-2</v>
      </c>
      <c r="H33" s="29" t="s">
        <v>143</v>
      </c>
    </row>
    <row r="34" spans="1:8" ht="12.75" customHeight="1" x14ac:dyDescent="0.2">
      <c r="A34" s="35">
        <v>28</v>
      </c>
      <c r="B34" s="22" t="s">
        <v>282</v>
      </c>
      <c r="C34" s="22" t="s">
        <v>283</v>
      </c>
      <c r="D34" s="22" t="s">
        <v>284</v>
      </c>
      <c r="E34" s="36">
        <v>1178268</v>
      </c>
      <c r="F34" s="37">
        <v>2738.0591783999998</v>
      </c>
      <c r="G34" s="38">
        <v>1.514013E-2</v>
      </c>
      <c r="H34" s="29" t="s">
        <v>143</v>
      </c>
    </row>
    <row r="35" spans="1:8" ht="12.75" customHeight="1" x14ac:dyDescent="0.2">
      <c r="A35" s="35">
        <v>29</v>
      </c>
      <c r="B35" s="22" t="s">
        <v>750</v>
      </c>
      <c r="C35" s="22" t="s">
        <v>751</v>
      </c>
      <c r="D35" s="22" t="s">
        <v>284</v>
      </c>
      <c r="E35" s="36">
        <v>387249</v>
      </c>
      <c r="F35" s="37">
        <v>2610.6391334999998</v>
      </c>
      <c r="G35" s="38">
        <v>1.443556E-2</v>
      </c>
      <c r="H35" s="29" t="s">
        <v>143</v>
      </c>
    </row>
    <row r="36" spans="1:8" ht="12.75" customHeight="1" x14ac:dyDescent="0.2">
      <c r="A36" s="35">
        <v>30</v>
      </c>
      <c r="B36" s="22" t="s">
        <v>819</v>
      </c>
      <c r="C36" s="22" t="s">
        <v>820</v>
      </c>
      <c r="D36" s="22" t="s">
        <v>46</v>
      </c>
      <c r="E36" s="36">
        <v>1046356</v>
      </c>
      <c r="F36" s="37">
        <v>2588.4754727999998</v>
      </c>
      <c r="G36" s="38">
        <v>1.4312999999999999E-2</v>
      </c>
      <c r="H36" s="29" t="s">
        <v>143</v>
      </c>
    </row>
    <row r="37" spans="1:8" ht="12.75" customHeight="1" x14ac:dyDescent="0.2">
      <c r="A37" s="35">
        <v>31</v>
      </c>
      <c r="B37" s="22" t="s">
        <v>266</v>
      </c>
      <c r="C37" s="22" t="s">
        <v>267</v>
      </c>
      <c r="D37" s="22" t="s">
        <v>41</v>
      </c>
      <c r="E37" s="36">
        <v>623711</v>
      </c>
      <c r="F37" s="37">
        <v>2568.1300424999999</v>
      </c>
      <c r="G37" s="38">
        <v>1.42005E-2</v>
      </c>
      <c r="H37" s="29" t="s">
        <v>143</v>
      </c>
    </row>
    <row r="38" spans="1:8" ht="12.75" customHeight="1" x14ac:dyDescent="0.2">
      <c r="A38" s="35">
        <v>32</v>
      </c>
      <c r="B38" s="22" t="s">
        <v>71</v>
      </c>
      <c r="C38" s="22" t="s">
        <v>72</v>
      </c>
      <c r="D38" s="22" t="s">
        <v>41</v>
      </c>
      <c r="E38" s="36">
        <v>19644</v>
      </c>
      <c r="F38" s="37">
        <v>2535.0581999999999</v>
      </c>
      <c r="G38" s="38">
        <v>1.401763E-2</v>
      </c>
      <c r="H38" s="29" t="s">
        <v>143</v>
      </c>
    </row>
    <row r="39" spans="1:8" ht="12.75" customHeight="1" x14ac:dyDescent="0.2">
      <c r="A39" s="35">
        <v>33</v>
      </c>
      <c r="B39" s="22" t="s">
        <v>84</v>
      </c>
      <c r="C39" s="22" t="s">
        <v>85</v>
      </c>
      <c r="D39" s="22" t="s">
        <v>41</v>
      </c>
      <c r="E39" s="36">
        <v>36737</v>
      </c>
      <c r="F39" s="37">
        <v>2495.7280949999999</v>
      </c>
      <c r="G39" s="38">
        <v>1.3800150000000001E-2</v>
      </c>
      <c r="H39" s="29" t="s">
        <v>143</v>
      </c>
    </row>
    <row r="40" spans="1:8" ht="12.75" customHeight="1" x14ac:dyDescent="0.2">
      <c r="A40" s="35">
        <v>34</v>
      </c>
      <c r="B40" s="22" t="s">
        <v>478</v>
      </c>
      <c r="C40" s="22" t="s">
        <v>479</v>
      </c>
      <c r="D40" s="22" t="s">
        <v>223</v>
      </c>
      <c r="E40" s="36">
        <v>94065</v>
      </c>
      <c r="F40" s="37">
        <v>2425.5600899999999</v>
      </c>
      <c r="G40" s="38">
        <v>1.3412159999999999E-2</v>
      </c>
      <c r="H40" s="29" t="s">
        <v>143</v>
      </c>
    </row>
    <row r="41" spans="1:8" ht="12.75" customHeight="1" x14ac:dyDescent="0.2">
      <c r="A41" s="35">
        <v>35</v>
      </c>
      <c r="B41" s="22" t="s">
        <v>307</v>
      </c>
      <c r="C41" s="22" t="s">
        <v>308</v>
      </c>
      <c r="D41" s="22" t="s">
        <v>188</v>
      </c>
      <c r="E41" s="36">
        <v>430658</v>
      </c>
      <c r="F41" s="37">
        <v>2415.9913799999999</v>
      </c>
      <c r="G41" s="38">
        <v>1.335925E-2</v>
      </c>
      <c r="H41" s="29" t="s">
        <v>143</v>
      </c>
    </row>
    <row r="42" spans="1:8" ht="12.75" customHeight="1" x14ac:dyDescent="0.2">
      <c r="A42" s="35">
        <v>36</v>
      </c>
      <c r="B42" s="22" t="s">
        <v>829</v>
      </c>
      <c r="C42" s="22" t="s">
        <v>830</v>
      </c>
      <c r="D42" s="22" t="s">
        <v>284</v>
      </c>
      <c r="E42" s="36">
        <v>1369628</v>
      </c>
      <c r="F42" s="37">
        <v>2292.4833463999998</v>
      </c>
      <c r="G42" s="38">
        <v>1.267631E-2</v>
      </c>
      <c r="H42" s="29" t="s">
        <v>143</v>
      </c>
    </row>
    <row r="43" spans="1:8" ht="12.75" customHeight="1" x14ac:dyDescent="0.2">
      <c r="A43" s="35">
        <v>37</v>
      </c>
      <c r="B43" s="22" t="s">
        <v>831</v>
      </c>
      <c r="C43" s="22" t="s">
        <v>832</v>
      </c>
      <c r="D43" s="22" t="s">
        <v>64</v>
      </c>
      <c r="E43" s="36">
        <v>1027189</v>
      </c>
      <c r="F43" s="37">
        <v>2176.0998964999999</v>
      </c>
      <c r="G43" s="38">
        <v>1.203277E-2</v>
      </c>
      <c r="H43" s="29" t="s">
        <v>143</v>
      </c>
    </row>
    <row r="44" spans="1:8" ht="12.75" customHeight="1" x14ac:dyDescent="0.2">
      <c r="A44" s="35">
        <v>38</v>
      </c>
      <c r="B44" s="22" t="s">
        <v>268</v>
      </c>
      <c r="C44" s="22" t="s">
        <v>269</v>
      </c>
      <c r="D44" s="22" t="s">
        <v>270</v>
      </c>
      <c r="E44" s="36">
        <v>116569</v>
      </c>
      <c r="F44" s="37">
        <v>2139.1577189999998</v>
      </c>
      <c r="G44" s="38">
        <v>1.1828490000000001E-2</v>
      </c>
      <c r="H44" s="29" t="s">
        <v>143</v>
      </c>
    </row>
    <row r="45" spans="1:8" ht="12.75" customHeight="1" x14ac:dyDescent="0.2">
      <c r="A45" s="35">
        <v>39</v>
      </c>
      <c r="B45" s="22" t="s">
        <v>833</v>
      </c>
      <c r="C45" s="22" t="s">
        <v>834</v>
      </c>
      <c r="D45" s="22" t="s">
        <v>382</v>
      </c>
      <c r="E45" s="36">
        <v>331817</v>
      </c>
      <c r="F45" s="37">
        <v>1949.0930579999999</v>
      </c>
      <c r="G45" s="38">
        <v>1.077753E-2</v>
      </c>
      <c r="H45" s="29" t="s">
        <v>143</v>
      </c>
    </row>
    <row r="46" spans="1:8" ht="12.75" customHeight="1" x14ac:dyDescent="0.2">
      <c r="A46" s="35">
        <v>40</v>
      </c>
      <c r="B46" s="22" t="s">
        <v>39</v>
      </c>
      <c r="C46" s="22" t="s">
        <v>40</v>
      </c>
      <c r="D46" s="22" t="s">
        <v>41</v>
      </c>
      <c r="E46" s="36">
        <v>133746</v>
      </c>
      <c r="F46" s="37">
        <v>1942.5269040000001</v>
      </c>
      <c r="G46" s="38">
        <v>1.0741219999999999E-2</v>
      </c>
      <c r="H46" s="29" t="s">
        <v>143</v>
      </c>
    </row>
    <row r="47" spans="1:8" ht="12.75" customHeight="1" x14ac:dyDescent="0.2">
      <c r="A47" s="35">
        <v>41</v>
      </c>
      <c r="B47" s="22" t="s">
        <v>835</v>
      </c>
      <c r="C47" s="22" t="s">
        <v>836</v>
      </c>
      <c r="D47" s="22" t="s">
        <v>215</v>
      </c>
      <c r="E47" s="36">
        <v>173955</v>
      </c>
      <c r="F47" s="37">
        <v>1909.5040349999999</v>
      </c>
      <c r="G47" s="38">
        <v>1.0558619999999999E-2</v>
      </c>
      <c r="H47" s="29" t="s">
        <v>143</v>
      </c>
    </row>
    <row r="48" spans="1:8" ht="12.75" customHeight="1" x14ac:dyDescent="0.2">
      <c r="A48" s="35">
        <v>42</v>
      </c>
      <c r="B48" s="22" t="s">
        <v>313</v>
      </c>
      <c r="C48" s="22" t="s">
        <v>314</v>
      </c>
      <c r="D48" s="22" t="s">
        <v>239</v>
      </c>
      <c r="E48" s="36">
        <v>2386504</v>
      </c>
      <c r="F48" s="37">
        <v>1359.114028</v>
      </c>
      <c r="G48" s="38">
        <v>7.5152400000000003E-3</v>
      </c>
      <c r="H48" s="29" t="s">
        <v>143</v>
      </c>
    </row>
    <row r="49" spans="1:8" ht="12.75" customHeight="1" x14ac:dyDescent="0.2">
      <c r="A49" s="35">
        <v>43</v>
      </c>
      <c r="B49" s="22" t="s">
        <v>136</v>
      </c>
      <c r="C49" s="22" t="s">
        <v>137</v>
      </c>
      <c r="D49" s="22" t="s">
        <v>138</v>
      </c>
      <c r="E49" s="36">
        <v>351237</v>
      </c>
      <c r="F49" s="37">
        <v>1158.9064814999999</v>
      </c>
      <c r="G49" s="38">
        <v>6.4081900000000002E-3</v>
      </c>
      <c r="H49" s="29" t="s">
        <v>143</v>
      </c>
    </row>
    <row r="50" spans="1:8" ht="12.75" customHeight="1" x14ac:dyDescent="0.2">
      <c r="A50" s="35">
        <v>44</v>
      </c>
      <c r="B50" s="22" t="s">
        <v>837</v>
      </c>
      <c r="C50" s="22" t="s">
        <v>838</v>
      </c>
      <c r="D50" s="22" t="s">
        <v>284</v>
      </c>
      <c r="E50" s="36">
        <v>130768</v>
      </c>
      <c r="F50" s="37">
        <v>1084.328256</v>
      </c>
      <c r="G50" s="38">
        <v>5.9957999999999999E-3</v>
      </c>
      <c r="H50" s="29" t="s">
        <v>143</v>
      </c>
    </row>
    <row r="51" spans="1:8" ht="12.75" customHeight="1" x14ac:dyDescent="0.2">
      <c r="A51" s="35">
        <v>45</v>
      </c>
      <c r="B51" s="22" t="s">
        <v>839</v>
      </c>
      <c r="C51" s="22" t="s">
        <v>840</v>
      </c>
      <c r="D51" s="22" t="s">
        <v>239</v>
      </c>
      <c r="E51" s="36">
        <v>12634</v>
      </c>
      <c r="F51" s="37">
        <v>75.563953999999995</v>
      </c>
      <c r="G51" s="38">
        <v>4.1783E-4</v>
      </c>
      <c r="H51" s="29" t="s">
        <v>143</v>
      </c>
    </row>
    <row r="52" spans="1:8" ht="12.75" customHeight="1" x14ac:dyDescent="0.2">
      <c r="A52" s="39"/>
      <c r="B52" s="39"/>
      <c r="C52" s="40" t="s">
        <v>142</v>
      </c>
      <c r="D52" s="39"/>
      <c r="E52" s="39" t="s">
        <v>143</v>
      </c>
      <c r="F52" s="41">
        <v>165020.96721959999</v>
      </c>
      <c r="G52" s="42">
        <v>0.91248512999999998</v>
      </c>
      <c r="H52" s="29" t="s">
        <v>143</v>
      </c>
    </row>
    <row r="53" spans="1:8" ht="12.75" customHeight="1" x14ac:dyDescent="0.2">
      <c r="A53" s="39"/>
      <c r="B53" s="39"/>
      <c r="C53" s="43"/>
      <c r="D53" s="39"/>
      <c r="E53" s="39"/>
      <c r="F53" s="44"/>
      <c r="G53" s="44"/>
      <c r="H53" s="29" t="s">
        <v>143</v>
      </c>
    </row>
    <row r="54" spans="1:8" ht="12.75" customHeight="1" x14ac:dyDescent="0.2">
      <c r="A54" s="39"/>
      <c r="B54" s="39"/>
      <c r="C54" s="40" t="s">
        <v>144</v>
      </c>
      <c r="D54" s="39"/>
      <c r="E54" s="39"/>
      <c r="F54" s="39"/>
      <c r="G54" s="39"/>
      <c r="H54" s="29" t="s">
        <v>143</v>
      </c>
    </row>
    <row r="55" spans="1:8" ht="12.75" customHeight="1" x14ac:dyDescent="0.2">
      <c r="A55" s="39"/>
      <c r="B55" s="39"/>
      <c r="C55" s="40" t="s">
        <v>142</v>
      </c>
      <c r="D55" s="39"/>
      <c r="E55" s="39" t="s">
        <v>143</v>
      </c>
      <c r="F55" s="45" t="s">
        <v>145</v>
      </c>
      <c r="G55" s="42">
        <v>0</v>
      </c>
      <c r="H55" s="29" t="s">
        <v>143</v>
      </c>
    </row>
    <row r="56" spans="1:8" ht="12.75" customHeight="1" x14ac:dyDescent="0.2">
      <c r="A56" s="39"/>
      <c r="B56" s="39"/>
      <c r="C56" s="43"/>
      <c r="D56" s="39"/>
      <c r="E56" s="39"/>
      <c r="F56" s="44"/>
      <c r="G56" s="44"/>
      <c r="H56" s="29" t="s">
        <v>143</v>
      </c>
    </row>
    <row r="57" spans="1:8" ht="12.75" customHeight="1" x14ac:dyDescent="0.2">
      <c r="A57" s="39"/>
      <c r="B57" s="39"/>
      <c r="C57" s="40" t="s">
        <v>146</v>
      </c>
      <c r="D57" s="39"/>
      <c r="E57" s="39"/>
      <c r="F57" s="39"/>
      <c r="G57" s="39"/>
      <c r="H57" s="29" t="s">
        <v>143</v>
      </c>
    </row>
    <row r="58" spans="1:8" ht="12.75" customHeight="1" x14ac:dyDescent="0.2">
      <c r="A58" s="39"/>
      <c r="B58" s="39"/>
      <c r="C58" s="40" t="s">
        <v>142</v>
      </c>
      <c r="D58" s="39"/>
      <c r="E58" s="39" t="s">
        <v>143</v>
      </c>
      <c r="F58" s="45" t="s">
        <v>145</v>
      </c>
      <c r="G58" s="42">
        <v>0</v>
      </c>
      <c r="H58" s="29" t="s">
        <v>143</v>
      </c>
    </row>
    <row r="59" spans="1:8" ht="12.75" customHeight="1" x14ac:dyDescent="0.2">
      <c r="A59" s="39"/>
      <c r="B59" s="39"/>
      <c r="C59" s="43"/>
      <c r="D59" s="39"/>
      <c r="E59" s="39"/>
      <c r="F59" s="44"/>
      <c r="G59" s="44"/>
      <c r="H59" s="29" t="s">
        <v>143</v>
      </c>
    </row>
    <row r="60" spans="1:8" ht="12.75" customHeight="1" x14ac:dyDescent="0.2">
      <c r="A60" s="39"/>
      <c r="B60" s="39"/>
      <c r="C60" s="40" t="s">
        <v>147</v>
      </c>
      <c r="D60" s="39"/>
      <c r="E60" s="39"/>
      <c r="F60" s="39"/>
      <c r="G60" s="39"/>
      <c r="H60" s="29" t="s">
        <v>143</v>
      </c>
    </row>
    <row r="61" spans="1:8" ht="12.75" customHeight="1" x14ac:dyDescent="0.2">
      <c r="A61" s="39"/>
      <c r="B61" s="39"/>
      <c r="C61" s="40" t="s">
        <v>142</v>
      </c>
      <c r="D61" s="39"/>
      <c r="E61" s="39" t="s">
        <v>143</v>
      </c>
      <c r="F61" s="45" t="s">
        <v>145</v>
      </c>
      <c r="G61" s="42">
        <v>0</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148</v>
      </c>
      <c r="D63" s="39"/>
      <c r="E63" s="39"/>
      <c r="F63" s="44"/>
      <c r="G63" s="44"/>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149</v>
      </c>
      <c r="D66" s="39"/>
      <c r="E66" s="39"/>
      <c r="F66" s="44"/>
      <c r="G66" s="44"/>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150</v>
      </c>
      <c r="D69" s="39"/>
      <c r="E69" s="39"/>
      <c r="F69" s="41">
        <v>165020.96721959999</v>
      </c>
      <c r="G69" s="42">
        <v>0.91248512999999998</v>
      </c>
      <c r="H69" s="29" t="s">
        <v>143</v>
      </c>
    </row>
    <row r="70" spans="1:8" ht="12.75" customHeight="1" x14ac:dyDescent="0.2">
      <c r="A70" s="39"/>
      <c r="B70" s="39"/>
      <c r="C70" s="43"/>
      <c r="D70" s="39"/>
      <c r="E70" s="39"/>
      <c r="F70" s="44"/>
      <c r="G70" s="44"/>
      <c r="H70" s="29" t="s">
        <v>143</v>
      </c>
    </row>
    <row r="71" spans="1:8" ht="12.75" customHeight="1" x14ac:dyDescent="0.2">
      <c r="A71" s="39"/>
      <c r="B71" s="39"/>
      <c r="C71" s="40" t="s">
        <v>151</v>
      </c>
      <c r="D71" s="39"/>
      <c r="E71" s="39"/>
      <c r="F71" s="44"/>
      <c r="G71" s="44"/>
      <c r="H71" s="29" t="s">
        <v>143</v>
      </c>
    </row>
    <row r="72" spans="1:8" ht="12.75" customHeight="1" x14ac:dyDescent="0.2">
      <c r="A72" s="39"/>
      <c r="B72" s="39"/>
      <c r="C72" s="40" t="s">
        <v>10</v>
      </c>
      <c r="D72" s="39"/>
      <c r="E72" s="39"/>
      <c r="F72" s="44"/>
      <c r="G72" s="44"/>
      <c r="H72" s="29" t="s">
        <v>143</v>
      </c>
    </row>
    <row r="73" spans="1:8" ht="12.75" customHeight="1" x14ac:dyDescent="0.2">
      <c r="A73" s="39"/>
      <c r="B73" s="39"/>
      <c r="C73" s="40" t="s">
        <v>142</v>
      </c>
      <c r="D73" s="39"/>
      <c r="E73" s="39" t="s">
        <v>143</v>
      </c>
      <c r="F73" s="45" t="s">
        <v>145</v>
      </c>
      <c r="G73" s="42">
        <v>0</v>
      </c>
      <c r="H73" s="29" t="s">
        <v>143</v>
      </c>
    </row>
    <row r="74" spans="1:8" ht="12.75" customHeight="1" x14ac:dyDescent="0.2">
      <c r="A74" s="39"/>
      <c r="B74" s="39"/>
      <c r="C74" s="43"/>
      <c r="D74" s="39"/>
      <c r="E74" s="39"/>
      <c r="F74" s="44"/>
      <c r="G74" s="44"/>
      <c r="H74" s="29" t="s">
        <v>143</v>
      </c>
    </row>
    <row r="75" spans="1:8" ht="12.75" customHeight="1" x14ac:dyDescent="0.2">
      <c r="A75" s="39"/>
      <c r="B75" s="39"/>
      <c r="C75" s="40" t="s">
        <v>152</v>
      </c>
      <c r="D75" s="39"/>
      <c r="E75" s="39"/>
      <c r="F75" s="39"/>
      <c r="G75" s="39"/>
      <c r="H75" s="29" t="s">
        <v>143</v>
      </c>
    </row>
    <row r="76" spans="1:8" ht="12.75" customHeight="1" x14ac:dyDescent="0.2">
      <c r="A76" s="39"/>
      <c r="B76" s="39"/>
      <c r="C76" s="40" t="s">
        <v>142</v>
      </c>
      <c r="D76" s="39"/>
      <c r="E76" s="39" t="s">
        <v>143</v>
      </c>
      <c r="F76" s="45" t="s">
        <v>145</v>
      </c>
      <c r="G76" s="42">
        <v>0</v>
      </c>
      <c r="H76" s="29" t="s">
        <v>143</v>
      </c>
    </row>
    <row r="77" spans="1:8" ht="12.75" customHeight="1" x14ac:dyDescent="0.2">
      <c r="A77" s="39"/>
      <c r="B77" s="39"/>
      <c r="C77" s="43"/>
      <c r="D77" s="39"/>
      <c r="E77" s="39"/>
      <c r="F77" s="44"/>
      <c r="G77" s="44"/>
      <c r="H77" s="29" t="s">
        <v>143</v>
      </c>
    </row>
    <row r="78" spans="1:8" ht="12.75" customHeight="1" x14ac:dyDescent="0.2">
      <c r="A78" s="39"/>
      <c r="B78" s="39"/>
      <c r="C78" s="40" t="s">
        <v>153</v>
      </c>
      <c r="D78" s="39"/>
      <c r="E78" s="39"/>
      <c r="F78" s="39"/>
      <c r="G78" s="39"/>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154</v>
      </c>
      <c r="D81" s="39"/>
      <c r="E81" s="39"/>
      <c r="F81" s="44"/>
      <c r="G81" s="44"/>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155</v>
      </c>
      <c r="D84" s="39"/>
      <c r="E84" s="39"/>
      <c r="F84" s="41">
        <v>0</v>
      </c>
      <c r="G84" s="42">
        <v>0</v>
      </c>
      <c r="H84" s="29" t="s">
        <v>143</v>
      </c>
    </row>
    <row r="85" spans="1:8" ht="12.75" customHeight="1" x14ac:dyDescent="0.2">
      <c r="A85" s="39"/>
      <c r="B85" s="39"/>
      <c r="C85" s="43"/>
      <c r="D85" s="39"/>
      <c r="E85" s="39"/>
      <c r="F85" s="44"/>
      <c r="G85" s="44"/>
      <c r="H85" s="29" t="s">
        <v>143</v>
      </c>
    </row>
    <row r="86" spans="1:8" ht="12.75" customHeight="1" x14ac:dyDescent="0.2">
      <c r="A86" s="39"/>
      <c r="B86" s="39"/>
      <c r="C86" s="40" t="s">
        <v>156</v>
      </c>
      <c r="D86" s="39"/>
      <c r="E86" s="39"/>
      <c r="F86" s="44"/>
      <c r="G86" s="44"/>
      <c r="H86" s="29" t="s">
        <v>143</v>
      </c>
    </row>
    <row r="87" spans="1:8" ht="12.75" customHeight="1" x14ac:dyDescent="0.2">
      <c r="A87" s="39"/>
      <c r="B87" s="39"/>
      <c r="C87" s="40" t="s">
        <v>157</v>
      </c>
      <c r="D87" s="39"/>
      <c r="E87" s="39"/>
      <c r="F87" s="44"/>
      <c r="G87" s="44"/>
      <c r="H87" s="29" t="s">
        <v>143</v>
      </c>
    </row>
    <row r="88" spans="1:8" ht="12.75" customHeight="1" x14ac:dyDescent="0.2">
      <c r="A88" s="39"/>
      <c r="B88" s="39"/>
      <c r="C88" s="40" t="s">
        <v>142</v>
      </c>
      <c r="D88" s="39"/>
      <c r="E88" s="39" t="s">
        <v>143</v>
      </c>
      <c r="F88" s="45" t="s">
        <v>145</v>
      </c>
      <c r="G88" s="42">
        <v>0</v>
      </c>
      <c r="H88" s="29" t="s">
        <v>143</v>
      </c>
    </row>
    <row r="89" spans="1:8" ht="12.75" customHeight="1" x14ac:dyDescent="0.2">
      <c r="A89" s="39"/>
      <c r="B89" s="39"/>
      <c r="C89" s="43"/>
      <c r="D89" s="39"/>
      <c r="E89" s="39"/>
      <c r="F89" s="44"/>
      <c r="G89" s="44"/>
      <c r="H89" s="29" t="s">
        <v>143</v>
      </c>
    </row>
    <row r="90" spans="1:8" ht="12.75" customHeight="1" x14ac:dyDescent="0.2">
      <c r="A90" s="39"/>
      <c r="B90" s="39"/>
      <c r="C90" s="40" t="s">
        <v>158</v>
      </c>
      <c r="D90" s="39"/>
      <c r="E90" s="39"/>
      <c r="F90" s="44"/>
      <c r="G90" s="44"/>
      <c r="H90" s="29" t="s">
        <v>143</v>
      </c>
    </row>
    <row r="91" spans="1:8" ht="12.75" customHeight="1" x14ac:dyDescent="0.2">
      <c r="A91" s="39"/>
      <c r="B91" s="39"/>
      <c r="C91" s="40" t="s">
        <v>142</v>
      </c>
      <c r="D91" s="39"/>
      <c r="E91" s="39" t="s">
        <v>143</v>
      </c>
      <c r="F91" s="45" t="s">
        <v>145</v>
      </c>
      <c r="G91" s="42">
        <v>0</v>
      </c>
      <c r="H91" s="29" t="s">
        <v>143</v>
      </c>
    </row>
    <row r="92" spans="1:8" ht="12.75" customHeight="1" x14ac:dyDescent="0.2">
      <c r="A92" s="39"/>
      <c r="B92" s="39"/>
      <c r="C92" s="43"/>
      <c r="D92" s="39"/>
      <c r="E92" s="39"/>
      <c r="F92" s="44"/>
      <c r="G92" s="44"/>
      <c r="H92" s="29" t="s">
        <v>143</v>
      </c>
    </row>
    <row r="93" spans="1:8" ht="12.75" customHeight="1" x14ac:dyDescent="0.2">
      <c r="A93" s="39"/>
      <c r="B93" s="39"/>
      <c r="C93" s="40" t="s">
        <v>159</v>
      </c>
      <c r="D93" s="39"/>
      <c r="E93" s="39"/>
      <c r="F93" s="44"/>
      <c r="G93" s="44"/>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160</v>
      </c>
      <c r="D96" s="39"/>
      <c r="E96" s="39"/>
      <c r="F96" s="44"/>
      <c r="G96" s="44"/>
      <c r="H96" s="29" t="s">
        <v>143</v>
      </c>
    </row>
    <row r="97" spans="1:8" ht="12.75" customHeight="1" x14ac:dyDescent="0.2">
      <c r="A97" s="35">
        <v>1</v>
      </c>
      <c r="B97" s="22"/>
      <c r="C97" s="22" t="s">
        <v>161</v>
      </c>
      <c r="D97" s="22"/>
      <c r="E97" s="46"/>
      <c r="F97" s="37">
        <v>12849.899993061001</v>
      </c>
      <c r="G97" s="38">
        <v>7.1053649999999996E-2</v>
      </c>
      <c r="H97" s="29">
        <v>5.51</v>
      </c>
    </row>
    <row r="98" spans="1:8" ht="12.75" customHeight="1" x14ac:dyDescent="0.2">
      <c r="A98" s="39"/>
      <c r="B98" s="39"/>
      <c r="C98" s="40" t="s">
        <v>142</v>
      </c>
      <c r="D98" s="39"/>
      <c r="E98" s="39" t="s">
        <v>143</v>
      </c>
      <c r="F98" s="41">
        <v>12849.899993061001</v>
      </c>
      <c r="G98" s="42">
        <v>7.1053649999999996E-2</v>
      </c>
      <c r="H98" s="29" t="s">
        <v>143</v>
      </c>
    </row>
    <row r="99" spans="1:8" ht="12.75" customHeight="1" x14ac:dyDescent="0.2">
      <c r="A99" s="39"/>
      <c r="B99" s="39"/>
      <c r="C99" s="43"/>
      <c r="D99" s="39"/>
      <c r="E99" s="39"/>
      <c r="F99" s="44"/>
      <c r="G99" s="44"/>
      <c r="H99" s="29" t="s">
        <v>143</v>
      </c>
    </row>
    <row r="100" spans="1:8" ht="12.75" customHeight="1" x14ac:dyDescent="0.2">
      <c r="A100" s="39"/>
      <c r="B100" s="39"/>
      <c r="C100" s="40" t="s">
        <v>162</v>
      </c>
      <c r="D100" s="39"/>
      <c r="E100" s="39"/>
      <c r="F100" s="41">
        <v>12849.899993061001</v>
      </c>
      <c r="G100" s="42">
        <v>7.1053649999999996E-2</v>
      </c>
      <c r="H100" s="29" t="s">
        <v>143</v>
      </c>
    </row>
    <row r="101" spans="1:8" ht="12.75" customHeight="1" x14ac:dyDescent="0.2">
      <c r="A101" s="39"/>
      <c r="B101" s="39"/>
      <c r="C101" s="44"/>
      <c r="D101" s="39"/>
      <c r="E101" s="39"/>
      <c r="F101" s="39"/>
      <c r="G101" s="39"/>
      <c r="H101" s="29" t="s">
        <v>143</v>
      </c>
    </row>
    <row r="102" spans="1:8" ht="12.75" customHeight="1" x14ac:dyDescent="0.2">
      <c r="A102" s="39"/>
      <c r="B102" s="39"/>
      <c r="C102" s="40" t="s">
        <v>163</v>
      </c>
      <c r="D102" s="39"/>
      <c r="E102" s="39"/>
      <c r="F102" s="39"/>
      <c r="G102" s="39"/>
      <c r="H102" s="29" t="s">
        <v>143</v>
      </c>
    </row>
    <row r="103" spans="1:8" ht="12.75" customHeight="1" x14ac:dyDescent="0.2">
      <c r="A103" s="39"/>
      <c r="B103" s="39"/>
      <c r="C103" s="40" t="s">
        <v>164</v>
      </c>
      <c r="D103" s="39"/>
      <c r="E103" s="39"/>
      <c r="F103" s="39"/>
      <c r="G103" s="39"/>
      <c r="H103" s="29" t="s">
        <v>143</v>
      </c>
    </row>
    <row r="104" spans="1:8" ht="12.75" customHeight="1" x14ac:dyDescent="0.2">
      <c r="A104" s="35">
        <v>1</v>
      </c>
      <c r="B104" s="22" t="s">
        <v>317</v>
      </c>
      <c r="C104" s="22" t="s">
        <v>318</v>
      </c>
      <c r="D104" s="22"/>
      <c r="E104" s="79">
        <v>105804.546</v>
      </c>
      <c r="F104" s="37">
        <v>2501.1856099850002</v>
      </c>
      <c r="G104" s="38">
        <v>1.383033E-2</v>
      </c>
      <c r="H104" s="29" t="s">
        <v>143</v>
      </c>
    </row>
    <row r="105" spans="1:8" ht="12.75" customHeight="1" x14ac:dyDescent="0.2">
      <c r="A105" s="39"/>
      <c r="B105" s="39"/>
      <c r="C105" s="40" t="s">
        <v>142</v>
      </c>
      <c r="D105" s="39"/>
      <c r="E105" s="39" t="s">
        <v>143</v>
      </c>
      <c r="F105" s="41">
        <v>2501.1856099850002</v>
      </c>
      <c r="G105" s="42">
        <v>1.383033E-2</v>
      </c>
      <c r="H105" s="29" t="s">
        <v>143</v>
      </c>
    </row>
    <row r="106" spans="1:8" ht="12.75" customHeight="1" x14ac:dyDescent="0.2">
      <c r="A106" s="39"/>
      <c r="B106" s="39"/>
      <c r="C106" s="43"/>
      <c r="D106" s="39"/>
      <c r="E106" s="39"/>
      <c r="F106" s="44"/>
      <c r="G106" s="44"/>
      <c r="H106" s="29" t="s">
        <v>143</v>
      </c>
    </row>
    <row r="107" spans="1:8" ht="12.75" customHeight="1" x14ac:dyDescent="0.2">
      <c r="A107" s="39"/>
      <c r="B107" s="39"/>
      <c r="C107" s="40" t="s">
        <v>165</v>
      </c>
      <c r="D107" s="39"/>
      <c r="E107" s="39"/>
      <c r="F107" s="39"/>
      <c r="G107" s="39"/>
      <c r="H107" s="29" t="s">
        <v>143</v>
      </c>
    </row>
    <row r="108" spans="1:8" ht="12.75" customHeight="1" x14ac:dyDescent="0.2">
      <c r="A108" s="39"/>
      <c r="B108" s="39"/>
      <c r="C108" s="40" t="s">
        <v>166</v>
      </c>
      <c r="D108" s="39"/>
      <c r="E108" s="39"/>
      <c r="F108" s="39"/>
      <c r="G108" s="39"/>
      <c r="H108" s="29" t="s">
        <v>143</v>
      </c>
    </row>
    <row r="109" spans="1:8" ht="12.75" customHeight="1" x14ac:dyDescent="0.2">
      <c r="A109" s="39"/>
      <c r="B109" s="39"/>
      <c r="C109" s="40" t="s">
        <v>142</v>
      </c>
      <c r="D109" s="39"/>
      <c r="E109" s="39" t="s">
        <v>143</v>
      </c>
      <c r="F109" s="45" t="s">
        <v>145</v>
      </c>
      <c r="G109" s="42">
        <v>0</v>
      </c>
      <c r="H109" s="29" t="s">
        <v>143</v>
      </c>
    </row>
    <row r="110" spans="1:8" ht="12.75" customHeight="1" x14ac:dyDescent="0.2">
      <c r="A110" s="39"/>
      <c r="B110" s="39"/>
      <c r="C110" s="43"/>
      <c r="D110" s="39"/>
      <c r="E110" s="39"/>
      <c r="F110" s="44"/>
      <c r="G110" s="44"/>
      <c r="H110" s="29" t="s">
        <v>143</v>
      </c>
    </row>
    <row r="111" spans="1:8" ht="12.75" customHeight="1" x14ac:dyDescent="0.2">
      <c r="A111" s="39"/>
      <c r="B111" s="39"/>
      <c r="C111" s="40" t="s">
        <v>167</v>
      </c>
      <c r="D111" s="39"/>
      <c r="E111" s="39"/>
      <c r="F111" s="44"/>
      <c r="G111" s="44"/>
      <c r="H111" s="29" t="s">
        <v>143</v>
      </c>
    </row>
    <row r="112" spans="1:8" ht="12.75" customHeight="1" x14ac:dyDescent="0.2">
      <c r="A112" s="39"/>
      <c r="B112" s="39"/>
      <c r="C112" s="40" t="s">
        <v>142</v>
      </c>
      <c r="D112" s="39"/>
      <c r="E112" s="39" t="s">
        <v>143</v>
      </c>
      <c r="F112" s="45" t="s">
        <v>145</v>
      </c>
      <c r="G112" s="42">
        <v>0</v>
      </c>
      <c r="H112" s="29" t="s">
        <v>143</v>
      </c>
    </row>
    <row r="113" spans="1:17" ht="12.75" customHeight="1" x14ac:dyDescent="0.2">
      <c r="A113" s="39"/>
      <c r="B113" s="22"/>
      <c r="C113" s="22"/>
      <c r="D113" s="40"/>
      <c r="E113" s="39"/>
      <c r="F113" s="22"/>
      <c r="G113" s="46"/>
      <c r="H113" s="29" t="s">
        <v>143</v>
      </c>
    </row>
    <row r="114" spans="1:17" ht="12.75" customHeight="1" x14ac:dyDescent="0.2">
      <c r="A114" s="46"/>
      <c r="B114" s="22"/>
      <c r="C114" s="22" t="s">
        <v>168</v>
      </c>
      <c r="D114" s="22"/>
      <c r="E114" s="46"/>
      <c r="F114" s="37">
        <v>475.79104087000002</v>
      </c>
      <c r="G114" s="38">
        <v>2.6308899999999999E-3</v>
      </c>
      <c r="H114" s="29" t="s">
        <v>143</v>
      </c>
    </row>
    <row r="115" spans="1:17" ht="12.75" customHeight="1" x14ac:dyDescent="0.2">
      <c r="A115" s="43"/>
      <c r="B115" s="43"/>
      <c r="C115" s="40" t="s">
        <v>169</v>
      </c>
      <c r="D115" s="44"/>
      <c r="E115" s="44"/>
      <c r="F115" s="41">
        <v>180847.843863516</v>
      </c>
      <c r="G115" s="47">
        <v>1</v>
      </c>
      <c r="H115" s="29" t="s">
        <v>143</v>
      </c>
    </row>
    <row r="116" spans="1:17" ht="12.75" customHeight="1" x14ac:dyDescent="0.2">
      <c r="A116" s="48"/>
      <c r="B116" s="48"/>
      <c r="C116" s="49"/>
      <c r="D116" s="50"/>
      <c r="E116" s="50"/>
      <c r="F116" s="51"/>
      <c r="G116" s="52"/>
      <c r="H116" s="53"/>
    </row>
    <row r="117" spans="1:17" x14ac:dyDescent="0.2">
      <c r="A117" s="54"/>
      <c r="B117" s="243" t="s">
        <v>945</v>
      </c>
      <c r="C117" s="243"/>
      <c r="D117" s="243"/>
      <c r="E117" s="243"/>
      <c r="F117" s="243"/>
      <c r="G117" s="243"/>
      <c r="H117" s="243"/>
      <c r="J117" s="56"/>
    </row>
    <row r="118" spans="1:17" x14ac:dyDescent="0.2">
      <c r="A118" s="54"/>
      <c r="B118" s="243" t="s">
        <v>946</v>
      </c>
      <c r="C118" s="243"/>
      <c r="D118" s="243"/>
      <c r="E118" s="243"/>
      <c r="F118" s="243"/>
      <c r="G118" s="243"/>
      <c r="H118" s="243"/>
      <c r="J118" s="56"/>
    </row>
    <row r="119" spans="1:17" x14ac:dyDescent="0.2">
      <c r="A119" s="54"/>
      <c r="B119" s="243" t="s">
        <v>947</v>
      </c>
      <c r="C119" s="243"/>
      <c r="D119" s="243"/>
      <c r="E119" s="243"/>
      <c r="F119" s="243"/>
      <c r="G119" s="243"/>
      <c r="H119" s="243"/>
      <c r="J119" s="56"/>
    </row>
    <row r="120" spans="1:17" s="58" customFormat="1" ht="66.75" customHeight="1" x14ac:dyDescent="0.25">
      <c r="A120" s="57"/>
      <c r="B120" s="244" t="s">
        <v>948</v>
      </c>
      <c r="C120" s="244"/>
      <c r="D120" s="244"/>
      <c r="E120" s="244"/>
      <c r="F120" s="244"/>
      <c r="G120" s="244"/>
      <c r="H120" s="244"/>
      <c r="I120"/>
      <c r="J120" s="56"/>
      <c r="K120"/>
      <c r="L120"/>
      <c r="M120"/>
      <c r="N120"/>
      <c r="O120"/>
      <c r="P120"/>
      <c r="Q120"/>
    </row>
    <row r="121" spans="1:17" x14ac:dyDescent="0.2">
      <c r="A121" s="54"/>
      <c r="B121" s="243" t="s">
        <v>949</v>
      </c>
      <c r="C121" s="243"/>
      <c r="D121" s="243"/>
      <c r="E121" s="243"/>
      <c r="F121" s="243"/>
      <c r="G121" s="243"/>
      <c r="H121" s="243"/>
      <c r="J121" s="56"/>
    </row>
    <row r="122" spans="1:17" x14ac:dyDescent="0.2">
      <c r="A122" s="54"/>
      <c r="B122" s="54"/>
      <c r="C122" s="54"/>
      <c r="D122" s="59"/>
      <c r="E122" s="59"/>
      <c r="F122" s="59"/>
      <c r="G122" s="59"/>
    </row>
    <row r="123" spans="1:17" x14ac:dyDescent="0.2">
      <c r="A123" s="54"/>
      <c r="B123" s="247" t="s">
        <v>170</v>
      </c>
      <c r="C123" s="248"/>
      <c r="D123" s="249"/>
      <c r="E123" s="60"/>
      <c r="F123" s="59"/>
      <c r="G123" s="59"/>
    </row>
    <row r="124" spans="1:17" ht="27.75" customHeight="1" x14ac:dyDescent="0.2">
      <c r="A124" s="54"/>
      <c r="B124" s="240" t="s">
        <v>171</v>
      </c>
      <c r="C124" s="241"/>
      <c r="D124" s="28" t="s">
        <v>172</v>
      </c>
      <c r="E124" s="60"/>
      <c r="F124" s="59"/>
      <c r="G124" s="59"/>
    </row>
    <row r="125" spans="1:17" ht="12.75" customHeight="1" x14ac:dyDescent="0.2">
      <c r="A125" s="54"/>
      <c r="B125" s="240" t="s">
        <v>950</v>
      </c>
      <c r="C125" s="241"/>
      <c r="D125" s="28" t="s">
        <v>172</v>
      </c>
      <c r="E125" s="60"/>
      <c r="F125" s="59"/>
      <c r="G125" s="59"/>
    </row>
    <row r="126" spans="1:17" x14ac:dyDescent="0.2">
      <c r="A126" s="54"/>
      <c r="B126" s="240" t="s">
        <v>173</v>
      </c>
      <c r="C126" s="241"/>
      <c r="D126" s="61" t="s">
        <v>143</v>
      </c>
      <c r="E126" s="60"/>
      <c r="F126" s="59"/>
      <c r="G126" s="59"/>
    </row>
    <row r="127" spans="1:17" x14ac:dyDescent="0.2">
      <c r="A127" s="62"/>
      <c r="B127" s="63" t="s">
        <v>143</v>
      </c>
      <c r="C127" s="63" t="s">
        <v>951</v>
      </c>
      <c r="D127" s="63" t="s">
        <v>174</v>
      </c>
      <c r="E127" s="62"/>
      <c r="F127" s="62"/>
      <c r="G127" s="62"/>
      <c r="H127" s="62"/>
      <c r="J127" s="56"/>
    </row>
    <row r="128" spans="1:17" x14ac:dyDescent="0.2">
      <c r="A128" s="62"/>
      <c r="B128" s="64" t="s">
        <v>175</v>
      </c>
      <c r="C128" s="65">
        <v>45900</v>
      </c>
      <c r="D128" s="65">
        <v>45930</v>
      </c>
      <c r="E128" s="62"/>
      <c r="F128" s="62"/>
      <c r="G128" s="62"/>
      <c r="J128" s="56"/>
    </row>
    <row r="129" spans="1:7" ht="12.75" customHeight="1" x14ac:dyDescent="0.2">
      <c r="A129" s="66"/>
      <c r="B129" s="67" t="s">
        <v>176</v>
      </c>
      <c r="C129" s="68">
        <v>10.9864</v>
      </c>
      <c r="D129" s="68">
        <v>11.1189</v>
      </c>
      <c r="E129" s="66"/>
      <c r="F129" s="69"/>
      <c r="G129" s="70"/>
    </row>
    <row r="130" spans="1:7" ht="12.75" customHeight="1" x14ac:dyDescent="0.2">
      <c r="A130" s="66"/>
      <c r="B130" s="67" t="s">
        <v>1085</v>
      </c>
      <c r="C130" s="68">
        <v>10.9864</v>
      </c>
      <c r="D130" s="68">
        <v>11.1189</v>
      </c>
      <c r="E130" s="66"/>
      <c r="F130" s="69"/>
      <c r="G130" s="70"/>
    </row>
    <row r="131" spans="1:7" ht="12.75" customHeight="1" x14ac:dyDescent="0.2">
      <c r="A131" s="66"/>
      <c r="B131" s="67" t="s">
        <v>177</v>
      </c>
      <c r="C131" s="68">
        <v>10.78</v>
      </c>
      <c r="D131" s="68">
        <v>10.895799999999999</v>
      </c>
      <c r="E131" s="66"/>
      <c r="F131" s="69"/>
      <c r="G131" s="70"/>
    </row>
    <row r="132" spans="1:7" ht="12.75" customHeight="1" x14ac:dyDescent="0.2">
      <c r="A132" s="66"/>
      <c r="B132" s="67" t="s">
        <v>1086</v>
      </c>
      <c r="C132" s="68">
        <v>10.78</v>
      </c>
      <c r="D132" s="68">
        <v>10.895799999999999</v>
      </c>
      <c r="E132" s="66"/>
      <c r="F132" s="69"/>
      <c r="G132" s="70"/>
    </row>
    <row r="133" spans="1:7" ht="12.75" customHeight="1" x14ac:dyDescent="0.2">
      <c r="A133" s="66"/>
      <c r="B133" s="66"/>
      <c r="C133" s="66"/>
      <c r="D133" s="66"/>
      <c r="E133" s="66"/>
      <c r="F133" s="66"/>
      <c r="G133" s="66"/>
    </row>
    <row r="134" spans="1:7" x14ac:dyDescent="0.2">
      <c r="A134" s="62"/>
      <c r="B134" s="245" t="s">
        <v>952</v>
      </c>
      <c r="C134" s="246"/>
      <c r="D134" s="71" t="s">
        <v>172</v>
      </c>
      <c r="E134" s="62"/>
      <c r="F134" s="62"/>
      <c r="G134" s="62"/>
    </row>
    <row r="135" spans="1:7" x14ac:dyDescent="0.2">
      <c r="A135" s="72"/>
      <c r="B135" s="73"/>
      <c r="C135" s="73"/>
      <c r="D135" s="73"/>
      <c r="E135" s="72"/>
      <c r="F135" s="72"/>
      <c r="G135" s="72"/>
    </row>
    <row r="136" spans="1:7" x14ac:dyDescent="0.2">
      <c r="A136" s="72"/>
      <c r="B136" s="240" t="s">
        <v>178</v>
      </c>
      <c r="C136" s="241"/>
      <c r="D136" s="28" t="s">
        <v>172</v>
      </c>
      <c r="E136" s="74"/>
      <c r="F136" s="72"/>
      <c r="G136" s="72"/>
    </row>
    <row r="137" spans="1:7" x14ac:dyDescent="0.2">
      <c r="A137" s="72"/>
      <c r="B137" s="240" t="s">
        <v>179</v>
      </c>
      <c r="C137" s="241"/>
      <c r="D137" s="28" t="s">
        <v>172</v>
      </c>
      <c r="E137" s="74"/>
      <c r="F137" s="72"/>
      <c r="G137" s="72"/>
    </row>
    <row r="138" spans="1:7" ht="12.75" customHeight="1" x14ac:dyDescent="0.2">
      <c r="A138" s="72"/>
      <c r="B138" s="240" t="s">
        <v>180</v>
      </c>
      <c r="C138" s="241"/>
      <c r="D138" s="28" t="s">
        <v>172</v>
      </c>
      <c r="E138" s="74"/>
      <c r="F138" s="72"/>
      <c r="G138" s="72"/>
    </row>
    <row r="139" spans="1:7" x14ac:dyDescent="0.2">
      <c r="A139" s="72"/>
      <c r="B139" s="240" t="s">
        <v>181</v>
      </c>
      <c r="C139" s="241"/>
      <c r="D139" s="75">
        <v>0.39447775370260629</v>
      </c>
      <c r="E139" s="72"/>
      <c r="F139" s="55"/>
      <c r="G139" s="76"/>
    </row>
    <row r="140" spans="1:7" x14ac:dyDescent="0.2"/>
    <row r="141" spans="1:7" x14ac:dyDescent="0.2">
      <c r="B141" s="239" t="s">
        <v>953</v>
      </c>
      <c r="C141" s="239"/>
    </row>
    <row r="142" spans="1:7" x14ac:dyDescent="0.2"/>
    <row r="143" spans="1:7" ht="153.75" customHeight="1" x14ac:dyDescent="0.2"/>
    <row r="144" spans="1:7" x14ac:dyDescent="0.2"/>
    <row r="145" spans="2:4" x14ac:dyDescent="0.2"/>
    <row r="146" spans="2:4" x14ac:dyDescent="0.2">
      <c r="B146" s="77" t="s">
        <v>954</v>
      </c>
      <c r="C146" s="78"/>
      <c r="D146" s="77"/>
    </row>
    <row r="147" spans="2:4" x14ac:dyDescent="0.2">
      <c r="B147" s="77" t="s">
        <v>1121</v>
      </c>
      <c r="D147" s="77"/>
    </row>
    <row r="148" spans="2:4" ht="165" customHeight="1" x14ac:dyDescent="0.2"/>
  </sheetData>
  <mergeCells count="18">
    <mergeCell ref="B123:D123"/>
    <mergeCell ref="B124:C124"/>
    <mergeCell ref="B141:C141"/>
    <mergeCell ref="B139:C139"/>
    <mergeCell ref="A1:H1"/>
    <mergeCell ref="A2:H2"/>
    <mergeCell ref="A3:H3"/>
    <mergeCell ref="B138:C138"/>
    <mergeCell ref="B117:H117"/>
    <mergeCell ref="B118:H118"/>
    <mergeCell ref="B125:C125"/>
    <mergeCell ref="B126:C126"/>
    <mergeCell ref="B136:C136"/>
    <mergeCell ref="B137:C137"/>
    <mergeCell ref="B119:H119"/>
    <mergeCell ref="B120:H120"/>
    <mergeCell ref="B121:H121"/>
    <mergeCell ref="B134:C134"/>
  </mergeCells>
  <hyperlinks>
    <hyperlink ref="I1" location="Index!B2" display="Index" xr:uid="{D50C53E0-7AAA-445E-A3E3-E962D1668F3C}"/>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92592-B93F-4B07-8D70-1F5F0CA4F39F}">
  <sheetPr>
    <outlinePr summaryBelow="0" summaryRight="0"/>
  </sheetPr>
  <dimension ref="A1:Q155"/>
  <sheetViews>
    <sheetView showGridLines="0" workbookViewId="0">
      <selection sqref="A1:H1"/>
    </sheetView>
  </sheetViews>
  <sheetFormatPr defaultRowHeight="12.75" customHeight="1" x14ac:dyDescent="0.2"/>
  <cols>
    <col min="1" max="1" width="5.85546875" bestFit="1" customWidth="1"/>
    <col min="2" max="2" width="20.85546875" customWidth="1"/>
    <col min="3" max="3" width="39.140625" bestFit="1" customWidth="1"/>
    <col min="4" max="4" width="17.7109375" bestFit="1" customWidth="1"/>
    <col min="5" max="5" width="11.42578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841</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1992000</v>
      </c>
      <c r="F7" s="37">
        <v>18943.919999999998</v>
      </c>
      <c r="G7" s="38">
        <v>9.1788800000000004E-2</v>
      </c>
      <c r="H7" s="29" t="s">
        <v>143</v>
      </c>
    </row>
    <row r="8" spans="1:9" ht="12.75" customHeight="1" x14ac:dyDescent="0.2">
      <c r="A8" s="35">
        <v>2</v>
      </c>
      <c r="B8" s="22" t="s">
        <v>31</v>
      </c>
      <c r="C8" s="22" t="s">
        <v>32</v>
      </c>
      <c r="D8" s="22" t="s">
        <v>33</v>
      </c>
      <c r="E8" s="36">
        <v>1151000</v>
      </c>
      <c r="F8" s="37">
        <v>15515.48</v>
      </c>
      <c r="G8" s="38">
        <v>7.5177010000000002E-2</v>
      </c>
      <c r="H8" s="29" t="s">
        <v>143</v>
      </c>
    </row>
    <row r="9" spans="1:9" ht="12.75" customHeight="1" x14ac:dyDescent="0.2">
      <c r="A9" s="35">
        <v>3</v>
      </c>
      <c r="B9" s="22" t="s">
        <v>17</v>
      </c>
      <c r="C9" s="22" t="s">
        <v>18</v>
      </c>
      <c r="D9" s="22" t="s">
        <v>19</v>
      </c>
      <c r="E9" s="36">
        <v>682000</v>
      </c>
      <c r="F9" s="37">
        <v>9302.48</v>
      </c>
      <c r="G9" s="38">
        <v>4.5073219999999997E-2</v>
      </c>
      <c r="H9" s="29" t="s">
        <v>143</v>
      </c>
    </row>
    <row r="10" spans="1:9" ht="12.75" customHeight="1" x14ac:dyDescent="0.2">
      <c r="A10" s="35">
        <v>4</v>
      </c>
      <c r="B10" s="22" t="s">
        <v>11</v>
      </c>
      <c r="C10" s="22" t="s">
        <v>12</v>
      </c>
      <c r="D10" s="22" t="s">
        <v>13</v>
      </c>
      <c r="E10" s="36">
        <v>444000</v>
      </c>
      <c r="F10" s="37">
        <v>8340.0959999999995</v>
      </c>
      <c r="G10" s="38">
        <v>4.0410189999999999E-2</v>
      </c>
      <c r="H10" s="29" t="s">
        <v>143</v>
      </c>
    </row>
    <row r="11" spans="1:9" ht="12.75" customHeight="1" x14ac:dyDescent="0.2">
      <c r="A11" s="35">
        <v>5</v>
      </c>
      <c r="B11" s="22" t="s">
        <v>327</v>
      </c>
      <c r="C11" s="22" t="s">
        <v>328</v>
      </c>
      <c r="D11" s="22" t="s">
        <v>33</v>
      </c>
      <c r="E11" s="36">
        <v>665000</v>
      </c>
      <c r="F11" s="37">
        <v>7525.14</v>
      </c>
      <c r="G11" s="38">
        <v>3.6461489999999999E-2</v>
      </c>
      <c r="H11" s="29" t="s">
        <v>143</v>
      </c>
    </row>
    <row r="12" spans="1:9" ht="12.75" customHeight="1" x14ac:dyDescent="0.2">
      <c r="A12" s="35">
        <v>6</v>
      </c>
      <c r="B12" s="22" t="s">
        <v>14</v>
      </c>
      <c r="C12" s="22" t="s">
        <v>15</v>
      </c>
      <c r="D12" s="22" t="s">
        <v>16</v>
      </c>
      <c r="E12" s="36">
        <v>190000</v>
      </c>
      <c r="F12" s="37">
        <v>6952.1</v>
      </c>
      <c r="G12" s="38">
        <v>3.3684939999999997E-2</v>
      </c>
      <c r="H12" s="29" t="s">
        <v>143</v>
      </c>
    </row>
    <row r="13" spans="1:9" ht="12.75" customHeight="1" x14ac:dyDescent="0.2">
      <c r="A13" s="35">
        <v>7</v>
      </c>
      <c r="B13" s="22" t="s">
        <v>42</v>
      </c>
      <c r="C13" s="22" t="s">
        <v>43</v>
      </c>
      <c r="D13" s="22" t="s">
        <v>33</v>
      </c>
      <c r="E13" s="36">
        <v>796000</v>
      </c>
      <c r="F13" s="37">
        <v>6944.7020000000002</v>
      </c>
      <c r="G13" s="38">
        <v>3.3649100000000001E-2</v>
      </c>
      <c r="H13" s="29" t="s">
        <v>143</v>
      </c>
    </row>
    <row r="14" spans="1:9" ht="12.75" customHeight="1" x14ac:dyDescent="0.2">
      <c r="A14" s="35">
        <v>8</v>
      </c>
      <c r="B14" s="22" t="s">
        <v>325</v>
      </c>
      <c r="C14" s="22" t="s">
        <v>326</v>
      </c>
      <c r="D14" s="22" t="s">
        <v>215</v>
      </c>
      <c r="E14" s="36">
        <v>468500</v>
      </c>
      <c r="F14" s="37">
        <v>6754.8329999999996</v>
      </c>
      <c r="G14" s="38">
        <v>3.2729130000000002E-2</v>
      </c>
      <c r="H14" s="29" t="s">
        <v>143</v>
      </c>
    </row>
    <row r="15" spans="1:9" ht="12.75" customHeight="1" x14ac:dyDescent="0.2">
      <c r="A15" s="35">
        <v>9</v>
      </c>
      <c r="B15" s="22" t="s">
        <v>323</v>
      </c>
      <c r="C15" s="22" t="s">
        <v>324</v>
      </c>
      <c r="D15" s="22" t="s">
        <v>33</v>
      </c>
      <c r="E15" s="36">
        <v>300000</v>
      </c>
      <c r="F15" s="37">
        <v>5978.1</v>
      </c>
      <c r="G15" s="38">
        <v>2.8965629999999999E-2</v>
      </c>
      <c r="H15" s="29" t="s">
        <v>143</v>
      </c>
    </row>
    <row r="16" spans="1:9" ht="12.75" customHeight="1" x14ac:dyDescent="0.2">
      <c r="A16" s="35">
        <v>10</v>
      </c>
      <c r="B16" s="22" t="s">
        <v>421</v>
      </c>
      <c r="C16" s="22" t="s">
        <v>422</v>
      </c>
      <c r="D16" s="22" t="s">
        <v>423</v>
      </c>
      <c r="E16" s="36">
        <v>1440000</v>
      </c>
      <c r="F16" s="37">
        <v>5782.32</v>
      </c>
      <c r="G16" s="38">
        <v>2.801702E-2</v>
      </c>
      <c r="H16" s="29" t="s">
        <v>143</v>
      </c>
    </row>
    <row r="17" spans="1:8" ht="12.75" customHeight="1" x14ac:dyDescent="0.2">
      <c r="A17" s="35">
        <v>11</v>
      </c>
      <c r="B17" s="22" t="s">
        <v>23</v>
      </c>
      <c r="C17" s="22" t="s">
        <v>24</v>
      </c>
      <c r="D17" s="22" t="s">
        <v>25</v>
      </c>
      <c r="E17" s="36">
        <v>42000</v>
      </c>
      <c r="F17" s="37">
        <v>5133.24</v>
      </c>
      <c r="G17" s="38">
        <v>2.4872040000000002E-2</v>
      </c>
      <c r="H17" s="29" t="s">
        <v>143</v>
      </c>
    </row>
    <row r="18" spans="1:8" ht="12.75" customHeight="1" x14ac:dyDescent="0.2">
      <c r="A18" s="35">
        <v>12</v>
      </c>
      <c r="B18" s="22" t="s">
        <v>333</v>
      </c>
      <c r="C18" s="22" t="s">
        <v>334</v>
      </c>
      <c r="D18" s="22" t="s">
        <v>239</v>
      </c>
      <c r="E18" s="36">
        <v>129976</v>
      </c>
      <c r="F18" s="37">
        <v>4454.2775199999996</v>
      </c>
      <c r="G18" s="38">
        <v>2.1582270000000001E-2</v>
      </c>
      <c r="H18" s="29" t="s">
        <v>143</v>
      </c>
    </row>
    <row r="19" spans="1:8" ht="12.75" customHeight="1" x14ac:dyDescent="0.2">
      <c r="A19" s="35">
        <v>13</v>
      </c>
      <c r="B19" s="22" t="s">
        <v>435</v>
      </c>
      <c r="C19" s="22" t="s">
        <v>436</v>
      </c>
      <c r="D19" s="22" t="s">
        <v>194</v>
      </c>
      <c r="E19" s="36">
        <v>256000</v>
      </c>
      <c r="F19" s="37">
        <v>3848.4479999999999</v>
      </c>
      <c r="G19" s="38">
        <v>1.864685E-2</v>
      </c>
      <c r="H19" s="29" t="s">
        <v>143</v>
      </c>
    </row>
    <row r="20" spans="1:8" ht="12.75" customHeight="1" x14ac:dyDescent="0.2">
      <c r="A20" s="35">
        <v>14</v>
      </c>
      <c r="B20" s="22" t="s">
        <v>805</v>
      </c>
      <c r="C20" s="22" t="s">
        <v>806</v>
      </c>
      <c r="D20" s="22" t="s">
        <v>239</v>
      </c>
      <c r="E20" s="36">
        <v>21000</v>
      </c>
      <c r="F20" s="37">
        <v>3526.95</v>
      </c>
      <c r="G20" s="38">
        <v>1.7089099999999999E-2</v>
      </c>
      <c r="H20" s="29" t="s">
        <v>143</v>
      </c>
    </row>
    <row r="21" spans="1:8" ht="12.75" customHeight="1" x14ac:dyDescent="0.2">
      <c r="A21" s="35">
        <v>15</v>
      </c>
      <c r="B21" s="22" t="s">
        <v>20</v>
      </c>
      <c r="C21" s="22" t="s">
        <v>21</v>
      </c>
      <c r="D21" s="22" t="s">
        <v>22</v>
      </c>
      <c r="E21" s="36">
        <v>959000</v>
      </c>
      <c r="F21" s="37">
        <v>3264.9155000000001</v>
      </c>
      <c r="G21" s="38">
        <v>1.581946E-2</v>
      </c>
      <c r="H21" s="29" t="s">
        <v>143</v>
      </c>
    </row>
    <row r="22" spans="1:8" ht="12.75" customHeight="1" x14ac:dyDescent="0.2">
      <c r="A22" s="35">
        <v>16</v>
      </c>
      <c r="B22" s="22" t="s">
        <v>349</v>
      </c>
      <c r="C22" s="22" t="s">
        <v>350</v>
      </c>
      <c r="D22" s="22" t="s">
        <v>194</v>
      </c>
      <c r="E22" s="36">
        <v>202000</v>
      </c>
      <c r="F22" s="37">
        <v>3220.4859999999999</v>
      </c>
      <c r="G22" s="38">
        <v>1.560419E-2</v>
      </c>
      <c r="H22" s="29" t="s">
        <v>143</v>
      </c>
    </row>
    <row r="23" spans="1:8" ht="12.75" customHeight="1" x14ac:dyDescent="0.2">
      <c r="A23" s="35">
        <v>17</v>
      </c>
      <c r="B23" s="22" t="s">
        <v>776</v>
      </c>
      <c r="C23" s="22" t="s">
        <v>777</v>
      </c>
      <c r="D23" s="22" t="s">
        <v>284</v>
      </c>
      <c r="E23" s="36">
        <v>750000</v>
      </c>
      <c r="F23" s="37">
        <v>3172.125</v>
      </c>
      <c r="G23" s="38">
        <v>1.5369870000000001E-2</v>
      </c>
      <c r="H23" s="29" t="s">
        <v>143</v>
      </c>
    </row>
    <row r="24" spans="1:8" ht="12.75" customHeight="1" x14ac:dyDescent="0.2">
      <c r="A24" s="35">
        <v>18</v>
      </c>
      <c r="B24" s="22" t="s">
        <v>345</v>
      </c>
      <c r="C24" s="22" t="s">
        <v>346</v>
      </c>
      <c r="D24" s="22" t="s">
        <v>191</v>
      </c>
      <c r="E24" s="36">
        <v>191000</v>
      </c>
      <c r="F24" s="37">
        <v>3076.6280000000002</v>
      </c>
      <c r="G24" s="38">
        <v>1.4907159999999999E-2</v>
      </c>
      <c r="H24" s="29" t="s">
        <v>143</v>
      </c>
    </row>
    <row r="25" spans="1:8" ht="12.75" customHeight="1" x14ac:dyDescent="0.2">
      <c r="A25" s="35">
        <v>19</v>
      </c>
      <c r="B25" s="22" t="s">
        <v>417</v>
      </c>
      <c r="C25" s="22" t="s">
        <v>418</v>
      </c>
      <c r="D25" s="22" t="s">
        <v>239</v>
      </c>
      <c r="E25" s="36">
        <v>452000</v>
      </c>
      <c r="F25" s="37">
        <v>3074.5039999999999</v>
      </c>
      <c r="G25" s="38">
        <v>1.489687E-2</v>
      </c>
      <c r="H25" s="29" t="s">
        <v>143</v>
      </c>
    </row>
    <row r="26" spans="1:8" ht="12.75" customHeight="1" x14ac:dyDescent="0.2">
      <c r="A26" s="35">
        <v>20</v>
      </c>
      <c r="B26" s="22" t="s">
        <v>748</v>
      </c>
      <c r="C26" s="22" t="s">
        <v>749</v>
      </c>
      <c r="D26" s="22" t="s">
        <v>188</v>
      </c>
      <c r="E26" s="36">
        <v>150000</v>
      </c>
      <c r="F26" s="37">
        <v>3054</v>
      </c>
      <c r="G26" s="38">
        <v>1.479752E-2</v>
      </c>
      <c r="H26" s="29" t="s">
        <v>143</v>
      </c>
    </row>
    <row r="27" spans="1:8" ht="12.75" customHeight="1" x14ac:dyDescent="0.2">
      <c r="A27" s="35">
        <v>21</v>
      </c>
      <c r="B27" s="22" t="s">
        <v>103</v>
      </c>
      <c r="C27" s="22" t="s">
        <v>104</v>
      </c>
      <c r="D27" s="22" t="s">
        <v>25</v>
      </c>
      <c r="E27" s="36">
        <v>515000</v>
      </c>
      <c r="F27" s="37">
        <v>2935.2424999999998</v>
      </c>
      <c r="G27" s="38">
        <v>1.42221E-2</v>
      </c>
      <c r="H27" s="29" t="s">
        <v>143</v>
      </c>
    </row>
    <row r="28" spans="1:8" ht="12.75" customHeight="1" x14ac:dyDescent="0.2">
      <c r="A28" s="35">
        <v>22</v>
      </c>
      <c r="B28" s="22" t="s">
        <v>246</v>
      </c>
      <c r="C28" s="22" t="s">
        <v>247</v>
      </c>
      <c r="D28" s="22" t="s">
        <v>194</v>
      </c>
      <c r="E28" s="36">
        <v>53000</v>
      </c>
      <c r="F28" s="37">
        <v>2875.25</v>
      </c>
      <c r="G28" s="38">
        <v>1.393142E-2</v>
      </c>
      <c r="H28" s="29" t="s">
        <v>143</v>
      </c>
    </row>
    <row r="29" spans="1:8" ht="12.75" customHeight="1" x14ac:dyDescent="0.2">
      <c r="A29" s="35">
        <v>23</v>
      </c>
      <c r="B29" s="22" t="s">
        <v>93</v>
      </c>
      <c r="C29" s="22" t="s">
        <v>94</v>
      </c>
      <c r="D29" s="22" t="s">
        <v>56</v>
      </c>
      <c r="E29" s="36">
        <v>629000</v>
      </c>
      <c r="F29" s="37">
        <v>2830.8145</v>
      </c>
      <c r="G29" s="38">
        <v>1.371612E-2</v>
      </c>
      <c r="H29" s="29" t="s">
        <v>143</v>
      </c>
    </row>
    <row r="30" spans="1:8" ht="12.75" customHeight="1" x14ac:dyDescent="0.2">
      <c r="A30" s="35">
        <v>24</v>
      </c>
      <c r="B30" s="22" t="s">
        <v>343</v>
      </c>
      <c r="C30" s="22" t="s">
        <v>344</v>
      </c>
      <c r="D30" s="22" t="s">
        <v>284</v>
      </c>
      <c r="E30" s="36">
        <v>863000</v>
      </c>
      <c r="F30" s="37">
        <v>2809.0650000000001</v>
      </c>
      <c r="G30" s="38">
        <v>1.361074E-2</v>
      </c>
      <c r="H30" s="29" t="s">
        <v>143</v>
      </c>
    </row>
    <row r="31" spans="1:8" ht="12.75" customHeight="1" x14ac:dyDescent="0.2">
      <c r="A31" s="35">
        <v>25</v>
      </c>
      <c r="B31" s="22" t="s">
        <v>291</v>
      </c>
      <c r="C31" s="22" t="s">
        <v>292</v>
      </c>
      <c r="D31" s="22" t="s">
        <v>254</v>
      </c>
      <c r="E31" s="36">
        <v>512642</v>
      </c>
      <c r="F31" s="37">
        <v>2759.2955649999999</v>
      </c>
      <c r="G31" s="38">
        <v>1.3369590000000001E-2</v>
      </c>
      <c r="H31" s="29" t="s">
        <v>143</v>
      </c>
    </row>
    <row r="32" spans="1:8" ht="12.75" customHeight="1" x14ac:dyDescent="0.2">
      <c r="A32" s="35">
        <v>26</v>
      </c>
      <c r="B32" s="22" t="s">
        <v>101</v>
      </c>
      <c r="C32" s="22" t="s">
        <v>102</v>
      </c>
      <c r="D32" s="22" t="s">
        <v>64</v>
      </c>
      <c r="E32" s="36">
        <v>298419</v>
      </c>
      <c r="F32" s="37">
        <v>2741.8737719999999</v>
      </c>
      <c r="G32" s="38">
        <v>1.3285180000000001E-2</v>
      </c>
      <c r="H32" s="29" t="s">
        <v>143</v>
      </c>
    </row>
    <row r="33" spans="1:8" ht="12.75" customHeight="1" x14ac:dyDescent="0.2">
      <c r="A33" s="35">
        <v>27</v>
      </c>
      <c r="B33" s="22" t="s">
        <v>501</v>
      </c>
      <c r="C33" s="22" t="s">
        <v>502</v>
      </c>
      <c r="D33" s="22" t="s">
        <v>230</v>
      </c>
      <c r="E33" s="36">
        <v>200000</v>
      </c>
      <c r="F33" s="37">
        <v>2648.6</v>
      </c>
      <c r="G33" s="38">
        <v>1.2833239999999999E-2</v>
      </c>
      <c r="H33" s="29" t="s">
        <v>143</v>
      </c>
    </row>
    <row r="34" spans="1:8" ht="12.75" customHeight="1" x14ac:dyDescent="0.2">
      <c r="A34" s="35">
        <v>28</v>
      </c>
      <c r="B34" s="22" t="s">
        <v>73</v>
      </c>
      <c r="C34" s="22" t="s">
        <v>74</v>
      </c>
      <c r="D34" s="22" t="s">
        <v>75</v>
      </c>
      <c r="E34" s="36">
        <v>1498000</v>
      </c>
      <c r="F34" s="37">
        <v>2640.8242</v>
      </c>
      <c r="G34" s="38">
        <v>1.2795559999999999E-2</v>
      </c>
      <c r="H34" s="29" t="s">
        <v>143</v>
      </c>
    </row>
    <row r="35" spans="1:8" ht="12.75" customHeight="1" x14ac:dyDescent="0.2">
      <c r="A35" s="35">
        <v>29</v>
      </c>
      <c r="B35" s="22" t="s">
        <v>204</v>
      </c>
      <c r="C35" s="22" t="s">
        <v>205</v>
      </c>
      <c r="D35" s="22" t="s">
        <v>206</v>
      </c>
      <c r="E35" s="36">
        <v>410000</v>
      </c>
      <c r="F35" s="37">
        <v>2531.34</v>
      </c>
      <c r="G35" s="38">
        <v>1.2265079999999999E-2</v>
      </c>
      <c r="H35" s="29" t="s">
        <v>143</v>
      </c>
    </row>
    <row r="36" spans="1:8" ht="12.75" customHeight="1" x14ac:dyDescent="0.2">
      <c r="A36" s="35">
        <v>30</v>
      </c>
      <c r="B36" s="22" t="s">
        <v>36</v>
      </c>
      <c r="C36" s="22" t="s">
        <v>37</v>
      </c>
      <c r="D36" s="22" t="s">
        <v>38</v>
      </c>
      <c r="E36" s="36">
        <v>85000</v>
      </c>
      <c r="F36" s="37">
        <v>2516.4250000000002</v>
      </c>
      <c r="G36" s="38">
        <v>1.219281E-2</v>
      </c>
      <c r="H36" s="29" t="s">
        <v>143</v>
      </c>
    </row>
    <row r="37" spans="1:8" ht="12.75" customHeight="1" x14ac:dyDescent="0.2">
      <c r="A37" s="35">
        <v>31</v>
      </c>
      <c r="B37" s="22" t="s">
        <v>62</v>
      </c>
      <c r="C37" s="22" t="s">
        <v>63</v>
      </c>
      <c r="D37" s="22" t="s">
        <v>64</v>
      </c>
      <c r="E37" s="36">
        <v>63000</v>
      </c>
      <c r="F37" s="37">
        <v>2473.6950000000002</v>
      </c>
      <c r="G37" s="38">
        <v>1.198577E-2</v>
      </c>
      <c r="H37" s="29" t="s">
        <v>143</v>
      </c>
    </row>
    <row r="38" spans="1:8" ht="12.75" customHeight="1" x14ac:dyDescent="0.2">
      <c r="A38" s="35">
        <v>32</v>
      </c>
      <c r="B38" s="22" t="s">
        <v>511</v>
      </c>
      <c r="C38" s="22" t="s">
        <v>512</v>
      </c>
      <c r="D38" s="22" t="s">
        <v>230</v>
      </c>
      <c r="E38" s="36">
        <v>551000</v>
      </c>
      <c r="F38" s="37">
        <v>2444.7869999999998</v>
      </c>
      <c r="G38" s="38">
        <v>1.1845700000000001E-2</v>
      </c>
      <c r="H38" s="29" t="s">
        <v>143</v>
      </c>
    </row>
    <row r="39" spans="1:8" ht="12.75" customHeight="1" x14ac:dyDescent="0.2">
      <c r="A39" s="35">
        <v>33</v>
      </c>
      <c r="B39" s="22" t="s">
        <v>54</v>
      </c>
      <c r="C39" s="22" t="s">
        <v>55</v>
      </c>
      <c r="D39" s="22" t="s">
        <v>56</v>
      </c>
      <c r="E39" s="36">
        <v>43308</v>
      </c>
      <c r="F39" s="37">
        <v>2422.8660599999998</v>
      </c>
      <c r="G39" s="38">
        <v>1.173949E-2</v>
      </c>
      <c r="H39" s="29" t="s">
        <v>143</v>
      </c>
    </row>
    <row r="40" spans="1:8" ht="12.75" customHeight="1" x14ac:dyDescent="0.2">
      <c r="A40" s="35">
        <v>34</v>
      </c>
      <c r="B40" s="22" t="s">
        <v>807</v>
      </c>
      <c r="C40" s="22" t="s">
        <v>808</v>
      </c>
      <c r="D40" s="22" t="s">
        <v>185</v>
      </c>
      <c r="E40" s="36">
        <v>362000</v>
      </c>
      <c r="F40" s="37">
        <v>2373.9960000000001</v>
      </c>
      <c r="G40" s="38">
        <v>1.1502699999999999E-2</v>
      </c>
      <c r="H40" s="29" t="s">
        <v>143</v>
      </c>
    </row>
    <row r="41" spans="1:8" ht="12.75" customHeight="1" x14ac:dyDescent="0.2">
      <c r="A41" s="35">
        <v>35</v>
      </c>
      <c r="B41" s="22" t="s">
        <v>515</v>
      </c>
      <c r="C41" s="22" t="s">
        <v>516</v>
      </c>
      <c r="D41" s="22" t="s">
        <v>215</v>
      </c>
      <c r="E41" s="36">
        <v>168601</v>
      </c>
      <c r="F41" s="37">
        <v>2360.9198029999998</v>
      </c>
      <c r="G41" s="38">
        <v>1.1439339999999999E-2</v>
      </c>
      <c r="H41" s="29" t="s">
        <v>143</v>
      </c>
    </row>
    <row r="42" spans="1:8" ht="12.75" customHeight="1" x14ac:dyDescent="0.2">
      <c r="A42" s="35">
        <v>36</v>
      </c>
      <c r="B42" s="22" t="s">
        <v>276</v>
      </c>
      <c r="C42" s="22" t="s">
        <v>277</v>
      </c>
      <c r="D42" s="22" t="s">
        <v>206</v>
      </c>
      <c r="E42" s="36">
        <v>1334000</v>
      </c>
      <c r="F42" s="37">
        <v>2241.5201999999999</v>
      </c>
      <c r="G42" s="38">
        <v>1.086082E-2</v>
      </c>
      <c r="H42" s="29" t="s">
        <v>143</v>
      </c>
    </row>
    <row r="43" spans="1:8" ht="12.75" customHeight="1" x14ac:dyDescent="0.2">
      <c r="A43" s="35">
        <v>37</v>
      </c>
      <c r="B43" s="22" t="s">
        <v>499</v>
      </c>
      <c r="C43" s="22" t="s">
        <v>500</v>
      </c>
      <c r="D43" s="22" t="s">
        <v>239</v>
      </c>
      <c r="E43" s="36">
        <v>13916</v>
      </c>
      <c r="F43" s="37">
        <v>2230.59564</v>
      </c>
      <c r="G43" s="38">
        <v>1.0807880000000001E-2</v>
      </c>
      <c r="H43" s="29" t="s">
        <v>143</v>
      </c>
    </row>
    <row r="44" spans="1:8" ht="12.75" customHeight="1" x14ac:dyDescent="0.2">
      <c r="A44" s="35">
        <v>38</v>
      </c>
      <c r="B44" s="22" t="s">
        <v>505</v>
      </c>
      <c r="C44" s="22" t="s">
        <v>506</v>
      </c>
      <c r="D44" s="22" t="s">
        <v>41</v>
      </c>
      <c r="E44" s="36">
        <v>223000</v>
      </c>
      <c r="F44" s="37">
        <v>2206.2505000000001</v>
      </c>
      <c r="G44" s="38">
        <v>1.068993E-2</v>
      </c>
      <c r="H44" s="29" t="s">
        <v>143</v>
      </c>
    </row>
    <row r="45" spans="1:8" ht="12.75" customHeight="1" x14ac:dyDescent="0.2">
      <c r="A45" s="35">
        <v>39</v>
      </c>
      <c r="B45" s="22" t="s">
        <v>431</v>
      </c>
      <c r="C45" s="22" t="s">
        <v>432</v>
      </c>
      <c r="D45" s="22" t="s">
        <v>203</v>
      </c>
      <c r="E45" s="36">
        <v>193000</v>
      </c>
      <c r="F45" s="37">
        <v>2179.549</v>
      </c>
      <c r="G45" s="38">
        <v>1.056055E-2</v>
      </c>
      <c r="H45" s="29" t="s">
        <v>143</v>
      </c>
    </row>
    <row r="46" spans="1:8" ht="12.75" customHeight="1" x14ac:dyDescent="0.2">
      <c r="A46" s="35">
        <v>40</v>
      </c>
      <c r="B46" s="22" t="s">
        <v>335</v>
      </c>
      <c r="C46" s="22" t="s">
        <v>336</v>
      </c>
      <c r="D46" s="22" t="s">
        <v>28</v>
      </c>
      <c r="E46" s="36">
        <v>45000</v>
      </c>
      <c r="F46" s="37">
        <v>2135.9250000000002</v>
      </c>
      <c r="G46" s="38">
        <v>1.0349179999999999E-2</v>
      </c>
      <c r="H46" s="29" t="s">
        <v>143</v>
      </c>
    </row>
    <row r="47" spans="1:8" ht="12.75" customHeight="1" x14ac:dyDescent="0.2">
      <c r="A47" s="35">
        <v>41</v>
      </c>
      <c r="B47" s="22" t="s">
        <v>809</v>
      </c>
      <c r="C47" s="22" t="s">
        <v>810</v>
      </c>
      <c r="D47" s="22" t="s">
        <v>33</v>
      </c>
      <c r="E47" s="36">
        <v>1510000</v>
      </c>
      <c r="F47" s="37">
        <v>2091.5010000000002</v>
      </c>
      <c r="G47" s="38">
        <v>1.0133929999999999E-2</v>
      </c>
      <c r="H47" s="29" t="s">
        <v>143</v>
      </c>
    </row>
    <row r="48" spans="1:8" ht="12.75" customHeight="1" x14ac:dyDescent="0.2">
      <c r="A48" s="35">
        <v>42</v>
      </c>
      <c r="B48" s="22" t="s">
        <v>439</v>
      </c>
      <c r="C48" s="22" t="s">
        <v>440</v>
      </c>
      <c r="D48" s="22" t="s">
        <v>423</v>
      </c>
      <c r="E48" s="36">
        <v>80000</v>
      </c>
      <c r="F48" s="37">
        <v>2011.52</v>
      </c>
      <c r="G48" s="38">
        <v>9.7464000000000005E-3</v>
      </c>
      <c r="H48" s="29" t="s">
        <v>143</v>
      </c>
    </row>
    <row r="49" spans="1:8" ht="12.75" customHeight="1" x14ac:dyDescent="0.2">
      <c r="A49" s="35">
        <v>43</v>
      </c>
      <c r="B49" s="22" t="s">
        <v>424</v>
      </c>
      <c r="C49" s="22" t="s">
        <v>425</v>
      </c>
      <c r="D49" s="22" t="s">
        <v>215</v>
      </c>
      <c r="E49" s="36">
        <v>142000</v>
      </c>
      <c r="F49" s="37">
        <v>1966.8420000000001</v>
      </c>
      <c r="G49" s="38">
        <v>9.5299200000000008E-3</v>
      </c>
      <c r="H49" s="29" t="s">
        <v>143</v>
      </c>
    </row>
    <row r="50" spans="1:8" ht="12.75" customHeight="1" x14ac:dyDescent="0.2">
      <c r="A50" s="35">
        <v>44</v>
      </c>
      <c r="B50" s="22" t="s">
        <v>268</v>
      </c>
      <c r="C50" s="22" t="s">
        <v>269</v>
      </c>
      <c r="D50" s="22" t="s">
        <v>270</v>
      </c>
      <c r="E50" s="36">
        <v>105000</v>
      </c>
      <c r="F50" s="37">
        <v>1926.855</v>
      </c>
      <c r="G50" s="38">
        <v>9.3361699999999995E-3</v>
      </c>
      <c r="H50" s="29" t="s">
        <v>143</v>
      </c>
    </row>
    <row r="51" spans="1:8" ht="12.75" customHeight="1" x14ac:dyDescent="0.2">
      <c r="A51" s="35">
        <v>45</v>
      </c>
      <c r="B51" s="22" t="s">
        <v>341</v>
      </c>
      <c r="C51" s="22" t="s">
        <v>342</v>
      </c>
      <c r="D51" s="22" t="s">
        <v>259</v>
      </c>
      <c r="E51" s="36">
        <v>97186</v>
      </c>
      <c r="F51" s="37">
        <v>1892.8917220000001</v>
      </c>
      <c r="G51" s="38">
        <v>9.1716100000000002E-3</v>
      </c>
      <c r="H51" s="29" t="s">
        <v>143</v>
      </c>
    </row>
    <row r="52" spans="1:8" ht="12.75" customHeight="1" x14ac:dyDescent="0.2">
      <c r="A52" s="35">
        <v>46</v>
      </c>
      <c r="B52" s="22" t="s">
        <v>91</v>
      </c>
      <c r="C52" s="22" t="s">
        <v>92</v>
      </c>
      <c r="D52" s="22" t="s">
        <v>22</v>
      </c>
      <c r="E52" s="36">
        <v>154000</v>
      </c>
      <c r="F52" s="37">
        <v>1877.106</v>
      </c>
      <c r="G52" s="38">
        <v>9.0951199999999999E-3</v>
      </c>
      <c r="H52" s="29" t="s">
        <v>143</v>
      </c>
    </row>
    <row r="53" spans="1:8" ht="12.75" customHeight="1" x14ac:dyDescent="0.2">
      <c r="A53" s="35">
        <v>47</v>
      </c>
      <c r="B53" s="22" t="s">
        <v>443</v>
      </c>
      <c r="C53" s="22" t="s">
        <v>444</v>
      </c>
      <c r="D53" s="22" t="s">
        <v>33</v>
      </c>
      <c r="E53" s="36">
        <v>254000</v>
      </c>
      <c r="F53" s="37">
        <v>1868.297</v>
      </c>
      <c r="G53" s="38">
        <v>9.0524400000000001E-3</v>
      </c>
      <c r="H53" s="29" t="s">
        <v>143</v>
      </c>
    </row>
    <row r="54" spans="1:8" ht="12.75" customHeight="1" x14ac:dyDescent="0.2">
      <c r="A54" s="35">
        <v>48</v>
      </c>
      <c r="B54" s="22" t="s">
        <v>136</v>
      </c>
      <c r="C54" s="22" t="s">
        <v>137</v>
      </c>
      <c r="D54" s="22" t="s">
        <v>138</v>
      </c>
      <c r="E54" s="36">
        <v>397000</v>
      </c>
      <c r="F54" s="37">
        <v>1309.9014999999999</v>
      </c>
      <c r="G54" s="38">
        <v>6.3468500000000002E-3</v>
      </c>
      <c r="H54" s="29" t="s">
        <v>143</v>
      </c>
    </row>
    <row r="55" spans="1:8" ht="12.75" customHeight="1" x14ac:dyDescent="0.2">
      <c r="A55" s="35">
        <v>49</v>
      </c>
      <c r="B55" s="22" t="s">
        <v>457</v>
      </c>
      <c r="C55" s="22" t="s">
        <v>458</v>
      </c>
      <c r="D55" s="22" t="s">
        <v>194</v>
      </c>
      <c r="E55" s="36">
        <v>8235</v>
      </c>
      <c r="F55" s="37">
        <v>1202.7217499999999</v>
      </c>
      <c r="G55" s="38">
        <v>5.82754E-3</v>
      </c>
      <c r="H55" s="29" t="s">
        <v>143</v>
      </c>
    </row>
    <row r="56" spans="1:8" ht="12.75" customHeight="1" x14ac:dyDescent="0.2">
      <c r="A56" s="35">
        <v>50</v>
      </c>
      <c r="B56" s="22" t="s">
        <v>195</v>
      </c>
      <c r="C56" s="22" t="s">
        <v>196</v>
      </c>
      <c r="D56" s="22" t="s">
        <v>19</v>
      </c>
      <c r="E56" s="36">
        <v>271000</v>
      </c>
      <c r="F56" s="37">
        <v>1201.614</v>
      </c>
      <c r="G56" s="38">
        <v>5.8221699999999998E-3</v>
      </c>
      <c r="H56" s="29" t="s">
        <v>143</v>
      </c>
    </row>
    <row r="57" spans="1:8" ht="12.75" customHeight="1" x14ac:dyDescent="0.2">
      <c r="A57" s="35">
        <v>51</v>
      </c>
      <c r="B57" s="22" t="s">
        <v>221</v>
      </c>
      <c r="C57" s="22" t="s">
        <v>222</v>
      </c>
      <c r="D57" s="22" t="s">
        <v>223</v>
      </c>
      <c r="E57" s="36">
        <v>45000</v>
      </c>
      <c r="F57" s="37">
        <v>918.09</v>
      </c>
      <c r="G57" s="38">
        <v>4.4484099999999999E-3</v>
      </c>
      <c r="H57" s="29" t="s">
        <v>143</v>
      </c>
    </row>
    <row r="58" spans="1:8" ht="12.75" customHeight="1" x14ac:dyDescent="0.2">
      <c r="A58" s="39"/>
      <c r="B58" s="39"/>
      <c r="C58" s="40" t="s">
        <v>142</v>
      </c>
      <c r="D58" s="39"/>
      <c r="E58" s="39" t="s">
        <v>143</v>
      </c>
      <c r="F58" s="41">
        <v>196490.91973200001</v>
      </c>
      <c r="G58" s="42">
        <v>0.95205561999999999</v>
      </c>
      <c r="H58" s="29" t="s">
        <v>143</v>
      </c>
    </row>
    <row r="59" spans="1:8" ht="12.75" customHeight="1" x14ac:dyDescent="0.2">
      <c r="A59" s="39"/>
      <c r="B59" s="39"/>
      <c r="C59" s="43"/>
      <c r="D59" s="39"/>
      <c r="E59" s="39"/>
      <c r="F59" s="44"/>
      <c r="G59" s="44"/>
      <c r="H59" s="29" t="s">
        <v>143</v>
      </c>
    </row>
    <row r="60" spans="1:8" ht="12.75" customHeight="1" x14ac:dyDescent="0.2">
      <c r="A60" s="39"/>
      <c r="B60" s="39"/>
      <c r="C60" s="40" t="s">
        <v>144</v>
      </c>
      <c r="D60" s="39"/>
      <c r="E60" s="39"/>
      <c r="F60" s="39"/>
      <c r="G60" s="39"/>
      <c r="H60" s="29" t="s">
        <v>143</v>
      </c>
    </row>
    <row r="61" spans="1:8" ht="12.75" customHeight="1" x14ac:dyDescent="0.2">
      <c r="A61" s="39"/>
      <c r="B61" s="39"/>
      <c r="C61" s="40" t="s">
        <v>142</v>
      </c>
      <c r="D61" s="39"/>
      <c r="E61" s="39" t="s">
        <v>143</v>
      </c>
      <c r="F61" s="45" t="s">
        <v>145</v>
      </c>
      <c r="G61" s="42">
        <v>0</v>
      </c>
      <c r="H61" s="29" t="s">
        <v>143</v>
      </c>
    </row>
    <row r="62" spans="1:8" ht="12.75" customHeight="1" x14ac:dyDescent="0.2">
      <c r="A62" s="39"/>
      <c r="B62" s="39"/>
      <c r="C62" s="43"/>
      <c r="D62" s="39"/>
      <c r="E62" s="39"/>
      <c r="F62" s="44"/>
      <c r="G62" s="44"/>
      <c r="H62" s="29" t="s">
        <v>143</v>
      </c>
    </row>
    <row r="63" spans="1:8" ht="12.75" customHeight="1" x14ac:dyDescent="0.2">
      <c r="A63" s="39"/>
      <c r="B63" s="39"/>
      <c r="C63" s="40" t="s">
        <v>146</v>
      </c>
      <c r="D63" s="39"/>
      <c r="E63" s="39"/>
      <c r="F63" s="39"/>
      <c r="G63" s="39"/>
      <c r="H63" s="29" t="s">
        <v>143</v>
      </c>
    </row>
    <row r="64" spans="1:8" ht="12.75" customHeight="1" x14ac:dyDescent="0.2">
      <c r="A64" s="39"/>
      <c r="B64" s="39"/>
      <c r="C64" s="40" t="s">
        <v>142</v>
      </c>
      <c r="D64" s="39"/>
      <c r="E64" s="39" t="s">
        <v>143</v>
      </c>
      <c r="F64" s="45" t="s">
        <v>145</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147</v>
      </c>
      <c r="D66" s="39"/>
      <c r="E66" s="39"/>
      <c r="F66" s="39"/>
      <c r="G66" s="39"/>
      <c r="H66" s="29" t="s">
        <v>143</v>
      </c>
    </row>
    <row r="67" spans="1:8" ht="12.75" customHeight="1" x14ac:dyDescent="0.2">
      <c r="A67" s="39"/>
      <c r="B67" s="39"/>
      <c r="C67" s="40" t="s">
        <v>142</v>
      </c>
      <c r="D67" s="39"/>
      <c r="E67" s="39" t="s">
        <v>143</v>
      </c>
      <c r="F67" s="45" t="s">
        <v>145</v>
      </c>
      <c r="G67" s="42">
        <v>0</v>
      </c>
      <c r="H67" s="29" t="s">
        <v>143</v>
      </c>
    </row>
    <row r="68" spans="1:8" ht="12.75" customHeight="1" x14ac:dyDescent="0.2">
      <c r="A68" s="39"/>
      <c r="B68" s="39"/>
      <c r="C68" s="43"/>
      <c r="D68" s="39"/>
      <c r="E68" s="39"/>
      <c r="F68" s="44"/>
      <c r="G68" s="44"/>
      <c r="H68" s="29" t="s">
        <v>143</v>
      </c>
    </row>
    <row r="69" spans="1:8" ht="12.75" customHeight="1" x14ac:dyDescent="0.2">
      <c r="A69" s="39"/>
      <c r="B69" s="39"/>
      <c r="C69" s="40" t="s">
        <v>148</v>
      </c>
      <c r="D69" s="39"/>
      <c r="E69" s="39"/>
      <c r="F69" s="44"/>
      <c r="G69" s="44"/>
      <c r="H69" s="29" t="s">
        <v>143</v>
      </c>
    </row>
    <row r="70" spans="1:8" ht="12.75" customHeight="1" x14ac:dyDescent="0.2">
      <c r="A70" s="39"/>
      <c r="B70" s="39"/>
      <c r="C70" s="40" t="s">
        <v>142</v>
      </c>
      <c r="D70" s="39"/>
      <c r="E70" s="39" t="s">
        <v>143</v>
      </c>
      <c r="F70" s="45" t="s">
        <v>145</v>
      </c>
      <c r="G70" s="42">
        <v>0</v>
      </c>
      <c r="H70" s="29" t="s">
        <v>143</v>
      </c>
    </row>
    <row r="71" spans="1:8" ht="12.75" customHeight="1" x14ac:dyDescent="0.2">
      <c r="A71" s="39"/>
      <c r="B71" s="39"/>
      <c r="C71" s="43"/>
      <c r="D71" s="39"/>
      <c r="E71" s="39"/>
      <c r="F71" s="44"/>
      <c r="G71" s="44"/>
      <c r="H71" s="29" t="s">
        <v>143</v>
      </c>
    </row>
    <row r="72" spans="1:8" ht="12.75" customHeight="1" x14ac:dyDescent="0.2">
      <c r="A72" s="39"/>
      <c r="B72" s="39"/>
      <c r="C72" s="40" t="s">
        <v>149</v>
      </c>
      <c r="D72" s="39"/>
      <c r="E72" s="39"/>
      <c r="F72" s="44"/>
      <c r="G72" s="44"/>
      <c r="H72" s="29" t="s">
        <v>143</v>
      </c>
    </row>
    <row r="73" spans="1:8" ht="12.75" customHeight="1" x14ac:dyDescent="0.2">
      <c r="A73" s="39"/>
      <c r="B73" s="39"/>
      <c r="C73" s="40" t="s">
        <v>142</v>
      </c>
      <c r="D73" s="39"/>
      <c r="E73" s="39" t="s">
        <v>143</v>
      </c>
      <c r="F73" s="45" t="s">
        <v>145</v>
      </c>
      <c r="G73" s="42">
        <v>0</v>
      </c>
      <c r="H73" s="29" t="s">
        <v>143</v>
      </c>
    </row>
    <row r="74" spans="1:8" ht="12.75" customHeight="1" x14ac:dyDescent="0.2">
      <c r="A74" s="39"/>
      <c r="B74" s="39"/>
      <c r="C74" s="43"/>
      <c r="D74" s="39"/>
      <c r="E74" s="39"/>
      <c r="F74" s="44"/>
      <c r="G74" s="44"/>
      <c r="H74" s="29" t="s">
        <v>143</v>
      </c>
    </row>
    <row r="75" spans="1:8" ht="12.75" customHeight="1" x14ac:dyDescent="0.2">
      <c r="A75" s="39"/>
      <c r="B75" s="39"/>
      <c r="C75" s="40" t="s">
        <v>150</v>
      </c>
      <c r="D75" s="39"/>
      <c r="E75" s="39"/>
      <c r="F75" s="41">
        <v>196490.91973200001</v>
      </c>
      <c r="G75" s="42">
        <v>0.95205561999999999</v>
      </c>
      <c r="H75" s="29" t="s">
        <v>143</v>
      </c>
    </row>
    <row r="76" spans="1:8" ht="12.75" customHeight="1" x14ac:dyDescent="0.2">
      <c r="A76" s="39"/>
      <c r="B76" s="39"/>
      <c r="C76" s="43"/>
      <c r="D76" s="39"/>
      <c r="E76" s="39"/>
      <c r="F76" s="44"/>
      <c r="G76" s="44"/>
      <c r="H76" s="29" t="s">
        <v>143</v>
      </c>
    </row>
    <row r="77" spans="1:8" ht="12.75" customHeight="1" x14ac:dyDescent="0.2">
      <c r="A77" s="39"/>
      <c r="B77" s="39"/>
      <c r="C77" s="40" t="s">
        <v>151</v>
      </c>
      <c r="D77" s="39"/>
      <c r="E77" s="39"/>
      <c r="F77" s="44"/>
      <c r="G77" s="44"/>
      <c r="H77" s="29" t="s">
        <v>143</v>
      </c>
    </row>
    <row r="78" spans="1:8" ht="12.75" customHeight="1" x14ac:dyDescent="0.2">
      <c r="A78" s="39"/>
      <c r="B78" s="39"/>
      <c r="C78" s="40" t="s">
        <v>10</v>
      </c>
      <c r="D78" s="39"/>
      <c r="E78" s="39"/>
      <c r="F78" s="44"/>
      <c r="G78" s="44"/>
      <c r="H78" s="29" t="s">
        <v>143</v>
      </c>
    </row>
    <row r="79" spans="1:8" ht="12.75" customHeight="1" x14ac:dyDescent="0.2">
      <c r="A79" s="39"/>
      <c r="B79" s="39"/>
      <c r="C79" s="40" t="s">
        <v>142</v>
      </c>
      <c r="D79" s="39"/>
      <c r="E79" s="39" t="s">
        <v>143</v>
      </c>
      <c r="F79" s="45" t="s">
        <v>145</v>
      </c>
      <c r="G79" s="42">
        <v>0</v>
      </c>
      <c r="H79" s="29" t="s">
        <v>143</v>
      </c>
    </row>
    <row r="80" spans="1:8" ht="12.75" customHeight="1" x14ac:dyDescent="0.2">
      <c r="A80" s="39"/>
      <c r="B80" s="39"/>
      <c r="C80" s="43"/>
      <c r="D80" s="39"/>
      <c r="E80" s="39"/>
      <c r="F80" s="44"/>
      <c r="G80" s="44"/>
      <c r="H80" s="29" t="s">
        <v>143</v>
      </c>
    </row>
    <row r="81" spans="1:8" ht="12.75" customHeight="1" x14ac:dyDescent="0.2">
      <c r="A81" s="39"/>
      <c r="B81" s="39"/>
      <c r="C81" s="40" t="s">
        <v>152</v>
      </c>
      <c r="D81" s="39"/>
      <c r="E81" s="39"/>
      <c r="F81" s="39"/>
      <c r="G81" s="39"/>
      <c r="H81" s="29" t="s">
        <v>143</v>
      </c>
    </row>
    <row r="82" spans="1:8" ht="12.75" customHeight="1" x14ac:dyDescent="0.2">
      <c r="A82" s="39"/>
      <c r="B82" s="39"/>
      <c r="C82" s="40" t="s">
        <v>142</v>
      </c>
      <c r="D82" s="39"/>
      <c r="E82" s="39" t="s">
        <v>143</v>
      </c>
      <c r="F82" s="45" t="s">
        <v>145</v>
      </c>
      <c r="G82" s="42">
        <v>0</v>
      </c>
      <c r="H82" s="29" t="s">
        <v>143</v>
      </c>
    </row>
    <row r="83" spans="1:8" ht="12.75" customHeight="1" x14ac:dyDescent="0.2">
      <c r="A83" s="39"/>
      <c r="B83" s="39"/>
      <c r="C83" s="43"/>
      <c r="D83" s="39"/>
      <c r="E83" s="39"/>
      <c r="F83" s="44"/>
      <c r="G83" s="44"/>
      <c r="H83" s="29" t="s">
        <v>143</v>
      </c>
    </row>
    <row r="84" spans="1:8" ht="12.75" customHeight="1" x14ac:dyDescent="0.2">
      <c r="A84" s="39"/>
      <c r="B84" s="39"/>
      <c r="C84" s="40" t="s">
        <v>153</v>
      </c>
      <c r="D84" s="39"/>
      <c r="E84" s="39"/>
      <c r="F84" s="39"/>
      <c r="G84" s="39"/>
      <c r="H84" s="29" t="s">
        <v>143</v>
      </c>
    </row>
    <row r="85" spans="1:8" ht="12.75" customHeight="1" x14ac:dyDescent="0.2">
      <c r="A85" s="39"/>
      <c r="B85" s="39"/>
      <c r="C85" s="40" t="s">
        <v>142</v>
      </c>
      <c r="D85" s="39"/>
      <c r="E85" s="39" t="s">
        <v>143</v>
      </c>
      <c r="F85" s="45" t="s">
        <v>145</v>
      </c>
      <c r="G85" s="42">
        <v>0</v>
      </c>
      <c r="H85" s="29" t="s">
        <v>143</v>
      </c>
    </row>
    <row r="86" spans="1:8" ht="12.75" customHeight="1" x14ac:dyDescent="0.2">
      <c r="A86" s="39"/>
      <c r="B86" s="39"/>
      <c r="C86" s="43"/>
      <c r="D86" s="39"/>
      <c r="E86" s="39"/>
      <c r="F86" s="44"/>
      <c r="G86" s="44"/>
      <c r="H86" s="29" t="s">
        <v>143</v>
      </c>
    </row>
    <row r="87" spans="1:8" ht="12.75" customHeight="1" x14ac:dyDescent="0.2">
      <c r="A87" s="39"/>
      <c r="B87" s="39"/>
      <c r="C87" s="40" t="s">
        <v>154</v>
      </c>
      <c r="D87" s="39"/>
      <c r="E87" s="39"/>
      <c r="F87" s="44"/>
      <c r="G87" s="44"/>
      <c r="H87" s="29" t="s">
        <v>143</v>
      </c>
    </row>
    <row r="88" spans="1:8" ht="12.75" customHeight="1" x14ac:dyDescent="0.2">
      <c r="A88" s="39"/>
      <c r="B88" s="39"/>
      <c r="C88" s="40" t="s">
        <v>142</v>
      </c>
      <c r="D88" s="39"/>
      <c r="E88" s="39" t="s">
        <v>143</v>
      </c>
      <c r="F88" s="45" t="s">
        <v>145</v>
      </c>
      <c r="G88" s="42">
        <v>0</v>
      </c>
      <c r="H88" s="29" t="s">
        <v>143</v>
      </c>
    </row>
    <row r="89" spans="1:8" ht="12.75" customHeight="1" x14ac:dyDescent="0.2">
      <c r="A89" s="39"/>
      <c r="B89" s="39"/>
      <c r="C89" s="43"/>
      <c r="D89" s="39"/>
      <c r="E89" s="39"/>
      <c r="F89" s="44"/>
      <c r="G89" s="44"/>
      <c r="H89" s="29" t="s">
        <v>143</v>
      </c>
    </row>
    <row r="90" spans="1:8" ht="12.75" customHeight="1" x14ac:dyDescent="0.2">
      <c r="A90" s="39"/>
      <c r="B90" s="39"/>
      <c r="C90" s="40" t="s">
        <v>155</v>
      </c>
      <c r="D90" s="39"/>
      <c r="E90" s="39"/>
      <c r="F90" s="41">
        <v>0</v>
      </c>
      <c r="G90" s="42">
        <v>0</v>
      </c>
      <c r="H90" s="29" t="s">
        <v>143</v>
      </c>
    </row>
    <row r="91" spans="1:8" ht="12.75" customHeight="1" x14ac:dyDescent="0.2">
      <c r="A91" s="39"/>
      <c r="B91" s="39"/>
      <c r="C91" s="43"/>
      <c r="D91" s="39"/>
      <c r="E91" s="39"/>
      <c r="F91" s="44"/>
      <c r="G91" s="44"/>
      <c r="H91" s="29" t="s">
        <v>143</v>
      </c>
    </row>
    <row r="92" spans="1:8" ht="12.75" customHeight="1" x14ac:dyDescent="0.2">
      <c r="A92" s="39"/>
      <c r="B92" s="39"/>
      <c r="C92" s="40" t="s">
        <v>156</v>
      </c>
      <c r="D92" s="39"/>
      <c r="E92" s="39"/>
      <c r="F92" s="44"/>
      <c r="G92" s="44"/>
      <c r="H92" s="29" t="s">
        <v>143</v>
      </c>
    </row>
    <row r="93" spans="1:8" ht="12.75" customHeight="1" x14ac:dyDescent="0.2">
      <c r="A93" s="39"/>
      <c r="B93" s="39"/>
      <c r="C93" s="40" t="s">
        <v>157</v>
      </c>
      <c r="D93" s="39"/>
      <c r="E93" s="39"/>
      <c r="F93" s="44"/>
      <c r="G93" s="44"/>
      <c r="H93" s="29" t="s">
        <v>143</v>
      </c>
    </row>
    <row r="94" spans="1:8" ht="12.75" customHeight="1" x14ac:dyDescent="0.2">
      <c r="A94" s="39"/>
      <c r="B94" s="39"/>
      <c r="C94" s="40" t="s">
        <v>142</v>
      </c>
      <c r="D94" s="39"/>
      <c r="E94" s="39" t="s">
        <v>143</v>
      </c>
      <c r="F94" s="45" t="s">
        <v>145</v>
      </c>
      <c r="G94" s="42">
        <v>0</v>
      </c>
      <c r="H94" s="29" t="s">
        <v>143</v>
      </c>
    </row>
    <row r="95" spans="1:8" ht="12.75" customHeight="1" x14ac:dyDescent="0.2">
      <c r="A95" s="39"/>
      <c r="B95" s="39"/>
      <c r="C95" s="43"/>
      <c r="D95" s="39"/>
      <c r="E95" s="39"/>
      <c r="F95" s="44"/>
      <c r="G95" s="44"/>
      <c r="H95" s="29" t="s">
        <v>143</v>
      </c>
    </row>
    <row r="96" spans="1:8" ht="12.75" customHeight="1" x14ac:dyDescent="0.2">
      <c r="A96" s="39"/>
      <c r="B96" s="39"/>
      <c r="C96" s="40" t="s">
        <v>158</v>
      </c>
      <c r="D96" s="39"/>
      <c r="E96" s="39"/>
      <c r="F96" s="44"/>
      <c r="G96" s="44"/>
      <c r="H96" s="29" t="s">
        <v>143</v>
      </c>
    </row>
    <row r="97" spans="1:8" ht="12.75" customHeight="1" x14ac:dyDescent="0.2">
      <c r="A97" s="39"/>
      <c r="B97" s="39"/>
      <c r="C97" s="40" t="s">
        <v>142</v>
      </c>
      <c r="D97" s="39"/>
      <c r="E97" s="39" t="s">
        <v>143</v>
      </c>
      <c r="F97" s="45" t="s">
        <v>145</v>
      </c>
      <c r="G97" s="42">
        <v>0</v>
      </c>
      <c r="H97" s="29" t="s">
        <v>143</v>
      </c>
    </row>
    <row r="98" spans="1:8" ht="12.75" customHeight="1" x14ac:dyDescent="0.2">
      <c r="A98" s="39"/>
      <c r="B98" s="39"/>
      <c r="C98" s="43"/>
      <c r="D98" s="39"/>
      <c r="E98" s="39"/>
      <c r="F98" s="44"/>
      <c r="G98" s="44"/>
      <c r="H98" s="29" t="s">
        <v>143</v>
      </c>
    </row>
    <row r="99" spans="1:8" ht="12.75" customHeight="1" x14ac:dyDescent="0.2">
      <c r="A99" s="39"/>
      <c r="B99" s="39"/>
      <c r="C99" s="40" t="s">
        <v>159</v>
      </c>
      <c r="D99" s="39"/>
      <c r="E99" s="39"/>
      <c r="F99" s="44"/>
      <c r="G99" s="44"/>
      <c r="H99" s="29" t="s">
        <v>143</v>
      </c>
    </row>
    <row r="100" spans="1:8" ht="12.75" customHeight="1" x14ac:dyDescent="0.2">
      <c r="A100" s="39"/>
      <c r="B100" s="39"/>
      <c r="C100" s="40" t="s">
        <v>142</v>
      </c>
      <c r="D100" s="39"/>
      <c r="E100" s="39" t="s">
        <v>143</v>
      </c>
      <c r="F100" s="45" t="s">
        <v>145</v>
      </c>
      <c r="G100" s="42">
        <v>0</v>
      </c>
      <c r="H100" s="29" t="s">
        <v>143</v>
      </c>
    </row>
    <row r="101" spans="1:8" ht="12.75" customHeight="1" x14ac:dyDescent="0.2">
      <c r="A101" s="39"/>
      <c r="B101" s="39"/>
      <c r="C101" s="43"/>
      <c r="D101" s="39"/>
      <c r="E101" s="39"/>
      <c r="F101" s="44"/>
      <c r="G101" s="44"/>
      <c r="H101" s="29" t="s">
        <v>143</v>
      </c>
    </row>
    <row r="102" spans="1:8" ht="12.75" customHeight="1" x14ac:dyDescent="0.2">
      <c r="A102" s="39"/>
      <c r="B102" s="39"/>
      <c r="C102" s="40" t="s">
        <v>160</v>
      </c>
      <c r="D102" s="39"/>
      <c r="E102" s="39"/>
      <c r="F102" s="44"/>
      <c r="G102" s="44"/>
      <c r="H102" s="29" t="s">
        <v>143</v>
      </c>
    </row>
    <row r="103" spans="1:8" ht="12.75" customHeight="1" x14ac:dyDescent="0.2">
      <c r="A103" s="35">
        <v>1</v>
      </c>
      <c r="B103" s="22"/>
      <c r="C103" s="22" t="s">
        <v>161</v>
      </c>
      <c r="D103" s="22"/>
      <c r="E103" s="46"/>
      <c r="F103" s="37">
        <v>4423.6343479959996</v>
      </c>
      <c r="G103" s="38">
        <v>2.1433790000000001E-2</v>
      </c>
      <c r="H103" s="29">
        <v>5.51</v>
      </c>
    </row>
    <row r="104" spans="1:8" ht="12.75" customHeight="1" x14ac:dyDescent="0.2">
      <c r="A104" s="39"/>
      <c r="B104" s="39"/>
      <c r="C104" s="40" t="s">
        <v>142</v>
      </c>
      <c r="D104" s="39"/>
      <c r="E104" s="39" t="s">
        <v>143</v>
      </c>
      <c r="F104" s="41">
        <v>4423.6343479959996</v>
      </c>
      <c r="G104" s="42">
        <v>2.1433790000000001E-2</v>
      </c>
      <c r="H104" s="29" t="s">
        <v>143</v>
      </c>
    </row>
    <row r="105" spans="1:8" ht="12.75" customHeight="1" x14ac:dyDescent="0.2">
      <c r="A105" s="39"/>
      <c r="B105" s="39"/>
      <c r="C105" s="43"/>
      <c r="D105" s="39"/>
      <c r="E105" s="39"/>
      <c r="F105" s="44"/>
      <c r="G105" s="44"/>
      <c r="H105" s="29" t="s">
        <v>143</v>
      </c>
    </row>
    <row r="106" spans="1:8" ht="12.75" customHeight="1" x14ac:dyDescent="0.2">
      <c r="A106" s="39"/>
      <c r="B106" s="39"/>
      <c r="C106" s="40" t="s">
        <v>162</v>
      </c>
      <c r="D106" s="39"/>
      <c r="E106" s="39"/>
      <c r="F106" s="41">
        <v>4423.6343479959996</v>
      </c>
      <c r="G106" s="42">
        <v>2.1433790000000001E-2</v>
      </c>
      <c r="H106" s="29" t="s">
        <v>143</v>
      </c>
    </row>
    <row r="107" spans="1:8" ht="12.75" customHeight="1" x14ac:dyDescent="0.2">
      <c r="A107" s="39"/>
      <c r="B107" s="39"/>
      <c r="C107" s="44"/>
      <c r="D107" s="39"/>
      <c r="E107" s="39"/>
      <c r="F107" s="39"/>
      <c r="G107" s="39"/>
      <c r="H107" s="29" t="s">
        <v>143</v>
      </c>
    </row>
    <row r="108" spans="1:8" ht="12.75" customHeight="1" x14ac:dyDescent="0.2">
      <c r="A108" s="39"/>
      <c r="B108" s="39"/>
      <c r="C108" s="40" t="s">
        <v>163</v>
      </c>
      <c r="D108" s="39"/>
      <c r="E108" s="39"/>
      <c r="F108" s="39"/>
      <c r="G108" s="39"/>
      <c r="H108" s="29" t="s">
        <v>143</v>
      </c>
    </row>
    <row r="109" spans="1:8" ht="12.75" customHeight="1" x14ac:dyDescent="0.2">
      <c r="A109" s="39"/>
      <c r="B109" s="39"/>
      <c r="C109" s="40" t="s">
        <v>164</v>
      </c>
      <c r="D109" s="39"/>
      <c r="E109" s="39"/>
      <c r="F109" s="39"/>
      <c r="G109" s="39"/>
      <c r="H109" s="29" t="s">
        <v>143</v>
      </c>
    </row>
    <row r="110" spans="1:8" ht="12.75" customHeight="1" x14ac:dyDescent="0.2">
      <c r="A110" s="35">
        <v>1</v>
      </c>
      <c r="B110" s="22" t="s">
        <v>317</v>
      </c>
      <c r="C110" s="22" t="s">
        <v>318</v>
      </c>
      <c r="D110" s="22"/>
      <c r="E110" s="79">
        <v>105852.053</v>
      </c>
      <c r="F110" s="37">
        <v>2502.3086602630001</v>
      </c>
      <c r="G110" s="38">
        <v>1.212441E-2</v>
      </c>
      <c r="H110" s="29" t="s">
        <v>143</v>
      </c>
    </row>
    <row r="111" spans="1:8" ht="12.75" customHeight="1" x14ac:dyDescent="0.2">
      <c r="A111" s="39"/>
      <c r="B111" s="39"/>
      <c r="C111" s="40" t="s">
        <v>142</v>
      </c>
      <c r="D111" s="39"/>
      <c r="E111" s="39" t="s">
        <v>143</v>
      </c>
      <c r="F111" s="41">
        <v>2502.3086602630001</v>
      </c>
      <c r="G111" s="42">
        <v>1.212441E-2</v>
      </c>
      <c r="H111" s="29" t="s">
        <v>143</v>
      </c>
    </row>
    <row r="112" spans="1:8" ht="12.75" customHeight="1" x14ac:dyDescent="0.2">
      <c r="A112" s="39"/>
      <c r="B112" s="39"/>
      <c r="C112" s="43"/>
      <c r="D112" s="39"/>
      <c r="E112" s="39"/>
      <c r="F112" s="44"/>
      <c r="G112" s="44"/>
      <c r="H112" s="29" t="s">
        <v>143</v>
      </c>
    </row>
    <row r="113" spans="1:17" ht="12.75" customHeight="1" x14ac:dyDescent="0.2">
      <c r="A113" s="39"/>
      <c r="B113" s="39"/>
      <c r="C113" s="40" t="s">
        <v>165</v>
      </c>
      <c r="D113" s="39"/>
      <c r="E113" s="39"/>
      <c r="F113" s="39"/>
      <c r="G113" s="39"/>
      <c r="H113" s="29" t="s">
        <v>143</v>
      </c>
    </row>
    <row r="114" spans="1:17" ht="12.75" customHeight="1" x14ac:dyDescent="0.2">
      <c r="A114" s="39"/>
      <c r="B114" s="39"/>
      <c r="C114" s="40" t="s">
        <v>166</v>
      </c>
      <c r="D114" s="39"/>
      <c r="E114" s="39"/>
      <c r="F114" s="39"/>
      <c r="G114" s="39"/>
      <c r="H114" s="29" t="s">
        <v>143</v>
      </c>
    </row>
    <row r="115" spans="1:17" ht="12.75" customHeight="1" x14ac:dyDescent="0.2">
      <c r="A115" s="39"/>
      <c r="B115" s="39"/>
      <c r="C115" s="40" t="s">
        <v>142</v>
      </c>
      <c r="D115" s="39"/>
      <c r="E115" s="39" t="s">
        <v>143</v>
      </c>
      <c r="F115" s="45" t="s">
        <v>145</v>
      </c>
      <c r="G115" s="42">
        <v>0</v>
      </c>
      <c r="H115" s="29" t="s">
        <v>143</v>
      </c>
    </row>
    <row r="116" spans="1:17" ht="12.75" customHeight="1" x14ac:dyDescent="0.2">
      <c r="A116" s="39"/>
      <c r="B116" s="39"/>
      <c r="C116" s="43"/>
      <c r="D116" s="39"/>
      <c r="E116" s="39"/>
      <c r="F116" s="44"/>
      <c r="G116" s="44"/>
      <c r="H116" s="29" t="s">
        <v>143</v>
      </c>
    </row>
    <row r="117" spans="1:17" ht="12.75" customHeight="1" x14ac:dyDescent="0.2">
      <c r="A117" s="39"/>
      <c r="B117" s="39"/>
      <c r="C117" s="40" t="s">
        <v>167</v>
      </c>
      <c r="D117" s="39"/>
      <c r="E117" s="39"/>
      <c r="F117" s="44"/>
      <c r="G117" s="44"/>
      <c r="H117" s="29" t="s">
        <v>143</v>
      </c>
    </row>
    <row r="118" spans="1:17" ht="12.75" customHeight="1" x14ac:dyDescent="0.2">
      <c r="A118" s="39"/>
      <c r="B118" s="39"/>
      <c r="C118" s="40" t="s">
        <v>142</v>
      </c>
      <c r="D118" s="39"/>
      <c r="E118" s="39" t="s">
        <v>143</v>
      </c>
      <c r="F118" s="45" t="s">
        <v>145</v>
      </c>
      <c r="G118" s="42">
        <v>0</v>
      </c>
      <c r="H118" s="29" t="s">
        <v>143</v>
      </c>
    </row>
    <row r="119" spans="1:17" ht="12.75" customHeight="1" x14ac:dyDescent="0.2">
      <c r="A119" s="39"/>
      <c r="B119" s="39"/>
      <c r="C119" s="43"/>
      <c r="D119" s="39"/>
      <c r="E119" s="39"/>
      <c r="F119" s="44"/>
      <c r="G119" s="44"/>
      <c r="H119" s="29" t="s">
        <v>143</v>
      </c>
    </row>
    <row r="120" spans="1:17" ht="12.75" customHeight="1" x14ac:dyDescent="0.2">
      <c r="A120" s="46"/>
      <c r="B120" s="22"/>
      <c r="C120" s="22" t="s">
        <v>319</v>
      </c>
      <c r="D120" s="22"/>
      <c r="E120" s="46"/>
      <c r="F120" s="37">
        <v>1500.0000826</v>
      </c>
      <c r="G120" s="38">
        <v>7.2679399999999996E-3</v>
      </c>
      <c r="H120" s="29" t="s">
        <v>143</v>
      </c>
    </row>
    <row r="121" spans="1:17" ht="12.75" customHeight="1" x14ac:dyDescent="0.2">
      <c r="A121" s="46"/>
      <c r="B121" s="22"/>
      <c r="C121" s="22" t="s">
        <v>168</v>
      </c>
      <c r="D121" s="22"/>
      <c r="E121" s="46"/>
      <c r="F121" s="37">
        <v>1469.1100421399999</v>
      </c>
      <c r="G121" s="38">
        <v>7.1182700000000003E-3</v>
      </c>
      <c r="H121" s="29" t="s">
        <v>143</v>
      </c>
    </row>
    <row r="122" spans="1:17" ht="12.75" customHeight="1" x14ac:dyDescent="0.2">
      <c r="A122" s="43"/>
      <c r="B122" s="43"/>
      <c r="C122" s="40" t="s">
        <v>169</v>
      </c>
      <c r="D122" s="44"/>
      <c r="E122" s="44"/>
      <c r="F122" s="41">
        <v>206385.972864999</v>
      </c>
      <c r="G122" s="47">
        <v>1.00000003</v>
      </c>
      <c r="H122" s="29" t="s">
        <v>143</v>
      </c>
    </row>
    <row r="123" spans="1:17" ht="12.75" customHeight="1" x14ac:dyDescent="0.2">
      <c r="A123" s="48"/>
      <c r="B123" s="48"/>
      <c r="C123" s="49"/>
      <c r="D123" s="50"/>
      <c r="E123" s="50"/>
      <c r="F123" s="51"/>
      <c r="G123" s="52"/>
      <c r="H123" s="53"/>
    </row>
    <row r="124" spans="1:17" x14ac:dyDescent="0.2">
      <c r="A124" s="54"/>
      <c r="B124" s="243" t="s">
        <v>945</v>
      </c>
      <c r="C124" s="243"/>
      <c r="D124" s="243"/>
      <c r="E124" s="243"/>
      <c r="F124" s="243"/>
      <c r="G124" s="243"/>
      <c r="H124" s="243"/>
      <c r="J124" s="56"/>
    </row>
    <row r="125" spans="1:17" x14ac:dyDescent="0.2">
      <c r="A125" s="54"/>
      <c r="B125" s="243" t="s">
        <v>946</v>
      </c>
      <c r="C125" s="243"/>
      <c r="D125" s="243"/>
      <c r="E125" s="243"/>
      <c r="F125" s="243"/>
      <c r="G125" s="243"/>
      <c r="H125" s="243"/>
      <c r="J125" s="56"/>
    </row>
    <row r="126" spans="1:17" x14ac:dyDescent="0.2">
      <c r="A126" s="54"/>
      <c r="B126" s="243" t="s">
        <v>947</v>
      </c>
      <c r="C126" s="243"/>
      <c r="D126" s="243"/>
      <c r="E126" s="243"/>
      <c r="F126" s="243"/>
      <c r="G126" s="243"/>
      <c r="H126" s="243"/>
      <c r="J126" s="56"/>
    </row>
    <row r="127" spans="1:17" s="58" customFormat="1" ht="66.75" customHeight="1" x14ac:dyDescent="0.25">
      <c r="A127" s="57"/>
      <c r="B127" s="244" t="s">
        <v>948</v>
      </c>
      <c r="C127" s="244"/>
      <c r="D127" s="244"/>
      <c r="E127" s="244"/>
      <c r="F127" s="244"/>
      <c r="G127" s="244"/>
      <c r="H127" s="244"/>
      <c r="I127"/>
      <c r="J127" s="56"/>
      <c r="K127"/>
      <c r="L127"/>
      <c r="M127"/>
      <c r="N127"/>
      <c r="O127"/>
      <c r="P127"/>
      <c r="Q127"/>
    </row>
    <row r="128" spans="1:17" x14ac:dyDescent="0.2">
      <c r="A128" s="54"/>
      <c r="B128" s="243" t="s">
        <v>949</v>
      </c>
      <c r="C128" s="243"/>
      <c r="D128" s="243"/>
      <c r="E128" s="243"/>
      <c r="F128" s="243"/>
      <c r="G128" s="243"/>
      <c r="H128" s="243"/>
      <c r="J128" s="56"/>
    </row>
    <row r="129" spans="1:10" x14ac:dyDescent="0.2">
      <c r="A129" s="54"/>
      <c r="B129" s="54"/>
      <c r="C129" s="54"/>
      <c r="D129" s="59"/>
      <c r="E129" s="59"/>
      <c r="F129" s="59"/>
      <c r="G129" s="59"/>
    </row>
    <row r="130" spans="1:10" x14ac:dyDescent="0.2">
      <c r="A130" s="54"/>
      <c r="B130" s="247" t="s">
        <v>170</v>
      </c>
      <c r="C130" s="248"/>
      <c r="D130" s="249"/>
      <c r="E130" s="60"/>
      <c r="F130" s="59"/>
      <c r="G130" s="59"/>
    </row>
    <row r="131" spans="1:10" ht="27.75" customHeight="1" x14ac:dyDescent="0.2">
      <c r="A131" s="54"/>
      <c r="B131" s="240" t="s">
        <v>171</v>
      </c>
      <c r="C131" s="241"/>
      <c r="D131" s="28" t="s">
        <v>172</v>
      </c>
      <c r="E131" s="60"/>
      <c r="F131" s="59"/>
      <c r="G131" s="59"/>
    </row>
    <row r="132" spans="1:10" ht="12.75" customHeight="1" x14ac:dyDescent="0.2">
      <c r="A132" s="54"/>
      <c r="B132" s="240" t="s">
        <v>950</v>
      </c>
      <c r="C132" s="241"/>
      <c r="D132" s="28" t="s">
        <v>172</v>
      </c>
      <c r="E132" s="60"/>
      <c r="F132" s="59"/>
      <c r="G132" s="59"/>
    </row>
    <row r="133" spans="1:10" x14ac:dyDescent="0.2">
      <c r="A133" s="54"/>
      <c r="B133" s="240" t="s">
        <v>173</v>
      </c>
      <c r="C133" s="241"/>
      <c r="D133" s="61" t="s">
        <v>143</v>
      </c>
      <c r="E133" s="60"/>
      <c r="F133" s="59"/>
      <c r="G133" s="59"/>
    </row>
    <row r="134" spans="1:10" x14ac:dyDescent="0.2">
      <c r="A134" s="62"/>
      <c r="B134" s="63" t="s">
        <v>143</v>
      </c>
      <c r="C134" s="63" t="s">
        <v>951</v>
      </c>
      <c r="D134" s="63" t="s">
        <v>174</v>
      </c>
      <c r="E134" s="62"/>
      <c r="F134" s="62"/>
      <c r="G134" s="62"/>
      <c r="H134" s="62"/>
      <c r="J134" s="56"/>
    </row>
    <row r="135" spans="1:10" x14ac:dyDescent="0.2">
      <c r="A135" s="62"/>
      <c r="B135" s="64" t="s">
        <v>175</v>
      </c>
      <c r="C135" s="65">
        <v>45900</v>
      </c>
      <c r="D135" s="65">
        <v>45930</v>
      </c>
      <c r="E135" s="62"/>
      <c r="F135" s="62"/>
      <c r="G135" s="62"/>
      <c r="J135" s="56"/>
    </row>
    <row r="136" spans="1:10" ht="12.75" customHeight="1" x14ac:dyDescent="0.2">
      <c r="A136" s="66"/>
      <c r="B136" s="67" t="s">
        <v>176</v>
      </c>
      <c r="C136" s="68">
        <v>15.3489</v>
      </c>
      <c r="D136" s="68">
        <v>15.331300000000001</v>
      </c>
      <c r="E136" s="66"/>
      <c r="F136" s="69"/>
      <c r="G136" s="70"/>
    </row>
    <row r="137" spans="1:10" ht="12.75" customHeight="1" x14ac:dyDescent="0.2">
      <c r="A137" s="66"/>
      <c r="B137" s="67" t="s">
        <v>1085</v>
      </c>
      <c r="C137" s="68">
        <v>14.5589</v>
      </c>
      <c r="D137" s="68">
        <v>14.542199999999999</v>
      </c>
      <c r="E137" s="66"/>
      <c r="F137" s="69"/>
      <c r="G137" s="70"/>
    </row>
    <row r="138" spans="1:10" ht="12.75" customHeight="1" x14ac:dyDescent="0.2">
      <c r="A138" s="66"/>
      <c r="B138" s="67" t="s">
        <v>177</v>
      </c>
      <c r="C138" s="68">
        <v>14.6487</v>
      </c>
      <c r="D138" s="68">
        <v>14.6152</v>
      </c>
      <c r="E138" s="66"/>
      <c r="F138" s="69"/>
      <c r="G138" s="70"/>
    </row>
    <row r="139" spans="1:10" ht="12.75" customHeight="1" x14ac:dyDescent="0.2">
      <c r="A139" s="66"/>
      <c r="B139" s="67" t="s">
        <v>1086</v>
      </c>
      <c r="C139" s="68">
        <v>13.8949</v>
      </c>
      <c r="D139" s="68">
        <v>13.863099999999999</v>
      </c>
      <c r="E139" s="66"/>
      <c r="F139" s="69"/>
      <c r="G139" s="70"/>
    </row>
    <row r="140" spans="1:10" ht="12.75" customHeight="1" x14ac:dyDescent="0.2">
      <c r="A140" s="66"/>
      <c r="B140" s="66"/>
      <c r="C140" s="66"/>
      <c r="D140" s="66"/>
      <c r="E140" s="66"/>
      <c r="F140" s="66"/>
      <c r="G140" s="66"/>
    </row>
    <row r="141" spans="1:10" x14ac:dyDescent="0.2">
      <c r="A141" s="62"/>
      <c r="B141" s="245" t="s">
        <v>952</v>
      </c>
      <c r="C141" s="246"/>
      <c r="D141" s="71" t="s">
        <v>172</v>
      </c>
      <c r="E141" s="62"/>
      <c r="F141" s="62"/>
      <c r="G141" s="62"/>
    </row>
    <row r="142" spans="1:10" x14ac:dyDescent="0.2">
      <c r="A142" s="72"/>
      <c r="B142" s="73"/>
      <c r="C142" s="73"/>
      <c r="D142" s="73"/>
      <c r="E142" s="72"/>
      <c r="F142" s="72"/>
      <c r="G142" s="72"/>
    </row>
    <row r="143" spans="1:10" x14ac:dyDescent="0.2">
      <c r="A143" s="72"/>
      <c r="B143" s="240" t="s">
        <v>178</v>
      </c>
      <c r="C143" s="241"/>
      <c r="D143" s="28" t="s">
        <v>172</v>
      </c>
      <c r="E143" s="74"/>
      <c r="F143" s="72"/>
      <c r="G143" s="72"/>
    </row>
    <row r="144" spans="1:10" x14ac:dyDescent="0.2">
      <c r="A144" s="72"/>
      <c r="B144" s="240" t="s">
        <v>179</v>
      </c>
      <c r="C144" s="241"/>
      <c r="D144" s="28" t="s">
        <v>172</v>
      </c>
      <c r="E144" s="74"/>
      <c r="F144" s="72"/>
      <c r="G144" s="72"/>
    </row>
    <row r="145" spans="1:7" x14ac:dyDescent="0.2">
      <c r="A145" s="72"/>
      <c r="B145" s="240" t="s">
        <v>180</v>
      </c>
      <c r="C145" s="241"/>
      <c r="D145" s="28" t="s">
        <v>172</v>
      </c>
      <c r="E145" s="74"/>
      <c r="F145" s="72"/>
      <c r="G145" s="72"/>
    </row>
    <row r="146" spans="1:7" x14ac:dyDescent="0.2">
      <c r="A146" s="72"/>
      <c r="B146" s="240" t="s">
        <v>181</v>
      </c>
      <c r="C146" s="241"/>
      <c r="D146" s="75">
        <v>0.48465252670167636</v>
      </c>
      <c r="E146" s="72"/>
      <c r="F146" s="55"/>
      <c r="G146" s="76"/>
    </row>
    <row r="147" spans="1:7" x14ac:dyDescent="0.2"/>
    <row r="148" spans="1:7" x14ac:dyDescent="0.2">
      <c r="B148" s="239" t="s">
        <v>953</v>
      </c>
      <c r="C148" s="239"/>
    </row>
    <row r="149" spans="1:7" x14ac:dyDescent="0.2"/>
    <row r="150" spans="1:7" ht="153.75" customHeight="1" x14ac:dyDescent="0.2"/>
    <row r="151" spans="1:7" x14ac:dyDescent="0.2"/>
    <row r="152" spans="1:7" x14ac:dyDescent="0.2"/>
    <row r="153" spans="1:7" x14ac:dyDescent="0.2">
      <c r="B153" s="77" t="s">
        <v>954</v>
      </c>
      <c r="C153" s="78"/>
      <c r="D153" s="77"/>
    </row>
    <row r="154" spans="1:7" x14ac:dyDescent="0.2">
      <c r="B154" s="77" t="s">
        <v>1122</v>
      </c>
      <c r="D154" s="77"/>
    </row>
    <row r="155" spans="1:7" ht="165" customHeight="1" x14ac:dyDescent="0.2"/>
  </sheetData>
  <mergeCells count="18">
    <mergeCell ref="B130:D130"/>
    <mergeCell ref="B131:C131"/>
    <mergeCell ref="B148:C148"/>
    <mergeCell ref="B146:C146"/>
    <mergeCell ref="A1:H1"/>
    <mergeCell ref="A2:H2"/>
    <mergeCell ref="A3:H3"/>
    <mergeCell ref="B145:C145"/>
    <mergeCell ref="B124:H124"/>
    <mergeCell ref="B125:H125"/>
    <mergeCell ref="B132:C132"/>
    <mergeCell ref="B133:C133"/>
    <mergeCell ref="B143:C143"/>
    <mergeCell ref="B144:C144"/>
    <mergeCell ref="B126:H126"/>
    <mergeCell ref="B127:H127"/>
    <mergeCell ref="B128:H128"/>
    <mergeCell ref="B141:C141"/>
  </mergeCells>
  <hyperlinks>
    <hyperlink ref="I1" location="Index!B2" display="Index" xr:uid="{CD3907A2-8436-4623-9978-E3C57524D59C}"/>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97CBC-EE12-404C-915F-3F9FFFC35F30}">
  <sheetPr>
    <outlinePr summaryBelow="0" summaryRight="0"/>
  </sheetPr>
  <dimension ref="A1:Q128"/>
  <sheetViews>
    <sheetView showGridLines="0" workbookViewId="0">
      <selection sqref="A1:H1"/>
    </sheetView>
  </sheetViews>
  <sheetFormatPr defaultRowHeight="12.75" customHeight="1" x14ac:dyDescent="0.2"/>
  <cols>
    <col min="1" max="1" width="5.85546875" bestFit="1" customWidth="1"/>
    <col min="2" max="2" width="19.7109375" bestFit="1" customWidth="1"/>
    <col min="3" max="3" width="46.7109375" customWidth="1"/>
    <col min="4" max="4" width="13.7109375" bestFit="1" customWidth="1"/>
    <col min="5" max="5" width="12.42578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842</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3090480</v>
      </c>
      <c r="F7" s="37">
        <v>29390.464800000002</v>
      </c>
      <c r="G7" s="38">
        <v>0.19416675</v>
      </c>
      <c r="H7" s="29" t="s">
        <v>143</v>
      </c>
    </row>
    <row r="8" spans="1:9" ht="12.75" customHeight="1" x14ac:dyDescent="0.2">
      <c r="A8" s="35">
        <v>2</v>
      </c>
      <c r="B8" s="22" t="s">
        <v>31</v>
      </c>
      <c r="C8" s="22" t="s">
        <v>32</v>
      </c>
      <c r="D8" s="22" t="s">
        <v>33</v>
      </c>
      <c r="E8" s="36">
        <v>1339673</v>
      </c>
      <c r="F8" s="37">
        <v>18058.79204</v>
      </c>
      <c r="G8" s="38">
        <v>0.11930457999999999</v>
      </c>
      <c r="H8" s="29" t="s">
        <v>143</v>
      </c>
    </row>
    <row r="9" spans="1:9" ht="12.75" customHeight="1" x14ac:dyDescent="0.2">
      <c r="A9" s="35">
        <v>3</v>
      </c>
      <c r="B9" s="22" t="s">
        <v>327</v>
      </c>
      <c r="C9" s="22" t="s">
        <v>328</v>
      </c>
      <c r="D9" s="22" t="s">
        <v>33</v>
      </c>
      <c r="E9" s="36">
        <v>1329343</v>
      </c>
      <c r="F9" s="37">
        <v>15042.845388</v>
      </c>
      <c r="G9" s="38">
        <v>9.9379869999999995E-2</v>
      </c>
      <c r="H9" s="29" t="s">
        <v>143</v>
      </c>
    </row>
    <row r="10" spans="1:9" ht="12.75" customHeight="1" x14ac:dyDescent="0.2">
      <c r="A10" s="35">
        <v>4</v>
      </c>
      <c r="B10" s="22" t="s">
        <v>42</v>
      </c>
      <c r="C10" s="22" t="s">
        <v>43</v>
      </c>
      <c r="D10" s="22" t="s">
        <v>33</v>
      </c>
      <c r="E10" s="36">
        <v>1003469</v>
      </c>
      <c r="F10" s="37">
        <v>8754.7652904999995</v>
      </c>
      <c r="G10" s="38">
        <v>5.7837949999999999E-2</v>
      </c>
      <c r="H10" s="29" t="s">
        <v>143</v>
      </c>
    </row>
    <row r="11" spans="1:9" ht="12.75" customHeight="1" x14ac:dyDescent="0.2">
      <c r="A11" s="35">
        <v>5</v>
      </c>
      <c r="B11" s="22" t="s">
        <v>648</v>
      </c>
      <c r="C11" s="22" t="s">
        <v>649</v>
      </c>
      <c r="D11" s="22" t="s">
        <v>191</v>
      </c>
      <c r="E11" s="36">
        <v>341499</v>
      </c>
      <c r="F11" s="37">
        <v>6851.8359360000004</v>
      </c>
      <c r="G11" s="38">
        <v>4.5266340000000002E-2</v>
      </c>
      <c r="H11" s="29" t="s">
        <v>143</v>
      </c>
    </row>
    <row r="12" spans="1:9" ht="12.75" customHeight="1" x14ac:dyDescent="0.2">
      <c r="A12" s="35">
        <v>6</v>
      </c>
      <c r="B12" s="22" t="s">
        <v>242</v>
      </c>
      <c r="C12" s="22" t="s">
        <v>243</v>
      </c>
      <c r="D12" s="22" t="s">
        <v>191</v>
      </c>
      <c r="E12" s="36">
        <v>1085825</v>
      </c>
      <c r="F12" s="37">
        <v>6689.7678249999999</v>
      </c>
      <c r="G12" s="38">
        <v>4.4195640000000001E-2</v>
      </c>
      <c r="H12" s="29" t="s">
        <v>143</v>
      </c>
    </row>
    <row r="13" spans="1:9" ht="12.75" customHeight="1" x14ac:dyDescent="0.2">
      <c r="A13" s="35">
        <v>7</v>
      </c>
      <c r="B13" s="22" t="s">
        <v>362</v>
      </c>
      <c r="C13" s="22" t="s">
        <v>363</v>
      </c>
      <c r="D13" s="22" t="s">
        <v>33</v>
      </c>
      <c r="E13" s="36">
        <v>1644042</v>
      </c>
      <c r="F13" s="37">
        <v>6107.6160300000001</v>
      </c>
      <c r="G13" s="38">
        <v>4.0349679999999999E-2</v>
      </c>
      <c r="H13" s="29" t="s">
        <v>143</v>
      </c>
    </row>
    <row r="14" spans="1:9" ht="12.75" customHeight="1" x14ac:dyDescent="0.2">
      <c r="A14" s="35">
        <v>8</v>
      </c>
      <c r="B14" s="22" t="s">
        <v>394</v>
      </c>
      <c r="C14" s="22" t="s">
        <v>395</v>
      </c>
      <c r="D14" s="22" t="s">
        <v>191</v>
      </c>
      <c r="E14" s="36">
        <v>682976</v>
      </c>
      <c r="F14" s="37">
        <v>5898.1807360000003</v>
      </c>
      <c r="G14" s="38">
        <v>3.8966059999999997E-2</v>
      </c>
      <c r="H14" s="29" t="s">
        <v>143</v>
      </c>
    </row>
    <row r="15" spans="1:9" ht="12.75" customHeight="1" x14ac:dyDescent="0.2">
      <c r="A15" s="35">
        <v>9</v>
      </c>
      <c r="B15" s="22" t="s">
        <v>331</v>
      </c>
      <c r="C15" s="22" t="s">
        <v>332</v>
      </c>
      <c r="D15" s="22" t="s">
        <v>33</v>
      </c>
      <c r="E15" s="36">
        <v>2208626</v>
      </c>
      <c r="F15" s="37">
        <v>5710.1816603999996</v>
      </c>
      <c r="G15" s="38">
        <v>3.7724050000000002E-2</v>
      </c>
      <c r="H15" s="29" t="s">
        <v>143</v>
      </c>
    </row>
    <row r="16" spans="1:9" ht="12.75" customHeight="1" x14ac:dyDescent="0.2">
      <c r="A16" s="35">
        <v>10</v>
      </c>
      <c r="B16" s="22" t="s">
        <v>360</v>
      </c>
      <c r="C16" s="22" t="s">
        <v>361</v>
      </c>
      <c r="D16" s="22" t="s">
        <v>33</v>
      </c>
      <c r="E16" s="36">
        <v>11708687</v>
      </c>
      <c r="F16" s="37">
        <v>5426.9764244999997</v>
      </c>
      <c r="G16" s="38">
        <v>3.5853070000000001E-2</v>
      </c>
      <c r="H16" s="29" t="s">
        <v>143</v>
      </c>
    </row>
    <row r="17" spans="1:8" ht="12.75" customHeight="1" x14ac:dyDescent="0.2">
      <c r="A17" s="35">
        <v>11</v>
      </c>
      <c r="B17" s="22" t="s">
        <v>459</v>
      </c>
      <c r="C17" s="22" t="s">
        <v>460</v>
      </c>
      <c r="D17" s="22" t="s">
        <v>33</v>
      </c>
      <c r="E17" s="36">
        <v>4243632</v>
      </c>
      <c r="F17" s="37">
        <v>5378.3791967999996</v>
      </c>
      <c r="G17" s="38">
        <v>3.5532010000000003E-2</v>
      </c>
      <c r="H17" s="29" t="s">
        <v>143</v>
      </c>
    </row>
    <row r="18" spans="1:8" ht="12.75" customHeight="1" x14ac:dyDescent="0.2">
      <c r="A18" s="35">
        <v>12</v>
      </c>
      <c r="B18" s="22" t="s">
        <v>682</v>
      </c>
      <c r="C18" s="22" t="s">
        <v>683</v>
      </c>
      <c r="D18" s="22" t="s">
        <v>191</v>
      </c>
      <c r="E18" s="36">
        <v>1131406</v>
      </c>
      <c r="F18" s="37">
        <v>4218.447271</v>
      </c>
      <c r="G18" s="38">
        <v>2.7868980000000002E-2</v>
      </c>
      <c r="H18" s="29" t="s">
        <v>143</v>
      </c>
    </row>
    <row r="19" spans="1:8" ht="12.75" customHeight="1" x14ac:dyDescent="0.2">
      <c r="A19" s="35">
        <v>13</v>
      </c>
      <c r="B19" s="22" t="s">
        <v>374</v>
      </c>
      <c r="C19" s="22" t="s">
        <v>375</v>
      </c>
      <c r="D19" s="22" t="s">
        <v>33</v>
      </c>
      <c r="E19" s="36">
        <v>7238410</v>
      </c>
      <c r="F19" s="37">
        <v>4138.9228380000004</v>
      </c>
      <c r="G19" s="38">
        <v>2.7343599999999999E-2</v>
      </c>
      <c r="H19" s="29" t="s">
        <v>143</v>
      </c>
    </row>
    <row r="20" spans="1:8" ht="12.75" customHeight="1" x14ac:dyDescent="0.2">
      <c r="A20" s="35">
        <v>14</v>
      </c>
      <c r="B20" s="22" t="s">
        <v>303</v>
      </c>
      <c r="C20" s="22" t="s">
        <v>304</v>
      </c>
      <c r="D20" s="22" t="s">
        <v>275</v>
      </c>
      <c r="E20" s="36">
        <v>636027</v>
      </c>
      <c r="F20" s="37">
        <v>3785.6327040000001</v>
      </c>
      <c r="G20" s="38">
        <v>2.5009610000000002E-2</v>
      </c>
      <c r="H20" s="29" t="s">
        <v>143</v>
      </c>
    </row>
    <row r="21" spans="1:8" ht="12.75" customHeight="1" x14ac:dyDescent="0.2">
      <c r="A21" s="35">
        <v>15</v>
      </c>
      <c r="B21" s="22" t="s">
        <v>323</v>
      </c>
      <c r="C21" s="22" t="s">
        <v>324</v>
      </c>
      <c r="D21" s="22" t="s">
        <v>33</v>
      </c>
      <c r="E21" s="36">
        <v>145590</v>
      </c>
      <c r="F21" s="37">
        <v>2901.17193</v>
      </c>
      <c r="G21" s="38">
        <v>1.916646E-2</v>
      </c>
      <c r="H21" s="29" t="s">
        <v>143</v>
      </c>
    </row>
    <row r="22" spans="1:8" ht="12.75" customHeight="1" x14ac:dyDescent="0.2">
      <c r="A22" s="35">
        <v>16</v>
      </c>
      <c r="B22" s="22" t="s">
        <v>443</v>
      </c>
      <c r="C22" s="22" t="s">
        <v>444</v>
      </c>
      <c r="D22" s="22" t="s">
        <v>33</v>
      </c>
      <c r="E22" s="36">
        <v>322334</v>
      </c>
      <c r="F22" s="37">
        <v>2370.927737</v>
      </c>
      <c r="G22" s="38">
        <v>1.5663429999999999E-2</v>
      </c>
      <c r="H22" s="29" t="s">
        <v>143</v>
      </c>
    </row>
    <row r="23" spans="1:8" ht="12.75" customHeight="1" x14ac:dyDescent="0.2">
      <c r="A23" s="35">
        <v>17</v>
      </c>
      <c r="B23" s="22" t="s">
        <v>497</v>
      </c>
      <c r="C23" s="22" t="s">
        <v>498</v>
      </c>
      <c r="D23" s="22" t="s">
        <v>191</v>
      </c>
      <c r="E23" s="36">
        <v>575710</v>
      </c>
      <c r="F23" s="37">
        <v>2361.8502749999998</v>
      </c>
      <c r="G23" s="38">
        <v>1.560346E-2</v>
      </c>
      <c r="H23" s="29" t="s">
        <v>143</v>
      </c>
    </row>
    <row r="24" spans="1:8" ht="12.75" customHeight="1" x14ac:dyDescent="0.2">
      <c r="A24" s="35">
        <v>18</v>
      </c>
      <c r="B24" s="22" t="s">
        <v>189</v>
      </c>
      <c r="C24" s="22" t="s">
        <v>190</v>
      </c>
      <c r="D24" s="22" t="s">
        <v>191</v>
      </c>
      <c r="E24" s="36">
        <v>763527</v>
      </c>
      <c r="F24" s="37">
        <v>2101.9898309999999</v>
      </c>
      <c r="G24" s="38">
        <v>1.38867E-2</v>
      </c>
      <c r="H24" s="29" t="s">
        <v>143</v>
      </c>
    </row>
    <row r="25" spans="1:8" ht="12.75" customHeight="1" x14ac:dyDescent="0.2">
      <c r="A25" s="35">
        <v>19</v>
      </c>
      <c r="B25" s="22" t="s">
        <v>385</v>
      </c>
      <c r="C25" s="22" t="s">
        <v>386</v>
      </c>
      <c r="D25" s="22" t="s">
        <v>191</v>
      </c>
      <c r="E25" s="36">
        <v>105853</v>
      </c>
      <c r="F25" s="37">
        <v>1995.3290500000001</v>
      </c>
      <c r="G25" s="38">
        <v>1.3182050000000001E-2</v>
      </c>
      <c r="H25" s="29" t="s">
        <v>143</v>
      </c>
    </row>
    <row r="26" spans="1:8" ht="12.75" customHeight="1" x14ac:dyDescent="0.2">
      <c r="A26" s="35">
        <v>20</v>
      </c>
      <c r="B26" s="22" t="s">
        <v>378</v>
      </c>
      <c r="C26" s="22" t="s">
        <v>379</v>
      </c>
      <c r="D26" s="22" t="s">
        <v>223</v>
      </c>
      <c r="E26" s="36">
        <v>60606</v>
      </c>
      <c r="F26" s="37">
        <v>1292.4229499999999</v>
      </c>
      <c r="G26" s="38">
        <v>8.5383300000000002E-3</v>
      </c>
      <c r="H26" s="29" t="s">
        <v>143</v>
      </c>
    </row>
    <row r="27" spans="1:8" ht="12.75" customHeight="1" x14ac:dyDescent="0.2">
      <c r="A27" s="35">
        <v>21</v>
      </c>
      <c r="B27" s="22" t="s">
        <v>531</v>
      </c>
      <c r="C27" s="22" t="s">
        <v>532</v>
      </c>
      <c r="D27" s="22" t="s">
        <v>33</v>
      </c>
      <c r="E27" s="36">
        <v>779320</v>
      </c>
      <c r="F27" s="37">
        <v>1264.1349720000001</v>
      </c>
      <c r="G27" s="38">
        <v>8.3514499999999998E-3</v>
      </c>
      <c r="H27" s="29" t="s">
        <v>143</v>
      </c>
    </row>
    <row r="28" spans="1:8" ht="12.75" customHeight="1" x14ac:dyDescent="0.2">
      <c r="A28" s="35">
        <v>22</v>
      </c>
      <c r="B28" s="22" t="s">
        <v>345</v>
      </c>
      <c r="C28" s="22" t="s">
        <v>346</v>
      </c>
      <c r="D28" s="22" t="s">
        <v>191</v>
      </c>
      <c r="E28" s="36">
        <v>71814</v>
      </c>
      <c r="F28" s="37">
        <v>1156.779912</v>
      </c>
      <c r="G28" s="38">
        <v>7.64221E-3</v>
      </c>
      <c r="H28" s="29" t="s">
        <v>143</v>
      </c>
    </row>
    <row r="29" spans="1:8" ht="12.75" customHeight="1" x14ac:dyDescent="0.2">
      <c r="A29" s="35">
        <v>23</v>
      </c>
      <c r="B29" s="22" t="s">
        <v>843</v>
      </c>
      <c r="C29" s="22" t="s">
        <v>844</v>
      </c>
      <c r="D29" s="22" t="s">
        <v>191</v>
      </c>
      <c r="E29" s="36">
        <v>150011</v>
      </c>
      <c r="F29" s="37">
        <v>1125.5325330000001</v>
      </c>
      <c r="G29" s="38">
        <v>7.4357800000000003E-3</v>
      </c>
      <c r="H29" s="29" t="s">
        <v>143</v>
      </c>
    </row>
    <row r="30" spans="1:8" ht="12.75" customHeight="1" x14ac:dyDescent="0.2">
      <c r="A30" s="35">
        <v>24</v>
      </c>
      <c r="B30" s="22" t="s">
        <v>221</v>
      </c>
      <c r="C30" s="22" t="s">
        <v>222</v>
      </c>
      <c r="D30" s="22" t="s">
        <v>223</v>
      </c>
      <c r="E30" s="36">
        <v>31843</v>
      </c>
      <c r="F30" s="37">
        <v>649.660886</v>
      </c>
      <c r="G30" s="38">
        <v>4.29196E-3</v>
      </c>
      <c r="H30" s="29" t="s">
        <v>143</v>
      </c>
    </row>
    <row r="31" spans="1:8" ht="12.75" customHeight="1" x14ac:dyDescent="0.2">
      <c r="A31" s="35">
        <v>25</v>
      </c>
      <c r="B31" s="22" t="s">
        <v>478</v>
      </c>
      <c r="C31" s="22" t="s">
        <v>479</v>
      </c>
      <c r="D31" s="22" t="s">
        <v>223</v>
      </c>
      <c r="E31" s="36">
        <v>20372</v>
      </c>
      <c r="F31" s="37">
        <v>525.31239200000005</v>
      </c>
      <c r="G31" s="38">
        <v>3.4704499999999999E-3</v>
      </c>
      <c r="H31" s="29" t="s">
        <v>143</v>
      </c>
    </row>
    <row r="32" spans="1:8" ht="12.75" customHeight="1" x14ac:dyDescent="0.2">
      <c r="A32" s="39"/>
      <c r="B32" s="39"/>
      <c r="C32" s="40" t="s">
        <v>142</v>
      </c>
      <c r="D32" s="39"/>
      <c r="E32" s="39" t="s">
        <v>143</v>
      </c>
      <c r="F32" s="41">
        <v>143197.92060819999</v>
      </c>
      <c r="G32" s="42">
        <v>0.94603046999999996</v>
      </c>
      <c r="H32" s="29" t="s">
        <v>143</v>
      </c>
    </row>
    <row r="33" spans="1:8" ht="12.75" customHeight="1" x14ac:dyDescent="0.2">
      <c r="A33" s="39"/>
      <c r="B33" s="39"/>
      <c r="C33" s="43"/>
      <c r="D33" s="39"/>
      <c r="E33" s="39"/>
      <c r="F33" s="44"/>
      <c r="G33" s="44"/>
      <c r="H33" s="29" t="s">
        <v>143</v>
      </c>
    </row>
    <row r="34" spans="1:8" ht="12.75" customHeight="1" x14ac:dyDescent="0.2">
      <c r="A34" s="39"/>
      <c r="B34" s="39"/>
      <c r="C34" s="40" t="s">
        <v>144</v>
      </c>
      <c r="D34" s="39"/>
      <c r="E34" s="39"/>
      <c r="F34" s="39"/>
      <c r="G34" s="39"/>
      <c r="H34" s="29" t="s">
        <v>143</v>
      </c>
    </row>
    <row r="35" spans="1:8" ht="12.75" customHeight="1" x14ac:dyDescent="0.2">
      <c r="A35" s="39"/>
      <c r="B35" s="39"/>
      <c r="C35" s="40" t="s">
        <v>142</v>
      </c>
      <c r="D35" s="39"/>
      <c r="E35" s="39" t="s">
        <v>143</v>
      </c>
      <c r="F35" s="45" t="s">
        <v>145</v>
      </c>
      <c r="G35" s="42">
        <v>0</v>
      </c>
      <c r="H35" s="29" t="s">
        <v>143</v>
      </c>
    </row>
    <row r="36" spans="1:8" ht="12.75" customHeight="1" x14ac:dyDescent="0.2">
      <c r="A36" s="39"/>
      <c r="B36" s="39"/>
      <c r="C36" s="43"/>
      <c r="D36" s="39"/>
      <c r="E36" s="39"/>
      <c r="F36" s="44"/>
      <c r="G36" s="44"/>
      <c r="H36" s="29" t="s">
        <v>143</v>
      </c>
    </row>
    <row r="37" spans="1:8" ht="12.75" customHeight="1" x14ac:dyDescent="0.2">
      <c r="A37" s="39"/>
      <c r="B37" s="39"/>
      <c r="C37" s="40" t="s">
        <v>146</v>
      </c>
      <c r="D37" s="39"/>
      <c r="E37" s="39"/>
      <c r="F37" s="39"/>
      <c r="G37" s="39"/>
      <c r="H37" s="29" t="s">
        <v>143</v>
      </c>
    </row>
    <row r="38" spans="1:8" ht="12.75" customHeight="1" x14ac:dyDescent="0.2">
      <c r="A38" s="39"/>
      <c r="B38" s="39"/>
      <c r="C38" s="40" t="s">
        <v>142</v>
      </c>
      <c r="D38" s="39"/>
      <c r="E38" s="39" t="s">
        <v>143</v>
      </c>
      <c r="F38" s="45" t="s">
        <v>145</v>
      </c>
      <c r="G38" s="42">
        <v>0</v>
      </c>
      <c r="H38" s="29" t="s">
        <v>143</v>
      </c>
    </row>
    <row r="39" spans="1:8" ht="12.75" customHeight="1" x14ac:dyDescent="0.2">
      <c r="A39" s="39"/>
      <c r="B39" s="39"/>
      <c r="C39" s="43"/>
      <c r="D39" s="39"/>
      <c r="E39" s="39"/>
      <c r="F39" s="44"/>
      <c r="G39" s="44"/>
      <c r="H39" s="29" t="s">
        <v>143</v>
      </c>
    </row>
    <row r="40" spans="1:8" ht="12.75" customHeight="1" x14ac:dyDescent="0.2">
      <c r="A40" s="39"/>
      <c r="B40" s="39"/>
      <c r="C40" s="40" t="s">
        <v>147</v>
      </c>
      <c r="D40" s="39"/>
      <c r="E40" s="39"/>
      <c r="F40" s="39"/>
      <c r="G40" s="39"/>
      <c r="H40" s="29" t="s">
        <v>143</v>
      </c>
    </row>
    <row r="41" spans="1:8" ht="12.75" customHeight="1" x14ac:dyDescent="0.2">
      <c r="A41" s="39"/>
      <c r="B41" s="39"/>
      <c r="C41" s="40" t="s">
        <v>142</v>
      </c>
      <c r="D41" s="39"/>
      <c r="E41" s="39" t="s">
        <v>143</v>
      </c>
      <c r="F41" s="45" t="s">
        <v>145</v>
      </c>
      <c r="G41" s="42">
        <v>0</v>
      </c>
      <c r="H41" s="29" t="s">
        <v>143</v>
      </c>
    </row>
    <row r="42" spans="1:8" ht="12.75" customHeight="1" x14ac:dyDescent="0.2">
      <c r="A42" s="39"/>
      <c r="B42" s="39"/>
      <c r="C42" s="43"/>
      <c r="D42" s="39"/>
      <c r="E42" s="39"/>
      <c r="F42" s="44"/>
      <c r="G42" s="44"/>
      <c r="H42" s="29" t="s">
        <v>143</v>
      </c>
    </row>
    <row r="43" spans="1:8" ht="12.75" customHeight="1" x14ac:dyDescent="0.2">
      <c r="A43" s="39"/>
      <c r="B43" s="39"/>
      <c r="C43" s="40" t="s">
        <v>148</v>
      </c>
      <c r="D43" s="39"/>
      <c r="E43" s="39"/>
      <c r="F43" s="44"/>
      <c r="G43" s="44"/>
      <c r="H43" s="29" t="s">
        <v>143</v>
      </c>
    </row>
    <row r="44" spans="1:8" ht="12.75" customHeight="1" x14ac:dyDescent="0.2">
      <c r="A44" s="39"/>
      <c r="B44" s="39"/>
      <c r="C44" s="40" t="s">
        <v>142</v>
      </c>
      <c r="D44" s="39"/>
      <c r="E44" s="39" t="s">
        <v>143</v>
      </c>
      <c r="F44" s="45" t="s">
        <v>145</v>
      </c>
      <c r="G44" s="42">
        <v>0</v>
      </c>
      <c r="H44" s="29" t="s">
        <v>143</v>
      </c>
    </row>
    <row r="45" spans="1:8" ht="12.75" customHeight="1" x14ac:dyDescent="0.2">
      <c r="A45" s="39"/>
      <c r="B45" s="39"/>
      <c r="C45" s="43"/>
      <c r="D45" s="39"/>
      <c r="E45" s="39"/>
      <c r="F45" s="44"/>
      <c r="G45" s="44"/>
      <c r="H45" s="29" t="s">
        <v>143</v>
      </c>
    </row>
    <row r="46" spans="1:8" ht="12.75" customHeight="1" x14ac:dyDescent="0.2">
      <c r="A46" s="39"/>
      <c r="B46" s="39"/>
      <c r="C46" s="40" t="s">
        <v>149</v>
      </c>
      <c r="D46" s="39"/>
      <c r="E46" s="39"/>
      <c r="F46" s="44"/>
      <c r="G46" s="44"/>
      <c r="H46" s="29" t="s">
        <v>143</v>
      </c>
    </row>
    <row r="47" spans="1:8" ht="12.75" customHeight="1" x14ac:dyDescent="0.2">
      <c r="A47" s="39"/>
      <c r="B47" s="39"/>
      <c r="C47" s="40" t="s">
        <v>142</v>
      </c>
      <c r="D47" s="39"/>
      <c r="E47" s="39" t="s">
        <v>143</v>
      </c>
      <c r="F47" s="45" t="s">
        <v>145</v>
      </c>
      <c r="G47" s="42">
        <v>0</v>
      </c>
      <c r="H47" s="29" t="s">
        <v>143</v>
      </c>
    </row>
    <row r="48" spans="1:8" ht="12.75" customHeight="1" x14ac:dyDescent="0.2">
      <c r="A48" s="39"/>
      <c r="B48" s="39"/>
      <c r="C48" s="43"/>
      <c r="D48" s="39"/>
      <c r="E48" s="39"/>
      <c r="F48" s="44"/>
      <c r="G48" s="44"/>
      <c r="H48" s="29" t="s">
        <v>143</v>
      </c>
    </row>
    <row r="49" spans="1:8" ht="12.75" customHeight="1" x14ac:dyDescent="0.2">
      <c r="A49" s="39"/>
      <c r="B49" s="39"/>
      <c r="C49" s="40" t="s">
        <v>150</v>
      </c>
      <c r="D49" s="39"/>
      <c r="E49" s="39"/>
      <c r="F49" s="41">
        <v>143197.92060819999</v>
      </c>
      <c r="G49" s="42">
        <v>0.94603046999999996</v>
      </c>
      <c r="H49" s="29" t="s">
        <v>143</v>
      </c>
    </row>
    <row r="50" spans="1:8" ht="12.75" customHeight="1" x14ac:dyDescent="0.2">
      <c r="A50" s="39"/>
      <c r="B50" s="39"/>
      <c r="C50" s="43"/>
      <c r="D50" s="39"/>
      <c r="E50" s="39"/>
      <c r="F50" s="44"/>
      <c r="G50" s="44"/>
      <c r="H50" s="29" t="s">
        <v>143</v>
      </c>
    </row>
    <row r="51" spans="1:8" ht="12.75" customHeight="1" x14ac:dyDescent="0.2">
      <c r="A51" s="39"/>
      <c r="B51" s="39"/>
      <c r="C51" s="40" t="s">
        <v>151</v>
      </c>
      <c r="D51" s="39"/>
      <c r="E51" s="39"/>
      <c r="F51" s="44"/>
      <c r="G51" s="44"/>
      <c r="H51" s="29" t="s">
        <v>143</v>
      </c>
    </row>
    <row r="52" spans="1:8" ht="12.75" customHeight="1" x14ac:dyDescent="0.2">
      <c r="A52" s="39"/>
      <c r="B52" s="39"/>
      <c r="C52" s="40" t="s">
        <v>10</v>
      </c>
      <c r="D52" s="39"/>
      <c r="E52" s="39"/>
      <c r="F52" s="44"/>
      <c r="G52" s="44"/>
      <c r="H52" s="29" t="s">
        <v>143</v>
      </c>
    </row>
    <row r="53" spans="1:8" ht="12.75" customHeight="1" x14ac:dyDescent="0.2">
      <c r="A53" s="39"/>
      <c r="B53" s="39"/>
      <c r="C53" s="40" t="s">
        <v>142</v>
      </c>
      <c r="D53" s="39"/>
      <c r="E53" s="39" t="s">
        <v>143</v>
      </c>
      <c r="F53" s="45" t="s">
        <v>145</v>
      </c>
      <c r="G53" s="42">
        <v>0</v>
      </c>
      <c r="H53" s="29" t="s">
        <v>143</v>
      </c>
    </row>
    <row r="54" spans="1:8" ht="12.75" customHeight="1" x14ac:dyDescent="0.2">
      <c r="A54" s="39"/>
      <c r="B54" s="39"/>
      <c r="C54" s="43"/>
      <c r="D54" s="39"/>
      <c r="E54" s="39"/>
      <c r="F54" s="44"/>
      <c r="G54" s="44"/>
      <c r="H54" s="29" t="s">
        <v>143</v>
      </c>
    </row>
    <row r="55" spans="1:8" ht="12.75" customHeight="1" x14ac:dyDescent="0.2">
      <c r="A55" s="39"/>
      <c r="B55" s="39"/>
      <c r="C55" s="40" t="s">
        <v>152</v>
      </c>
      <c r="D55" s="39"/>
      <c r="E55" s="39"/>
      <c r="F55" s="39"/>
      <c r="G55" s="39"/>
      <c r="H55" s="29" t="s">
        <v>143</v>
      </c>
    </row>
    <row r="56" spans="1:8" ht="12.75" customHeight="1" x14ac:dyDescent="0.2">
      <c r="A56" s="39"/>
      <c r="B56" s="39"/>
      <c r="C56" s="40" t="s">
        <v>142</v>
      </c>
      <c r="D56" s="39"/>
      <c r="E56" s="39" t="s">
        <v>143</v>
      </c>
      <c r="F56" s="45" t="s">
        <v>145</v>
      </c>
      <c r="G56" s="42">
        <v>0</v>
      </c>
      <c r="H56" s="29" t="s">
        <v>143</v>
      </c>
    </row>
    <row r="57" spans="1:8" ht="12.75" customHeight="1" x14ac:dyDescent="0.2">
      <c r="A57" s="39"/>
      <c r="B57" s="39"/>
      <c r="C57" s="43"/>
      <c r="D57" s="39"/>
      <c r="E57" s="39"/>
      <c r="F57" s="44"/>
      <c r="G57" s="44"/>
      <c r="H57" s="29" t="s">
        <v>143</v>
      </c>
    </row>
    <row r="58" spans="1:8" ht="12.75" customHeight="1" x14ac:dyDescent="0.2">
      <c r="A58" s="39"/>
      <c r="B58" s="39"/>
      <c r="C58" s="40" t="s">
        <v>153</v>
      </c>
      <c r="D58" s="39"/>
      <c r="E58" s="39"/>
      <c r="F58" s="39"/>
      <c r="G58" s="39"/>
      <c r="H58" s="29" t="s">
        <v>143</v>
      </c>
    </row>
    <row r="59" spans="1:8" ht="12.75" customHeight="1" x14ac:dyDescent="0.2">
      <c r="A59" s="39"/>
      <c r="B59" s="39"/>
      <c r="C59" s="40" t="s">
        <v>142</v>
      </c>
      <c r="D59" s="39"/>
      <c r="E59" s="39" t="s">
        <v>143</v>
      </c>
      <c r="F59" s="45" t="s">
        <v>145</v>
      </c>
      <c r="G59" s="42">
        <v>0</v>
      </c>
      <c r="H59" s="29" t="s">
        <v>143</v>
      </c>
    </row>
    <row r="60" spans="1:8" ht="12.75" customHeight="1" x14ac:dyDescent="0.2">
      <c r="A60" s="39"/>
      <c r="B60" s="39"/>
      <c r="C60" s="43"/>
      <c r="D60" s="39"/>
      <c r="E60" s="39"/>
      <c r="F60" s="44"/>
      <c r="G60" s="44"/>
      <c r="H60" s="29" t="s">
        <v>143</v>
      </c>
    </row>
    <row r="61" spans="1:8" ht="12.75" customHeight="1" x14ac:dyDescent="0.2">
      <c r="A61" s="39"/>
      <c r="B61" s="39"/>
      <c r="C61" s="40" t="s">
        <v>154</v>
      </c>
      <c r="D61" s="39"/>
      <c r="E61" s="39"/>
      <c r="F61" s="44"/>
      <c r="G61" s="44"/>
      <c r="H61" s="29" t="s">
        <v>143</v>
      </c>
    </row>
    <row r="62" spans="1:8" ht="12.75" customHeight="1" x14ac:dyDescent="0.2">
      <c r="A62" s="39"/>
      <c r="B62" s="39"/>
      <c r="C62" s="40" t="s">
        <v>142</v>
      </c>
      <c r="D62" s="39"/>
      <c r="E62" s="39" t="s">
        <v>143</v>
      </c>
      <c r="F62" s="45" t="s">
        <v>145</v>
      </c>
      <c r="G62" s="42">
        <v>0</v>
      </c>
      <c r="H62" s="29" t="s">
        <v>143</v>
      </c>
    </row>
    <row r="63" spans="1:8" ht="12.75" customHeight="1" x14ac:dyDescent="0.2">
      <c r="A63" s="39"/>
      <c r="B63" s="39"/>
      <c r="C63" s="43"/>
      <c r="D63" s="39"/>
      <c r="E63" s="39"/>
      <c r="F63" s="44"/>
      <c r="G63" s="44"/>
      <c r="H63" s="29" t="s">
        <v>143</v>
      </c>
    </row>
    <row r="64" spans="1:8" ht="12.75" customHeight="1" x14ac:dyDescent="0.2">
      <c r="A64" s="39"/>
      <c r="B64" s="39"/>
      <c r="C64" s="40" t="s">
        <v>155</v>
      </c>
      <c r="D64" s="39"/>
      <c r="E64" s="39"/>
      <c r="F64" s="41">
        <v>0</v>
      </c>
      <c r="G64" s="42">
        <v>0</v>
      </c>
      <c r="H64" s="29" t="s">
        <v>143</v>
      </c>
    </row>
    <row r="65" spans="1:8" ht="12.75" customHeight="1" x14ac:dyDescent="0.2">
      <c r="A65" s="39"/>
      <c r="B65" s="39"/>
      <c r="C65" s="43"/>
      <c r="D65" s="39"/>
      <c r="E65" s="39"/>
      <c r="F65" s="44"/>
      <c r="G65" s="44"/>
      <c r="H65" s="29" t="s">
        <v>143</v>
      </c>
    </row>
    <row r="66" spans="1:8" ht="12.75" customHeight="1" x14ac:dyDescent="0.2">
      <c r="A66" s="39"/>
      <c r="B66" s="39"/>
      <c r="C66" s="40" t="s">
        <v>156</v>
      </c>
      <c r="D66" s="39"/>
      <c r="E66" s="39"/>
      <c r="F66" s="44"/>
      <c r="G66" s="44"/>
      <c r="H66" s="29" t="s">
        <v>143</v>
      </c>
    </row>
    <row r="67" spans="1:8" ht="12.75" customHeight="1" x14ac:dyDescent="0.2">
      <c r="A67" s="39"/>
      <c r="B67" s="39"/>
      <c r="C67" s="40" t="s">
        <v>157</v>
      </c>
      <c r="D67" s="39"/>
      <c r="E67" s="39"/>
      <c r="F67" s="44"/>
      <c r="G67" s="44"/>
      <c r="H67" s="29" t="s">
        <v>143</v>
      </c>
    </row>
    <row r="68" spans="1:8" ht="12.75" customHeight="1" x14ac:dyDescent="0.2">
      <c r="A68" s="39"/>
      <c r="B68" s="39"/>
      <c r="C68" s="40" t="s">
        <v>142</v>
      </c>
      <c r="D68" s="39"/>
      <c r="E68" s="39" t="s">
        <v>143</v>
      </c>
      <c r="F68" s="45" t="s">
        <v>145</v>
      </c>
      <c r="G68" s="42">
        <v>0</v>
      </c>
      <c r="H68" s="29" t="s">
        <v>143</v>
      </c>
    </row>
    <row r="69" spans="1:8" ht="12.75" customHeight="1" x14ac:dyDescent="0.2">
      <c r="A69" s="39"/>
      <c r="B69" s="39"/>
      <c r="C69" s="43"/>
      <c r="D69" s="39"/>
      <c r="E69" s="39"/>
      <c r="F69" s="44"/>
      <c r="G69" s="44"/>
      <c r="H69" s="29" t="s">
        <v>143</v>
      </c>
    </row>
    <row r="70" spans="1:8" ht="12.75" customHeight="1" x14ac:dyDescent="0.2">
      <c r="A70" s="39"/>
      <c r="B70" s="39"/>
      <c r="C70" s="40" t="s">
        <v>158</v>
      </c>
      <c r="D70" s="39"/>
      <c r="E70" s="39"/>
      <c r="F70" s="44"/>
      <c r="G70" s="44"/>
      <c r="H70" s="29" t="s">
        <v>143</v>
      </c>
    </row>
    <row r="71" spans="1:8" ht="12.75" customHeight="1" x14ac:dyDescent="0.2">
      <c r="A71" s="39"/>
      <c r="B71" s="39"/>
      <c r="C71" s="40" t="s">
        <v>142</v>
      </c>
      <c r="D71" s="39"/>
      <c r="E71" s="39" t="s">
        <v>143</v>
      </c>
      <c r="F71" s="45" t="s">
        <v>145</v>
      </c>
      <c r="G71" s="42">
        <v>0</v>
      </c>
      <c r="H71" s="29" t="s">
        <v>143</v>
      </c>
    </row>
    <row r="72" spans="1:8" ht="12.75" customHeight="1" x14ac:dyDescent="0.2">
      <c r="A72" s="39"/>
      <c r="B72" s="39"/>
      <c r="C72" s="43"/>
      <c r="D72" s="39"/>
      <c r="E72" s="39"/>
      <c r="F72" s="44"/>
      <c r="G72" s="44"/>
      <c r="H72" s="29" t="s">
        <v>143</v>
      </c>
    </row>
    <row r="73" spans="1:8" ht="12.75" customHeight="1" x14ac:dyDescent="0.2">
      <c r="A73" s="39"/>
      <c r="B73" s="39"/>
      <c r="C73" s="40" t="s">
        <v>159</v>
      </c>
      <c r="D73" s="39"/>
      <c r="E73" s="39"/>
      <c r="F73" s="44"/>
      <c r="G73" s="44"/>
      <c r="H73" s="29" t="s">
        <v>143</v>
      </c>
    </row>
    <row r="74" spans="1:8" ht="12.75" customHeight="1" x14ac:dyDescent="0.2">
      <c r="A74" s="39"/>
      <c r="B74" s="39"/>
      <c r="C74" s="40" t="s">
        <v>142</v>
      </c>
      <c r="D74" s="39"/>
      <c r="E74" s="39" t="s">
        <v>143</v>
      </c>
      <c r="F74" s="45" t="s">
        <v>145</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160</v>
      </c>
      <c r="D76" s="39"/>
      <c r="E76" s="39"/>
      <c r="F76" s="44"/>
      <c r="G76" s="44"/>
      <c r="H76" s="29" t="s">
        <v>143</v>
      </c>
    </row>
    <row r="77" spans="1:8" ht="12.75" customHeight="1" x14ac:dyDescent="0.2">
      <c r="A77" s="35">
        <v>1</v>
      </c>
      <c r="B77" s="22"/>
      <c r="C77" s="22" t="s">
        <v>161</v>
      </c>
      <c r="D77" s="22"/>
      <c r="E77" s="46"/>
      <c r="F77" s="37">
        <v>6483.8357710170003</v>
      </c>
      <c r="G77" s="38">
        <v>4.2835159999999997E-2</v>
      </c>
      <c r="H77" s="29">
        <v>5.51</v>
      </c>
    </row>
    <row r="78" spans="1:8" ht="12.75" customHeight="1" x14ac:dyDescent="0.2">
      <c r="A78" s="39"/>
      <c r="B78" s="39"/>
      <c r="C78" s="40" t="s">
        <v>142</v>
      </c>
      <c r="D78" s="39"/>
      <c r="E78" s="39" t="s">
        <v>143</v>
      </c>
      <c r="F78" s="41">
        <v>6483.8357710170003</v>
      </c>
      <c r="G78" s="42">
        <v>4.2835159999999997E-2</v>
      </c>
      <c r="H78" s="29" t="s">
        <v>143</v>
      </c>
    </row>
    <row r="79" spans="1:8" ht="12.75" customHeight="1" x14ac:dyDescent="0.2">
      <c r="A79" s="39"/>
      <c r="B79" s="39"/>
      <c r="C79" s="43"/>
      <c r="D79" s="39"/>
      <c r="E79" s="39"/>
      <c r="F79" s="44"/>
      <c r="G79" s="44"/>
      <c r="H79" s="29" t="s">
        <v>143</v>
      </c>
    </row>
    <row r="80" spans="1:8" ht="12.75" customHeight="1" x14ac:dyDescent="0.2">
      <c r="A80" s="39"/>
      <c r="B80" s="39"/>
      <c r="C80" s="40" t="s">
        <v>162</v>
      </c>
      <c r="D80" s="39"/>
      <c r="E80" s="39"/>
      <c r="F80" s="41">
        <v>6483.8357710170003</v>
      </c>
      <c r="G80" s="42">
        <v>4.2835159999999997E-2</v>
      </c>
      <c r="H80" s="29" t="s">
        <v>143</v>
      </c>
    </row>
    <row r="81" spans="1:8" ht="12.75" customHeight="1" x14ac:dyDescent="0.2">
      <c r="A81" s="39"/>
      <c r="B81" s="39"/>
      <c r="C81" s="44"/>
      <c r="D81" s="39"/>
      <c r="E81" s="39"/>
      <c r="F81" s="39"/>
      <c r="G81" s="39"/>
      <c r="H81" s="29" t="s">
        <v>143</v>
      </c>
    </row>
    <row r="82" spans="1:8" ht="12.75" customHeight="1" x14ac:dyDescent="0.2">
      <c r="A82" s="39"/>
      <c r="B82" s="39"/>
      <c r="C82" s="40" t="s">
        <v>163</v>
      </c>
      <c r="D82" s="39"/>
      <c r="E82" s="39"/>
      <c r="F82" s="39"/>
      <c r="G82" s="39"/>
      <c r="H82" s="29" t="s">
        <v>143</v>
      </c>
    </row>
    <row r="83" spans="1:8" ht="12.75" customHeight="1" x14ac:dyDescent="0.2">
      <c r="A83" s="39"/>
      <c r="B83" s="39"/>
      <c r="C83" s="40" t="s">
        <v>164</v>
      </c>
      <c r="D83" s="39"/>
      <c r="E83" s="39"/>
      <c r="F83" s="39"/>
      <c r="G83" s="39"/>
      <c r="H83" s="29" t="s">
        <v>143</v>
      </c>
    </row>
    <row r="84" spans="1:8" ht="12.75" customHeight="1" x14ac:dyDescent="0.2">
      <c r="A84" s="35">
        <v>1</v>
      </c>
      <c r="B84" s="22" t="s">
        <v>494</v>
      </c>
      <c r="C84" s="22" t="s">
        <v>1133</v>
      </c>
      <c r="D84" s="22"/>
      <c r="E84" s="79">
        <v>9815428.0309999995</v>
      </c>
      <c r="F84" s="37">
        <v>1507.8755004059999</v>
      </c>
      <c r="G84" s="38">
        <v>9.9617100000000004E-3</v>
      </c>
      <c r="H84" s="29" t="s">
        <v>143</v>
      </c>
    </row>
    <row r="85" spans="1:8" ht="12.75" customHeight="1" x14ac:dyDescent="0.2">
      <c r="A85" s="39"/>
      <c r="B85" s="39"/>
      <c r="C85" s="40" t="s">
        <v>142</v>
      </c>
      <c r="D85" s="39"/>
      <c r="E85" s="39" t="s">
        <v>143</v>
      </c>
      <c r="F85" s="41">
        <v>1507.8755004059999</v>
      </c>
      <c r="G85" s="42">
        <v>9.9617100000000004E-3</v>
      </c>
      <c r="H85" s="29" t="s">
        <v>143</v>
      </c>
    </row>
    <row r="86" spans="1:8" ht="12.75" customHeight="1" x14ac:dyDescent="0.2">
      <c r="A86" s="39"/>
      <c r="B86" s="39"/>
      <c r="C86" s="43"/>
      <c r="D86" s="39"/>
      <c r="E86" s="39"/>
      <c r="F86" s="44"/>
      <c r="G86" s="44"/>
      <c r="H86" s="29" t="s">
        <v>143</v>
      </c>
    </row>
    <row r="87" spans="1:8" ht="12.75" customHeight="1" x14ac:dyDescent="0.2">
      <c r="A87" s="39"/>
      <c r="B87" s="39"/>
      <c r="C87" s="40" t="s">
        <v>165</v>
      </c>
      <c r="D87" s="39"/>
      <c r="E87" s="39"/>
      <c r="F87" s="39"/>
      <c r="G87" s="39"/>
      <c r="H87" s="29" t="s">
        <v>143</v>
      </c>
    </row>
    <row r="88" spans="1:8" ht="12.75" customHeight="1" x14ac:dyDescent="0.2">
      <c r="A88" s="39"/>
      <c r="B88" s="39"/>
      <c r="C88" s="40" t="s">
        <v>166</v>
      </c>
      <c r="D88" s="39"/>
      <c r="E88" s="39"/>
      <c r="F88" s="39"/>
      <c r="G88" s="39"/>
      <c r="H88" s="29" t="s">
        <v>143</v>
      </c>
    </row>
    <row r="89" spans="1:8" ht="12.75" customHeight="1" x14ac:dyDescent="0.2">
      <c r="A89" s="39"/>
      <c r="B89" s="39"/>
      <c r="C89" s="40" t="s">
        <v>142</v>
      </c>
      <c r="D89" s="39"/>
      <c r="E89" s="39" t="s">
        <v>143</v>
      </c>
      <c r="F89" s="45" t="s">
        <v>145</v>
      </c>
      <c r="G89" s="42">
        <v>0</v>
      </c>
      <c r="H89" s="29" t="s">
        <v>143</v>
      </c>
    </row>
    <row r="90" spans="1:8" ht="12.75" customHeight="1" x14ac:dyDescent="0.2">
      <c r="A90" s="39"/>
      <c r="B90" s="39"/>
      <c r="C90" s="43"/>
      <c r="D90" s="39"/>
      <c r="E90" s="39"/>
      <c r="F90" s="44"/>
      <c r="G90" s="44"/>
      <c r="H90" s="29" t="s">
        <v>143</v>
      </c>
    </row>
    <row r="91" spans="1:8" ht="12.75" customHeight="1" x14ac:dyDescent="0.2">
      <c r="A91" s="39"/>
      <c r="B91" s="39"/>
      <c r="C91" s="40" t="s">
        <v>167</v>
      </c>
      <c r="D91" s="39"/>
      <c r="E91" s="39"/>
      <c r="F91" s="44"/>
      <c r="G91" s="44"/>
      <c r="H91" s="29" t="s">
        <v>143</v>
      </c>
    </row>
    <row r="92" spans="1:8" ht="12.75" customHeight="1" x14ac:dyDescent="0.2">
      <c r="A92" s="39"/>
      <c r="B92" s="39"/>
      <c r="C92" s="40" t="s">
        <v>142</v>
      </c>
      <c r="D92" s="39"/>
      <c r="E92" s="39" t="s">
        <v>143</v>
      </c>
      <c r="F92" s="45" t="s">
        <v>145</v>
      </c>
      <c r="G92" s="42">
        <v>0</v>
      </c>
      <c r="H92" s="29" t="s">
        <v>143</v>
      </c>
    </row>
    <row r="93" spans="1:8" ht="12.75" customHeight="1" x14ac:dyDescent="0.2">
      <c r="A93" s="39"/>
      <c r="B93" s="22"/>
      <c r="C93" s="22"/>
      <c r="D93" s="40"/>
      <c r="E93" s="39"/>
      <c r="F93" s="22"/>
      <c r="G93" s="46"/>
      <c r="H93" s="29" t="s">
        <v>143</v>
      </c>
    </row>
    <row r="94" spans="1:8" ht="12.75" customHeight="1" x14ac:dyDescent="0.2">
      <c r="A94" s="46"/>
      <c r="B94" s="22"/>
      <c r="C94" s="22" t="s">
        <v>168</v>
      </c>
      <c r="D94" s="22"/>
      <c r="E94" s="46"/>
      <c r="F94" s="37">
        <v>177.50317041</v>
      </c>
      <c r="G94" s="38">
        <v>1.17267E-3</v>
      </c>
      <c r="H94" s="29" t="s">
        <v>143</v>
      </c>
    </row>
    <row r="95" spans="1:8" ht="12.75" customHeight="1" x14ac:dyDescent="0.2">
      <c r="A95" s="43"/>
      <c r="B95" s="43"/>
      <c r="C95" s="40" t="s">
        <v>169</v>
      </c>
      <c r="D95" s="44"/>
      <c r="E95" s="44"/>
      <c r="F95" s="41">
        <v>151367.13505003299</v>
      </c>
      <c r="G95" s="47">
        <v>1.0000000099999999</v>
      </c>
      <c r="H95" s="29" t="s">
        <v>143</v>
      </c>
    </row>
    <row r="96" spans="1:8" ht="12.75" customHeight="1" x14ac:dyDescent="0.2">
      <c r="A96" s="48"/>
      <c r="B96" s="48"/>
      <c r="C96" s="49"/>
      <c r="D96" s="50"/>
      <c r="E96" s="50"/>
      <c r="F96" s="51"/>
      <c r="G96" s="52"/>
      <c r="H96" s="53"/>
    </row>
    <row r="97" spans="1:17" x14ac:dyDescent="0.2">
      <c r="A97" s="54"/>
      <c r="B97" s="243" t="s">
        <v>945</v>
      </c>
      <c r="C97" s="243"/>
      <c r="D97" s="243"/>
      <c r="E97" s="243"/>
      <c r="F97" s="243"/>
      <c r="G97" s="243"/>
      <c r="H97" s="243"/>
      <c r="J97" s="56"/>
    </row>
    <row r="98" spans="1:17" x14ac:dyDescent="0.2">
      <c r="A98" s="54"/>
      <c r="B98" s="243" t="s">
        <v>946</v>
      </c>
      <c r="C98" s="243"/>
      <c r="D98" s="243"/>
      <c r="E98" s="243"/>
      <c r="F98" s="243"/>
      <c r="G98" s="243"/>
      <c r="H98" s="243"/>
      <c r="J98" s="56"/>
    </row>
    <row r="99" spans="1:17" x14ac:dyDescent="0.2">
      <c r="A99" s="54"/>
      <c r="B99" s="243" t="s">
        <v>947</v>
      </c>
      <c r="C99" s="243"/>
      <c r="D99" s="243"/>
      <c r="E99" s="243"/>
      <c r="F99" s="243"/>
      <c r="G99" s="243"/>
      <c r="H99" s="243"/>
      <c r="J99" s="56"/>
    </row>
    <row r="100" spans="1:17" s="58" customFormat="1" ht="66.75" customHeight="1" x14ac:dyDescent="0.25">
      <c r="A100" s="57"/>
      <c r="B100" s="244" t="s">
        <v>948</v>
      </c>
      <c r="C100" s="244"/>
      <c r="D100" s="244"/>
      <c r="E100" s="244"/>
      <c r="F100" s="244"/>
      <c r="G100" s="244"/>
      <c r="H100" s="244"/>
      <c r="I100"/>
      <c r="J100" s="56"/>
      <c r="K100"/>
      <c r="L100"/>
      <c r="M100"/>
      <c r="N100"/>
      <c r="O100"/>
      <c r="P100"/>
      <c r="Q100"/>
    </row>
    <row r="101" spans="1:17" x14ac:dyDescent="0.2">
      <c r="A101" s="54"/>
      <c r="B101" s="243" t="s">
        <v>949</v>
      </c>
      <c r="C101" s="243"/>
      <c r="D101" s="243"/>
      <c r="E101" s="243"/>
      <c r="F101" s="243"/>
      <c r="G101" s="243"/>
      <c r="H101" s="243"/>
      <c r="J101" s="56"/>
    </row>
    <row r="102" spans="1:17" x14ac:dyDescent="0.2">
      <c r="A102" s="54"/>
      <c r="B102" s="54"/>
      <c r="C102" s="54"/>
      <c r="D102" s="59"/>
      <c r="E102" s="59"/>
      <c r="F102" s="59"/>
      <c r="G102" s="59"/>
    </row>
    <row r="103" spans="1:17" x14ac:dyDescent="0.2">
      <c r="A103" s="54"/>
      <c r="B103" s="247" t="s">
        <v>170</v>
      </c>
      <c r="C103" s="248"/>
      <c r="D103" s="249"/>
      <c r="E103" s="60"/>
      <c r="F103" s="59"/>
      <c r="G103" s="59"/>
    </row>
    <row r="104" spans="1:17" ht="27.75" customHeight="1" x14ac:dyDescent="0.2">
      <c r="A104" s="54"/>
      <c r="B104" s="240" t="s">
        <v>171</v>
      </c>
      <c r="C104" s="241"/>
      <c r="D104" s="28" t="s">
        <v>172</v>
      </c>
      <c r="E104" s="60"/>
      <c r="F104" s="59"/>
      <c r="G104" s="59"/>
    </row>
    <row r="105" spans="1:17" ht="12.75" customHeight="1" x14ac:dyDescent="0.2">
      <c r="A105" s="54"/>
      <c r="B105" s="240" t="s">
        <v>950</v>
      </c>
      <c r="C105" s="241"/>
      <c r="D105" s="28" t="s">
        <v>172</v>
      </c>
      <c r="E105" s="60"/>
      <c r="F105" s="59"/>
      <c r="G105" s="59"/>
    </row>
    <row r="106" spans="1:17" x14ac:dyDescent="0.2">
      <c r="A106" s="54"/>
      <c r="B106" s="240" t="s">
        <v>173</v>
      </c>
      <c r="C106" s="241"/>
      <c r="D106" s="61" t="s">
        <v>143</v>
      </c>
      <c r="E106" s="60"/>
      <c r="F106" s="59"/>
      <c r="G106" s="59"/>
    </row>
    <row r="107" spans="1:17" x14ac:dyDescent="0.2">
      <c r="A107" s="62"/>
      <c r="B107" s="63" t="s">
        <v>143</v>
      </c>
      <c r="C107" s="63" t="s">
        <v>951</v>
      </c>
      <c r="D107" s="63" t="s">
        <v>174</v>
      </c>
      <c r="E107" s="62"/>
      <c r="F107" s="62"/>
      <c r="G107" s="62"/>
      <c r="H107" s="62"/>
      <c r="J107" s="56"/>
    </row>
    <row r="108" spans="1:17" x14ac:dyDescent="0.2">
      <c r="A108" s="62"/>
      <c r="B108" s="64" t="s">
        <v>175</v>
      </c>
      <c r="C108" s="65">
        <v>45900</v>
      </c>
      <c r="D108" s="65">
        <v>45930</v>
      </c>
      <c r="E108" s="62"/>
      <c r="F108" s="62"/>
      <c r="G108" s="62"/>
      <c r="J108" s="56"/>
    </row>
    <row r="109" spans="1:17" ht="12.75" customHeight="1" x14ac:dyDescent="0.2">
      <c r="A109" s="66"/>
      <c r="B109" s="67" t="s">
        <v>176</v>
      </c>
      <c r="C109" s="68">
        <v>109.52419999999999</v>
      </c>
      <c r="D109" s="68">
        <v>113.3104</v>
      </c>
      <c r="E109" s="66"/>
      <c r="F109" s="69"/>
      <c r="G109" s="70"/>
    </row>
    <row r="110" spans="1:17" ht="12.75" customHeight="1" x14ac:dyDescent="0.2">
      <c r="A110" s="66"/>
      <c r="B110" s="67" t="s">
        <v>1085</v>
      </c>
      <c r="C110" s="68">
        <v>34.5169</v>
      </c>
      <c r="D110" s="68">
        <v>35.7102</v>
      </c>
      <c r="E110" s="66"/>
      <c r="F110" s="69"/>
      <c r="G110" s="70"/>
    </row>
    <row r="111" spans="1:17" ht="12.75" customHeight="1" x14ac:dyDescent="0.2">
      <c r="A111" s="66"/>
      <c r="B111" s="67" t="s">
        <v>177</v>
      </c>
      <c r="C111" s="68">
        <v>96.909499999999994</v>
      </c>
      <c r="D111" s="68">
        <v>100.1508</v>
      </c>
      <c r="E111" s="66"/>
      <c r="F111" s="69"/>
      <c r="G111" s="70"/>
    </row>
    <row r="112" spans="1:17" ht="12.75" customHeight="1" x14ac:dyDescent="0.2">
      <c r="A112" s="66"/>
      <c r="B112" s="67" t="s">
        <v>1086</v>
      </c>
      <c r="C112" s="68">
        <v>30.043099999999999</v>
      </c>
      <c r="D112" s="68">
        <v>31.047899999999998</v>
      </c>
      <c r="E112" s="66"/>
      <c r="F112" s="69"/>
      <c r="G112" s="70"/>
    </row>
    <row r="113" spans="1:7" ht="12.75" customHeight="1" x14ac:dyDescent="0.2">
      <c r="A113" s="66"/>
      <c r="B113" s="66"/>
      <c r="C113" s="66"/>
      <c r="D113" s="66"/>
      <c r="E113" s="66"/>
      <c r="F113" s="66"/>
      <c r="G113" s="66"/>
    </row>
    <row r="114" spans="1:7" x14ac:dyDescent="0.2">
      <c r="A114" s="62"/>
      <c r="B114" s="245" t="s">
        <v>952</v>
      </c>
      <c r="C114" s="246"/>
      <c r="D114" s="71" t="s">
        <v>172</v>
      </c>
      <c r="E114" s="62"/>
      <c r="F114" s="62"/>
      <c r="G114" s="62"/>
    </row>
    <row r="115" spans="1:7" x14ac:dyDescent="0.2">
      <c r="A115" s="72"/>
      <c r="B115" s="73"/>
      <c r="C115" s="73"/>
      <c r="D115" s="73"/>
      <c r="E115" s="72"/>
      <c r="F115" s="72"/>
      <c r="G115" s="72"/>
    </row>
    <row r="116" spans="1:7" x14ac:dyDescent="0.2">
      <c r="A116" s="72"/>
      <c r="B116" s="240" t="s">
        <v>178</v>
      </c>
      <c r="C116" s="241"/>
      <c r="D116" s="28" t="s">
        <v>172</v>
      </c>
      <c r="E116" s="74"/>
      <c r="F116" s="72"/>
      <c r="G116" s="72"/>
    </row>
    <row r="117" spans="1:7" x14ac:dyDescent="0.2">
      <c r="A117" s="72"/>
      <c r="B117" s="240" t="s">
        <v>179</v>
      </c>
      <c r="C117" s="241"/>
      <c r="D117" s="28" t="s">
        <v>172</v>
      </c>
      <c r="E117" s="74"/>
      <c r="F117" s="72"/>
      <c r="G117" s="72"/>
    </row>
    <row r="118" spans="1:7" x14ac:dyDescent="0.2">
      <c r="A118" s="72"/>
      <c r="B118" s="240" t="s">
        <v>180</v>
      </c>
      <c r="C118" s="241"/>
      <c r="D118" s="28" t="s">
        <v>172</v>
      </c>
      <c r="E118" s="74"/>
      <c r="F118" s="72"/>
      <c r="G118" s="72"/>
    </row>
    <row r="119" spans="1:7" x14ac:dyDescent="0.2">
      <c r="A119" s="72"/>
      <c r="B119" s="240" t="s">
        <v>181</v>
      </c>
      <c r="C119" s="241"/>
      <c r="D119" s="75">
        <v>0.52079617610679141</v>
      </c>
      <c r="E119" s="72"/>
      <c r="F119" s="55"/>
      <c r="G119" s="76"/>
    </row>
    <row r="120" spans="1:7" x14ac:dyDescent="0.2"/>
    <row r="121" spans="1:7" x14ac:dyDescent="0.2">
      <c r="B121" s="239" t="s">
        <v>953</v>
      </c>
      <c r="C121" s="239"/>
    </row>
    <row r="122" spans="1:7" x14ac:dyDescent="0.2"/>
    <row r="123" spans="1:7" ht="153.75" customHeight="1" x14ac:dyDescent="0.2"/>
    <row r="124" spans="1:7" x14ac:dyDescent="0.2"/>
    <row r="125" spans="1:7" x14ac:dyDescent="0.2"/>
    <row r="126" spans="1:7" x14ac:dyDescent="0.2">
      <c r="B126" s="77" t="s">
        <v>954</v>
      </c>
      <c r="C126" s="78"/>
      <c r="D126" s="77"/>
    </row>
    <row r="127" spans="1:7" x14ac:dyDescent="0.2">
      <c r="B127" s="77" t="s">
        <v>1123</v>
      </c>
      <c r="D127" s="77"/>
    </row>
    <row r="128" spans="1:7" ht="165" customHeight="1" x14ac:dyDescent="0.2"/>
  </sheetData>
  <mergeCells count="18">
    <mergeCell ref="B103:D103"/>
    <mergeCell ref="B104:C104"/>
    <mergeCell ref="B121:C121"/>
    <mergeCell ref="B119:C119"/>
    <mergeCell ref="A1:H1"/>
    <mergeCell ref="A2:H2"/>
    <mergeCell ref="A3:H3"/>
    <mergeCell ref="B118:C118"/>
    <mergeCell ref="B97:H97"/>
    <mergeCell ref="B98:H98"/>
    <mergeCell ref="B105:C105"/>
    <mergeCell ref="B106:C106"/>
    <mergeCell ref="B116:C116"/>
    <mergeCell ref="B117:C117"/>
    <mergeCell ref="B99:H99"/>
    <mergeCell ref="B100:H100"/>
    <mergeCell ref="B101:H101"/>
    <mergeCell ref="B114:C114"/>
  </mergeCells>
  <hyperlinks>
    <hyperlink ref="I1" location="Index!B2" display="Index" xr:uid="{24B338F3-4415-40E9-98EF-82D4B2C16E37}"/>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18A5-1291-416D-897E-A5C8C4D5C32F}">
  <sheetPr>
    <outlinePr summaryBelow="0" summaryRight="0"/>
  </sheetPr>
  <dimension ref="A1:Q193"/>
  <sheetViews>
    <sheetView showGridLines="0" topLeftCell="A156" workbookViewId="0">
      <selection activeCell="D168" sqref="D168"/>
    </sheetView>
  </sheetViews>
  <sheetFormatPr defaultRowHeight="12.75" customHeight="1" x14ac:dyDescent="0.2"/>
  <cols>
    <col min="1" max="1" width="5.85546875" bestFit="1" customWidth="1"/>
    <col min="2" max="2" width="22.5703125" customWidth="1"/>
    <col min="3" max="3" width="43.85546875" customWidth="1"/>
    <col min="4" max="4" width="15.28515625" customWidth="1"/>
    <col min="5" max="5" width="13.570312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845</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1728130</v>
      </c>
      <c r="F7" s="37">
        <v>16434.516299999999</v>
      </c>
      <c r="G7" s="38">
        <v>5.8723669999999999E-2</v>
      </c>
      <c r="H7" s="29" t="s">
        <v>143</v>
      </c>
    </row>
    <row r="8" spans="1:9" ht="12.75" customHeight="1" x14ac:dyDescent="0.2">
      <c r="A8" s="35">
        <v>2</v>
      </c>
      <c r="B8" s="22" t="s">
        <v>31</v>
      </c>
      <c r="C8" s="22" t="s">
        <v>32</v>
      </c>
      <c r="D8" s="22" t="s">
        <v>33</v>
      </c>
      <c r="E8" s="36">
        <v>924715</v>
      </c>
      <c r="F8" s="37">
        <v>12465.1582</v>
      </c>
      <c r="G8" s="38">
        <v>4.4540389999999999E-2</v>
      </c>
      <c r="H8" s="29" t="s">
        <v>143</v>
      </c>
    </row>
    <row r="9" spans="1:9" ht="12.75" customHeight="1" x14ac:dyDescent="0.2">
      <c r="A9" s="35">
        <v>3</v>
      </c>
      <c r="B9" s="22" t="s">
        <v>11</v>
      </c>
      <c r="C9" s="22" t="s">
        <v>12</v>
      </c>
      <c r="D9" s="22" t="s">
        <v>13</v>
      </c>
      <c r="E9" s="36">
        <v>571700</v>
      </c>
      <c r="F9" s="37">
        <v>10738.8128</v>
      </c>
      <c r="G9" s="38">
        <v>3.8371830000000003E-2</v>
      </c>
      <c r="H9" s="29" t="s">
        <v>143</v>
      </c>
    </row>
    <row r="10" spans="1:9" ht="12.75" customHeight="1" x14ac:dyDescent="0.2">
      <c r="A10" s="35">
        <v>4</v>
      </c>
      <c r="B10" s="22" t="s">
        <v>333</v>
      </c>
      <c r="C10" s="22" t="s">
        <v>334</v>
      </c>
      <c r="D10" s="22" t="s">
        <v>239</v>
      </c>
      <c r="E10" s="36">
        <v>281100</v>
      </c>
      <c r="F10" s="37">
        <v>9633.2970000000005</v>
      </c>
      <c r="G10" s="38">
        <v>3.4421609999999998E-2</v>
      </c>
      <c r="H10" s="29" t="s">
        <v>143</v>
      </c>
    </row>
    <row r="11" spans="1:9" ht="12.75" customHeight="1" x14ac:dyDescent="0.2">
      <c r="A11" s="35">
        <v>5</v>
      </c>
      <c r="B11" s="22" t="s">
        <v>17</v>
      </c>
      <c r="C11" s="22" t="s">
        <v>18</v>
      </c>
      <c r="D11" s="22" t="s">
        <v>19</v>
      </c>
      <c r="E11" s="36">
        <v>668871</v>
      </c>
      <c r="F11" s="37">
        <v>9123.4004399999994</v>
      </c>
      <c r="G11" s="38">
        <v>3.2599650000000001E-2</v>
      </c>
      <c r="H11" s="29" t="s">
        <v>143</v>
      </c>
    </row>
    <row r="12" spans="1:9" ht="12.75" customHeight="1" x14ac:dyDescent="0.2">
      <c r="A12" s="35">
        <v>6</v>
      </c>
      <c r="B12" s="22" t="s">
        <v>14</v>
      </c>
      <c r="C12" s="22" t="s">
        <v>15</v>
      </c>
      <c r="D12" s="22" t="s">
        <v>16</v>
      </c>
      <c r="E12" s="36">
        <v>228553</v>
      </c>
      <c r="F12" s="37">
        <v>8362.7542699999995</v>
      </c>
      <c r="G12" s="38">
        <v>2.9881720000000001E-2</v>
      </c>
      <c r="H12" s="29" t="s">
        <v>143</v>
      </c>
    </row>
    <row r="13" spans="1:9" ht="12.75" customHeight="1" x14ac:dyDescent="0.2">
      <c r="A13" s="35">
        <v>7</v>
      </c>
      <c r="B13" s="22" t="s">
        <v>323</v>
      </c>
      <c r="C13" s="22" t="s">
        <v>324</v>
      </c>
      <c r="D13" s="22" t="s">
        <v>33</v>
      </c>
      <c r="E13" s="36">
        <v>328002</v>
      </c>
      <c r="F13" s="37">
        <v>6536.0958540000001</v>
      </c>
      <c r="G13" s="38">
        <v>2.3354719999999999E-2</v>
      </c>
      <c r="H13" s="29" t="s">
        <v>143</v>
      </c>
    </row>
    <row r="14" spans="1:9" ht="12.75" customHeight="1" x14ac:dyDescent="0.2">
      <c r="A14" s="35">
        <v>8</v>
      </c>
      <c r="B14" s="22" t="s">
        <v>42</v>
      </c>
      <c r="C14" s="22" t="s">
        <v>43</v>
      </c>
      <c r="D14" s="22" t="s">
        <v>33</v>
      </c>
      <c r="E14" s="36">
        <v>667990</v>
      </c>
      <c r="F14" s="37">
        <v>5827.8787549999997</v>
      </c>
      <c r="G14" s="38">
        <v>2.082413E-2</v>
      </c>
      <c r="H14" s="29" t="s">
        <v>143</v>
      </c>
    </row>
    <row r="15" spans="1:9" ht="12.75" customHeight="1" x14ac:dyDescent="0.2">
      <c r="A15" s="35">
        <v>9</v>
      </c>
      <c r="B15" s="22" t="s">
        <v>329</v>
      </c>
      <c r="C15" s="22" t="s">
        <v>330</v>
      </c>
      <c r="D15" s="22" t="s">
        <v>191</v>
      </c>
      <c r="E15" s="36">
        <v>510495</v>
      </c>
      <c r="F15" s="37">
        <v>5099.3345550000004</v>
      </c>
      <c r="G15" s="38">
        <v>1.8220900000000002E-2</v>
      </c>
      <c r="H15" s="29" t="s">
        <v>143</v>
      </c>
    </row>
    <row r="16" spans="1:9" ht="12.75" customHeight="1" x14ac:dyDescent="0.2">
      <c r="A16" s="35">
        <v>10</v>
      </c>
      <c r="B16" s="22" t="s">
        <v>327</v>
      </c>
      <c r="C16" s="22" t="s">
        <v>328</v>
      </c>
      <c r="D16" s="22" t="s">
        <v>33</v>
      </c>
      <c r="E16" s="36">
        <v>437500</v>
      </c>
      <c r="F16" s="37">
        <v>4950.75</v>
      </c>
      <c r="G16" s="38">
        <v>1.7689980000000001E-2</v>
      </c>
      <c r="H16" s="29" t="s">
        <v>143</v>
      </c>
    </row>
    <row r="17" spans="1:8" ht="12.75" customHeight="1" x14ac:dyDescent="0.2">
      <c r="A17" s="35">
        <v>11</v>
      </c>
      <c r="B17" s="22" t="s">
        <v>345</v>
      </c>
      <c r="C17" s="22" t="s">
        <v>346</v>
      </c>
      <c r="D17" s="22" t="s">
        <v>191</v>
      </c>
      <c r="E17" s="36">
        <v>257255</v>
      </c>
      <c r="F17" s="37">
        <v>4143.8635400000003</v>
      </c>
      <c r="G17" s="38">
        <v>1.480682E-2</v>
      </c>
      <c r="H17" s="29" t="s">
        <v>143</v>
      </c>
    </row>
    <row r="18" spans="1:8" ht="12.75" customHeight="1" x14ac:dyDescent="0.2">
      <c r="A18" s="35">
        <v>12</v>
      </c>
      <c r="B18" s="22" t="s">
        <v>439</v>
      </c>
      <c r="C18" s="22" t="s">
        <v>440</v>
      </c>
      <c r="D18" s="22" t="s">
        <v>423</v>
      </c>
      <c r="E18" s="36">
        <v>158286</v>
      </c>
      <c r="F18" s="37">
        <v>3979.9431840000002</v>
      </c>
      <c r="G18" s="38">
        <v>1.42211E-2</v>
      </c>
      <c r="H18" s="29" t="s">
        <v>143</v>
      </c>
    </row>
    <row r="19" spans="1:8" ht="12.75" customHeight="1" x14ac:dyDescent="0.2">
      <c r="A19" s="35">
        <v>13</v>
      </c>
      <c r="B19" s="22" t="s">
        <v>325</v>
      </c>
      <c r="C19" s="22" t="s">
        <v>326</v>
      </c>
      <c r="D19" s="22" t="s">
        <v>215</v>
      </c>
      <c r="E19" s="36">
        <v>271978</v>
      </c>
      <c r="F19" s="37">
        <v>3921.3788039999999</v>
      </c>
      <c r="G19" s="38">
        <v>1.4011839999999999E-2</v>
      </c>
      <c r="H19" s="29" t="s">
        <v>143</v>
      </c>
    </row>
    <row r="20" spans="1:8" ht="12.75" customHeight="1" x14ac:dyDescent="0.2">
      <c r="A20" s="35">
        <v>14</v>
      </c>
      <c r="B20" s="22" t="s">
        <v>26</v>
      </c>
      <c r="C20" s="22" t="s">
        <v>27</v>
      </c>
      <c r="D20" s="22" t="s">
        <v>28</v>
      </c>
      <c r="E20" s="36">
        <v>893550</v>
      </c>
      <c r="F20" s="37">
        <v>3609.4952250000001</v>
      </c>
      <c r="G20" s="38">
        <v>1.289742E-2</v>
      </c>
      <c r="H20" s="29" t="s">
        <v>143</v>
      </c>
    </row>
    <row r="21" spans="1:8" ht="12.75" customHeight="1" x14ac:dyDescent="0.2">
      <c r="A21" s="35">
        <v>15</v>
      </c>
      <c r="B21" s="22" t="s">
        <v>183</v>
      </c>
      <c r="C21" s="22" t="s">
        <v>184</v>
      </c>
      <c r="D21" s="22" t="s">
        <v>185</v>
      </c>
      <c r="E21" s="36">
        <v>154807</v>
      </c>
      <c r="F21" s="37">
        <v>3480.6805880000002</v>
      </c>
      <c r="G21" s="38">
        <v>1.2437139999999999E-2</v>
      </c>
      <c r="H21" s="29" t="s">
        <v>143</v>
      </c>
    </row>
    <row r="22" spans="1:8" ht="12.75" customHeight="1" x14ac:dyDescent="0.2">
      <c r="A22" s="35">
        <v>16</v>
      </c>
      <c r="B22" s="22" t="s">
        <v>54</v>
      </c>
      <c r="C22" s="22" t="s">
        <v>55</v>
      </c>
      <c r="D22" s="22" t="s">
        <v>56</v>
      </c>
      <c r="E22" s="36">
        <v>60235</v>
      </c>
      <c r="F22" s="37">
        <v>3369.8470750000001</v>
      </c>
      <c r="G22" s="38">
        <v>1.2041110000000001E-2</v>
      </c>
      <c r="H22" s="29" t="s">
        <v>143</v>
      </c>
    </row>
    <row r="23" spans="1:8" ht="12.75" customHeight="1" x14ac:dyDescent="0.2">
      <c r="A23" s="35">
        <v>17</v>
      </c>
      <c r="B23" s="22" t="s">
        <v>62</v>
      </c>
      <c r="C23" s="22" t="s">
        <v>63</v>
      </c>
      <c r="D23" s="22" t="s">
        <v>64</v>
      </c>
      <c r="E23" s="36">
        <v>83749</v>
      </c>
      <c r="F23" s="37">
        <v>3288.404485</v>
      </c>
      <c r="G23" s="38">
        <v>1.1750099999999999E-2</v>
      </c>
      <c r="H23" s="29" t="s">
        <v>143</v>
      </c>
    </row>
    <row r="24" spans="1:8" ht="12.75" customHeight="1" x14ac:dyDescent="0.2">
      <c r="A24" s="35">
        <v>18</v>
      </c>
      <c r="B24" s="22" t="s">
        <v>497</v>
      </c>
      <c r="C24" s="22" t="s">
        <v>498</v>
      </c>
      <c r="D24" s="22" t="s">
        <v>191</v>
      </c>
      <c r="E24" s="36">
        <v>793535</v>
      </c>
      <c r="F24" s="37">
        <v>3255.4773375</v>
      </c>
      <c r="G24" s="38">
        <v>1.1632440000000001E-2</v>
      </c>
      <c r="H24" s="29" t="s">
        <v>143</v>
      </c>
    </row>
    <row r="25" spans="1:8" ht="12.75" customHeight="1" x14ac:dyDescent="0.2">
      <c r="A25" s="35">
        <v>19</v>
      </c>
      <c r="B25" s="22" t="s">
        <v>204</v>
      </c>
      <c r="C25" s="22" t="s">
        <v>205</v>
      </c>
      <c r="D25" s="22" t="s">
        <v>206</v>
      </c>
      <c r="E25" s="36">
        <v>515685</v>
      </c>
      <c r="F25" s="37">
        <v>3183.8391900000001</v>
      </c>
      <c r="G25" s="38">
        <v>1.137647E-2</v>
      </c>
      <c r="H25" s="29" t="s">
        <v>143</v>
      </c>
    </row>
    <row r="26" spans="1:8" ht="12.75" customHeight="1" x14ac:dyDescent="0.2">
      <c r="A26" s="35">
        <v>20</v>
      </c>
      <c r="B26" s="22" t="s">
        <v>242</v>
      </c>
      <c r="C26" s="22" t="s">
        <v>243</v>
      </c>
      <c r="D26" s="22" t="s">
        <v>191</v>
      </c>
      <c r="E26" s="36">
        <v>503159</v>
      </c>
      <c r="F26" s="37">
        <v>3099.962599</v>
      </c>
      <c r="G26" s="38">
        <v>1.107676E-2</v>
      </c>
      <c r="H26" s="29" t="s">
        <v>143</v>
      </c>
    </row>
    <row r="27" spans="1:8" ht="12.75" customHeight="1" x14ac:dyDescent="0.2">
      <c r="A27" s="35">
        <v>21</v>
      </c>
      <c r="B27" s="22" t="s">
        <v>23</v>
      </c>
      <c r="C27" s="22" t="s">
        <v>24</v>
      </c>
      <c r="D27" s="22" t="s">
        <v>25</v>
      </c>
      <c r="E27" s="36">
        <v>25132</v>
      </c>
      <c r="F27" s="37">
        <v>3071.6330400000002</v>
      </c>
      <c r="G27" s="38">
        <v>1.0975530000000001E-2</v>
      </c>
      <c r="H27" s="29" t="s">
        <v>143</v>
      </c>
    </row>
    <row r="28" spans="1:8" ht="12.75" customHeight="1" x14ac:dyDescent="0.2">
      <c r="A28" s="35">
        <v>22</v>
      </c>
      <c r="B28" s="22" t="s">
        <v>424</v>
      </c>
      <c r="C28" s="22" t="s">
        <v>425</v>
      </c>
      <c r="D28" s="22" t="s">
        <v>215</v>
      </c>
      <c r="E28" s="36">
        <v>220769</v>
      </c>
      <c r="F28" s="37">
        <v>3057.8714190000001</v>
      </c>
      <c r="G28" s="38">
        <v>1.092636E-2</v>
      </c>
      <c r="H28" s="29" t="s">
        <v>143</v>
      </c>
    </row>
    <row r="29" spans="1:8" ht="12.75" customHeight="1" x14ac:dyDescent="0.2">
      <c r="A29" s="35">
        <v>23</v>
      </c>
      <c r="B29" s="22" t="s">
        <v>431</v>
      </c>
      <c r="C29" s="22" t="s">
        <v>432</v>
      </c>
      <c r="D29" s="22" t="s">
        <v>203</v>
      </c>
      <c r="E29" s="36">
        <v>263280</v>
      </c>
      <c r="F29" s="37">
        <v>2973.2210399999999</v>
      </c>
      <c r="G29" s="38">
        <v>1.062389E-2</v>
      </c>
      <c r="H29" s="29" t="s">
        <v>143</v>
      </c>
    </row>
    <row r="30" spans="1:8" ht="12.75" customHeight="1" x14ac:dyDescent="0.2">
      <c r="A30" s="35">
        <v>24</v>
      </c>
      <c r="B30" s="22" t="s">
        <v>499</v>
      </c>
      <c r="C30" s="22" t="s">
        <v>500</v>
      </c>
      <c r="D30" s="22" t="s">
        <v>239</v>
      </c>
      <c r="E30" s="36">
        <v>17880</v>
      </c>
      <c r="F30" s="37">
        <v>2865.9852000000001</v>
      </c>
      <c r="G30" s="38">
        <v>1.024071E-2</v>
      </c>
      <c r="H30" s="29" t="s">
        <v>143</v>
      </c>
    </row>
    <row r="31" spans="1:8" ht="12.75" customHeight="1" x14ac:dyDescent="0.2">
      <c r="A31" s="35">
        <v>25</v>
      </c>
      <c r="B31" s="22" t="s">
        <v>44</v>
      </c>
      <c r="C31" s="22" t="s">
        <v>45</v>
      </c>
      <c r="D31" s="22" t="s">
        <v>46</v>
      </c>
      <c r="E31" s="36">
        <v>31340</v>
      </c>
      <c r="F31" s="37">
        <v>2535.0925999999999</v>
      </c>
      <c r="G31" s="38">
        <v>9.0583699999999996E-3</v>
      </c>
      <c r="H31" s="29" t="s">
        <v>143</v>
      </c>
    </row>
    <row r="32" spans="1:8" ht="12.75" customHeight="1" x14ac:dyDescent="0.2">
      <c r="A32" s="35">
        <v>26</v>
      </c>
      <c r="B32" s="22" t="s">
        <v>34</v>
      </c>
      <c r="C32" s="22" t="s">
        <v>35</v>
      </c>
      <c r="D32" s="22" t="s">
        <v>19</v>
      </c>
      <c r="E32" s="36">
        <v>734794</v>
      </c>
      <c r="F32" s="37">
        <v>2495.7278209999999</v>
      </c>
      <c r="G32" s="38">
        <v>8.9177100000000006E-3</v>
      </c>
      <c r="H32" s="29" t="s">
        <v>143</v>
      </c>
    </row>
    <row r="33" spans="1:8" ht="12.75" customHeight="1" x14ac:dyDescent="0.2">
      <c r="A33" s="35">
        <v>27</v>
      </c>
      <c r="B33" s="22" t="s">
        <v>221</v>
      </c>
      <c r="C33" s="22" t="s">
        <v>222</v>
      </c>
      <c r="D33" s="22" t="s">
        <v>223</v>
      </c>
      <c r="E33" s="36">
        <v>115545</v>
      </c>
      <c r="F33" s="37">
        <v>2357.3490900000002</v>
      </c>
      <c r="G33" s="38">
        <v>8.4232600000000001E-3</v>
      </c>
      <c r="H33" s="29" t="s">
        <v>143</v>
      </c>
    </row>
    <row r="34" spans="1:8" ht="12.75" customHeight="1" x14ac:dyDescent="0.2">
      <c r="A34" s="35">
        <v>28</v>
      </c>
      <c r="B34" s="22" t="s">
        <v>339</v>
      </c>
      <c r="C34" s="22" t="s">
        <v>340</v>
      </c>
      <c r="D34" s="22" t="s">
        <v>25</v>
      </c>
      <c r="E34" s="36">
        <v>78990</v>
      </c>
      <c r="F34" s="37">
        <v>2177.6753100000001</v>
      </c>
      <c r="G34" s="38">
        <v>7.78125E-3</v>
      </c>
      <c r="H34" s="29" t="s">
        <v>143</v>
      </c>
    </row>
    <row r="35" spans="1:8" ht="12.75" customHeight="1" x14ac:dyDescent="0.2">
      <c r="A35" s="35">
        <v>29</v>
      </c>
      <c r="B35" s="22" t="s">
        <v>501</v>
      </c>
      <c r="C35" s="22" t="s">
        <v>502</v>
      </c>
      <c r="D35" s="22" t="s">
        <v>230</v>
      </c>
      <c r="E35" s="36">
        <v>157350</v>
      </c>
      <c r="F35" s="37">
        <v>2083.7860500000002</v>
      </c>
      <c r="G35" s="38">
        <v>7.44577E-3</v>
      </c>
      <c r="H35" s="29" t="s">
        <v>143</v>
      </c>
    </row>
    <row r="36" spans="1:8" ht="12.75" customHeight="1" x14ac:dyDescent="0.2">
      <c r="A36" s="35">
        <v>30</v>
      </c>
      <c r="B36" s="22" t="s">
        <v>429</v>
      </c>
      <c r="C36" s="22" t="s">
        <v>430</v>
      </c>
      <c r="D36" s="22" t="s">
        <v>275</v>
      </c>
      <c r="E36" s="36">
        <v>114591</v>
      </c>
      <c r="F36" s="37">
        <v>2051.866446</v>
      </c>
      <c r="G36" s="38">
        <v>7.33171E-3</v>
      </c>
      <c r="H36" s="29" t="s">
        <v>143</v>
      </c>
    </row>
    <row r="37" spans="1:8" ht="12.75" customHeight="1" x14ac:dyDescent="0.2">
      <c r="A37" s="35">
        <v>31</v>
      </c>
      <c r="B37" s="22" t="s">
        <v>49</v>
      </c>
      <c r="C37" s="22" t="s">
        <v>50</v>
      </c>
      <c r="D37" s="22" t="s">
        <v>22</v>
      </c>
      <c r="E37" s="36">
        <v>519000</v>
      </c>
      <c r="F37" s="37">
        <v>2017.0934999999999</v>
      </c>
      <c r="G37" s="38">
        <v>7.2074599999999997E-3</v>
      </c>
      <c r="H37" s="29" t="s">
        <v>143</v>
      </c>
    </row>
    <row r="38" spans="1:8" ht="12.75" customHeight="1" x14ac:dyDescent="0.2">
      <c r="A38" s="35">
        <v>32</v>
      </c>
      <c r="B38" s="22" t="s">
        <v>503</v>
      </c>
      <c r="C38" s="22" t="s">
        <v>504</v>
      </c>
      <c r="D38" s="22" t="s">
        <v>239</v>
      </c>
      <c r="E38" s="36">
        <v>23115</v>
      </c>
      <c r="F38" s="37">
        <v>2006.035275</v>
      </c>
      <c r="G38" s="38">
        <v>7.1679500000000002E-3</v>
      </c>
      <c r="H38" s="29" t="s">
        <v>143</v>
      </c>
    </row>
    <row r="39" spans="1:8" ht="12.75" customHeight="1" x14ac:dyDescent="0.2">
      <c r="A39" s="35">
        <v>33</v>
      </c>
      <c r="B39" s="22" t="s">
        <v>255</v>
      </c>
      <c r="C39" s="22" t="s">
        <v>256</v>
      </c>
      <c r="D39" s="22" t="s">
        <v>41</v>
      </c>
      <c r="E39" s="36">
        <v>153000</v>
      </c>
      <c r="F39" s="37">
        <v>1987.164</v>
      </c>
      <c r="G39" s="38">
        <v>7.1005199999999999E-3</v>
      </c>
      <c r="H39" s="29" t="s">
        <v>143</v>
      </c>
    </row>
    <row r="40" spans="1:8" ht="12.75" customHeight="1" x14ac:dyDescent="0.2">
      <c r="A40" s="35">
        <v>34</v>
      </c>
      <c r="B40" s="22" t="s">
        <v>271</v>
      </c>
      <c r="C40" s="22" t="s">
        <v>272</v>
      </c>
      <c r="D40" s="22" t="s">
        <v>194</v>
      </c>
      <c r="E40" s="36">
        <v>77160</v>
      </c>
      <c r="F40" s="37">
        <v>1879.3861199999999</v>
      </c>
      <c r="G40" s="38">
        <v>6.7154099999999998E-3</v>
      </c>
      <c r="H40" s="29" t="s">
        <v>143</v>
      </c>
    </row>
    <row r="41" spans="1:8" ht="12.75" customHeight="1" x14ac:dyDescent="0.2">
      <c r="A41" s="35">
        <v>35</v>
      </c>
      <c r="B41" s="22" t="s">
        <v>505</v>
      </c>
      <c r="C41" s="22" t="s">
        <v>506</v>
      </c>
      <c r="D41" s="22" t="s">
        <v>41</v>
      </c>
      <c r="E41" s="36">
        <v>179664</v>
      </c>
      <c r="F41" s="37">
        <v>1777.5057839999999</v>
      </c>
      <c r="G41" s="38">
        <v>6.3513700000000003E-3</v>
      </c>
      <c r="H41" s="29" t="s">
        <v>143</v>
      </c>
    </row>
    <row r="42" spans="1:8" ht="12.75" customHeight="1" x14ac:dyDescent="0.2">
      <c r="A42" s="35">
        <v>36</v>
      </c>
      <c r="B42" s="22" t="s">
        <v>507</v>
      </c>
      <c r="C42" s="22" t="s">
        <v>508</v>
      </c>
      <c r="D42" s="22" t="s">
        <v>191</v>
      </c>
      <c r="E42" s="36">
        <v>144440</v>
      </c>
      <c r="F42" s="37">
        <v>1756.3904</v>
      </c>
      <c r="G42" s="38">
        <v>6.2759199999999999E-3</v>
      </c>
      <c r="H42" s="29" t="s">
        <v>143</v>
      </c>
    </row>
    <row r="43" spans="1:8" ht="12.75" customHeight="1" x14ac:dyDescent="0.2">
      <c r="A43" s="35">
        <v>37</v>
      </c>
      <c r="B43" s="22" t="s">
        <v>186</v>
      </c>
      <c r="C43" s="22" t="s">
        <v>187</v>
      </c>
      <c r="D43" s="22" t="s">
        <v>188</v>
      </c>
      <c r="E43" s="36">
        <v>181000</v>
      </c>
      <c r="F43" s="37">
        <v>1755.338</v>
      </c>
      <c r="G43" s="38">
        <v>6.2721599999999997E-3</v>
      </c>
      <c r="H43" s="29" t="s">
        <v>143</v>
      </c>
    </row>
    <row r="44" spans="1:8" ht="12.75" customHeight="1" x14ac:dyDescent="0.2">
      <c r="A44" s="35">
        <v>38</v>
      </c>
      <c r="B44" s="22" t="s">
        <v>349</v>
      </c>
      <c r="C44" s="22" t="s">
        <v>350</v>
      </c>
      <c r="D44" s="22" t="s">
        <v>194</v>
      </c>
      <c r="E44" s="36">
        <v>108725</v>
      </c>
      <c r="F44" s="37">
        <v>1733.402675</v>
      </c>
      <c r="G44" s="38">
        <v>6.1937800000000003E-3</v>
      </c>
      <c r="H44" s="29" t="s">
        <v>143</v>
      </c>
    </row>
    <row r="45" spans="1:8" ht="12.75" customHeight="1" x14ac:dyDescent="0.2">
      <c r="A45" s="35">
        <v>39</v>
      </c>
      <c r="B45" s="22" t="s">
        <v>299</v>
      </c>
      <c r="C45" s="22" t="s">
        <v>300</v>
      </c>
      <c r="D45" s="22" t="s">
        <v>191</v>
      </c>
      <c r="E45" s="36">
        <v>38802</v>
      </c>
      <c r="F45" s="37">
        <v>1721.4895320000001</v>
      </c>
      <c r="G45" s="38">
        <v>6.1512099999999998E-3</v>
      </c>
      <c r="H45" s="29" t="s">
        <v>143</v>
      </c>
    </row>
    <row r="46" spans="1:8" ht="12.75" customHeight="1" x14ac:dyDescent="0.2">
      <c r="A46" s="35">
        <v>40</v>
      </c>
      <c r="B46" s="22" t="s">
        <v>192</v>
      </c>
      <c r="C46" s="22" t="s">
        <v>193</v>
      </c>
      <c r="D46" s="22" t="s">
        <v>194</v>
      </c>
      <c r="E46" s="36">
        <v>86477</v>
      </c>
      <c r="F46" s="37">
        <v>1652.8349009999999</v>
      </c>
      <c r="G46" s="38">
        <v>5.9059000000000004E-3</v>
      </c>
      <c r="H46" s="29" t="s">
        <v>143</v>
      </c>
    </row>
    <row r="47" spans="1:8" ht="12.75" customHeight="1" x14ac:dyDescent="0.2">
      <c r="A47" s="35">
        <v>41</v>
      </c>
      <c r="B47" s="22" t="s">
        <v>509</v>
      </c>
      <c r="C47" s="22" t="s">
        <v>510</v>
      </c>
      <c r="D47" s="22" t="s">
        <v>270</v>
      </c>
      <c r="E47" s="36">
        <v>109610</v>
      </c>
      <c r="F47" s="37">
        <v>1609.0748000000001</v>
      </c>
      <c r="G47" s="38">
        <v>5.7495300000000001E-3</v>
      </c>
      <c r="H47" s="29" t="s">
        <v>143</v>
      </c>
    </row>
    <row r="48" spans="1:8" ht="12.75" customHeight="1" x14ac:dyDescent="0.2">
      <c r="A48" s="35">
        <v>42</v>
      </c>
      <c r="B48" s="22" t="s">
        <v>293</v>
      </c>
      <c r="C48" s="22" t="s">
        <v>294</v>
      </c>
      <c r="D48" s="22" t="s">
        <v>194</v>
      </c>
      <c r="E48" s="36">
        <v>160000</v>
      </c>
      <c r="F48" s="37">
        <v>1571.04</v>
      </c>
      <c r="G48" s="38">
        <v>5.6136299999999997E-3</v>
      </c>
      <c r="H48" s="29" t="s">
        <v>143</v>
      </c>
    </row>
    <row r="49" spans="1:8" ht="12.75" customHeight="1" x14ac:dyDescent="0.2">
      <c r="A49" s="35">
        <v>43</v>
      </c>
      <c r="B49" s="22" t="s">
        <v>511</v>
      </c>
      <c r="C49" s="22" t="s">
        <v>512</v>
      </c>
      <c r="D49" s="22" t="s">
        <v>230</v>
      </c>
      <c r="E49" s="36">
        <v>308375</v>
      </c>
      <c r="F49" s="37">
        <v>1368.259875</v>
      </c>
      <c r="G49" s="38">
        <v>4.8890499999999998E-3</v>
      </c>
      <c r="H49" s="29" t="s">
        <v>143</v>
      </c>
    </row>
    <row r="50" spans="1:8" ht="12.75" customHeight="1" x14ac:dyDescent="0.2">
      <c r="A50" s="35">
        <v>44</v>
      </c>
      <c r="B50" s="22" t="s">
        <v>278</v>
      </c>
      <c r="C50" s="22" t="s">
        <v>279</v>
      </c>
      <c r="D50" s="22" t="s">
        <v>90</v>
      </c>
      <c r="E50" s="36">
        <v>88975</v>
      </c>
      <c r="F50" s="37">
        <v>1343.6114749999999</v>
      </c>
      <c r="G50" s="38">
        <v>4.8009799999999998E-3</v>
      </c>
      <c r="H50" s="29" t="s">
        <v>143</v>
      </c>
    </row>
    <row r="51" spans="1:8" ht="12.75" customHeight="1" x14ac:dyDescent="0.2">
      <c r="A51" s="35">
        <v>45</v>
      </c>
      <c r="B51" s="22" t="s">
        <v>103</v>
      </c>
      <c r="C51" s="22" t="s">
        <v>104</v>
      </c>
      <c r="D51" s="22" t="s">
        <v>25</v>
      </c>
      <c r="E51" s="36">
        <v>225677</v>
      </c>
      <c r="F51" s="37">
        <v>1286.2460615</v>
      </c>
      <c r="G51" s="38">
        <v>4.5960000000000003E-3</v>
      </c>
      <c r="H51" s="29" t="s">
        <v>143</v>
      </c>
    </row>
    <row r="52" spans="1:8" ht="12.75" customHeight="1" x14ac:dyDescent="0.2">
      <c r="A52" s="35">
        <v>46</v>
      </c>
      <c r="B52" s="22" t="s">
        <v>513</v>
      </c>
      <c r="C52" s="22" t="s">
        <v>514</v>
      </c>
      <c r="D52" s="22" t="s">
        <v>239</v>
      </c>
      <c r="E52" s="36">
        <v>21527</v>
      </c>
      <c r="F52" s="37">
        <v>1178.065075</v>
      </c>
      <c r="G52" s="38">
        <v>4.20945E-3</v>
      </c>
      <c r="H52" s="29" t="s">
        <v>143</v>
      </c>
    </row>
    <row r="53" spans="1:8" ht="12.75" customHeight="1" x14ac:dyDescent="0.2">
      <c r="A53" s="35">
        <v>47</v>
      </c>
      <c r="B53" s="22" t="s">
        <v>515</v>
      </c>
      <c r="C53" s="22" t="s">
        <v>516</v>
      </c>
      <c r="D53" s="22" t="s">
        <v>215</v>
      </c>
      <c r="E53" s="36">
        <v>64540</v>
      </c>
      <c r="F53" s="37">
        <v>903.75361999999996</v>
      </c>
      <c r="G53" s="38">
        <v>3.2292800000000002E-3</v>
      </c>
      <c r="H53" s="29" t="s">
        <v>143</v>
      </c>
    </row>
    <row r="54" spans="1:8" ht="12.75" customHeight="1" x14ac:dyDescent="0.2">
      <c r="A54" s="35">
        <v>48</v>
      </c>
      <c r="B54" s="22" t="s">
        <v>307</v>
      </c>
      <c r="C54" s="22" t="s">
        <v>308</v>
      </c>
      <c r="D54" s="22" t="s">
        <v>188</v>
      </c>
      <c r="E54" s="36">
        <v>147055</v>
      </c>
      <c r="F54" s="37">
        <v>824.97855000000004</v>
      </c>
      <c r="G54" s="38">
        <v>2.9478099999999999E-3</v>
      </c>
      <c r="H54" s="29" t="s">
        <v>143</v>
      </c>
    </row>
    <row r="55" spans="1:8" ht="12.75" customHeight="1" x14ac:dyDescent="0.2">
      <c r="A55" s="35">
        <v>49</v>
      </c>
      <c r="B55" s="22" t="s">
        <v>237</v>
      </c>
      <c r="C55" s="22" t="s">
        <v>238</v>
      </c>
      <c r="D55" s="22" t="s">
        <v>239</v>
      </c>
      <c r="E55" s="36">
        <v>23100</v>
      </c>
      <c r="F55" s="37">
        <v>794.33969999999999</v>
      </c>
      <c r="G55" s="38">
        <v>2.83833E-3</v>
      </c>
      <c r="H55" s="29" t="s">
        <v>143</v>
      </c>
    </row>
    <row r="56" spans="1:8" ht="12.75" customHeight="1" x14ac:dyDescent="0.2">
      <c r="A56" s="35">
        <v>50</v>
      </c>
      <c r="B56" s="22" t="s">
        <v>347</v>
      </c>
      <c r="C56" s="22" t="s">
        <v>348</v>
      </c>
      <c r="D56" s="22" t="s">
        <v>206</v>
      </c>
      <c r="E56" s="36">
        <v>109000</v>
      </c>
      <c r="F56" s="37">
        <v>785.12699999999995</v>
      </c>
      <c r="G56" s="38">
        <v>2.8054099999999999E-3</v>
      </c>
      <c r="H56" s="29" t="s">
        <v>143</v>
      </c>
    </row>
    <row r="57" spans="1:8" ht="12.75" customHeight="1" x14ac:dyDescent="0.2">
      <c r="A57" s="35">
        <v>51</v>
      </c>
      <c r="B57" s="22" t="s">
        <v>73</v>
      </c>
      <c r="C57" s="22" t="s">
        <v>74</v>
      </c>
      <c r="D57" s="22" t="s">
        <v>75</v>
      </c>
      <c r="E57" s="36">
        <v>416889</v>
      </c>
      <c r="F57" s="37">
        <v>734.93361809999999</v>
      </c>
      <c r="G57" s="38">
        <v>2.6260599999999999E-3</v>
      </c>
      <c r="H57" s="29" t="s">
        <v>143</v>
      </c>
    </row>
    <row r="58" spans="1:8" ht="12.75" customHeight="1" x14ac:dyDescent="0.2">
      <c r="A58" s="35">
        <v>52</v>
      </c>
      <c r="B58" s="22" t="s">
        <v>478</v>
      </c>
      <c r="C58" s="22" t="s">
        <v>479</v>
      </c>
      <c r="D58" s="22" t="s">
        <v>223</v>
      </c>
      <c r="E58" s="36">
        <v>27530</v>
      </c>
      <c r="F58" s="37">
        <v>709.88858000000005</v>
      </c>
      <c r="G58" s="38">
        <v>2.5365700000000001E-3</v>
      </c>
      <c r="H58" s="29" t="s">
        <v>143</v>
      </c>
    </row>
    <row r="59" spans="1:8" ht="12.75" customHeight="1" x14ac:dyDescent="0.2">
      <c r="A59" s="35">
        <v>53</v>
      </c>
      <c r="B59" s="22" t="s">
        <v>224</v>
      </c>
      <c r="C59" s="22" t="s">
        <v>225</v>
      </c>
      <c r="D59" s="22" t="s">
        <v>64</v>
      </c>
      <c r="E59" s="36">
        <v>9110</v>
      </c>
      <c r="F59" s="37">
        <v>663.75459999999998</v>
      </c>
      <c r="G59" s="38">
        <v>2.3717199999999999E-3</v>
      </c>
      <c r="H59" s="29" t="s">
        <v>143</v>
      </c>
    </row>
    <row r="60" spans="1:8" ht="12.75" customHeight="1" x14ac:dyDescent="0.2">
      <c r="A60" s="35">
        <v>54</v>
      </c>
      <c r="B60" s="22" t="s">
        <v>82</v>
      </c>
      <c r="C60" s="22" t="s">
        <v>83</v>
      </c>
      <c r="D60" s="22" t="s">
        <v>13</v>
      </c>
      <c r="E60" s="36">
        <v>166362</v>
      </c>
      <c r="F60" s="37">
        <v>570.45529799999997</v>
      </c>
      <c r="G60" s="38">
        <v>2.03835E-3</v>
      </c>
      <c r="H60" s="29" t="s">
        <v>143</v>
      </c>
    </row>
    <row r="61" spans="1:8" ht="12.75" customHeight="1" x14ac:dyDescent="0.2">
      <c r="A61" s="35">
        <v>55</v>
      </c>
      <c r="B61" s="22" t="s">
        <v>195</v>
      </c>
      <c r="C61" s="22" t="s">
        <v>196</v>
      </c>
      <c r="D61" s="22" t="s">
        <v>19</v>
      </c>
      <c r="E61" s="36">
        <v>4781</v>
      </c>
      <c r="F61" s="37">
        <v>21.198954000000001</v>
      </c>
      <c r="G61" s="38">
        <v>7.5749999999999998E-5</v>
      </c>
      <c r="H61" s="29" t="s">
        <v>143</v>
      </c>
    </row>
    <row r="62" spans="1:8" ht="12.75" customHeight="1" x14ac:dyDescent="0.2">
      <c r="A62" s="39"/>
      <c r="B62" s="39"/>
      <c r="C62" s="40" t="s">
        <v>142</v>
      </c>
      <c r="D62" s="39"/>
      <c r="E62" s="39" t="s">
        <v>143</v>
      </c>
      <c r="F62" s="41">
        <v>182826.46561109999</v>
      </c>
      <c r="G62" s="42">
        <v>0.65327396000000004</v>
      </c>
      <c r="H62" s="29" t="s">
        <v>143</v>
      </c>
    </row>
    <row r="63" spans="1:8" ht="12.75" customHeight="1" x14ac:dyDescent="0.2">
      <c r="A63" s="39"/>
      <c r="B63" s="39"/>
      <c r="C63" s="43"/>
      <c r="D63" s="39"/>
      <c r="E63" s="39"/>
      <c r="F63" s="44"/>
      <c r="G63" s="44"/>
      <c r="H63" s="29" t="s">
        <v>143</v>
      </c>
    </row>
    <row r="64" spans="1:8" ht="12.75" customHeight="1" x14ac:dyDescent="0.2">
      <c r="A64" s="39"/>
      <c r="B64" s="39"/>
      <c r="C64" s="40" t="s">
        <v>144</v>
      </c>
      <c r="D64" s="39"/>
      <c r="E64" s="39"/>
      <c r="F64" s="39"/>
      <c r="G64" s="39"/>
      <c r="H64" s="29" t="s">
        <v>143</v>
      </c>
    </row>
    <row r="65" spans="1:8" ht="12.75" customHeight="1" x14ac:dyDescent="0.2">
      <c r="A65" s="39"/>
      <c r="B65" s="39"/>
      <c r="C65" s="40" t="s">
        <v>142</v>
      </c>
      <c r="D65" s="39"/>
      <c r="E65" s="39" t="s">
        <v>143</v>
      </c>
      <c r="F65" s="45" t="s">
        <v>145</v>
      </c>
      <c r="G65" s="42">
        <v>0</v>
      </c>
      <c r="H65" s="29" t="s">
        <v>143</v>
      </c>
    </row>
    <row r="66" spans="1:8" ht="12.75" customHeight="1" x14ac:dyDescent="0.2">
      <c r="A66" s="39"/>
      <c r="B66" s="39"/>
      <c r="C66" s="43"/>
      <c r="D66" s="39"/>
      <c r="E66" s="39"/>
      <c r="F66" s="44"/>
      <c r="G66" s="44"/>
      <c r="H66" s="29" t="s">
        <v>143</v>
      </c>
    </row>
    <row r="67" spans="1:8" ht="12.75" customHeight="1" x14ac:dyDescent="0.2">
      <c r="A67" s="39"/>
      <c r="B67" s="39"/>
      <c r="C67" s="40" t="s">
        <v>146</v>
      </c>
      <c r="D67" s="39"/>
      <c r="E67" s="39"/>
      <c r="F67" s="39"/>
      <c r="G67" s="39"/>
      <c r="H67" s="29" t="s">
        <v>143</v>
      </c>
    </row>
    <row r="68" spans="1:8" ht="12.75" customHeight="1" x14ac:dyDescent="0.2">
      <c r="A68" s="39"/>
      <c r="B68" s="39"/>
      <c r="C68" s="40" t="s">
        <v>142</v>
      </c>
      <c r="D68" s="39"/>
      <c r="E68" s="39" t="s">
        <v>143</v>
      </c>
      <c r="F68" s="45" t="s">
        <v>145</v>
      </c>
      <c r="G68" s="42">
        <v>0</v>
      </c>
      <c r="H68" s="29" t="s">
        <v>143</v>
      </c>
    </row>
    <row r="69" spans="1:8" ht="12.75" customHeight="1" x14ac:dyDescent="0.2">
      <c r="A69" s="39"/>
      <c r="B69" s="39"/>
      <c r="C69" s="43"/>
      <c r="D69" s="39"/>
      <c r="E69" s="39"/>
      <c r="F69" s="44"/>
      <c r="G69" s="44"/>
      <c r="H69" s="29" t="s">
        <v>143</v>
      </c>
    </row>
    <row r="70" spans="1:8" ht="12.75" customHeight="1" x14ac:dyDescent="0.2">
      <c r="A70" s="39"/>
      <c r="B70" s="39"/>
      <c r="C70" s="40" t="s">
        <v>147</v>
      </c>
      <c r="D70" s="39"/>
      <c r="E70" s="39"/>
      <c r="F70" s="39"/>
      <c r="G70" s="39"/>
      <c r="H70" s="29" t="s">
        <v>143</v>
      </c>
    </row>
    <row r="71" spans="1:8" ht="12.75" customHeight="1" x14ac:dyDescent="0.2">
      <c r="A71" s="39"/>
      <c r="B71" s="39"/>
      <c r="C71" s="40" t="s">
        <v>142</v>
      </c>
      <c r="D71" s="39"/>
      <c r="E71" s="39" t="s">
        <v>143</v>
      </c>
      <c r="F71" s="45" t="s">
        <v>145</v>
      </c>
      <c r="G71" s="42">
        <v>0</v>
      </c>
      <c r="H71" s="29" t="s">
        <v>143</v>
      </c>
    </row>
    <row r="72" spans="1:8" ht="12.75" customHeight="1" x14ac:dyDescent="0.2">
      <c r="A72" s="39"/>
      <c r="B72" s="39"/>
      <c r="C72" s="43"/>
      <c r="D72" s="39"/>
      <c r="E72" s="39"/>
      <c r="F72" s="44"/>
      <c r="G72" s="44"/>
      <c r="H72" s="29" t="s">
        <v>143</v>
      </c>
    </row>
    <row r="73" spans="1:8" ht="12.75" customHeight="1" x14ac:dyDescent="0.2">
      <c r="A73" s="39"/>
      <c r="B73" s="39"/>
      <c r="C73" s="40" t="s">
        <v>148</v>
      </c>
      <c r="D73" s="39"/>
      <c r="E73" s="39"/>
      <c r="F73" s="44"/>
      <c r="G73" s="44"/>
      <c r="H73" s="29" t="s">
        <v>143</v>
      </c>
    </row>
    <row r="74" spans="1:8" ht="12.75" customHeight="1" x14ac:dyDescent="0.2">
      <c r="A74" s="39"/>
      <c r="B74" s="39"/>
      <c r="C74" s="40" t="s">
        <v>142</v>
      </c>
      <c r="D74" s="39"/>
      <c r="E74" s="39" t="s">
        <v>143</v>
      </c>
      <c r="F74" s="45" t="s">
        <v>145</v>
      </c>
      <c r="G74" s="42">
        <v>0</v>
      </c>
      <c r="H74" s="29" t="s">
        <v>143</v>
      </c>
    </row>
    <row r="75" spans="1:8" ht="12.75" customHeight="1" x14ac:dyDescent="0.2">
      <c r="A75" s="39"/>
      <c r="B75" s="39"/>
      <c r="C75" s="43"/>
      <c r="D75" s="39"/>
      <c r="E75" s="39"/>
      <c r="F75" s="44"/>
      <c r="G75" s="44"/>
      <c r="H75" s="29" t="s">
        <v>143</v>
      </c>
    </row>
    <row r="76" spans="1:8" ht="12.75" customHeight="1" x14ac:dyDescent="0.2">
      <c r="A76" s="39"/>
      <c r="B76" s="39"/>
      <c r="C76" s="40" t="s">
        <v>149</v>
      </c>
      <c r="D76" s="39"/>
      <c r="E76" s="39"/>
      <c r="F76" s="44"/>
      <c r="G76" s="44"/>
      <c r="H76" s="29" t="s">
        <v>143</v>
      </c>
    </row>
    <row r="77" spans="1:8" ht="12.75" customHeight="1" x14ac:dyDescent="0.2">
      <c r="A77" s="35">
        <v>1</v>
      </c>
      <c r="B77" s="22"/>
      <c r="C77" s="22" t="s">
        <v>1124</v>
      </c>
      <c r="D77" s="22" t="s">
        <v>534</v>
      </c>
      <c r="E77" s="36">
        <v>-23100</v>
      </c>
      <c r="F77" s="37">
        <v>-800.13779999999997</v>
      </c>
      <c r="G77" s="38">
        <f>F77/$F$147</f>
        <v>-2.8590452752433834E-3</v>
      </c>
      <c r="H77" s="29" t="s">
        <v>143</v>
      </c>
    </row>
    <row r="78" spans="1:8" ht="12.75" customHeight="1" x14ac:dyDescent="0.2">
      <c r="A78" s="35">
        <v>2</v>
      </c>
      <c r="B78" s="22"/>
      <c r="C78" s="22" t="s">
        <v>1125</v>
      </c>
      <c r="D78" s="22" t="s">
        <v>534</v>
      </c>
      <c r="E78" s="36">
        <v>-8650</v>
      </c>
      <c r="F78" s="37">
        <v>-1062.4794999999999</v>
      </c>
      <c r="G78" s="38">
        <f t="shared" ref="G78:G82" si="0">F78/$F$147</f>
        <v>-3.7964423059602386E-3</v>
      </c>
      <c r="H78" s="29" t="s">
        <v>143</v>
      </c>
    </row>
    <row r="79" spans="1:8" ht="12.75" customHeight="1" x14ac:dyDescent="0.2">
      <c r="A79" s="35">
        <v>3</v>
      </c>
      <c r="B79" s="22"/>
      <c r="C79" s="22" t="s">
        <v>1069</v>
      </c>
      <c r="D79" s="22" t="s">
        <v>534</v>
      </c>
      <c r="E79" s="36">
        <v>-62125</v>
      </c>
      <c r="F79" s="37">
        <v>-2286.4485</v>
      </c>
      <c r="G79" s="38">
        <f t="shared" si="0"/>
        <v>-8.1699174579832629E-3</v>
      </c>
      <c r="H79" s="29" t="s">
        <v>143</v>
      </c>
    </row>
    <row r="80" spans="1:8" ht="12.75" customHeight="1" x14ac:dyDescent="0.2">
      <c r="A80" s="35">
        <v>4</v>
      </c>
      <c r="B80" s="22"/>
      <c r="C80" s="22" t="s">
        <v>993</v>
      </c>
      <c r="D80" s="22" t="s">
        <v>534</v>
      </c>
      <c r="E80" s="36">
        <v>-125400</v>
      </c>
      <c r="F80" s="37">
        <v>-2372.3172</v>
      </c>
      <c r="G80" s="38">
        <f t="shared" si="0"/>
        <v>-8.4767427336124006E-3</v>
      </c>
      <c r="H80" s="29" t="s">
        <v>143</v>
      </c>
    </row>
    <row r="81" spans="1:8" ht="12.75" customHeight="1" x14ac:dyDescent="0.2">
      <c r="A81" s="35">
        <v>5</v>
      </c>
      <c r="B81" s="22"/>
      <c r="C81" s="22" t="s">
        <v>1048</v>
      </c>
      <c r="D81" s="22" t="s">
        <v>534</v>
      </c>
      <c r="E81" s="36">
        <v>-138800</v>
      </c>
      <c r="F81" s="37">
        <v>-4791.9312</v>
      </c>
      <c r="G81" s="38">
        <f t="shared" si="0"/>
        <v>-1.7122485972605413E-2</v>
      </c>
      <c r="H81" s="29" t="s">
        <v>143</v>
      </c>
    </row>
    <row r="82" spans="1:8" ht="12.75" customHeight="1" x14ac:dyDescent="0.2">
      <c r="A82" s="35">
        <v>6</v>
      </c>
      <c r="B82" s="22"/>
      <c r="C82" s="22" t="s">
        <v>991</v>
      </c>
      <c r="D82" s="22" t="s">
        <v>534</v>
      </c>
      <c r="E82" s="36">
        <v>-437500</v>
      </c>
      <c r="F82" s="37">
        <v>-4975.25</v>
      </c>
      <c r="G82" s="38">
        <f t="shared" si="0"/>
        <v>-1.7777519079406875E-2</v>
      </c>
      <c r="H82" s="29" t="s">
        <v>143</v>
      </c>
    </row>
    <row r="83" spans="1:8" ht="12.75" customHeight="1" x14ac:dyDescent="0.2">
      <c r="A83" s="39"/>
      <c r="B83" s="39"/>
      <c r="C83" s="40" t="s">
        <v>142</v>
      </c>
      <c r="D83" s="39"/>
      <c r="E83" s="39" t="s">
        <v>143</v>
      </c>
      <c r="F83" s="41">
        <v>-16288.564200000001</v>
      </c>
      <c r="G83" s="42">
        <v>-5.8202160000000003E-2</v>
      </c>
      <c r="H83" s="29" t="s">
        <v>143</v>
      </c>
    </row>
    <row r="84" spans="1:8" ht="12.75" customHeight="1" x14ac:dyDescent="0.2">
      <c r="A84" s="39"/>
      <c r="B84" s="39"/>
      <c r="C84" s="43"/>
      <c r="D84" s="39"/>
      <c r="E84" s="39"/>
      <c r="F84" s="44"/>
      <c r="G84" s="44"/>
      <c r="H84" s="29" t="s">
        <v>143</v>
      </c>
    </row>
    <row r="85" spans="1:8" ht="12.75" customHeight="1" x14ac:dyDescent="0.2">
      <c r="A85" s="39"/>
      <c r="B85" s="39"/>
      <c r="C85" s="40" t="s">
        <v>150</v>
      </c>
      <c r="D85" s="39"/>
      <c r="E85" s="39"/>
      <c r="F85" s="41">
        <f>F62+F71</f>
        <v>182826.46561109999</v>
      </c>
      <c r="G85" s="42">
        <f>G62+G71</f>
        <v>0.65327396000000004</v>
      </c>
      <c r="H85" s="29" t="s">
        <v>143</v>
      </c>
    </row>
    <row r="86" spans="1:8" ht="12.75" customHeight="1" x14ac:dyDescent="0.2">
      <c r="A86" s="39"/>
      <c r="B86" s="39"/>
      <c r="C86" s="43"/>
      <c r="D86" s="39"/>
      <c r="E86" s="39"/>
      <c r="F86" s="44"/>
      <c r="G86" s="44"/>
      <c r="H86" s="29" t="s">
        <v>143</v>
      </c>
    </row>
    <row r="87" spans="1:8" ht="12.75" customHeight="1" x14ac:dyDescent="0.2">
      <c r="A87" s="39"/>
      <c r="B87" s="39"/>
      <c r="C87" s="40" t="s">
        <v>151</v>
      </c>
      <c r="D87" s="39"/>
      <c r="E87" s="39"/>
      <c r="F87" s="44"/>
      <c r="G87" s="44"/>
      <c r="H87" s="29" t="s">
        <v>143</v>
      </c>
    </row>
    <row r="88" spans="1:8" ht="12.75" customHeight="1" x14ac:dyDescent="0.2">
      <c r="A88" s="39"/>
      <c r="B88" s="39"/>
      <c r="C88" s="40" t="s">
        <v>10</v>
      </c>
      <c r="D88" s="39"/>
      <c r="E88" s="39"/>
      <c r="F88" s="44"/>
      <c r="G88" s="44"/>
      <c r="H88" s="29" t="s">
        <v>143</v>
      </c>
    </row>
    <row r="89" spans="1:8" ht="12.75" customHeight="1" x14ac:dyDescent="0.2">
      <c r="A89" s="39"/>
      <c r="B89" s="39"/>
      <c r="C89" s="40" t="s">
        <v>142</v>
      </c>
      <c r="D89" s="39"/>
      <c r="E89" s="39" t="s">
        <v>143</v>
      </c>
      <c r="F89" s="45" t="s">
        <v>145</v>
      </c>
      <c r="G89" s="42">
        <v>0</v>
      </c>
      <c r="H89" s="29" t="s">
        <v>143</v>
      </c>
    </row>
    <row r="90" spans="1:8" ht="12.75" customHeight="1" x14ac:dyDescent="0.2">
      <c r="A90" s="39"/>
      <c r="B90" s="39"/>
      <c r="C90" s="43"/>
      <c r="D90" s="39"/>
      <c r="E90" s="39"/>
      <c r="F90" s="44"/>
      <c r="G90" s="44"/>
      <c r="H90" s="29" t="s">
        <v>143</v>
      </c>
    </row>
    <row r="91" spans="1:8" ht="12.75" customHeight="1" x14ac:dyDescent="0.2">
      <c r="A91" s="39"/>
      <c r="B91" s="39"/>
      <c r="C91" s="40" t="s">
        <v>152</v>
      </c>
      <c r="D91" s="39"/>
      <c r="E91" s="39"/>
      <c r="F91" s="39"/>
      <c r="G91" s="39"/>
      <c r="H91" s="29" t="s">
        <v>143</v>
      </c>
    </row>
    <row r="92" spans="1:8" ht="12.75" customHeight="1" x14ac:dyDescent="0.2">
      <c r="A92" s="39"/>
      <c r="B92" s="39"/>
      <c r="C92" s="40" t="s">
        <v>142</v>
      </c>
      <c r="D92" s="39"/>
      <c r="E92" s="39" t="s">
        <v>143</v>
      </c>
      <c r="F92" s="45" t="s">
        <v>145</v>
      </c>
      <c r="G92" s="42">
        <v>0</v>
      </c>
      <c r="H92" s="29" t="s">
        <v>143</v>
      </c>
    </row>
    <row r="93" spans="1:8" ht="12.75" customHeight="1" x14ac:dyDescent="0.2">
      <c r="A93" s="39"/>
      <c r="B93" s="39"/>
      <c r="C93" s="43"/>
      <c r="D93" s="39"/>
      <c r="E93" s="39"/>
      <c r="F93" s="44"/>
      <c r="G93" s="44"/>
      <c r="H93" s="29" t="s">
        <v>143</v>
      </c>
    </row>
    <row r="94" spans="1:8" ht="12.75" customHeight="1" x14ac:dyDescent="0.2">
      <c r="A94" s="39"/>
      <c r="B94" s="39"/>
      <c r="C94" s="40" t="s">
        <v>153</v>
      </c>
      <c r="D94" s="39"/>
      <c r="E94" s="39"/>
      <c r="F94" s="39"/>
      <c r="G94" s="39"/>
      <c r="H94" s="29" t="s">
        <v>143</v>
      </c>
    </row>
    <row r="95" spans="1:8" ht="12.75" customHeight="1" x14ac:dyDescent="0.2">
      <c r="A95" s="35">
        <v>1</v>
      </c>
      <c r="B95" s="22" t="s">
        <v>654</v>
      </c>
      <c r="C95" s="22" t="s">
        <v>1143</v>
      </c>
      <c r="D95" s="22" t="s">
        <v>610</v>
      </c>
      <c r="E95" s="36">
        <v>10500000</v>
      </c>
      <c r="F95" s="37">
        <v>10778.8485</v>
      </c>
      <c r="G95" s="38">
        <v>3.8514890000000003E-2</v>
      </c>
      <c r="H95" s="29">
        <v>5.8102999999999998</v>
      </c>
    </row>
    <row r="96" spans="1:8" ht="12.75" customHeight="1" x14ac:dyDescent="0.2">
      <c r="A96" s="35">
        <v>2</v>
      </c>
      <c r="B96" s="22" t="s">
        <v>721</v>
      </c>
      <c r="C96" s="22" t="s">
        <v>1144</v>
      </c>
      <c r="D96" s="22" t="s">
        <v>610</v>
      </c>
      <c r="E96" s="36">
        <v>5000000</v>
      </c>
      <c r="F96" s="37">
        <v>5159.0600000000004</v>
      </c>
      <c r="G96" s="38">
        <v>1.8434309999999999E-2</v>
      </c>
      <c r="H96" s="29">
        <v>6.1489000000000003</v>
      </c>
    </row>
    <row r="97" spans="1:8" ht="12.75" customHeight="1" x14ac:dyDescent="0.2">
      <c r="A97" s="35">
        <v>3</v>
      </c>
      <c r="B97" s="22" t="s">
        <v>608</v>
      </c>
      <c r="C97" s="22" t="s">
        <v>609</v>
      </c>
      <c r="D97" s="22" t="s">
        <v>610</v>
      </c>
      <c r="E97" s="36">
        <v>4500000</v>
      </c>
      <c r="F97" s="37">
        <v>4631.5394999999999</v>
      </c>
      <c r="G97" s="38">
        <v>1.6549379999999999E-2</v>
      </c>
      <c r="H97" s="29">
        <v>6.7552000000000003</v>
      </c>
    </row>
    <row r="98" spans="1:8" ht="12.75" customHeight="1" x14ac:dyDescent="0.2">
      <c r="A98" s="35">
        <v>4</v>
      </c>
      <c r="B98" s="22" t="s">
        <v>668</v>
      </c>
      <c r="C98" s="22" t="s">
        <v>1141</v>
      </c>
      <c r="D98" s="22" t="s">
        <v>610</v>
      </c>
      <c r="E98" s="36">
        <v>3000000</v>
      </c>
      <c r="F98" s="37">
        <v>3134.34</v>
      </c>
      <c r="G98" s="38">
        <v>1.1199600000000001E-2</v>
      </c>
      <c r="H98" s="29">
        <v>6.3794000000000004</v>
      </c>
    </row>
    <row r="99" spans="1:8" ht="12.75" customHeight="1" x14ac:dyDescent="0.2">
      <c r="A99" s="35">
        <v>5</v>
      </c>
      <c r="B99" s="22" t="s">
        <v>846</v>
      </c>
      <c r="C99" s="22" t="s">
        <v>847</v>
      </c>
      <c r="D99" s="22" t="s">
        <v>610</v>
      </c>
      <c r="E99" s="36">
        <v>3000000</v>
      </c>
      <c r="F99" s="37">
        <v>3068.3820000000001</v>
      </c>
      <c r="G99" s="38">
        <v>1.096392E-2</v>
      </c>
      <c r="H99" s="29">
        <v>6.2202000000000002</v>
      </c>
    </row>
    <row r="100" spans="1:8" ht="12.75" customHeight="1" x14ac:dyDescent="0.2">
      <c r="A100" s="35">
        <v>6</v>
      </c>
      <c r="B100" s="22" t="s">
        <v>848</v>
      </c>
      <c r="C100" s="22" t="s">
        <v>849</v>
      </c>
      <c r="D100" s="22" t="s">
        <v>610</v>
      </c>
      <c r="E100" s="36">
        <v>1000000</v>
      </c>
      <c r="F100" s="37">
        <v>991.82</v>
      </c>
      <c r="G100" s="38">
        <v>3.5439600000000001E-3</v>
      </c>
      <c r="H100" s="29">
        <v>6.3030999999999997</v>
      </c>
    </row>
    <row r="101" spans="1:8" ht="12.75" customHeight="1" x14ac:dyDescent="0.2">
      <c r="A101" s="35">
        <v>7</v>
      </c>
      <c r="B101" s="22" t="s">
        <v>719</v>
      </c>
      <c r="C101" s="22" t="s">
        <v>720</v>
      </c>
      <c r="D101" s="22" t="s">
        <v>610</v>
      </c>
      <c r="E101" s="36">
        <v>500000</v>
      </c>
      <c r="F101" s="37">
        <v>519.88350000000003</v>
      </c>
      <c r="G101" s="38">
        <v>1.85764E-3</v>
      </c>
      <c r="H101" s="29">
        <v>6.0162000000000004</v>
      </c>
    </row>
    <row r="102" spans="1:8" ht="12.75" customHeight="1" x14ac:dyDescent="0.2">
      <c r="A102" s="39"/>
      <c r="B102" s="39"/>
      <c r="C102" s="40" t="s">
        <v>142</v>
      </c>
      <c r="D102" s="39"/>
      <c r="E102" s="39" t="s">
        <v>143</v>
      </c>
      <c r="F102" s="41">
        <v>28283.873500000002</v>
      </c>
      <c r="G102" s="42">
        <v>0.10106370000000001</v>
      </c>
      <c r="H102" s="29" t="s">
        <v>143</v>
      </c>
    </row>
    <row r="103" spans="1:8" ht="12.75" customHeight="1" x14ac:dyDescent="0.2">
      <c r="A103" s="39"/>
      <c r="B103" s="39"/>
      <c r="C103" s="43"/>
      <c r="D103" s="39"/>
      <c r="E103" s="39"/>
      <c r="F103" s="44"/>
      <c r="G103" s="44"/>
      <c r="H103" s="29" t="s">
        <v>143</v>
      </c>
    </row>
    <row r="104" spans="1:8" ht="12.75" customHeight="1" x14ac:dyDescent="0.2">
      <c r="A104" s="39"/>
      <c r="B104" s="39"/>
      <c r="C104" s="40" t="s">
        <v>154</v>
      </c>
      <c r="D104" s="39"/>
      <c r="E104" s="39"/>
      <c r="F104" s="44"/>
      <c r="G104" s="44"/>
      <c r="H104" s="29" t="s">
        <v>143</v>
      </c>
    </row>
    <row r="105" spans="1:8" ht="12.75" customHeight="1" x14ac:dyDescent="0.2">
      <c r="A105" s="39"/>
      <c r="B105" s="39"/>
      <c r="C105" s="40" t="s">
        <v>142</v>
      </c>
      <c r="D105" s="39"/>
      <c r="E105" s="39" t="s">
        <v>143</v>
      </c>
      <c r="F105" s="45" t="s">
        <v>145</v>
      </c>
      <c r="G105" s="42">
        <v>0</v>
      </c>
      <c r="H105" s="29" t="s">
        <v>143</v>
      </c>
    </row>
    <row r="106" spans="1:8" ht="12.75" customHeight="1" x14ac:dyDescent="0.2">
      <c r="A106" s="39"/>
      <c r="B106" s="39"/>
      <c r="C106" s="43"/>
      <c r="D106" s="39"/>
      <c r="E106" s="39"/>
      <c r="F106" s="44"/>
      <c r="G106" s="44"/>
      <c r="H106" s="29" t="s">
        <v>143</v>
      </c>
    </row>
    <row r="107" spans="1:8" ht="12.75" customHeight="1" x14ac:dyDescent="0.2">
      <c r="A107" s="39"/>
      <c r="B107" s="39"/>
      <c r="C107" s="40" t="s">
        <v>1170</v>
      </c>
      <c r="D107" s="39"/>
      <c r="E107" s="39"/>
      <c r="F107" s="39"/>
      <c r="G107" s="39"/>
      <c r="H107" s="29" t="s">
        <v>143</v>
      </c>
    </row>
    <row r="108" spans="1:8" ht="12.75" customHeight="1" x14ac:dyDescent="0.2">
      <c r="A108" s="35">
        <v>1</v>
      </c>
      <c r="B108" s="22" t="s">
        <v>315</v>
      </c>
      <c r="C108" s="22" t="s">
        <v>316</v>
      </c>
      <c r="D108" s="22" t="s">
        <v>239</v>
      </c>
      <c r="E108" s="36">
        <v>92400</v>
      </c>
      <c r="F108" s="37">
        <v>9.2791776000000006</v>
      </c>
      <c r="G108" s="38" t="s">
        <v>141</v>
      </c>
      <c r="H108" s="29" t="s">
        <v>143</v>
      </c>
    </row>
    <row r="109" spans="1:8" ht="12.75" customHeight="1" x14ac:dyDescent="0.2">
      <c r="A109" s="39"/>
      <c r="B109" s="39"/>
      <c r="C109" s="40" t="s">
        <v>142</v>
      </c>
      <c r="D109" s="39"/>
      <c r="E109" s="39" t="s">
        <v>143</v>
      </c>
      <c r="F109" s="41">
        <f>F108</f>
        <v>9.2791776000000006</v>
      </c>
      <c r="G109" s="42">
        <v>0</v>
      </c>
      <c r="H109" s="29" t="s">
        <v>143</v>
      </c>
    </row>
    <row r="110" spans="1:8" ht="12.75" customHeight="1" x14ac:dyDescent="0.2">
      <c r="A110" s="39"/>
      <c r="B110" s="39"/>
      <c r="C110" s="43"/>
      <c r="D110" s="39"/>
      <c r="E110" s="39"/>
      <c r="F110" s="44"/>
      <c r="G110" s="44"/>
      <c r="H110" s="29" t="s">
        <v>143</v>
      </c>
    </row>
    <row r="111" spans="1:8" ht="12.75" customHeight="1" x14ac:dyDescent="0.2">
      <c r="A111" s="39"/>
      <c r="B111" s="39"/>
      <c r="C111" s="40" t="s">
        <v>155</v>
      </c>
      <c r="D111" s="39"/>
      <c r="E111" s="39"/>
      <c r="F111" s="41">
        <f>F109+F102</f>
        <v>28293.152677600003</v>
      </c>
      <c r="G111" s="42">
        <v>0.10106370000000001</v>
      </c>
      <c r="H111" s="29" t="s">
        <v>143</v>
      </c>
    </row>
    <row r="112" spans="1:8" ht="12.75" customHeight="1" x14ac:dyDescent="0.2">
      <c r="A112" s="39"/>
      <c r="B112" s="39"/>
      <c r="C112" s="43"/>
      <c r="D112" s="39"/>
      <c r="E112" s="39"/>
      <c r="F112" s="44"/>
      <c r="G112" s="44"/>
      <c r="H112" s="29" t="s">
        <v>143</v>
      </c>
    </row>
    <row r="113" spans="1:8" ht="12.75" customHeight="1" x14ac:dyDescent="0.2">
      <c r="A113" s="39"/>
      <c r="B113" s="39"/>
      <c r="C113" s="40" t="s">
        <v>156</v>
      </c>
      <c r="D113" s="39"/>
      <c r="E113" s="39"/>
      <c r="F113" s="44"/>
      <c r="G113" s="44"/>
      <c r="H113" s="29" t="s">
        <v>143</v>
      </c>
    </row>
    <row r="114" spans="1:8" ht="12.75" customHeight="1" x14ac:dyDescent="0.2">
      <c r="A114" s="39"/>
      <c r="B114" s="39"/>
      <c r="C114" s="40" t="s">
        <v>157</v>
      </c>
      <c r="D114" s="39"/>
      <c r="E114" s="39"/>
      <c r="F114" s="44"/>
      <c r="G114" s="44"/>
      <c r="H114" s="29" t="s">
        <v>143</v>
      </c>
    </row>
    <row r="115" spans="1:8" ht="12.75" customHeight="1" x14ac:dyDescent="0.2">
      <c r="A115" s="39"/>
      <c r="B115" s="39"/>
      <c r="C115" s="40" t="s">
        <v>142</v>
      </c>
      <c r="D115" s="39"/>
      <c r="E115" s="39" t="s">
        <v>143</v>
      </c>
      <c r="F115" s="45" t="s">
        <v>145</v>
      </c>
      <c r="G115" s="42">
        <v>0</v>
      </c>
      <c r="H115" s="29" t="s">
        <v>143</v>
      </c>
    </row>
    <row r="116" spans="1:8" ht="12.75" customHeight="1" x14ac:dyDescent="0.2">
      <c r="A116" s="39"/>
      <c r="B116" s="39"/>
      <c r="C116" s="43"/>
      <c r="D116" s="39"/>
      <c r="E116" s="39"/>
      <c r="F116" s="44"/>
      <c r="G116" s="44"/>
      <c r="H116" s="29" t="s">
        <v>143</v>
      </c>
    </row>
    <row r="117" spans="1:8" ht="12.75" customHeight="1" x14ac:dyDescent="0.2">
      <c r="A117" s="39"/>
      <c r="B117" s="39"/>
      <c r="C117" s="40" t="s">
        <v>158</v>
      </c>
      <c r="D117" s="39"/>
      <c r="E117" s="39"/>
      <c r="F117" s="44"/>
      <c r="G117" s="44"/>
      <c r="H117" s="29" t="s">
        <v>143</v>
      </c>
    </row>
    <row r="118" spans="1:8" ht="12.75" customHeight="1" x14ac:dyDescent="0.2">
      <c r="A118" s="39"/>
      <c r="B118" s="39"/>
      <c r="C118" s="40" t="s">
        <v>142</v>
      </c>
      <c r="D118" s="39"/>
      <c r="E118" s="39" t="s">
        <v>143</v>
      </c>
      <c r="F118" s="45" t="s">
        <v>145</v>
      </c>
      <c r="G118" s="42">
        <v>0</v>
      </c>
      <c r="H118" s="29" t="s">
        <v>143</v>
      </c>
    </row>
    <row r="119" spans="1:8" ht="12.75" customHeight="1" x14ac:dyDescent="0.2">
      <c r="A119" s="39"/>
      <c r="B119" s="39"/>
      <c r="C119" s="43"/>
      <c r="D119" s="39"/>
      <c r="E119" s="39"/>
      <c r="F119" s="44"/>
      <c r="G119" s="44"/>
      <c r="H119" s="29" t="s">
        <v>143</v>
      </c>
    </row>
    <row r="120" spans="1:8" ht="12.75" customHeight="1" x14ac:dyDescent="0.2">
      <c r="A120" s="39"/>
      <c r="B120" s="39"/>
      <c r="C120" s="40" t="s">
        <v>159</v>
      </c>
      <c r="D120" s="39"/>
      <c r="E120" s="39"/>
      <c r="F120" s="44"/>
      <c r="G120" s="44"/>
      <c r="H120" s="29" t="s">
        <v>143</v>
      </c>
    </row>
    <row r="121" spans="1:8" ht="12.75" customHeight="1" x14ac:dyDescent="0.2">
      <c r="A121" s="39"/>
      <c r="B121" s="39"/>
      <c r="C121" s="40" t="s">
        <v>142</v>
      </c>
      <c r="D121" s="39"/>
      <c r="E121" s="39" t="s">
        <v>143</v>
      </c>
      <c r="F121" s="45" t="s">
        <v>145</v>
      </c>
      <c r="G121" s="42">
        <v>0</v>
      </c>
      <c r="H121" s="29" t="s">
        <v>143</v>
      </c>
    </row>
    <row r="122" spans="1:8" ht="12.75" customHeight="1" x14ac:dyDescent="0.2">
      <c r="A122" s="39"/>
      <c r="B122" s="39"/>
      <c r="C122" s="43"/>
      <c r="D122" s="39"/>
      <c r="E122" s="39"/>
      <c r="F122" s="44"/>
      <c r="G122" s="44"/>
      <c r="H122" s="29" t="s">
        <v>143</v>
      </c>
    </row>
    <row r="123" spans="1:8" ht="12.75" customHeight="1" x14ac:dyDescent="0.2">
      <c r="A123" s="39"/>
      <c r="B123" s="39"/>
      <c r="C123" s="40" t="s">
        <v>160</v>
      </c>
      <c r="D123" s="39"/>
      <c r="E123" s="39"/>
      <c r="F123" s="44"/>
      <c r="G123" s="44"/>
      <c r="H123" s="29" t="s">
        <v>143</v>
      </c>
    </row>
    <row r="124" spans="1:8" ht="12.75" customHeight="1" x14ac:dyDescent="0.2">
      <c r="A124" s="35">
        <v>1</v>
      </c>
      <c r="B124" s="22"/>
      <c r="C124" s="22" t="s">
        <v>161</v>
      </c>
      <c r="D124" s="22"/>
      <c r="E124" s="46"/>
      <c r="F124" s="37">
        <v>6415.5841150120004</v>
      </c>
      <c r="G124" s="38">
        <v>2.2924110000000001E-2</v>
      </c>
      <c r="H124" s="29">
        <v>5.51</v>
      </c>
    </row>
    <row r="125" spans="1:8" ht="12.75" customHeight="1" x14ac:dyDescent="0.2">
      <c r="A125" s="39"/>
      <c r="B125" s="39"/>
      <c r="C125" s="40" t="s">
        <v>142</v>
      </c>
      <c r="D125" s="39"/>
      <c r="E125" s="39" t="s">
        <v>143</v>
      </c>
      <c r="F125" s="41">
        <v>6415.5841150120004</v>
      </c>
      <c r="G125" s="42">
        <v>2.2924110000000001E-2</v>
      </c>
      <c r="H125" s="29" t="s">
        <v>143</v>
      </c>
    </row>
    <row r="126" spans="1:8" ht="12.75" customHeight="1" x14ac:dyDescent="0.2">
      <c r="A126" s="39"/>
      <c r="B126" s="39"/>
      <c r="C126" s="43"/>
      <c r="D126" s="39"/>
      <c r="E126" s="39"/>
      <c r="F126" s="44"/>
      <c r="G126" s="44"/>
      <c r="H126" s="29" t="s">
        <v>143</v>
      </c>
    </row>
    <row r="127" spans="1:8" ht="12.75" customHeight="1" x14ac:dyDescent="0.2">
      <c r="A127" s="39"/>
      <c r="B127" s="39"/>
      <c r="C127" s="40" t="s">
        <v>162</v>
      </c>
      <c r="D127" s="39"/>
      <c r="E127" s="39"/>
      <c r="F127" s="41">
        <v>6415.5841150120004</v>
      </c>
      <c r="G127" s="42">
        <v>2.2924110000000001E-2</v>
      </c>
      <c r="H127" s="29" t="s">
        <v>143</v>
      </c>
    </row>
    <row r="128" spans="1:8" ht="12.75" customHeight="1" x14ac:dyDescent="0.2">
      <c r="A128" s="39"/>
      <c r="B128" s="39"/>
      <c r="C128" s="44"/>
      <c r="D128" s="39"/>
      <c r="E128" s="39"/>
      <c r="F128" s="39"/>
      <c r="G128" s="39"/>
      <c r="H128" s="29" t="s">
        <v>143</v>
      </c>
    </row>
    <row r="129" spans="1:8" ht="12.75" customHeight="1" x14ac:dyDescent="0.2">
      <c r="A129" s="39"/>
      <c r="B129" s="39"/>
      <c r="C129" s="40" t="s">
        <v>163</v>
      </c>
      <c r="D129" s="39"/>
      <c r="E129" s="39"/>
      <c r="F129" s="39"/>
      <c r="G129" s="39"/>
      <c r="H129" s="29" t="s">
        <v>143</v>
      </c>
    </row>
    <row r="130" spans="1:8" ht="12.75" customHeight="1" x14ac:dyDescent="0.2">
      <c r="A130" s="39"/>
      <c r="B130" s="39"/>
      <c r="C130" s="40" t="s">
        <v>164</v>
      </c>
      <c r="D130" s="39"/>
      <c r="E130" s="39"/>
      <c r="F130" s="39"/>
      <c r="G130" s="39"/>
      <c r="H130" s="29" t="s">
        <v>143</v>
      </c>
    </row>
    <row r="131" spans="1:8" ht="12.75" customHeight="1" x14ac:dyDescent="0.2">
      <c r="A131" s="35">
        <v>1</v>
      </c>
      <c r="B131" s="22" t="s">
        <v>850</v>
      </c>
      <c r="C131" s="22" t="s">
        <v>851</v>
      </c>
      <c r="D131" s="22"/>
      <c r="E131" s="79">
        <v>19705094</v>
      </c>
      <c r="F131" s="37">
        <v>19535.630191600001</v>
      </c>
      <c r="G131" s="38">
        <v>6.9804539999999998E-2</v>
      </c>
      <c r="H131" s="29" t="s">
        <v>143</v>
      </c>
    </row>
    <row r="132" spans="1:8" ht="12.75" customHeight="1" x14ac:dyDescent="0.2">
      <c r="A132" s="35">
        <v>2</v>
      </c>
      <c r="B132" s="22" t="s">
        <v>852</v>
      </c>
      <c r="C132" s="22" t="s">
        <v>853</v>
      </c>
      <c r="D132" s="22"/>
      <c r="E132" s="79">
        <v>15998588</v>
      </c>
      <c r="F132" s="37">
        <v>15334.646597999999</v>
      </c>
      <c r="G132" s="38">
        <v>5.4793620000000001E-2</v>
      </c>
      <c r="H132" s="29" t="s">
        <v>143</v>
      </c>
    </row>
    <row r="133" spans="1:8" ht="12.75" customHeight="1" x14ac:dyDescent="0.2">
      <c r="A133" s="35">
        <v>3</v>
      </c>
      <c r="B133" s="22" t="s">
        <v>854</v>
      </c>
      <c r="C133" s="22" t="s">
        <v>855</v>
      </c>
      <c r="D133" s="22"/>
      <c r="E133" s="79">
        <v>13123120</v>
      </c>
      <c r="F133" s="37">
        <v>12624.441440000001</v>
      </c>
      <c r="G133" s="38">
        <v>4.5109539999999997E-2</v>
      </c>
      <c r="H133" s="29" t="s">
        <v>143</v>
      </c>
    </row>
    <row r="134" spans="1:8" ht="12.75" customHeight="1" x14ac:dyDescent="0.2">
      <c r="A134" s="35">
        <v>4</v>
      </c>
      <c r="B134" s="22" t="s">
        <v>856</v>
      </c>
      <c r="C134" s="22" t="s">
        <v>857</v>
      </c>
      <c r="D134" s="22"/>
      <c r="E134" s="79">
        <v>10472712</v>
      </c>
      <c r="F134" s="37">
        <v>10393.1193888</v>
      </c>
      <c r="G134" s="38">
        <v>3.7136599999999999E-2</v>
      </c>
      <c r="H134" s="29" t="s">
        <v>143</v>
      </c>
    </row>
    <row r="135" spans="1:8" ht="12.75" customHeight="1" x14ac:dyDescent="0.2">
      <c r="A135" s="35">
        <v>5</v>
      </c>
      <c r="B135" s="22" t="s">
        <v>858</v>
      </c>
      <c r="C135" s="22" t="s">
        <v>859</v>
      </c>
      <c r="D135" s="22"/>
      <c r="E135" s="79">
        <v>4448000</v>
      </c>
      <c r="F135" s="37">
        <v>5000.8864000000003</v>
      </c>
      <c r="G135" s="38">
        <v>1.7869119999999999E-2</v>
      </c>
      <c r="H135" s="29" t="s">
        <v>143</v>
      </c>
    </row>
    <row r="136" spans="1:8" ht="12.75" customHeight="1" x14ac:dyDescent="0.2">
      <c r="A136" s="39"/>
      <c r="B136" s="39"/>
      <c r="C136" s="40" t="s">
        <v>142</v>
      </c>
      <c r="D136" s="39"/>
      <c r="E136" s="39" t="s">
        <v>143</v>
      </c>
      <c r="F136" s="41">
        <v>62888.724018399997</v>
      </c>
      <c r="G136" s="42">
        <v>0.22471342</v>
      </c>
      <c r="H136" s="29" t="s">
        <v>143</v>
      </c>
    </row>
    <row r="137" spans="1:8" ht="12.75" customHeight="1" x14ac:dyDescent="0.2">
      <c r="A137" s="39"/>
      <c r="B137" s="39"/>
      <c r="C137" s="43"/>
      <c r="D137" s="39"/>
      <c r="E137" s="39"/>
      <c r="F137" s="44"/>
      <c r="G137" s="44"/>
      <c r="H137" s="29" t="s">
        <v>143</v>
      </c>
    </row>
    <row r="138" spans="1:8" ht="12.75" customHeight="1" x14ac:dyDescent="0.2">
      <c r="A138" s="39"/>
      <c r="B138" s="39"/>
      <c r="C138" s="40" t="s">
        <v>165</v>
      </c>
      <c r="D138" s="39"/>
      <c r="E138" s="39"/>
      <c r="F138" s="39"/>
      <c r="G138" s="39"/>
      <c r="H138" s="29" t="s">
        <v>143</v>
      </c>
    </row>
    <row r="139" spans="1:8" ht="12.75" customHeight="1" x14ac:dyDescent="0.2">
      <c r="A139" s="39"/>
      <c r="B139" s="39"/>
      <c r="C139" s="40" t="s">
        <v>166</v>
      </c>
      <c r="D139" s="39"/>
      <c r="E139" s="39"/>
      <c r="F139" s="39"/>
      <c r="G139" s="39"/>
      <c r="H139" s="29" t="s">
        <v>143</v>
      </c>
    </row>
    <row r="140" spans="1:8" ht="12.75" customHeight="1" x14ac:dyDescent="0.2">
      <c r="A140" s="39"/>
      <c r="B140" s="39"/>
      <c r="C140" s="40" t="s">
        <v>142</v>
      </c>
      <c r="D140" s="39"/>
      <c r="E140" s="39" t="s">
        <v>143</v>
      </c>
      <c r="F140" s="45" t="s">
        <v>145</v>
      </c>
      <c r="G140" s="42">
        <v>0</v>
      </c>
      <c r="H140" s="29" t="s">
        <v>143</v>
      </c>
    </row>
    <row r="141" spans="1:8" ht="12.75" customHeight="1" x14ac:dyDescent="0.2">
      <c r="A141" s="39"/>
      <c r="B141" s="39"/>
      <c r="C141" s="43"/>
      <c r="D141" s="39"/>
      <c r="E141" s="39"/>
      <c r="F141" s="44"/>
      <c r="G141" s="44"/>
      <c r="H141" s="29" t="s">
        <v>143</v>
      </c>
    </row>
    <row r="142" spans="1:8" ht="12.75" customHeight="1" x14ac:dyDescent="0.2">
      <c r="A142" s="39"/>
      <c r="B142" s="39"/>
      <c r="C142" s="40" t="s">
        <v>167</v>
      </c>
      <c r="D142" s="39"/>
      <c r="E142" s="39"/>
      <c r="F142" s="44"/>
      <c r="G142" s="44"/>
      <c r="H142" s="29" t="s">
        <v>143</v>
      </c>
    </row>
    <row r="143" spans="1:8" ht="12.75" customHeight="1" x14ac:dyDescent="0.2">
      <c r="A143" s="39"/>
      <c r="B143" s="39"/>
      <c r="C143" s="40" t="s">
        <v>142</v>
      </c>
      <c r="D143" s="39"/>
      <c r="E143" s="39" t="s">
        <v>143</v>
      </c>
      <c r="F143" s="45" t="s">
        <v>145</v>
      </c>
      <c r="G143" s="42">
        <v>0</v>
      </c>
      <c r="H143" s="29" t="s">
        <v>143</v>
      </c>
    </row>
    <row r="144" spans="1:8" ht="12.75" customHeight="1" x14ac:dyDescent="0.2">
      <c r="A144" s="39"/>
      <c r="B144" s="39"/>
      <c r="C144" s="43"/>
      <c r="D144" s="39"/>
      <c r="E144" s="39"/>
      <c r="F144" s="44"/>
      <c r="G144" s="44"/>
      <c r="H144" s="29" t="s">
        <v>143</v>
      </c>
    </row>
    <row r="145" spans="1:17" ht="12.75" customHeight="1" x14ac:dyDescent="0.2">
      <c r="A145" s="46"/>
      <c r="B145" s="22"/>
      <c r="C145" s="22" t="s">
        <v>319</v>
      </c>
      <c r="D145" s="22"/>
      <c r="E145" s="46"/>
      <c r="F145" s="37">
        <v>42.436005799999997</v>
      </c>
      <c r="G145" s="38">
        <v>1.5163000000000001E-4</v>
      </c>
      <c r="H145" s="29" t="s">
        <v>143</v>
      </c>
    </row>
    <row r="146" spans="1:17" ht="12.75" customHeight="1" x14ac:dyDescent="0.2">
      <c r="A146" s="46"/>
      <c r="B146" s="22"/>
      <c r="C146" s="31" t="s">
        <v>1000</v>
      </c>
      <c r="D146" s="22"/>
      <c r="E146" s="46"/>
      <c r="F146" s="37">
        <f>15684.08676161+F83</f>
        <v>-604.47743839000032</v>
      </c>
      <c r="G146" s="38">
        <f>F146/F147</f>
        <v>-2.159913410190287E-3</v>
      </c>
      <c r="H146" s="29" t="s">
        <v>143</v>
      </c>
    </row>
    <row r="147" spans="1:17" ht="12.75" customHeight="1" x14ac:dyDescent="0.2">
      <c r="A147" s="43"/>
      <c r="B147" s="43"/>
      <c r="C147" s="40" t="s">
        <v>169</v>
      </c>
      <c r="D147" s="44"/>
      <c r="E147" s="44"/>
      <c r="F147" s="41">
        <v>279861.88498952199</v>
      </c>
      <c r="G147" s="47">
        <v>1.0000000600000001</v>
      </c>
      <c r="H147" s="29" t="s">
        <v>143</v>
      </c>
    </row>
    <row r="148" spans="1:17" ht="12.75" customHeight="1" x14ac:dyDescent="0.2">
      <c r="A148" s="48"/>
      <c r="B148" s="48"/>
      <c r="C148" s="49"/>
      <c r="D148" s="50"/>
      <c r="E148" s="50"/>
      <c r="F148" s="51"/>
      <c r="G148" s="52"/>
      <c r="H148" s="53"/>
    </row>
    <row r="149" spans="1:17" x14ac:dyDescent="0.2">
      <c r="A149" s="54"/>
      <c r="B149" s="243" t="s">
        <v>945</v>
      </c>
      <c r="C149" s="243"/>
      <c r="D149" s="243"/>
      <c r="E149" s="243"/>
      <c r="F149" s="243"/>
      <c r="G149" s="243"/>
      <c r="H149" s="243"/>
      <c r="J149" s="56"/>
    </row>
    <row r="150" spans="1:17" x14ac:dyDescent="0.2">
      <c r="A150" s="54"/>
      <c r="B150" s="243" t="s">
        <v>946</v>
      </c>
      <c r="C150" s="243"/>
      <c r="D150" s="243"/>
      <c r="E150" s="243"/>
      <c r="F150" s="243"/>
      <c r="G150" s="243"/>
      <c r="H150" s="243"/>
      <c r="J150" s="56"/>
    </row>
    <row r="151" spans="1:17" x14ac:dyDescent="0.2">
      <c r="A151" s="54"/>
      <c r="B151" s="243" t="s">
        <v>947</v>
      </c>
      <c r="C151" s="243"/>
      <c r="D151" s="243"/>
      <c r="E151" s="243"/>
      <c r="F151" s="243"/>
      <c r="G151" s="243"/>
      <c r="H151" s="243"/>
      <c r="J151" s="56"/>
    </row>
    <row r="152" spans="1:17" s="58" customFormat="1" ht="66.75" customHeight="1" x14ac:dyDescent="0.25">
      <c r="A152" s="57"/>
      <c r="B152" s="244" t="s">
        <v>948</v>
      </c>
      <c r="C152" s="244"/>
      <c r="D152" s="244"/>
      <c r="E152" s="244"/>
      <c r="F152" s="244"/>
      <c r="G152" s="244"/>
      <c r="H152" s="244"/>
      <c r="I152"/>
      <c r="J152" s="56"/>
      <c r="K152"/>
      <c r="L152"/>
      <c r="M152"/>
      <c r="N152"/>
      <c r="O152"/>
      <c r="P152"/>
      <c r="Q152"/>
    </row>
    <row r="153" spans="1:17" x14ac:dyDescent="0.2">
      <c r="A153" s="54"/>
      <c r="B153" s="243" t="s">
        <v>949</v>
      </c>
      <c r="C153" s="243"/>
      <c r="D153" s="243"/>
      <c r="E153" s="243"/>
      <c r="F153" s="243"/>
      <c r="G153" s="243"/>
      <c r="H153" s="243"/>
      <c r="J153" s="56"/>
    </row>
    <row r="154" spans="1:17" x14ac:dyDescent="0.2">
      <c r="A154" s="54"/>
      <c r="B154" s="54"/>
      <c r="C154" s="54"/>
      <c r="D154" s="59"/>
      <c r="E154" s="59"/>
      <c r="F154" s="59"/>
      <c r="G154" s="59"/>
    </row>
    <row r="155" spans="1:17" x14ac:dyDescent="0.2">
      <c r="A155" s="54"/>
      <c r="B155" s="247" t="s">
        <v>170</v>
      </c>
      <c r="C155" s="248"/>
      <c r="D155" s="249"/>
      <c r="E155" s="60"/>
      <c r="F155" s="59"/>
      <c r="G155" s="59"/>
    </row>
    <row r="156" spans="1:17" ht="27.75" customHeight="1" x14ac:dyDescent="0.2">
      <c r="A156" s="54"/>
      <c r="B156" s="240" t="s">
        <v>171</v>
      </c>
      <c r="C156" s="241"/>
      <c r="D156" s="28" t="s">
        <v>172</v>
      </c>
      <c r="E156" s="60"/>
      <c r="F156" s="59"/>
      <c r="G156" s="59"/>
    </row>
    <row r="157" spans="1:17" ht="12.75" customHeight="1" x14ac:dyDescent="0.2">
      <c r="A157" s="54"/>
      <c r="B157" s="240" t="s">
        <v>950</v>
      </c>
      <c r="C157" s="241"/>
      <c r="D157" s="40" t="s">
        <v>172</v>
      </c>
      <c r="E157" s="60"/>
      <c r="F157" s="59"/>
      <c r="G157" s="59"/>
    </row>
    <row r="158" spans="1:17" x14ac:dyDescent="0.2">
      <c r="A158" s="54"/>
      <c r="B158" s="240" t="s">
        <v>173</v>
      </c>
      <c r="C158" s="241"/>
      <c r="D158" s="61" t="s">
        <v>143</v>
      </c>
      <c r="E158" s="60"/>
      <c r="F158" s="59"/>
      <c r="G158" s="59"/>
    </row>
    <row r="159" spans="1:17" x14ac:dyDescent="0.2">
      <c r="A159" s="62"/>
      <c r="B159" s="63" t="s">
        <v>143</v>
      </c>
      <c r="C159" s="63" t="s">
        <v>951</v>
      </c>
      <c r="D159" s="63" t="s">
        <v>174</v>
      </c>
      <c r="E159" s="62"/>
      <c r="F159" s="62"/>
      <c r="G159" s="62"/>
      <c r="H159" s="62"/>
      <c r="J159" s="56"/>
    </row>
    <row r="160" spans="1:17" x14ac:dyDescent="0.2">
      <c r="A160" s="62"/>
      <c r="B160" s="64" t="s">
        <v>175</v>
      </c>
      <c r="C160" s="65">
        <v>45900</v>
      </c>
      <c r="D160" s="65">
        <v>45930</v>
      </c>
      <c r="E160" s="62"/>
      <c r="F160" s="62"/>
      <c r="G160" s="62"/>
      <c r="J160" s="56"/>
    </row>
    <row r="161" spans="1:7" ht="12.75" customHeight="1" x14ac:dyDescent="0.2">
      <c r="A161" s="66"/>
      <c r="B161" s="67" t="s">
        <v>176</v>
      </c>
      <c r="C161" s="68">
        <v>12.447800000000001</v>
      </c>
      <c r="D161" s="68">
        <v>12.889699999999999</v>
      </c>
      <c r="E161" s="66"/>
      <c r="F161" s="69"/>
      <c r="G161" s="70"/>
    </row>
    <row r="162" spans="1:7" ht="12.75" customHeight="1" x14ac:dyDescent="0.2">
      <c r="A162" s="66"/>
      <c r="B162" s="67" t="s">
        <v>1085</v>
      </c>
      <c r="C162" s="68">
        <v>12.447800000000001</v>
      </c>
      <c r="D162" s="68">
        <v>12.889699999999999</v>
      </c>
      <c r="E162" s="66"/>
      <c r="F162" s="69"/>
      <c r="G162" s="70"/>
    </row>
    <row r="163" spans="1:7" ht="12.75" customHeight="1" x14ac:dyDescent="0.2">
      <c r="A163" s="66"/>
      <c r="B163" s="67" t="s">
        <v>177</v>
      </c>
      <c r="C163" s="68">
        <v>12.1393</v>
      </c>
      <c r="D163" s="68">
        <v>12.555</v>
      </c>
      <c r="E163" s="66"/>
      <c r="F163" s="69"/>
      <c r="G163" s="70"/>
    </row>
    <row r="164" spans="1:7" ht="12.75" customHeight="1" x14ac:dyDescent="0.2">
      <c r="A164" s="66"/>
      <c r="B164" s="67" t="s">
        <v>1086</v>
      </c>
      <c r="C164" s="68">
        <v>12.1393</v>
      </c>
      <c r="D164" s="68">
        <v>12.555</v>
      </c>
      <c r="E164" s="66"/>
      <c r="F164" s="69"/>
      <c r="G164" s="70"/>
    </row>
    <row r="165" spans="1:7" ht="12.75" customHeight="1" x14ac:dyDescent="0.2">
      <c r="A165" s="66"/>
      <c r="B165" s="66"/>
      <c r="C165" s="66"/>
      <c r="D165" s="66"/>
      <c r="E165" s="66"/>
      <c r="F165" s="66"/>
      <c r="G165" s="66"/>
    </row>
    <row r="166" spans="1:7" x14ac:dyDescent="0.2">
      <c r="A166" s="62"/>
      <c r="B166" s="245" t="s">
        <v>952</v>
      </c>
      <c r="C166" s="246"/>
      <c r="D166" s="71" t="s">
        <v>172</v>
      </c>
      <c r="E166" s="62"/>
      <c r="F166" s="62"/>
      <c r="G166" s="62"/>
    </row>
    <row r="167" spans="1:7" x14ac:dyDescent="0.2">
      <c r="A167" s="72"/>
      <c r="B167" s="73"/>
      <c r="C167" s="73"/>
      <c r="D167" s="73"/>
      <c r="E167" s="72"/>
      <c r="F167" s="72"/>
      <c r="G167" s="72"/>
    </row>
    <row r="168" spans="1:7" ht="29.1" customHeight="1" x14ac:dyDescent="0.2">
      <c r="A168" s="72"/>
      <c r="B168" s="240" t="s">
        <v>178</v>
      </c>
      <c r="C168" s="241"/>
      <c r="D168" s="28" t="s">
        <v>1002</v>
      </c>
      <c r="E168" s="74"/>
      <c r="F168" s="72"/>
      <c r="G168" s="72"/>
    </row>
    <row r="169" spans="1:7" ht="29.1" customHeight="1" x14ac:dyDescent="0.2">
      <c r="A169" s="72"/>
      <c r="B169" s="240" t="s">
        <v>179</v>
      </c>
      <c r="C169" s="241"/>
      <c r="D169" s="28" t="s">
        <v>172</v>
      </c>
      <c r="E169" s="74"/>
      <c r="F169" s="72"/>
      <c r="G169" s="72"/>
    </row>
    <row r="170" spans="1:7" ht="17.100000000000001" customHeight="1" x14ac:dyDescent="0.2">
      <c r="A170" s="72"/>
      <c r="B170" s="240" t="s">
        <v>180</v>
      </c>
      <c r="C170" s="241"/>
      <c r="D170" s="28" t="s">
        <v>172</v>
      </c>
      <c r="E170" s="74"/>
      <c r="F170" s="72"/>
      <c r="G170" s="72"/>
    </row>
    <row r="171" spans="1:7" ht="17.100000000000001" customHeight="1" x14ac:dyDescent="0.2">
      <c r="A171" s="72"/>
      <c r="B171" s="240" t="s">
        <v>181</v>
      </c>
      <c r="C171" s="241"/>
      <c r="D171" s="75">
        <v>1.6150437914959714</v>
      </c>
      <c r="E171" s="72"/>
      <c r="F171" s="55"/>
      <c r="G171" s="76"/>
    </row>
    <row r="172" spans="1:7" x14ac:dyDescent="0.2"/>
    <row r="173" spans="1:7" x14ac:dyDescent="0.2">
      <c r="B173" s="257" t="s">
        <v>1029</v>
      </c>
      <c r="C173" s="258"/>
      <c r="D173" s="259"/>
    </row>
    <row r="174" spans="1:7" ht="38.25" x14ac:dyDescent="0.2">
      <c r="B174" s="256" t="s">
        <v>1030</v>
      </c>
      <c r="C174" s="256"/>
      <c r="D174" s="80" t="s">
        <v>845</v>
      </c>
    </row>
    <row r="175" spans="1:7" x14ac:dyDescent="0.2">
      <c r="B175" s="256" t="s">
        <v>1031</v>
      </c>
      <c r="C175" s="256"/>
      <c r="D175" s="81"/>
    </row>
    <row r="176" spans="1:7" x14ac:dyDescent="0.2">
      <c r="B176" s="253"/>
      <c r="C176" s="255"/>
      <c r="D176" s="82"/>
    </row>
    <row r="177" spans="2:4" x14ac:dyDescent="0.2">
      <c r="B177" s="256" t="s">
        <v>1032</v>
      </c>
      <c r="C177" s="256"/>
      <c r="D177" s="83">
        <v>6.0610748626226449</v>
      </c>
    </row>
    <row r="178" spans="2:4" x14ac:dyDescent="0.2">
      <c r="B178" s="253"/>
      <c r="C178" s="255"/>
      <c r="D178" s="82"/>
    </row>
    <row r="179" spans="2:4" x14ac:dyDescent="0.2">
      <c r="B179" s="256" t="s">
        <v>1033</v>
      </c>
      <c r="C179" s="256"/>
      <c r="D179" s="83">
        <v>2.8178787626797828</v>
      </c>
    </row>
    <row r="180" spans="2:4" x14ac:dyDescent="0.2">
      <c r="B180" s="256" t="s">
        <v>1034</v>
      </c>
      <c r="C180" s="256"/>
      <c r="D180" s="83">
        <v>3.3776429934329224</v>
      </c>
    </row>
    <row r="181" spans="2:4" x14ac:dyDescent="0.2">
      <c r="B181" s="253"/>
      <c r="C181" s="255"/>
      <c r="D181" s="82"/>
    </row>
    <row r="182" spans="2:4" x14ac:dyDescent="0.2">
      <c r="B182" s="256" t="s">
        <v>1035</v>
      </c>
      <c r="C182" s="256"/>
      <c r="D182" s="84" t="s">
        <v>1040</v>
      </c>
    </row>
    <row r="183" spans="2:4" x14ac:dyDescent="0.2">
      <c r="B183" s="253" t="s">
        <v>1036</v>
      </c>
      <c r="C183" s="254"/>
      <c r="D183" s="255"/>
    </row>
    <row r="184" spans="2:4" x14ac:dyDescent="0.2"/>
    <row r="185" spans="2:4" x14ac:dyDescent="0.2">
      <c r="B185" s="239" t="s">
        <v>953</v>
      </c>
      <c r="C185" s="239"/>
    </row>
    <row r="186" spans="2:4" x14ac:dyDescent="0.2"/>
    <row r="187" spans="2:4" ht="153.75" customHeight="1" x14ac:dyDescent="0.2"/>
    <row r="188" spans="2:4" x14ac:dyDescent="0.2"/>
    <row r="189" spans="2:4" x14ac:dyDescent="0.2"/>
    <row r="190" spans="2:4" x14ac:dyDescent="0.2">
      <c r="B190" s="77" t="s">
        <v>954</v>
      </c>
      <c r="C190" s="78"/>
      <c r="D190" s="77"/>
    </row>
    <row r="191" spans="2:4" x14ac:dyDescent="0.2">
      <c r="B191" s="77" t="s">
        <v>1126</v>
      </c>
      <c r="D191" s="77"/>
    </row>
    <row r="192" spans="2:4" ht="165" customHeight="1" x14ac:dyDescent="0.2"/>
    <row r="193" customFormat="1" x14ac:dyDescent="0.2"/>
  </sheetData>
  <mergeCells count="29">
    <mergeCell ref="B166:C166"/>
    <mergeCell ref="A1:H1"/>
    <mergeCell ref="A2:H2"/>
    <mergeCell ref="A3:H3"/>
    <mergeCell ref="B170:C170"/>
    <mergeCell ref="B149:H149"/>
    <mergeCell ref="B150:H150"/>
    <mergeCell ref="B151:H151"/>
    <mergeCell ref="B152:H152"/>
    <mergeCell ref="B153:H153"/>
    <mergeCell ref="B155:D155"/>
    <mergeCell ref="B156:C156"/>
    <mergeCell ref="B157:C157"/>
    <mergeCell ref="B158:C158"/>
    <mergeCell ref="B168:C168"/>
    <mergeCell ref="B169:C169"/>
    <mergeCell ref="B173:D173"/>
    <mergeCell ref="B175:C175"/>
    <mergeCell ref="B176:C176"/>
    <mergeCell ref="B174:C174"/>
    <mergeCell ref="B171:C171"/>
    <mergeCell ref="B182:C182"/>
    <mergeCell ref="B183:D183"/>
    <mergeCell ref="B185:C185"/>
    <mergeCell ref="B177:C177"/>
    <mergeCell ref="B178:C178"/>
    <mergeCell ref="B179:C179"/>
    <mergeCell ref="B180:C180"/>
    <mergeCell ref="B181:C181"/>
  </mergeCells>
  <hyperlinks>
    <hyperlink ref="I1" location="Index!B2" display="Index" xr:uid="{D881289E-CAB4-4DD4-81CA-50609ECFF8A7}"/>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C6BA-A167-4B8B-818D-6659B3AAF08B}">
  <sheetPr>
    <outlinePr summaryBelow="0" summaryRight="0"/>
  </sheetPr>
  <dimension ref="A1:Q171"/>
  <sheetViews>
    <sheetView showGridLines="0" topLeftCell="A141" workbookViewId="0">
      <selection sqref="A1:H1"/>
    </sheetView>
  </sheetViews>
  <sheetFormatPr defaultRowHeight="12.75" customHeight="1" x14ac:dyDescent="0.2"/>
  <cols>
    <col min="1" max="1" width="5.85546875" bestFit="1" customWidth="1"/>
    <col min="2" max="2" width="19.7109375" bestFit="1" customWidth="1"/>
    <col min="3" max="3" width="39.140625" bestFit="1" customWidth="1"/>
    <col min="4" max="4" width="17.85546875" customWidth="1"/>
    <col min="5" max="5" width="8.7109375" bestFit="1" customWidth="1"/>
    <col min="6" max="6" width="10.140625" bestFit="1" customWidth="1"/>
    <col min="7" max="7" width="14" bestFit="1" customWidth="1"/>
    <col min="8" max="8" width="8.42578125" bestFit="1" customWidth="1"/>
  </cols>
  <sheetData>
    <row r="1" spans="1:9" ht="12.75" customHeight="1" x14ac:dyDescent="0.2">
      <c r="A1" s="242" t="s">
        <v>0</v>
      </c>
      <c r="B1" s="242"/>
      <c r="C1" s="242"/>
      <c r="D1" s="242"/>
      <c r="E1" s="242"/>
      <c r="F1" s="242"/>
      <c r="G1" s="242"/>
      <c r="H1" s="242"/>
      <c r="I1" s="1" t="s">
        <v>902</v>
      </c>
    </row>
    <row r="2" spans="1:9" ht="12.75" customHeight="1" x14ac:dyDescent="0.2">
      <c r="A2" s="242" t="s">
        <v>860</v>
      </c>
      <c r="B2" s="242"/>
      <c r="C2" s="242"/>
      <c r="D2" s="242"/>
      <c r="E2" s="242"/>
      <c r="F2" s="242"/>
      <c r="G2" s="242"/>
      <c r="H2" s="242"/>
    </row>
    <row r="3" spans="1:9" ht="12.75" customHeight="1" x14ac:dyDescent="0.2">
      <c r="A3" s="242" t="s">
        <v>1171</v>
      </c>
      <c r="B3" s="242"/>
      <c r="C3" s="242"/>
      <c r="D3" s="242"/>
      <c r="E3" s="242"/>
      <c r="F3" s="242"/>
      <c r="G3" s="242"/>
      <c r="H3" s="242"/>
    </row>
    <row r="4" spans="1:9" s="26" customFormat="1" ht="12.75" customHeight="1" x14ac:dyDescent="0.2">
      <c r="A4" s="24" t="s">
        <v>2</v>
      </c>
      <c r="B4" s="24" t="s">
        <v>3</v>
      </c>
      <c r="C4" s="24" t="s">
        <v>4</v>
      </c>
      <c r="D4" s="24" t="s">
        <v>5</v>
      </c>
      <c r="E4" s="24" t="s">
        <v>6</v>
      </c>
      <c r="F4" s="24" t="s">
        <v>7</v>
      </c>
      <c r="G4" s="24" t="s">
        <v>8</v>
      </c>
      <c r="H4" s="25" t="s">
        <v>901</v>
      </c>
    </row>
    <row r="5" spans="1:9" ht="12.75" customHeight="1" x14ac:dyDescent="0.2">
      <c r="A5" s="27"/>
      <c r="B5" s="27"/>
      <c r="C5" s="28" t="s">
        <v>9</v>
      </c>
      <c r="D5" s="27"/>
      <c r="E5" s="27"/>
      <c r="F5" s="27"/>
      <c r="G5" s="27"/>
      <c r="H5" s="29" t="s">
        <v>143</v>
      </c>
    </row>
    <row r="6" spans="1:9" ht="12.75" customHeight="1" x14ac:dyDescent="0.2">
      <c r="A6" s="30"/>
      <c r="B6" s="31"/>
      <c r="C6" s="31" t="s">
        <v>10</v>
      </c>
      <c r="D6" s="31"/>
      <c r="E6" s="32"/>
      <c r="F6" s="33"/>
      <c r="G6" s="34"/>
      <c r="H6" s="29" t="s">
        <v>143</v>
      </c>
    </row>
    <row r="7" spans="1:9" ht="12.75" customHeight="1" x14ac:dyDescent="0.2">
      <c r="A7" s="35">
        <v>1</v>
      </c>
      <c r="B7" s="22" t="s">
        <v>321</v>
      </c>
      <c r="C7" s="22" t="s">
        <v>322</v>
      </c>
      <c r="D7" s="22" t="s">
        <v>33</v>
      </c>
      <c r="E7" s="36">
        <v>586066</v>
      </c>
      <c r="F7" s="37">
        <v>5573.4876599999998</v>
      </c>
      <c r="G7" s="38">
        <v>6.1692589999999999E-2</v>
      </c>
      <c r="H7" s="29" t="s">
        <v>143</v>
      </c>
    </row>
    <row r="8" spans="1:9" ht="12.75" customHeight="1" x14ac:dyDescent="0.2">
      <c r="A8" s="35">
        <v>2</v>
      </c>
      <c r="B8" s="22" t="s">
        <v>31</v>
      </c>
      <c r="C8" s="22" t="s">
        <v>32</v>
      </c>
      <c r="D8" s="22" t="s">
        <v>33</v>
      </c>
      <c r="E8" s="36">
        <v>284269</v>
      </c>
      <c r="F8" s="37">
        <v>3831.9461200000001</v>
      </c>
      <c r="G8" s="38">
        <v>4.241557E-2</v>
      </c>
      <c r="H8" s="29" t="s">
        <v>143</v>
      </c>
    </row>
    <row r="9" spans="1:9" ht="12.75" customHeight="1" x14ac:dyDescent="0.2">
      <c r="A9" s="35">
        <v>3</v>
      </c>
      <c r="B9" s="22" t="s">
        <v>17</v>
      </c>
      <c r="C9" s="22" t="s">
        <v>18</v>
      </c>
      <c r="D9" s="22" t="s">
        <v>19</v>
      </c>
      <c r="E9" s="36">
        <v>262852</v>
      </c>
      <c r="F9" s="37">
        <v>3585.3012800000001</v>
      </c>
      <c r="G9" s="38">
        <v>3.9685480000000002E-2</v>
      </c>
      <c r="H9" s="29" t="s">
        <v>143</v>
      </c>
    </row>
    <row r="10" spans="1:9" ht="12.75" customHeight="1" x14ac:dyDescent="0.2">
      <c r="A10" s="35">
        <v>4</v>
      </c>
      <c r="B10" s="22" t="s">
        <v>325</v>
      </c>
      <c r="C10" s="22" t="s">
        <v>326</v>
      </c>
      <c r="D10" s="22" t="s">
        <v>215</v>
      </c>
      <c r="E10" s="36">
        <v>196130</v>
      </c>
      <c r="F10" s="37">
        <v>2827.8023400000002</v>
      </c>
      <c r="G10" s="38">
        <v>3.1300769999999999E-2</v>
      </c>
      <c r="H10" s="29" t="s">
        <v>143</v>
      </c>
    </row>
    <row r="11" spans="1:9" ht="12.75" customHeight="1" x14ac:dyDescent="0.2">
      <c r="A11" s="35">
        <v>5</v>
      </c>
      <c r="B11" s="22" t="s">
        <v>861</v>
      </c>
      <c r="C11" s="22" t="s">
        <v>862</v>
      </c>
      <c r="D11" s="22" t="s">
        <v>138</v>
      </c>
      <c r="E11" s="36">
        <v>33059</v>
      </c>
      <c r="F11" s="37">
        <v>2331.3206799999998</v>
      </c>
      <c r="G11" s="38">
        <v>2.580524E-2</v>
      </c>
      <c r="H11" s="29" t="s">
        <v>143</v>
      </c>
    </row>
    <row r="12" spans="1:9" ht="12.75" customHeight="1" x14ac:dyDescent="0.2">
      <c r="A12" s="35">
        <v>6</v>
      </c>
      <c r="B12" s="22" t="s">
        <v>26</v>
      </c>
      <c r="C12" s="22" t="s">
        <v>27</v>
      </c>
      <c r="D12" s="22" t="s">
        <v>28</v>
      </c>
      <c r="E12" s="36">
        <v>546451</v>
      </c>
      <c r="F12" s="37">
        <v>2207.3888145000001</v>
      </c>
      <c r="G12" s="38">
        <v>2.4433449999999999E-2</v>
      </c>
      <c r="H12" s="29" t="s">
        <v>143</v>
      </c>
    </row>
    <row r="13" spans="1:9" ht="12.75" customHeight="1" x14ac:dyDescent="0.2">
      <c r="A13" s="35">
        <v>7</v>
      </c>
      <c r="B13" s="22" t="s">
        <v>863</v>
      </c>
      <c r="C13" s="22" t="s">
        <v>864</v>
      </c>
      <c r="D13" s="22" t="s">
        <v>865</v>
      </c>
      <c r="E13" s="36">
        <v>63141</v>
      </c>
      <c r="F13" s="37">
        <v>2136.6914400000001</v>
      </c>
      <c r="G13" s="38">
        <v>2.3650910000000001E-2</v>
      </c>
      <c r="H13" s="29" t="s">
        <v>143</v>
      </c>
    </row>
    <row r="14" spans="1:9" ht="12.75" customHeight="1" x14ac:dyDescent="0.2">
      <c r="A14" s="35">
        <v>8</v>
      </c>
      <c r="B14" s="22" t="s">
        <v>248</v>
      </c>
      <c r="C14" s="22" t="s">
        <v>249</v>
      </c>
      <c r="D14" s="22" t="s">
        <v>33</v>
      </c>
      <c r="E14" s="36">
        <v>273459</v>
      </c>
      <c r="F14" s="37">
        <v>2000.0791260000001</v>
      </c>
      <c r="G14" s="38">
        <v>2.2138749999999999E-2</v>
      </c>
      <c r="H14" s="29" t="s">
        <v>143</v>
      </c>
    </row>
    <row r="15" spans="1:9" ht="12.75" customHeight="1" x14ac:dyDescent="0.2">
      <c r="A15" s="35">
        <v>9</v>
      </c>
      <c r="B15" s="22" t="s">
        <v>866</v>
      </c>
      <c r="C15" s="22" t="s">
        <v>867</v>
      </c>
      <c r="D15" s="22" t="s">
        <v>194</v>
      </c>
      <c r="E15" s="36">
        <v>74828</v>
      </c>
      <c r="F15" s="37">
        <v>1990.2003159999999</v>
      </c>
      <c r="G15" s="38">
        <v>2.2029400000000001E-2</v>
      </c>
      <c r="H15" s="29" t="s">
        <v>143</v>
      </c>
    </row>
    <row r="16" spans="1:9" ht="12.75" customHeight="1" x14ac:dyDescent="0.2">
      <c r="A16" s="35">
        <v>10</v>
      </c>
      <c r="B16" s="22" t="s">
        <v>11</v>
      </c>
      <c r="C16" s="22" t="s">
        <v>12</v>
      </c>
      <c r="D16" s="22" t="s">
        <v>13</v>
      </c>
      <c r="E16" s="36">
        <v>102877</v>
      </c>
      <c r="F16" s="37">
        <v>1932.441568</v>
      </c>
      <c r="G16" s="38">
        <v>2.1390079999999999E-2</v>
      </c>
      <c r="H16" s="29" t="s">
        <v>143</v>
      </c>
    </row>
    <row r="17" spans="1:8" ht="12.75" customHeight="1" x14ac:dyDescent="0.2">
      <c r="A17" s="35">
        <v>11</v>
      </c>
      <c r="B17" s="22" t="s">
        <v>868</v>
      </c>
      <c r="C17" s="22" t="s">
        <v>869</v>
      </c>
      <c r="D17" s="22" t="s">
        <v>270</v>
      </c>
      <c r="E17" s="36">
        <v>13927</v>
      </c>
      <c r="F17" s="37">
        <v>1855.91202</v>
      </c>
      <c r="G17" s="38">
        <v>2.0542979999999999E-2</v>
      </c>
      <c r="H17" s="29" t="s">
        <v>143</v>
      </c>
    </row>
    <row r="18" spans="1:8" ht="12.75" customHeight="1" x14ac:dyDescent="0.2">
      <c r="A18" s="35">
        <v>12</v>
      </c>
      <c r="B18" s="22" t="s">
        <v>870</v>
      </c>
      <c r="C18" s="22" t="s">
        <v>871</v>
      </c>
      <c r="D18" s="22" t="s">
        <v>428</v>
      </c>
      <c r="E18" s="36">
        <v>347328</v>
      </c>
      <c r="F18" s="37">
        <v>1675.6839359999999</v>
      </c>
      <c r="G18" s="38">
        <v>1.8548039999999998E-2</v>
      </c>
      <c r="H18" s="29" t="s">
        <v>143</v>
      </c>
    </row>
    <row r="19" spans="1:8" ht="12.75" customHeight="1" x14ac:dyDescent="0.2">
      <c r="A19" s="35">
        <v>13</v>
      </c>
      <c r="B19" s="22" t="s">
        <v>872</v>
      </c>
      <c r="C19" s="22" t="s">
        <v>873</v>
      </c>
      <c r="D19" s="22" t="s">
        <v>33</v>
      </c>
      <c r="E19" s="36">
        <v>1330441</v>
      </c>
      <c r="F19" s="37">
        <v>1641.8972381000001</v>
      </c>
      <c r="G19" s="38">
        <v>1.8174059999999999E-2</v>
      </c>
      <c r="H19" s="29" t="s">
        <v>143</v>
      </c>
    </row>
    <row r="20" spans="1:8" ht="12.75" customHeight="1" x14ac:dyDescent="0.2">
      <c r="A20" s="35">
        <v>14</v>
      </c>
      <c r="B20" s="22" t="s">
        <v>809</v>
      </c>
      <c r="C20" s="22" t="s">
        <v>810</v>
      </c>
      <c r="D20" s="22" t="s">
        <v>33</v>
      </c>
      <c r="E20" s="36">
        <v>1141200</v>
      </c>
      <c r="F20" s="37">
        <v>1580.6761200000001</v>
      </c>
      <c r="G20" s="38">
        <v>1.749641E-2</v>
      </c>
      <c r="H20" s="29" t="s">
        <v>143</v>
      </c>
    </row>
    <row r="21" spans="1:8" ht="12.75" customHeight="1" x14ac:dyDescent="0.2">
      <c r="A21" s="35">
        <v>15</v>
      </c>
      <c r="B21" s="22" t="s">
        <v>82</v>
      </c>
      <c r="C21" s="22" t="s">
        <v>83</v>
      </c>
      <c r="D21" s="22" t="s">
        <v>13</v>
      </c>
      <c r="E21" s="36">
        <v>441895</v>
      </c>
      <c r="F21" s="37">
        <v>1515.257955</v>
      </c>
      <c r="G21" s="38">
        <v>1.67723E-2</v>
      </c>
      <c r="H21" s="29" t="s">
        <v>143</v>
      </c>
    </row>
    <row r="22" spans="1:8" ht="12.75" customHeight="1" x14ac:dyDescent="0.2">
      <c r="A22" s="35">
        <v>16</v>
      </c>
      <c r="B22" s="22" t="s">
        <v>73</v>
      </c>
      <c r="C22" s="22" t="s">
        <v>74</v>
      </c>
      <c r="D22" s="22" t="s">
        <v>75</v>
      </c>
      <c r="E22" s="36">
        <v>854636</v>
      </c>
      <c r="F22" s="37">
        <v>1506.6378044000001</v>
      </c>
      <c r="G22" s="38">
        <v>1.6676880000000002E-2</v>
      </c>
      <c r="H22" s="29" t="s">
        <v>143</v>
      </c>
    </row>
    <row r="23" spans="1:8" ht="12.75" customHeight="1" x14ac:dyDescent="0.2">
      <c r="A23" s="35">
        <v>17</v>
      </c>
      <c r="B23" s="22" t="s">
        <v>59</v>
      </c>
      <c r="C23" s="22" t="s">
        <v>60</v>
      </c>
      <c r="D23" s="22" t="s">
        <v>61</v>
      </c>
      <c r="E23" s="36">
        <v>627188</v>
      </c>
      <c r="F23" s="37">
        <v>1502.11526</v>
      </c>
      <c r="G23" s="38">
        <v>1.662682E-2</v>
      </c>
      <c r="H23" s="29" t="s">
        <v>143</v>
      </c>
    </row>
    <row r="24" spans="1:8" ht="12.75" customHeight="1" x14ac:dyDescent="0.2">
      <c r="A24" s="35">
        <v>18</v>
      </c>
      <c r="B24" s="22" t="s">
        <v>673</v>
      </c>
      <c r="C24" s="22" t="s">
        <v>674</v>
      </c>
      <c r="D24" s="22" t="s">
        <v>675</v>
      </c>
      <c r="E24" s="36">
        <v>384392</v>
      </c>
      <c r="F24" s="37">
        <v>1498.936604</v>
      </c>
      <c r="G24" s="38">
        <v>1.6591640000000001E-2</v>
      </c>
      <c r="H24" s="29" t="s">
        <v>143</v>
      </c>
    </row>
    <row r="25" spans="1:8" ht="12.75" customHeight="1" x14ac:dyDescent="0.2">
      <c r="A25" s="35">
        <v>19</v>
      </c>
      <c r="B25" s="22" t="s">
        <v>874</v>
      </c>
      <c r="C25" s="22" t="s">
        <v>875</v>
      </c>
      <c r="D25" s="22" t="s">
        <v>75</v>
      </c>
      <c r="E25" s="36">
        <v>533047</v>
      </c>
      <c r="F25" s="37">
        <v>1486.1350359999999</v>
      </c>
      <c r="G25" s="38">
        <v>1.644994E-2</v>
      </c>
      <c r="H25" s="29" t="s">
        <v>143</v>
      </c>
    </row>
    <row r="26" spans="1:8" ht="12.75" customHeight="1" x14ac:dyDescent="0.2">
      <c r="A26" s="35">
        <v>20</v>
      </c>
      <c r="B26" s="22" t="s">
        <v>876</v>
      </c>
      <c r="C26" s="22" t="s">
        <v>877</v>
      </c>
      <c r="D26" s="22" t="s">
        <v>191</v>
      </c>
      <c r="E26" s="36">
        <v>593939</v>
      </c>
      <c r="F26" s="37">
        <v>1480.5711392000001</v>
      </c>
      <c r="G26" s="38">
        <v>1.6388349999999999E-2</v>
      </c>
      <c r="H26" s="29" t="s">
        <v>143</v>
      </c>
    </row>
    <row r="27" spans="1:8" ht="12.75" customHeight="1" x14ac:dyDescent="0.2">
      <c r="A27" s="35">
        <v>21</v>
      </c>
      <c r="B27" s="22" t="s">
        <v>682</v>
      </c>
      <c r="C27" s="22" t="s">
        <v>683</v>
      </c>
      <c r="D27" s="22" t="s">
        <v>191</v>
      </c>
      <c r="E27" s="36">
        <v>392153</v>
      </c>
      <c r="F27" s="37">
        <v>1462.1424605</v>
      </c>
      <c r="G27" s="38">
        <v>1.6184359999999998E-2</v>
      </c>
      <c r="H27" s="29" t="s">
        <v>143</v>
      </c>
    </row>
    <row r="28" spans="1:8" ht="12.75" customHeight="1" x14ac:dyDescent="0.2">
      <c r="A28" s="35">
        <v>22</v>
      </c>
      <c r="B28" s="22" t="s">
        <v>441</v>
      </c>
      <c r="C28" s="22" t="s">
        <v>442</v>
      </c>
      <c r="D28" s="22" t="s">
        <v>215</v>
      </c>
      <c r="E28" s="36">
        <v>605885</v>
      </c>
      <c r="F28" s="37">
        <v>1450.3069244999999</v>
      </c>
      <c r="G28" s="38">
        <v>1.6053359999999999E-2</v>
      </c>
      <c r="H28" s="29" t="s">
        <v>143</v>
      </c>
    </row>
    <row r="29" spans="1:8" ht="12.75" customHeight="1" x14ac:dyDescent="0.2">
      <c r="A29" s="35">
        <v>23</v>
      </c>
      <c r="B29" s="22" t="s">
        <v>878</v>
      </c>
      <c r="C29" s="22" t="s">
        <v>879</v>
      </c>
      <c r="D29" s="22" t="s">
        <v>223</v>
      </c>
      <c r="E29" s="36">
        <v>151041</v>
      </c>
      <c r="F29" s="37">
        <v>1311.5645235</v>
      </c>
      <c r="G29" s="38">
        <v>1.451763E-2</v>
      </c>
      <c r="H29" s="29" t="s">
        <v>143</v>
      </c>
    </row>
    <row r="30" spans="1:8" ht="12.75" customHeight="1" x14ac:dyDescent="0.2">
      <c r="A30" s="35">
        <v>24</v>
      </c>
      <c r="B30" s="22" t="s">
        <v>36</v>
      </c>
      <c r="C30" s="22" t="s">
        <v>37</v>
      </c>
      <c r="D30" s="22" t="s">
        <v>38</v>
      </c>
      <c r="E30" s="36">
        <v>44129</v>
      </c>
      <c r="F30" s="37">
        <v>1306.4390450000001</v>
      </c>
      <c r="G30" s="38">
        <v>1.4460890000000001E-2</v>
      </c>
      <c r="H30" s="29" t="s">
        <v>143</v>
      </c>
    </row>
    <row r="31" spans="1:8" ht="12.75" customHeight="1" x14ac:dyDescent="0.2">
      <c r="A31" s="35">
        <v>25</v>
      </c>
      <c r="B31" s="22" t="s">
        <v>880</v>
      </c>
      <c r="C31" s="22" t="s">
        <v>881</v>
      </c>
      <c r="D31" s="22" t="s">
        <v>138</v>
      </c>
      <c r="E31" s="36">
        <v>72318</v>
      </c>
      <c r="F31" s="37">
        <v>1294.2029279999999</v>
      </c>
      <c r="G31" s="38">
        <v>1.432545E-2</v>
      </c>
      <c r="H31" s="29" t="s">
        <v>143</v>
      </c>
    </row>
    <row r="32" spans="1:8" ht="12.75" customHeight="1" x14ac:dyDescent="0.2">
      <c r="A32" s="35">
        <v>26</v>
      </c>
      <c r="B32" s="22" t="s">
        <v>882</v>
      </c>
      <c r="C32" s="22" t="s">
        <v>883</v>
      </c>
      <c r="D32" s="22" t="s">
        <v>191</v>
      </c>
      <c r="E32" s="36">
        <v>442537</v>
      </c>
      <c r="F32" s="37">
        <v>1293.7569195000001</v>
      </c>
      <c r="G32" s="38">
        <v>1.432052E-2</v>
      </c>
      <c r="H32" s="29" t="s">
        <v>143</v>
      </c>
    </row>
    <row r="33" spans="1:8" ht="12.75" customHeight="1" x14ac:dyDescent="0.2">
      <c r="A33" s="35">
        <v>27</v>
      </c>
      <c r="B33" s="22" t="s">
        <v>884</v>
      </c>
      <c r="C33" s="22" t="s">
        <v>885</v>
      </c>
      <c r="D33" s="22" t="s">
        <v>194</v>
      </c>
      <c r="E33" s="36">
        <v>63819</v>
      </c>
      <c r="F33" s="37">
        <v>1246.1936129999999</v>
      </c>
      <c r="G33" s="38">
        <v>1.379404E-2</v>
      </c>
      <c r="H33" s="29" t="s">
        <v>143</v>
      </c>
    </row>
    <row r="34" spans="1:8" ht="12.75" customHeight="1" x14ac:dyDescent="0.2">
      <c r="A34" s="35">
        <v>28</v>
      </c>
      <c r="B34" s="22" t="s">
        <v>694</v>
      </c>
      <c r="C34" s="22" t="s">
        <v>695</v>
      </c>
      <c r="D34" s="22" t="s">
        <v>223</v>
      </c>
      <c r="E34" s="36">
        <v>22006</v>
      </c>
      <c r="F34" s="37">
        <v>1217.4819500000001</v>
      </c>
      <c r="G34" s="38">
        <v>1.3476230000000001E-2</v>
      </c>
      <c r="H34" s="29" t="s">
        <v>143</v>
      </c>
    </row>
    <row r="35" spans="1:8" ht="12.75" customHeight="1" x14ac:dyDescent="0.2">
      <c r="A35" s="35">
        <v>29</v>
      </c>
      <c r="B35" s="22" t="s">
        <v>273</v>
      </c>
      <c r="C35" s="22" t="s">
        <v>274</v>
      </c>
      <c r="D35" s="22" t="s">
        <v>275</v>
      </c>
      <c r="E35" s="36">
        <v>77199</v>
      </c>
      <c r="F35" s="37">
        <v>1216.579041</v>
      </c>
      <c r="G35" s="38">
        <v>1.3466240000000001E-2</v>
      </c>
      <c r="H35" s="29" t="s">
        <v>143</v>
      </c>
    </row>
    <row r="36" spans="1:8" ht="12.75" customHeight="1" x14ac:dyDescent="0.2">
      <c r="A36" s="35">
        <v>30</v>
      </c>
      <c r="B36" s="22" t="s">
        <v>337</v>
      </c>
      <c r="C36" s="22" t="s">
        <v>338</v>
      </c>
      <c r="D36" s="22" t="s">
        <v>223</v>
      </c>
      <c r="E36" s="36">
        <v>15209</v>
      </c>
      <c r="F36" s="37">
        <v>1185.69364</v>
      </c>
      <c r="G36" s="38">
        <v>1.312437E-2</v>
      </c>
      <c r="H36" s="29" t="s">
        <v>143</v>
      </c>
    </row>
    <row r="37" spans="1:8" ht="12.75" customHeight="1" x14ac:dyDescent="0.2">
      <c r="A37" s="35">
        <v>31</v>
      </c>
      <c r="B37" s="22" t="s">
        <v>638</v>
      </c>
      <c r="C37" s="22" t="s">
        <v>639</v>
      </c>
      <c r="D37" s="22" t="s">
        <v>28</v>
      </c>
      <c r="E37" s="36">
        <v>79362</v>
      </c>
      <c r="F37" s="37">
        <v>1185.0333840000001</v>
      </c>
      <c r="G37" s="38">
        <v>1.311706E-2</v>
      </c>
      <c r="H37" s="29" t="s">
        <v>143</v>
      </c>
    </row>
    <row r="38" spans="1:8" ht="12.75" customHeight="1" x14ac:dyDescent="0.2">
      <c r="A38" s="35">
        <v>32</v>
      </c>
      <c r="B38" s="22" t="s">
        <v>260</v>
      </c>
      <c r="C38" s="22" t="s">
        <v>261</v>
      </c>
      <c r="D38" s="22" t="s">
        <v>223</v>
      </c>
      <c r="E38" s="36">
        <v>132431</v>
      </c>
      <c r="F38" s="37">
        <v>1183.4034160000001</v>
      </c>
      <c r="G38" s="38">
        <v>1.3099019999999999E-2</v>
      </c>
      <c r="H38" s="29" t="s">
        <v>143</v>
      </c>
    </row>
    <row r="39" spans="1:8" ht="12.75" customHeight="1" x14ac:dyDescent="0.2">
      <c r="A39" s="35">
        <v>33</v>
      </c>
      <c r="B39" s="22" t="s">
        <v>827</v>
      </c>
      <c r="C39" s="22" t="s">
        <v>828</v>
      </c>
      <c r="D39" s="22" t="s">
        <v>188</v>
      </c>
      <c r="E39" s="36">
        <v>67766</v>
      </c>
      <c r="F39" s="37">
        <v>1177.5020159999999</v>
      </c>
      <c r="G39" s="38">
        <v>1.30337E-2</v>
      </c>
      <c r="H39" s="29" t="s">
        <v>143</v>
      </c>
    </row>
    <row r="40" spans="1:8" ht="12.75" customHeight="1" x14ac:dyDescent="0.2">
      <c r="A40" s="35">
        <v>34</v>
      </c>
      <c r="B40" s="22" t="s">
        <v>78</v>
      </c>
      <c r="C40" s="22" t="s">
        <v>79</v>
      </c>
      <c r="D40" s="22" t="s">
        <v>38</v>
      </c>
      <c r="E40" s="36">
        <v>6293</v>
      </c>
      <c r="F40" s="37">
        <v>1132.8029300000001</v>
      </c>
      <c r="G40" s="38">
        <v>1.253893E-2</v>
      </c>
      <c r="H40" s="29" t="s">
        <v>143</v>
      </c>
    </row>
    <row r="41" spans="1:8" ht="12.75" customHeight="1" x14ac:dyDescent="0.2">
      <c r="A41" s="35">
        <v>35</v>
      </c>
      <c r="B41" s="22" t="s">
        <v>519</v>
      </c>
      <c r="C41" s="22" t="s">
        <v>520</v>
      </c>
      <c r="D41" s="22" t="s">
        <v>191</v>
      </c>
      <c r="E41" s="36">
        <v>376999</v>
      </c>
      <c r="F41" s="37">
        <v>1105.3610679999999</v>
      </c>
      <c r="G41" s="38">
        <v>1.223517E-2</v>
      </c>
      <c r="H41" s="29" t="s">
        <v>143</v>
      </c>
    </row>
    <row r="42" spans="1:8" ht="12.75" customHeight="1" x14ac:dyDescent="0.2">
      <c r="A42" s="35">
        <v>36</v>
      </c>
      <c r="B42" s="22" t="s">
        <v>221</v>
      </c>
      <c r="C42" s="22" t="s">
        <v>222</v>
      </c>
      <c r="D42" s="22" t="s">
        <v>223</v>
      </c>
      <c r="E42" s="36">
        <v>50293</v>
      </c>
      <c r="F42" s="37">
        <v>1026.0777860000001</v>
      </c>
      <c r="G42" s="38">
        <v>1.1357590000000001E-2</v>
      </c>
      <c r="H42" s="29" t="s">
        <v>143</v>
      </c>
    </row>
    <row r="43" spans="1:8" ht="12.75" customHeight="1" x14ac:dyDescent="0.2">
      <c r="A43" s="35">
        <v>37</v>
      </c>
      <c r="B43" s="22" t="s">
        <v>886</v>
      </c>
      <c r="C43" s="22" t="s">
        <v>887</v>
      </c>
      <c r="D43" s="22" t="s">
        <v>191</v>
      </c>
      <c r="E43" s="36">
        <v>28212</v>
      </c>
      <c r="F43" s="37">
        <v>868.11145199999999</v>
      </c>
      <c r="G43" s="38">
        <v>9.6090700000000008E-3</v>
      </c>
      <c r="H43" s="29" t="s">
        <v>143</v>
      </c>
    </row>
    <row r="44" spans="1:8" ht="12.75" customHeight="1" x14ac:dyDescent="0.2">
      <c r="A44" s="35">
        <v>38</v>
      </c>
      <c r="B44" s="22" t="s">
        <v>888</v>
      </c>
      <c r="C44" s="22" t="s">
        <v>889</v>
      </c>
      <c r="D44" s="22" t="s">
        <v>22</v>
      </c>
      <c r="E44" s="36">
        <v>299570</v>
      </c>
      <c r="F44" s="37">
        <v>854.73312399999998</v>
      </c>
      <c r="G44" s="38">
        <v>9.4609900000000007E-3</v>
      </c>
      <c r="H44" s="29" t="s">
        <v>143</v>
      </c>
    </row>
    <row r="45" spans="1:8" ht="12.75" customHeight="1" x14ac:dyDescent="0.2">
      <c r="A45" s="35">
        <v>39</v>
      </c>
      <c r="B45" s="22" t="s">
        <v>513</v>
      </c>
      <c r="C45" s="22" t="s">
        <v>514</v>
      </c>
      <c r="D45" s="22" t="s">
        <v>239</v>
      </c>
      <c r="E45" s="36">
        <v>15311</v>
      </c>
      <c r="F45" s="37">
        <v>837.89447500000006</v>
      </c>
      <c r="G45" s="38">
        <v>9.2745999999999992E-3</v>
      </c>
      <c r="H45" s="29" t="s">
        <v>143</v>
      </c>
    </row>
    <row r="46" spans="1:8" ht="12.75" customHeight="1" x14ac:dyDescent="0.2">
      <c r="A46" s="35">
        <v>40</v>
      </c>
      <c r="B46" s="22" t="s">
        <v>890</v>
      </c>
      <c r="C46" s="22" t="s">
        <v>891</v>
      </c>
      <c r="D46" s="22" t="s">
        <v>230</v>
      </c>
      <c r="E46" s="36">
        <v>28962</v>
      </c>
      <c r="F46" s="37">
        <v>836.393598</v>
      </c>
      <c r="G46" s="38">
        <v>9.2579900000000007E-3</v>
      </c>
      <c r="H46" s="29" t="s">
        <v>143</v>
      </c>
    </row>
    <row r="47" spans="1:8" ht="12.75" customHeight="1" x14ac:dyDescent="0.2">
      <c r="A47" s="35">
        <v>41</v>
      </c>
      <c r="B47" s="22" t="s">
        <v>335</v>
      </c>
      <c r="C47" s="22" t="s">
        <v>336</v>
      </c>
      <c r="D47" s="22" t="s">
        <v>28</v>
      </c>
      <c r="E47" s="36">
        <v>17567</v>
      </c>
      <c r="F47" s="37">
        <v>833.81765499999995</v>
      </c>
      <c r="G47" s="38">
        <v>9.22948E-3</v>
      </c>
      <c r="H47" s="29" t="s">
        <v>143</v>
      </c>
    </row>
    <row r="48" spans="1:8" ht="12.75" customHeight="1" x14ac:dyDescent="0.2">
      <c r="A48" s="35">
        <v>42</v>
      </c>
      <c r="B48" s="22" t="s">
        <v>892</v>
      </c>
      <c r="C48" s="22" t="s">
        <v>893</v>
      </c>
      <c r="D48" s="22" t="s">
        <v>191</v>
      </c>
      <c r="E48" s="36">
        <v>370973</v>
      </c>
      <c r="F48" s="37">
        <v>829.60691989999998</v>
      </c>
      <c r="G48" s="38">
        <v>9.1828699999999992E-3</v>
      </c>
      <c r="H48" s="29" t="s">
        <v>143</v>
      </c>
    </row>
    <row r="49" spans="1:8" ht="12.75" customHeight="1" x14ac:dyDescent="0.2">
      <c r="A49" s="35">
        <v>43</v>
      </c>
      <c r="B49" s="22" t="s">
        <v>351</v>
      </c>
      <c r="C49" s="22" t="s">
        <v>352</v>
      </c>
      <c r="D49" s="22" t="s">
        <v>53</v>
      </c>
      <c r="E49" s="36">
        <v>263157</v>
      </c>
      <c r="F49" s="37">
        <v>829.60244250000005</v>
      </c>
      <c r="G49" s="38">
        <v>9.1828199999999995E-3</v>
      </c>
      <c r="H49" s="29" t="s">
        <v>143</v>
      </c>
    </row>
    <row r="50" spans="1:8" ht="12.75" customHeight="1" x14ac:dyDescent="0.2">
      <c r="A50" s="35">
        <v>44</v>
      </c>
      <c r="B50" s="22" t="s">
        <v>192</v>
      </c>
      <c r="C50" s="22" t="s">
        <v>193</v>
      </c>
      <c r="D50" s="22" t="s">
        <v>194</v>
      </c>
      <c r="E50" s="36">
        <v>41830</v>
      </c>
      <c r="F50" s="37">
        <v>799.49679000000003</v>
      </c>
      <c r="G50" s="38">
        <v>8.8495799999999993E-3</v>
      </c>
      <c r="H50" s="29" t="s">
        <v>143</v>
      </c>
    </row>
    <row r="51" spans="1:8" ht="12.75" customHeight="1" x14ac:dyDescent="0.2">
      <c r="A51" s="35">
        <v>45</v>
      </c>
      <c r="B51" s="22" t="s">
        <v>894</v>
      </c>
      <c r="C51" s="22" t="s">
        <v>895</v>
      </c>
      <c r="D51" s="22" t="s">
        <v>194</v>
      </c>
      <c r="E51" s="36">
        <v>59581</v>
      </c>
      <c r="F51" s="37">
        <v>797.78958999999998</v>
      </c>
      <c r="G51" s="38">
        <v>8.8306800000000005E-3</v>
      </c>
      <c r="H51" s="29" t="s">
        <v>143</v>
      </c>
    </row>
    <row r="52" spans="1:8" ht="12.75" customHeight="1" x14ac:dyDescent="0.2">
      <c r="A52" s="35">
        <v>46</v>
      </c>
      <c r="B52" s="22" t="s">
        <v>642</v>
      </c>
      <c r="C52" s="22" t="s">
        <v>643</v>
      </c>
      <c r="D52" s="22" t="s">
        <v>33</v>
      </c>
      <c r="E52" s="36">
        <v>644438</v>
      </c>
      <c r="F52" s="37">
        <v>797.23424980000004</v>
      </c>
      <c r="G52" s="38">
        <v>8.8245400000000005E-3</v>
      </c>
      <c r="H52" s="29" t="s">
        <v>143</v>
      </c>
    </row>
    <row r="53" spans="1:8" ht="12.75" customHeight="1" x14ac:dyDescent="0.2">
      <c r="A53" s="35">
        <v>47</v>
      </c>
      <c r="B53" s="22" t="s">
        <v>216</v>
      </c>
      <c r="C53" s="22" t="s">
        <v>217</v>
      </c>
      <c r="D53" s="22" t="s">
        <v>215</v>
      </c>
      <c r="E53" s="36">
        <v>50048</v>
      </c>
      <c r="F53" s="37">
        <v>796.26368000000002</v>
      </c>
      <c r="G53" s="38">
        <v>8.8137900000000002E-3</v>
      </c>
      <c r="H53" s="29" t="s">
        <v>143</v>
      </c>
    </row>
    <row r="54" spans="1:8" ht="12.75" customHeight="1" x14ac:dyDescent="0.2">
      <c r="A54" s="35">
        <v>48</v>
      </c>
      <c r="B54" s="22" t="s">
        <v>435</v>
      </c>
      <c r="C54" s="22" t="s">
        <v>436</v>
      </c>
      <c r="D54" s="22" t="s">
        <v>194</v>
      </c>
      <c r="E54" s="36">
        <v>52752</v>
      </c>
      <c r="F54" s="37">
        <v>793.02081599999997</v>
      </c>
      <c r="G54" s="38">
        <v>8.7778999999999999E-3</v>
      </c>
      <c r="H54" s="29" t="s">
        <v>143</v>
      </c>
    </row>
    <row r="55" spans="1:8" ht="12.75" customHeight="1" x14ac:dyDescent="0.2">
      <c r="A55" s="35">
        <v>49</v>
      </c>
      <c r="B55" s="22" t="s">
        <v>648</v>
      </c>
      <c r="C55" s="22" t="s">
        <v>649</v>
      </c>
      <c r="D55" s="22" t="s">
        <v>191</v>
      </c>
      <c r="E55" s="36">
        <v>39450</v>
      </c>
      <c r="F55" s="37">
        <v>791.52480000000003</v>
      </c>
      <c r="G55" s="38">
        <v>8.7613399999999994E-3</v>
      </c>
      <c r="H55" s="29" t="s">
        <v>143</v>
      </c>
    </row>
    <row r="56" spans="1:8" ht="12.75" customHeight="1" x14ac:dyDescent="0.2">
      <c r="A56" s="35">
        <v>50</v>
      </c>
      <c r="B56" s="22" t="s">
        <v>732</v>
      </c>
      <c r="C56" s="22" t="s">
        <v>733</v>
      </c>
      <c r="D56" s="22" t="s">
        <v>188</v>
      </c>
      <c r="E56" s="36">
        <v>10533</v>
      </c>
      <c r="F56" s="37">
        <v>780.38996999999995</v>
      </c>
      <c r="G56" s="38">
        <v>8.6380899999999993E-3</v>
      </c>
      <c r="H56" s="29" t="s">
        <v>143</v>
      </c>
    </row>
    <row r="57" spans="1:8" ht="12.75" customHeight="1" x14ac:dyDescent="0.2">
      <c r="A57" s="35">
        <v>51</v>
      </c>
      <c r="B57" s="22" t="s">
        <v>896</v>
      </c>
      <c r="C57" s="22" t="s">
        <v>897</v>
      </c>
      <c r="D57" s="22" t="s">
        <v>133</v>
      </c>
      <c r="E57" s="36">
        <v>577143</v>
      </c>
      <c r="F57" s="37">
        <v>776.14190640000004</v>
      </c>
      <c r="G57" s="38">
        <v>8.5910699999999993E-3</v>
      </c>
      <c r="H57" s="29" t="s">
        <v>143</v>
      </c>
    </row>
    <row r="58" spans="1:8" ht="12.75" customHeight="1" x14ac:dyDescent="0.2">
      <c r="A58" s="35">
        <v>52</v>
      </c>
      <c r="B58" s="22" t="s">
        <v>183</v>
      </c>
      <c r="C58" s="22" t="s">
        <v>184</v>
      </c>
      <c r="D58" s="22" t="s">
        <v>185</v>
      </c>
      <c r="E58" s="36">
        <v>34468</v>
      </c>
      <c r="F58" s="37">
        <v>774.97851200000002</v>
      </c>
      <c r="G58" s="38">
        <v>8.5781899999999994E-3</v>
      </c>
      <c r="H58" s="29" t="s">
        <v>143</v>
      </c>
    </row>
    <row r="59" spans="1:8" ht="12.75" customHeight="1" x14ac:dyDescent="0.2">
      <c r="A59" s="35">
        <v>53</v>
      </c>
      <c r="B59" s="22" t="s">
        <v>898</v>
      </c>
      <c r="C59" s="22" t="s">
        <v>899</v>
      </c>
      <c r="D59" s="22" t="s">
        <v>900</v>
      </c>
      <c r="E59" s="36">
        <v>1005253</v>
      </c>
      <c r="F59" s="37">
        <v>767.51066549999996</v>
      </c>
      <c r="G59" s="38">
        <v>8.4955299999999994E-3</v>
      </c>
      <c r="H59" s="29" t="s">
        <v>143</v>
      </c>
    </row>
    <row r="60" spans="1:8" ht="12.75" customHeight="1" x14ac:dyDescent="0.2">
      <c r="A60" s="35">
        <v>54</v>
      </c>
      <c r="B60" s="22" t="s">
        <v>740</v>
      </c>
      <c r="C60" s="22" t="s">
        <v>741</v>
      </c>
      <c r="D60" s="22" t="s">
        <v>275</v>
      </c>
      <c r="E60" s="36">
        <v>40481</v>
      </c>
      <c r="F60" s="37">
        <v>765.00993800000003</v>
      </c>
      <c r="G60" s="38">
        <v>8.4678500000000007E-3</v>
      </c>
      <c r="H60" s="29" t="s">
        <v>143</v>
      </c>
    </row>
    <row r="61" spans="1:8" ht="12.75" customHeight="1" x14ac:dyDescent="0.2">
      <c r="A61" s="35">
        <v>55</v>
      </c>
      <c r="B61" s="22" t="s">
        <v>293</v>
      </c>
      <c r="C61" s="22" t="s">
        <v>294</v>
      </c>
      <c r="D61" s="22" t="s">
        <v>194</v>
      </c>
      <c r="E61" s="36">
        <v>77880</v>
      </c>
      <c r="F61" s="37">
        <v>764.70371999999998</v>
      </c>
      <c r="G61" s="38">
        <v>8.46446E-3</v>
      </c>
      <c r="H61" s="29" t="s">
        <v>143</v>
      </c>
    </row>
    <row r="62" spans="1:8" ht="12.75" customHeight="1" x14ac:dyDescent="0.2">
      <c r="A62" s="35">
        <v>56</v>
      </c>
      <c r="B62" s="22" t="s">
        <v>650</v>
      </c>
      <c r="C62" s="22" t="s">
        <v>651</v>
      </c>
      <c r="D62" s="22" t="s">
        <v>194</v>
      </c>
      <c r="E62" s="36">
        <v>13429</v>
      </c>
      <c r="F62" s="37">
        <v>764.04295500000001</v>
      </c>
      <c r="G62" s="38">
        <v>8.4571400000000001E-3</v>
      </c>
      <c r="H62" s="29" t="s">
        <v>143</v>
      </c>
    </row>
    <row r="63" spans="1:8" ht="12.75" customHeight="1" x14ac:dyDescent="0.2">
      <c r="A63" s="35">
        <v>57</v>
      </c>
      <c r="B63" s="22" t="s">
        <v>800</v>
      </c>
      <c r="C63" s="22" t="s">
        <v>801</v>
      </c>
      <c r="D63" s="22" t="s">
        <v>90</v>
      </c>
      <c r="E63" s="36">
        <v>66960</v>
      </c>
      <c r="F63" s="37">
        <v>760.53168000000005</v>
      </c>
      <c r="G63" s="38">
        <v>8.4182800000000002E-3</v>
      </c>
      <c r="H63" s="29" t="s">
        <v>143</v>
      </c>
    </row>
    <row r="64" spans="1:8" ht="12.75" customHeight="1" x14ac:dyDescent="0.2">
      <c r="A64" s="35">
        <v>58</v>
      </c>
      <c r="B64" s="22" t="s">
        <v>433</v>
      </c>
      <c r="C64" s="22" t="s">
        <v>434</v>
      </c>
      <c r="D64" s="22" t="s">
        <v>215</v>
      </c>
      <c r="E64" s="36">
        <v>25878</v>
      </c>
      <c r="F64" s="37">
        <v>747.46015199999999</v>
      </c>
      <c r="G64" s="38">
        <v>8.2735900000000008E-3</v>
      </c>
      <c r="H64" s="29" t="s">
        <v>143</v>
      </c>
    </row>
    <row r="65" spans="1:8" ht="12.75" customHeight="1" x14ac:dyDescent="0.2">
      <c r="A65" s="35">
        <v>59</v>
      </c>
      <c r="B65" s="22" t="s">
        <v>807</v>
      </c>
      <c r="C65" s="22" t="s">
        <v>808</v>
      </c>
      <c r="D65" s="22" t="s">
        <v>185</v>
      </c>
      <c r="E65" s="36">
        <v>112073</v>
      </c>
      <c r="F65" s="37">
        <v>734.97473400000001</v>
      </c>
      <c r="G65" s="38">
        <v>8.1353899999999993E-3</v>
      </c>
      <c r="H65" s="29" t="s">
        <v>143</v>
      </c>
    </row>
    <row r="66" spans="1:8" ht="12.75" customHeight="1" x14ac:dyDescent="0.2">
      <c r="A66" s="35">
        <v>60</v>
      </c>
      <c r="B66" s="22" t="s">
        <v>424</v>
      </c>
      <c r="C66" s="22" t="s">
        <v>425</v>
      </c>
      <c r="D66" s="22" t="s">
        <v>215</v>
      </c>
      <c r="E66" s="36">
        <v>52901</v>
      </c>
      <c r="F66" s="37">
        <v>732.73175100000003</v>
      </c>
      <c r="G66" s="38">
        <v>8.1105599999999993E-3</v>
      </c>
      <c r="H66" s="29" t="s">
        <v>143</v>
      </c>
    </row>
    <row r="67" spans="1:8" ht="12.75" customHeight="1" x14ac:dyDescent="0.2">
      <c r="A67" s="35">
        <v>61</v>
      </c>
      <c r="B67" s="22" t="s">
        <v>688</v>
      </c>
      <c r="C67" s="22" t="s">
        <v>689</v>
      </c>
      <c r="D67" s="22" t="s">
        <v>61</v>
      </c>
      <c r="E67" s="36">
        <v>175416</v>
      </c>
      <c r="F67" s="37">
        <v>725.87140799999997</v>
      </c>
      <c r="G67" s="38">
        <v>8.0346299999999992E-3</v>
      </c>
      <c r="H67" s="29" t="s">
        <v>143</v>
      </c>
    </row>
    <row r="68" spans="1:8" ht="12.75" customHeight="1" x14ac:dyDescent="0.2">
      <c r="A68" s="35">
        <v>62</v>
      </c>
      <c r="B68" s="22" t="s">
        <v>497</v>
      </c>
      <c r="C68" s="22" t="s">
        <v>498</v>
      </c>
      <c r="D68" s="22" t="s">
        <v>191</v>
      </c>
      <c r="E68" s="36">
        <v>173284</v>
      </c>
      <c r="F68" s="37">
        <v>710.89760999999999</v>
      </c>
      <c r="G68" s="38">
        <v>7.86888E-3</v>
      </c>
      <c r="H68" s="29" t="s">
        <v>143</v>
      </c>
    </row>
    <row r="69" spans="1:8" ht="12.75" customHeight="1" x14ac:dyDescent="0.2">
      <c r="A69" s="35">
        <v>63</v>
      </c>
      <c r="B69" s="22" t="s">
        <v>707</v>
      </c>
      <c r="C69" s="22" t="s">
        <v>708</v>
      </c>
      <c r="D69" s="22" t="s">
        <v>194</v>
      </c>
      <c r="E69" s="36">
        <v>64791</v>
      </c>
      <c r="F69" s="37">
        <v>702.26964899999996</v>
      </c>
      <c r="G69" s="38">
        <v>7.7733799999999999E-3</v>
      </c>
      <c r="H69" s="29" t="s">
        <v>143</v>
      </c>
    </row>
    <row r="70" spans="1:8" ht="12.75" customHeight="1" x14ac:dyDescent="0.2">
      <c r="A70" s="35">
        <v>64</v>
      </c>
      <c r="B70" s="22" t="s">
        <v>244</v>
      </c>
      <c r="C70" s="22" t="s">
        <v>245</v>
      </c>
      <c r="D70" s="22" t="s">
        <v>191</v>
      </c>
      <c r="E70" s="36">
        <v>124225</v>
      </c>
      <c r="F70" s="37">
        <v>701.87125000000003</v>
      </c>
      <c r="G70" s="38">
        <v>7.76897E-3</v>
      </c>
      <c r="H70" s="29" t="s">
        <v>143</v>
      </c>
    </row>
    <row r="71" spans="1:8" ht="12.75" customHeight="1" x14ac:dyDescent="0.2">
      <c r="A71" s="35">
        <v>65</v>
      </c>
      <c r="B71" s="22" t="s">
        <v>305</v>
      </c>
      <c r="C71" s="22" t="s">
        <v>306</v>
      </c>
      <c r="D71" s="22" t="s">
        <v>25</v>
      </c>
      <c r="E71" s="36">
        <v>38150</v>
      </c>
      <c r="F71" s="37">
        <v>696.12305000000003</v>
      </c>
      <c r="G71" s="38">
        <v>7.7053399999999998E-3</v>
      </c>
      <c r="H71" s="29" t="s">
        <v>143</v>
      </c>
    </row>
    <row r="72" spans="1:8" ht="12.75" customHeight="1" x14ac:dyDescent="0.2">
      <c r="A72" s="35">
        <v>66</v>
      </c>
      <c r="B72" s="22" t="s">
        <v>738</v>
      </c>
      <c r="C72" s="22" t="s">
        <v>739</v>
      </c>
      <c r="D72" s="22" t="s">
        <v>194</v>
      </c>
      <c r="E72" s="36">
        <v>56286</v>
      </c>
      <c r="F72" s="37">
        <v>688.77178200000003</v>
      </c>
      <c r="G72" s="38">
        <v>7.6239699999999999E-3</v>
      </c>
      <c r="H72" s="29" t="s">
        <v>143</v>
      </c>
    </row>
    <row r="73" spans="1:8" ht="12.75" customHeight="1" x14ac:dyDescent="0.2">
      <c r="A73" s="35">
        <v>67</v>
      </c>
      <c r="B73" s="22" t="s">
        <v>29</v>
      </c>
      <c r="C73" s="22" t="s">
        <v>30</v>
      </c>
      <c r="D73" s="22" t="s">
        <v>22</v>
      </c>
      <c r="E73" s="36">
        <v>244301</v>
      </c>
      <c r="F73" s="37">
        <v>684.65355250000005</v>
      </c>
      <c r="G73" s="38">
        <v>7.57839E-3</v>
      </c>
      <c r="H73" s="29" t="s">
        <v>143</v>
      </c>
    </row>
    <row r="74" spans="1:8" ht="12.75" customHeight="1" x14ac:dyDescent="0.2">
      <c r="A74" s="39"/>
      <c r="B74" s="39"/>
      <c r="C74" s="40" t="s">
        <v>142</v>
      </c>
      <c r="D74" s="39"/>
      <c r="E74" s="39" t="s">
        <v>143</v>
      </c>
      <c r="F74" s="41">
        <v>87899.447979799996</v>
      </c>
      <c r="G74" s="42">
        <v>0.97295357999999998</v>
      </c>
      <c r="H74" s="29" t="s">
        <v>143</v>
      </c>
    </row>
    <row r="75" spans="1:8" ht="12.75" customHeight="1" x14ac:dyDescent="0.2">
      <c r="A75" s="39"/>
      <c r="B75" s="39"/>
      <c r="C75" s="43"/>
      <c r="D75" s="39"/>
      <c r="E75" s="39"/>
      <c r="F75" s="44"/>
      <c r="G75" s="44"/>
      <c r="H75" s="29" t="s">
        <v>143</v>
      </c>
    </row>
    <row r="76" spans="1:8" ht="12.75" customHeight="1" x14ac:dyDescent="0.2">
      <c r="A76" s="39"/>
      <c r="B76" s="39"/>
      <c r="C76" s="40" t="s">
        <v>144</v>
      </c>
      <c r="D76" s="39"/>
      <c r="E76" s="39"/>
      <c r="F76" s="39"/>
      <c r="G76" s="39"/>
      <c r="H76" s="29" t="s">
        <v>143</v>
      </c>
    </row>
    <row r="77" spans="1:8" ht="12.75" customHeight="1" x14ac:dyDescent="0.2">
      <c r="A77" s="39"/>
      <c r="B77" s="39"/>
      <c r="C77" s="40" t="s">
        <v>142</v>
      </c>
      <c r="D77" s="39"/>
      <c r="E77" s="39" t="s">
        <v>143</v>
      </c>
      <c r="F77" s="45" t="s">
        <v>145</v>
      </c>
      <c r="G77" s="42">
        <v>0</v>
      </c>
      <c r="H77" s="29" t="s">
        <v>143</v>
      </c>
    </row>
    <row r="78" spans="1:8" ht="12.75" customHeight="1" x14ac:dyDescent="0.2">
      <c r="A78" s="39"/>
      <c r="B78" s="39"/>
      <c r="C78" s="43"/>
      <c r="D78" s="39"/>
      <c r="E78" s="39"/>
      <c r="F78" s="44"/>
      <c r="G78" s="44"/>
      <c r="H78" s="29" t="s">
        <v>143</v>
      </c>
    </row>
    <row r="79" spans="1:8" ht="12.75" customHeight="1" x14ac:dyDescent="0.2">
      <c r="A79" s="39"/>
      <c r="B79" s="39"/>
      <c r="C79" s="40" t="s">
        <v>146</v>
      </c>
      <c r="D79" s="39"/>
      <c r="E79" s="39"/>
      <c r="F79" s="39"/>
      <c r="G79" s="39"/>
      <c r="H79" s="29" t="s">
        <v>143</v>
      </c>
    </row>
    <row r="80" spans="1:8" ht="12.75" customHeight="1" x14ac:dyDescent="0.2">
      <c r="A80" s="39"/>
      <c r="B80" s="39"/>
      <c r="C80" s="40" t="s">
        <v>142</v>
      </c>
      <c r="D80" s="39"/>
      <c r="E80" s="39" t="s">
        <v>143</v>
      </c>
      <c r="F80" s="45" t="s">
        <v>145</v>
      </c>
      <c r="G80" s="42">
        <v>0</v>
      </c>
      <c r="H80" s="29" t="s">
        <v>143</v>
      </c>
    </row>
    <row r="81" spans="1:8" ht="12.75" customHeight="1" x14ac:dyDescent="0.2">
      <c r="A81" s="39"/>
      <c r="B81" s="39"/>
      <c r="C81" s="43"/>
      <c r="D81" s="39"/>
      <c r="E81" s="39"/>
      <c r="F81" s="44"/>
      <c r="G81" s="44"/>
      <c r="H81" s="29" t="s">
        <v>143</v>
      </c>
    </row>
    <row r="82" spans="1:8" ht="12.75" customHeight="1" x14ac:dyDescent="0.2">
      <c r="A82" s="39"/>
      <c r="B82" s="39"/>
      <c r="C82" s="40" t="s">
        <v>147</v>
      </c>
      <c r="D82" s="39"/>
      <c r="E82" s="39"/>
      <c r="F82" s="39"/>
      <c r="G82" s="39"/>
      <c r="H82" s="29" t="s">
        <v>143</v>
      </c>
    </row>
    <row r="83" spans="1:8" ht="12.75" customHeight="1" x14ac:dyDescent="0.2">
      <c r="A83" s="39"/>
      <c r="B83" s="39"/>
      <c r="C83" s="40" t="s">
        <v>142</v>
      </c>
      <c r="D83" s="39"/>
      <c r="E83" s="39" t="s">
        <v>143</v>
      </c>
      <c r="F83" s="45" t="s">
        <v>145</v>
      </c>
      <c r="G83" s="42">
        <v>0</v>
      </c>
      <c r="H83" s="29" t="s">
        <v>143</v>
      </c>
    </row>
    <row r="84" spans="1:8" ht="12.75" customHeight="1" x14ac:dyDescent="0.2">
      <c r="A84" s="39"/>
      <c r="B84" s="39"/>
      <c r="C84" s="43"/>
      <c r="D84" s="39"/>
      <c r="E84" s="39"/>
      <c r="F84" s="44"/>
      <c r="G84" s="44"/>
      <c r="H84" s="29" t="s">
        <v>143</v>
      </c>
    </row>
    <row r="85" spans="1:8" ht="12.75" customHeight="1" x14ac:dyDescent="0.2">
      <c r="A85" s="39"/>
      <c r="B85" s="39"/>
      <c r="C85" s="40" t="s">
        <v>148</v>
      </c>
      <c r="D85" s="39"/>
      <c r="E85" s="39"/>
      <c r="F85" s="44"/>
      <c r="G85" s="44"/>
      <c r="H85" s="29" t="s">
        <v>143</v>
      </c>
    </row>
    <row r="86" spans="1:8" ht="12.75" customHeight="1" x14ac:dyDescent="0.2">
      <c r="A86" s="39"/>
      <c r="B86" s="39"/>
      <c r="C86" s="40" t="s">
        <v>142</v>
      </c>
      <c r="D86" s="39"/>
      <c r="E86" s="39" t="s">
        <v>143</v>
      </c>
      <c r="F86" s="45" t="s">
        <v>145</v>
      </c>
      <c r="G86" s="42">
        <v>0</v>
      </c>
      <c r="H86" s="29" t="s">
        <v>143</v>
      </c>
    </row>
    <row r="87" spans="1:8" ht="12.75" customHeight="1" x14ac:dyDescent="0.2">
      <c r="A87" s="39"/>
      <c r="B87" s="39"/>
      <c r="C87" s="43"/>
      <c r="D87" s="39"/>
      <c r="E87" s="39"/>
      <c r="F87" s="44"/>
      <c r="G87" s="44"/>
      <c r="H87" s="29" t="s">
        <v>143</v>
      </c>
    </row>
    <row r="88" spans="1:8" ht="12.75" customHeight="1" x14ac:dyDescent="0.2">
      <c r="A88" s="39"/>
      <c r="B88" s="39"/>
      <c r="C88" s="40" t="s">
        <v>149</v>
      </c>
      <c r="D88" s="39"/>
      <c r="E88" s="39"/>
      <c r="F88" s="44"/>
      <c r="G88" s="44"/>
      <c r="H88" s="29" t="s">
        <v>143</v>
      </c>
    </row>
    <row r="89" spans="1:8" ht="12.75" customHeight="1" x14ac:dyDescent="0.2">
      <c r="A89" s="39"/>
      <c r="B89" s="39"/>
      <c r="C89" s="40" t="s">
        <v>142</v>
      </c>
      <c r="D89" s="39"/>
      <c r="E89" s="39" t="s">
        <v>143</v>
      </c>
      <c r="F89" s="45" t="s">
        <v>145</v>
      </c>
      <c r="G89" s="42">
        <v>0</v>
      </c>
      <c r="H89" s="29" t="s">
        <v>143</v>
      </c>
    </row>
    <row r="90" spans="1:8" ht="12.75" customHeight="1" x14ac:dyDescent="0.2">
      <c r="A90" s="39"/>
      <c r="B90" s="39"/>
      <c r="C90" s="43"/>
      <c r="D90" s="39"/>
      <c r="E90" s="39"/>
      <c r="F90" s="44"/>
      <c r="G90" s="44"/>
      <c r="H90" s="29" t="s">
        <v>143</v>
      </c>
    </row>
    <row r="91" spans="1:8" ht="12.75" customHeight="1" x14ac:dyDescent="0.2">
      <c r="A91" s="39"/>
      <c r="B91" s="39"/>
      <c r="C91" s="40" t="s">
        <v>150</v>
      </c>
      <c r="D91" s="39"/>
      <c r="E91" s="39"/>
      <c r="F91" s="41">
        <v>87899.447979799996</v>
      </c>
      <c r="G91" s="42">
        <v>0.97295357999999998</v>
      </c>
      <c r="H91" s="29" t="s">
        <v>143</v>
      </c>
    </row>
    <row r="92" spans="1:8" ht="12.75" customHeight="1" x14ac:dyDescent="0.2">
      <c r="A92" s="39"/>
      <c r="B92" s="39"/>
      <c r="C92" s="43"/>
      <c r="D92" s="39"/>
      <c r="E92" s="39"/>
      <c r="F92" s="44"/>
      <c r="G92" s="44"/>
      <c r="H92" s="29" t="s">
        <v>143</v>
      </c>
    </row>
    <row r="93" spans="1:8" ht="12.75" customHeight="1" x14ac:dyDescent="0.2">
      <c r="A93" s="39"/>
      <c r="B93" s="39"/>
      <c r="C93" s="40" t="s">
        <v>151</v>
      </c>
      <c r="D93" s="39"/>
      <c r="E93" s="39"/>
      <c r="F93" s="44"/>
      <c r="G93" s="44"/>
      <c r="H93" s="29" t="s">
        <v>143</v>
      </c>
    </row>
    <row r="94" spans="1:8" ht="12.75" customHeight="1" x14ac:dyDescent="0.2">
      <c r="A94" s="39"/>
      <c r="B94" s="39"/>
      <c r="C94" s="40" t="s">
        <v>10</v>
      </c>
      <c r="D94" s="39"/>
      <c r="E94" s="39"/>
      <c r="F94" s="44"/>
      <c r="G94" s="44"/>
      <c r="H94" s="29" t="s">
        <v>143</v>
      </c>
    </row>
    <row r="95" spans="1:8" ht="12.75" customHeight="1" x14ac:dyDescent="0.2">
      <c r="A95" s="39"/>
      <c r="B95" s="39"/>
      <c r="C95" s="40" t="s">
        <v>142</v>
      </c>
      <c r="D95" s="39"/>
      <c r="E95" s="39" t="s">
        <v>143</v>
      </c>
      <c r="F95" s="45" t="s">
        <v>145</v>
      </c>
      <c r="G95" s="42">
        <v>0</v>
      </c>
      <c r="H95" s="29" t="s">
        <v>143</v>
      </c>
    </row>
    <row r="96" spans="1:8" ht="12.75" customHeight="1" x14ac:dyDescent="0.2">
      <c r="A96" s="39"/>
      <c r="B96" s="39"/>
      <c r="C96" s="43"/>
      <c r="D96" s="39"/>
      <c r="E96" s="39"/>
      <c r="F96" s="44"/>
      <c r="G96" s="44"/>
      <c r="H96" s="29" t="s">
        <v>143</v>
      </c>
    </row>
    <row r="97" spans="1:8" ht="12.75" customHeight="1" x14ac:dyDescent="0.2">
      <c r="A97" s="39"/>
      <c r="B97" s="39"/>
      <c r="C97" s="40" t="s">
        <v>152</v>
      </c>
      <c r="D97" s="39"/>
      <c r="E97" s="39"/>
      <c r="F97" s="39"/>
      <c r="G97" s="39"/>
      <c r="H97" s="29" t="s">
        <v>143</v>
      </c>
    </row>
    <row r="98" spans="1:8" ht="12.75" customHeight="1" x14ac:dyDescent="0.2">
      <c r="A98" s="39"/>
      <c r="B98" s="39"/>
      <c r="C98" s="40" t="s">
        <v>142</v>
      </c>
      <c r="D98" s="39"/>
      <c r="E98" s="39" t="s">
        <v>143</v>
      </c>
      <c r="F98" s="45" t="s">
        <v>145</v>
      </c>
      <c r="G98" s="42">
        <v>0</v>
      </c>
      <c r="H98" s="29" t="s">
        <v>143</v>
      </c>
    </row>
    <row r="99" spans="1:8" ht="12.75" customHeight="1" x14ac:dyDescent="0.2">
      <c r="A99" s="39"/>
      <c r="B99" s="39"/>
      <c r="C99" s="43"/>
      <c r="D99" s="39"/>
      <c r="E99" s="39"/>
      <c r="F99" s="44"/>
      <c r="G99" s="44"/>
      <c r="H99" s="29" t="s">
        <v>143</v>
      </c>
    </row>
    <row r="100" spans="1:8" ht="12.75" customHeight="1" x14ac:dyDescent="0.2">
      <c r="A100" s="39"/>
      <c r="B100" s="39"/>
      <c r="C100" s="40" t="s">
        <v>153</v>
      </c>
      <c r="D100" s="39"/>
      <c r="E100" s="39"/>
      <c r="F100" s="39"/>
      <c r="G100" s="39"/>
      <c r="H100" s="29" t="s">
        <v>143</v>
      </c>
    </row>
    <row r="101" spans="1:8" ht="12.75" customHeight="1" x14ac:dyDescent="0.2">
      <c r="A101" s="39"/>
      <c r="B101" s="39"/>
      <c r="C101" s="40" t="s">
        <v>142</v>
      </c>
      <c r="D101" s="39"/>
      <c r="E101" s="39" t="s">
        <v>143</v>
      </c>
      <c r="F101" s="45" t="s">
        <v>145</v>
      </c>
      <c r="G101" s="42">
        <v>0</v>
      </c>
      <c r="H101" s="29" t="s">
        <v>143</v>
      </c>
    </row>
    <row r="102" spans="1:8" ht="12.75" customHeight="1" x14ac:dyDescent="0.2">
      <c r="A102" s="39"/>
      <c r="B102" s="39"/>
      <c r="C102" s="43"/>
      <c r="D102" s="39"/>
      <c r="E102" s="39"/>
      <c r="F102" s="44"/>
      <c r="G102" s="44"/>
      <c r="H102" s="29" t="s">
        <v>143</v>
      </c>
    </row>
    <row r="103" spans="1:8" ht="12.75" customHeight="1" x14ac:dyDescent="0.2">
      <c r="A103" s="39"/>
      <c r="B103" s="39"/>
      <c r="C103" s="40" t="s">
        <v>154</v>
      </c>
      <c r="D103" s="39"/>
      <c r="E103" s="39"/>
      <c r="F103" s="44"/>
      <c r="G103" s="44"/>
      <c r="H103" s="29" t="s">
        <v>143</v>
      </c>
    </row>
    <row r="104" spans="1:8" ht="12.75" customHeight="1" x14ac:dyDescent="0.2">
      <c r="A104" s="39"/>
      <c r="B104" s="39"/>
      <c r="C104" s="40" t="s">
        <v>142</v>
      </c>
      <c r="D104" s="39"/>
      <c r="E104" s="39" t="s">
        <v>143</v>
      </c>
      <c r="F104" s="45" t="s">
        <v>145</v>
      </c>
      <c r="G104" s="42">
        <v>0</v>
      </c>
      <c r="H104" s="29" t="s">
        <v>143</v>
      </c>
    </row>
    <row r="105" spans="1:8" ht="12.75" customHeight="1" x14ac:dyDescent="0.2">
      <c r="A105" s="39"/>
      <c r="B105" s="39"/>
      <c r="C105" s="43"/>
      <c r="D105" s="39"/>
      <c r="E105" s="39"/>
      <c r="F105" s="44"/>
      <c r="G105" s="44"/>
      <c r="H105" s="29" t="s">
        <v>143</v>
      </c>
    </row>
    <row r="106" spans="1:8" ht="12.75" customHeight="1" x14ac:dyDescent="0.2">
      <c r="A106" s="39"/>
      <c r="B106" s="39"/>
      <c r="C106" s="40" t="s">
        <v>155</v>
      </c>
      <c r="D106" s="39"/>
      <c r="E106" s="39"/>
      <c r="F106" s="41">
        <v>0</v>
      </c>
      <c r="G106" s="42">
        <v>0</v>
      </c>
      <c r="H106" s="29" t="s">
        <v>143</v>
      </c>
    </row>
    <row r="107" spans="1:8" ht="12.75" customHeight="1" x14ac:dyDescent="0.2">
      <c r="A107" s="39"/>
      <c r="B107" s="39"/>
      <c r="C107" s="43"/>
      <c r="D107" s="39"/>
      <c r="E107" s="39"/>
      <c r="F107" s="44"/>
      <c r="G107" s="44"/>
      <c r="H107" s="29" t="s">
        <v>143</v>
      </c>
    </row>
    <row r="108" spans="1:8" ht="12.75" customHeight="1" x14ac:dyDescent="0.2">
      <c r="A108" s="39"/>
      <c r="B108" s="39"/>
      <c r="C108" s="40" t="s">
        <v>156</v>
      </c>
      <c r="D108" s="39"/>
      <c r="E108" s="39"/>
      <c r="F108" s="44"/>
      <c r="G108" s="44"/>
      <c r="H108" s="29" t="s">
        <v>143</v>
      </c>
    </row>
    <row r="109" spans="1:8" ht="12.75" customHeight="1" x14ac:dyDescent="0.2">
      <c r="A109" s="39"/>
      <c r="B109" s="39"/>
      <c r="C109" s="40" t="s">
        <v>157</v>
      </c>
      <c r="D109" s="39"/>
      <c r="E109" s="39"/>
      <c r="F109" s="44"/>
      <c r="G109" s="44"/>
      <c r="H109" s="29" t="s">
        <v>143</v>
      </c>
    </row>
    <row r="110" spans="1:8" ht="12.75" customHeight="1" x14ac:dyDescent="0.2">
      <c r="A110" s="39"/>
      <c r="B110" s="39"/>
      <c r="C110" s="40" t="s">
        <v>142</v>
      </c>
      <c r="D110" s="39"/>
      <c r="E110" s="39" t="s">
        <v>143</v>
      </c>
      <c r="F110" s="45" t="s">
        <v>145</v>
      </c>
      <c r="G110" s="42">
        <v>0</v>
      </c>
      <c r="H110" s="29" t="s">
        <v>143</v>
      </c>
    </row>
    <row r="111" spans="1:8" ht="12.75" customHeight="1" x14ac:dyDescent="0.2">
      <c r="A111" s="39"/>
      <c r="B111" s="39"/>
      <c r="C111" s="43"/>
      <c r="D111" s="39"/>
      <c r="E111" s="39"/>
      <c r="F111" s="44"/>
      <c r="G111" s="44"/>
      <c r="H111" s="29" t="s">
        <v>143</v>
      </c>
    </row>
    <row r="112" spans="1:8" ht="12.75" customHeight="1" x14ac:dyDescent="0.2">
      <c r="A112" s="39"/>
      <c r="B112" s="39"/>
      <c r="C112" s="40" t="s">
        <v>158</v>
      </c>
      <c r="D112" s="39"/>
      <c r="E112" s="39"/>
      <c r="F112" s="44"/>
      <c r="G112" s="44"/>
      <c r="H112" s="29" t="s">
        <v>143</v>
      </c>
    </row>
    <row r="113" spans="1:8" ht="12.75" customHeight="1" x14ac:dyDescent="0.2">
      <c r="A113" s="39"/>
      <c r="B113" s="39"/>
      <c r="C113" s="40" t="s">
        <v>142</v>
      </c>
      <c r="D113" s="39"/>
      <c r="E113" s="39" t="s">
        <v>143</v>
      </c>
      <c r="F113" s="45" t="s">
        <v>145</v>
      </c>
      <c r="G113" s="42">
        <v>0</v>
      </c>
      <c r="H113" s="29" t="s">
        <v>143</v>
      </c>
    </row>
    <row r="114" spans="1:8" ht="12.75" customHeight="1" x14ac:dyDescent="0.2">
      <c r="A114" s="39"/>
      <c r="B114" s="39"/>
      <c r="C114" s="43"/>
      <c r="D114" s="39"/>
      <c r="E114" s="39"/>
      <c r="F114" s="44"/>
      <c r="G114" s="44"/>
      <c r="H114" s="29" t="s">
        <v>143</v>
      </c>
    </row>
    <row r="115" spans="1:8" ht="12.75" customHeight="1" x14ac:dyDescent="0.2">
      <c r="A115" s="39"/>
      <c r="B115" s="39"/>
      <c r="C115" s="40" t="s">
        <v>159</v>
      </c>
      <c r="D115" s="39"/>
      <c r="E115" s="39"/>
      <c r="F115" s="44"/>
      <c r="G115" s="44"/>
      <c r="H115" s="29" t="s">
        <v>143</v>
      </c>
    </row>
    <row r="116" spans="1:8" ht="12.75" customHeight="1" x14ac:dyDescent="0.2">
      <c r="A116" s="39"/>
      <c r="B116" s="39"/>
      <c r="C116" s="40" t="s">
        <v>142</v>
      </c>
      <c r="D116" s="39"/>
      <c r="E116" s="39" t="s">
        <v>143</v>
      </c>
      <c r="F116" s="45" t="s">
        <v>145</v>
      </c>
      <c r="G116" s="42">
        <v>0</v>
      </c>
      <c r="H116" s="29" t="s">
        <v>143</v>
      </c>
    </row>
    <row r="117" spans="1:8" ht="12.75" customHeight="1" x14ac:dyDescent="0.2">
      <c r="A117" s="39"/>
      <c r="B117" s="39"/>
      <c r="C117" s="43"/>
      <c r="D117" s="39"/>
      <c r="E117" s="39"/>
      <c r="F117" s="44"/>
      <c r="G117" s="44"/>
      <c r="H117" s="29" t="s">
        <v>143</v>
      </c>
    </row>
    <row r="118" spans="1:8" ht="12.75" customHeight="1" x14ac:dyDescent="0.2">
      <c r="A118" s="39"/>
      <c r="B118" s="39"/>
      <c r="C118" s="40" t="s">
        <v>160</v>
      </c>
      <c r="D118" s="39"/>
      <c r="E118" s="39"/>
      <c r="F118" s="44"/>
      <c r="G118" s="44"/>
      <c r="H118" s="29" t="s">
        <v>143</v>
      </c>
    </row>
    <row r="119" spans="1:8" ht="12.75" customHeight="1" x14ac:dyDescent="0.2">
      <c r="A119" s="35">
        <v>1</v>
      </c>
      <c r="B119" s="22"/>
      <c r="C119" s="22" t="s">
        <v>161</v>
      </c>
      <c r="D119" s="22"/>
      <c r="E119" s="46"/>
      <c r="F119" s="37">
        <v>2828.2138440069998</v>
      </c>
      <c r="G119" s="38">
        <v>3.1305319999999998E-2</v>
      </c>
      <c r="H119" s="29">
        <v>5.51</v>
      </c>
    </row>
    <row r="120" spans="1:8" ht="12.75" customHeight="1" x14ac:dyDescent="0.2">
      <c r="A120" s="39"/>
      <c r="B120" s="39"/>
      <c r="C120" s="40" t="s">
        <v>142</v>
      </c>
      <c r="D120" s="39"/>
      <c r="E120" s="39" t="s">
        <v>143</v>
      </c>
      <c r="F120" s="41">
        <v>2828.2138440069998</v>
      </c>
      <c r="G120" s="42">
        <v>3.1305319999999998E-2</v>
      </c>
      <c r="H120" s="29" t="s">
        <v>143</v>
      </c>
    </row>
    <row r="121" spans="1:8" ht="12.75" customHeight="1" x14ac:dyDescent="0.2">
      <c r="A121" s="39"/>
      <c r="B121" s="39"/>
      <c r="C121" s="43"/>
      <c r="D121" s="39"/>
      <c r="E121" s="39"/>
      <c r="F121" s="44"/>
      <c r="G121" s="44"/>
      <c r="H121" s="29" t="s">
        <v>143</v>
      </c>
    </row>
    <row r="122" spans="1:8" ht="12.75" customHeight="1" x14ac:dyDescent="0.2">
      <c r="A122" s="39"/>
      <c r="B122" s="39"/>
      <c r="C122" s="40" t="s">
        <v>162</v>
      </c>
      <c r="D122" s="39"/>
      <c r="E122" s="39"/>
      <c r="F122" s="41">
        <v>2828.2138440069998</v>
      </c>
      <c r="G122" s="42">
        <v>3.1305319999999998E-2</v>
      </c>
      <c r="H122" s="29" t="s">
        <v>143</v>
      </c>
    </row>
    <row r="123" spans="1:8" ht="12.75" customHeight="1" x14ac:dyDescent="0.2">
      <c r="A123" s="39"/>
      <c r="B123" s="39"/>
      <c r="C123" s="44"/>
      <c r="D123" s="39"/>
      <c r="E123" s="39"/>
      <c r="F123" s="39"/>
      <c r="G123" s="39"/>
      <c r="H123" s="29" t="s">
        <v>143</v>
      </c>
    </row>
    <row r="124" spans="1:8" ht="12.75" customHeight="1" x14ac:dyDescent="0.2">
      <c r="A124" s="39"/>
      <c r="B124" s="39"/>
      <c r="C124" s="40" t="s">
        <v>163</v>
      </c>
      <c r="D124" s="39"/>
      <c r="E124" s="39"/>
      <c r="F124" s="39"/>
      <c r="G124" s="39"/>
      <c r="H124" s="29" t="s">
        <v>143</v>
      </c>
    </row>
    <row r="125" spans="1:8" ht="12.75" customHeight="1" x14ac:dyDescent="0.2">
      <c r="A125" s="39"/>
      <c r="B125" s="39"/>
      <c r="C125" s="40" t="s">
        <v>164</v>
      </c>
      <c r="D125" s="39"/>
      <c r="E125" s="39"/>
      <c r="F125" s="39"/>
      <c r="G125" s="39"/>
      <c r="H125" s="29" t="s">
        <v>143</v>
      </c>
    </row>
    <row r="126" spans="1:8" ht="12.75" customHeight="1" x14ac:dyDescent="0.2">
      <c r="A126" s="39"/>
      <c r="B126" s="39"/>
      <c r="C126" s="40" t="s">
        <v>142</v>
      </c>
      <c r="D126" s="39"/>
      <c r="E126" s="39" t="s">
        <v>143</v>
      </c>
      <c r="F126" s="45" t="s">
        <v>145</v>
      </c>
      <c r="G126" s="42">
        <v>0</v>
      </c>
      <c r="H126" s="29" t="s">
        <v>143</v>
      </c>
    </row>
    <row r="127" spans="1:8" ht="12.75" customHeight="1" x14ac:dyDescent="0.2">
      <c r="A127" s="39"/>
      <c r="B127" s="39"/>
      <c r="C127" s="43"/>
      <c r="D127" s="39"/>
      <c r="E127" s="39"/>
      <c r="F127" s="44"/>
      <c r="G127" s="44"/>
      <c r="H127" s="29" t="s">
        <v>143</v>
      </c>
    </row>
    <row r="128" spans="1:8" ht="12.75" customHeight="1" x14ac:dyDescent="0.2">
      <c r="A128" s="39"/>
      <c r="B128" s="39"/>
      <c r="C128" s="40" t="s">
        <v>165</v>
      </c>
      <c r="D128" s="39"/>
      <c r="E128" s="39"/>
      <c r="F128" s="39"/>
      <c r="G128" s="39"/>
      <c r="H128" s="29" t="s">
        <v>143</v>
      </c>
    </row>
    <row r="129" spans="1:17" ht="12.75" customHeight="1" x14ac:dyDescent="0.2">
      <c r="A129" s="39"/>
      <c r="B129" s="39"/>
      <c r="C129" s="40" t="s">
        <v>166</v>
      </c>
      <c r="D129" s="39"/>
      <c r="E129" s="39"/>
      <c r="F129" s="39"/>
      <c r="G129" s="39"/>
      <c r="H129" s="29" t="s">
        <v>143</v>
      </c>
    </row>
    <row r="130" spans="1:17" ht="12.75" customHeight="1" x14ac:dyDescent="0.2">
      <c r="A130" s="39"/>
      <c r="B130" s="39"/>
      <c r="C130" s="40" t="s">
        <v>142</v>
      </c>
      <c r="D130" s="39"/>
      <c r="E130" s="39" t="s">
        <v>143</v>
      </c>
      <c r="F130" s="45" t="s">
        <v>145</v>
      </c>
      <c r="G130" s="42">
        <v>0</v>
      </c>
      <c r="H130" s="29" t="s">
        <v>143</v>
      </c>
    </row>
    <row r="131" spans="1:17" ht="12.75" customHeight="1" x14ac:dyDescent="0.2">
      <c r="A131" s="39"/>
      <c r="B131" s="39"/>
      <c r="C131" s="43"/>
      <c r="D131" s="39"/>
      <c r="E131" s="39"/>
      <c r="F131" s="44"/>
      <c r="G131" s="44"/>
      <c r="H131" s="29" t="s">
        <v>143</v>
      </c>
    </row>
    <row r="132" spans="1:17" ht="12.75" customHeight="1" x14ac:dyDescent="0.2">
      <c r="A132" s="39"/>
      <c r="B132" s="39"/>
      <c r="C132" s="40" t="s">
        <v>167</v>
      </c>
      <c r="D132" s="39"/>
      <c r="E132" s="39"/>
      <c r="F132" s="44"/>
      <c r="G132" s="44"/>
      <c r="H132" s="29" t="s">
        <v>143</v>
      </c>
    </row>
    <row r="133" spans="1:17" ht="12.75" customHeight="1" x14ac:dyDescent="0.2">
      <c r="A133" s="39"/>
      <c r="B133" s="39"/>
      <c r="C133" s="40" t="s">
        <v>142</v>
      </c>
      <c r="D133" s="39"/>
      <c r="E133" s="39" t="s">
        <v>143</v>
      </c>
      <c r="F133" s="45" t="s">
        <v>145</v>
      </c>
      <c r="G133" s="42">
        <v>0</v>
      </c>
      <c r="H133" s="29" t="s">
        <v>143</v>
      </c>
    </row>
    <row r="134" spans="1:17" ht="12.75" customHeight="1" x14ac:dyDescent="0.2">
      <c r="A134" s="39"/>
      <c r="B134" s="39"/>
      <c r="C134" s="43"/>
      <c r="D134" s="39"/>
      <c r="E134" s="39"/>
      <c r="F134" s="44"/>
      <c r="G134" s="44"/>
      <c r="H134" s="29" t="s">
        <v>143</v>
      </c>
    </row>
    <row r="135" spans="1:17" ht="12.75" customHeight="1" x14ac:dyDescent="0.2">
      <c r="A135" s="46"/>
      <c r="B135" s="22"/>
      <c r="C135" s="22" t="s">
        <v>319</v>
      </c>
      <c r="D135" s="22"/>
      <c r="E135" s="46"/>
      <c r="F135" s="37">
        <v>499.99969010000001</v>
      </c>
      <c r="G135" s="38">
        <v>5.5344699999999997E-3</v>
      </c>
      <c r="H135" s="29" t="s">
        <v>143</v>
      </c>
    </row>
    <row r="136" spans="1:17" ht="12.75" customHeight="1" x14ac:dyDescent="0.2">
      <c r="A136" s="46"/>
      <c r="B136" s="22"/>
      <c r="C136" s="22" t="s">
        <v>168</v>
      </c>
      <c r="D136" s="22"/>
      <c r="E136" s="46"/>
      <c r="F136" s="37">
        <v>-884.75729449999994</v>
      </c>
      <c r="G136" s="38">
        <v>-9.7933199999999995E-3</v>
      </c>
      <c r="H136" s="29" t="s">
        <v>143</v>
      </c>
    </row>
    <row r="137" spans="1:17" ht="12.75" customHeight="1" x14ac:dyDescent="0.2">
      <c r="A137" s="43"/>
      <c r="B137" s="43"/>
      <c r="C137" s="40" t="s">
        <v>169</v>
      </c>
      <c r="D137" s="44"/>
      <c r="E137" s="44"/>
      <c r="F137" s="41">
        <v>90342.904219407006</v>
      </c>
      <c r="G137" s="47">
        <v>1.0000000499999999</v>
      </c>
      <c r="H137" s="29" t="s">
        <v>143</v>
      </c>
    </row>
    <row r="138" spans="1:17" ht="12.75" customHeight="1" x14ac:dyDescent="0.2">
      <c r="A138" s="48"/>
      <c r="B138" s="48"/>
      <c r="C138" s="49"/>
      <c r="D138" s="50"/>
      <c r="E138" s="50"/>
      <c r="F138" s="51"/>
      <c r="G138" s="52"/>
      <c r="H138" s="53"/>
    </row>
    <row r="139" spans="1:17" x14ac:dyDescent="0.2">
      <c r="A139" s="54"/>
      <c r="B139" s="243" t="s">
        <v>945</v>
      </c>
      <c r="C139" s="243"/>
      <c r="D139" s="243"/>
      <c r="E139" s="243"/>
      <c r="F139" s="243"/>
      <c r="G139" s="243"/>
      <c r="H139" s="243"/>
      <c r="J139" s="56"/>
    </row>
    <row r="140" spans="1:17" x14ac:dyDescent="0.2">
      <c r="A140" s="54"/>
      <c r="B140" s="243" t="s">
        <v>946</v>
      </c>
      <c r="C140" s="243"/>
      <c r="D140" s="243"/>
      <c r="E140" s="243"/>
      <c r="F140" s="243"/>
      <c r="G140" s="243"/>
      <c r="H140" s="243"/>
      <c r="J140" s="56"/>
    </row>
    <row r="141" spans="1:17" x14ac:dyDescent="0.2">
      <c r="A141" s="54"/>
      <c r="B141" s="243" t="s">
        <v>947</v>
      </c>
      <c r="C141" s="243"/>
      <c r="D141" s="243"/>
      <c r="E141" s="243"/>
      <c r="F141" s="243"/>
      <c r="G141" s="243"/>
      <c r="H141" s="243"/>
      <c r="J141" s="56"/>
    </row>
    <row r="142" spans="1:17" s="58" customFormat="1" ht="66.75" customHeight="1" x14ac:dyDescent="0.25">
      <c r="A142" s="57"/>
      <c r="B142" s="244" t="s">
        <v>948</v>
      </c>
      <c r="C142" s="244"/>
      <c r="D142" s="244"/>
      <c r="E142" s="244"/>
      <c r="F142" s="244"/>
      <c r="G142" s="244"/>
      <c r="H142" s="244"/>
      <c r="I142"/>
      <c r="J142" s="56"/>
      <c r="K142"/>
      <c r="L142"/>
      <c r="M142"/>
      <c r="N142"/>
      <c r="O142"/>
      <c r="P142"/>
      <c r="Q142"/>
    </row>
    <row r="143" spans="1:17" x14ac:dyDescent="0.2">
      <c r="A143" s="54"/>
      <c r="B143" s="243" t="s">
        <v>949</v>
      </c>
      <c r="C143" s="243"/>
      <c r="D143" s="243"/>
      <c r="E143" s="243"/>
      <c r="F143" s="243"/>
      <c r="G143" s="243"/>
      <c r="H143" s="243"/>
      <c r="J143" s="56"/>
    </row>
    <row r="144" spans="1:17" x14ac:dyDescent="0.2">
      <c r="A144" s="54"/>
      <c r="B144" s="54"/>
      <c r="C144" s="54"/>
      <c r="D144" s="59"/>
      <c r="E144" s="59"/>
      <c r="F144" s="59"/>
      <c r="G144" s="59"/>
    </row>
    <row r="145" spans="1:10" x14ac:dyDescent="0.2">
      <c r="A145" s="54"/>
      <c r="B145" s="247" t="s">
        <v>170</v>
      </c>
      <c r="C145" s="248"/>
      <c r="D145" s="249"/>
      <c r="E145" s="60"/>
      <c r="F145" s="59"/>
      <c r="G145" s="59"/>
    </row>
    <row r="146" spans="1:10" ht="27.75" customHeight="1" x14ac:dyDescent="0.2">
      <c r="A146" s="54"/>
      <c r="B146" s="240" t="s">
        <v>171</v>
      </c>
      <c r="C146" s="241"/>
      <c r="D146" s="28" t="s">
        <v>172</v>
      </c>
      <c r="E146" s="60"/>
      <c r="F146" s="59"/>
      <c r="G146" s="59"/>
    </row>
    <row r="147" spans="1:10" ht="12.75" customHeight="1" x14ac:dyDescent="0.2">
      <c r="A147" s="54"/>
      <c r="B147" s="240" t="s">
        <v>950</v>
      </c>
      <c r="C147" s="241"/>
      <c r="D147" s="28" t="s">
        <v>172</v>
      </c>
      <c r="E147" s="60"/>
      <c r="F147" s="59"/>
      <c r="G147" s="59"/>
    </row>
    <row r="148" spans="1:10" x14ac:dyDescent="0.2">
      <c r="A148" s="54"/>
      <c r="B148" s="240" t="s">
        <v>173</v>
      </c>
      <c r="C148" s="241"/>
      <c r="D148" s="61" t="s">
        <v>143</v>
      </c>
      <c r="E148" s="60"/>
      <c r="F148" s="59"/>
      <c r="G148" s="59"/>
    </row>
    <row r="149" spans="1:10" x14ac:dyDescent="0.2">
      <c r="A149" s="62"/>
      <c r="B149" s="63" t="s">
        <v>143</v>
      </c>
      <c r="C149" s="63" t="s">
        <v>951</v>
      </c>
      <c r="D149" s="63" t="s">
        <v>174</v>
      </c>
      <c r="E149" s="62"/>
      <c r="F149" s="62"/>
      <c r="G149" s="62"/>
      <c r="H149" s="62"/>
      <c r="J149" s="56"/>
    </row>
    <row r="150" spans="1:10" x14ac:dyDescent="0.2">
      <c r="A150" s="62"/>
      <c r="B150" s="64" t="s">
        <v>175</v>
      </c>
      <c r="C150" s="65">
        <v>45900</v>
      </c>
      <c r="D150" s="65">
        <v>45930</v>
      </c>
      <c r="E150" s="62"/>
      <c r="F150" s="62"/>
      <c r="G150" s="62"/>
      <c r="J150" s="56"/>
    </row>
    <row r="151" spans="1:10" ht="12.75" customHeight="1" x14ac:dyDescent="0.2">
      <c r="A151" s="66"/>
      <c r="B151" s="67" t="s">
        <v>176</v>
      </c>
      <c r="C151" s="68">
        <v>9.7691999999999997</v>
      </c>
      <c r="D151" s="68">
        <v>9.9892000000000003</v>
      </c>
      <c r="E151" s="66"/>
      <c r="F151" s="69"/>
      <c r="G151" s="70"/>
    </row>
    <row r="152" spans="1:10" ht="12.75" customHeight="1" x14ac:dyDescent="0.2">
      <c r="A152" s="66"/>
      <c r="B152" s="67" t="s">
        <v>1085</v>
      </c>
      <c r="C152" s="68">
        <v>9.7691999999999997</v>
      </c>
      <c r="D152" s="68">
        <v>9.9892000000000003</v>
      </c>
      <c r="E152" s="66"/>
      <c r="F152" s="69"/>
      <c r="G152" s="70"/>
    </row>
    <row r="153" spans="1:10" ht="12.75" customHeight="1" x14ac:dyDescent="0.2">
      <c r="A153" s="66"/>
      <c r="B153" s="67" t="s">
        <v>177</v>
      </c>
      <c r="C153" s="68">
        <v>9.7506000000000004</v>
      </c>
      <c r="D153" s="68">
        <v>9.9564000000000004</v>
      </c>
      <c r="E153" s="66"/>
      <c r="F153" s="69"/>
      <c r="G153" s="70"/>
    </row>
    <row r="154" spans="1:10" ht="12.75" customHeight="1" x14ac:dyDescent="0.2">
      <c r="A154" s="66"/>
      <c r="B154" s="67" t="s">
        <v>1086</v>
      </c>
      <c r="C154" s="68">
        <v>9.7506000000000004</v>
      </c>
      <c r="D154" s="68">
        <v>9.9564000000000004</v>
      </c>
      <c r="E154" s="66"/>
      <c r="F154" s="69"/>
      <c r="G154" s="70"/>
    </row>
    <row r="155" spans="1:10" ht="12.75" customHeight="1" x14ac:dyDescent="0.2">
      <c r="A155" s="66"/>
      <c r="B155" s="66"/>
      <c r="C155" s="66"/>
      <c r="D155" s="66"/>
      <c r="E155" s="66"/>
      <c r="F155" s="66"/>
      <c r="G155" s="66"/>
    </row>
    <row r="156" spans="1:10" x14ac:dyDescent="0.2">
      <c r="A156" s="62"/>
      <c r="B156" s="245" t="s">
        <v>952</v>
      </c>
      <c r="C156" s="246"/>
      <c r="D156" s="71" t="s">
        <v>172</v>
      </c>
      <c r="E156" s="62"/>
      <c r="F156" s="62"/>
      <c r="G156" s="62"/>
    </row>
    <row r="157" spans="1:10" x14ac:dyDescent="0.2">
      <c r="A157" s="72"/>
      <c r="B157" s="73"/>
      <c r="C157" s="73"/>
      <c r="D157" s="73"/>
      <c r="E157" s="72"/>
      <c r="F157" s="72"/>
      <c r="G157" s="72"/>
    </row>
    <row r="158" spans="1:10" ht="29.1" customHeight="1" x14ac:dyDescent="0.2">
      <c r="A158" s="72"/>
      <c r="B158" s="240" t="s">
        <v>178</v>
      </c>
      <c r="C158" s="241"/>
      <c r="D158" s="28" t="s">
        <v>172</v>
      </c>
      <c r="E158" s="74"/>
      <c r="F158" s="72"/>
      <c r="G158" s="72"/>
    </row>
    <row r="159" spans="1:10" ht="29.1" customHeight="1" x14ac:dyDescent="0.2">
      <c r="A159" s="72"/>
      <c r="B159" s="240" t="s">
        <v>179</v>
      </c>
      <c r="C159" s="241"/>
      <c r="D159" s="28" t="s">
        <v>172</v>
      </c>
      <c r="E159" s="74"/>
      <c r="F159" s="72"/>
      <c r="G159" s="72"/>
    </row>
    <row r="160" spans="1:10" ht="17.100000000000001" customHeight="1" x14ac:dyDescent="0.2">
      <c r="A160" s="72"/>
      <c r="B160" s="240" t="s">
        <v>180</v>
      </c>
      <c r="C160" s="241"/>
      <c r="D160" s="28" t="s">
        <v>172</v>
      </c>
      <c r="E160" s="74"/>
      <c r="F160" s="72"/>
      <c r="G160" s="72"/>
    </row>
    <row r="161" spans="1:7" ht="17.100000000000001" customHeight="1" x14ac:dyDescent="0.2">
      <c r="A161" s="72"/>
      <c r="B161" s="240" t="s">
        <v>181</v>
      </c>
      <c r="C161" s="241"/>
      <c r="D161" s="75">
        <v>0.20096573097491954</v>
      </c>
      <c r="E161" s="72"/>
      <c r="F161" s="55"/>
      <c r="G161" s="76"/>
    </row>
    <row r="162" spans="1:7" x14ac:dyDescent="0.2"/>
    <row r="163" spans="1:7" x14ac:dyDescent="0.2"/>
    <row r="164" spans="1:7" x14ac:dyDescent="0.2">
      <c r="B164" s="239" t="s">
        <v>953</v>
      </c>
      <c r="C164" s="239"/>
    </row>
    <row r="165" spans="1:7" x14ac:dyDescent="0.2"/>
    <row r="166" spans="1:7" ht="153.75" customHeight="1" x14ac:dyDescent="0.2"/>
    <row r="167" spans="1:7" x14ac:dyDescent="0.2"/>
    <row r="168" spans="1:7" x14ac:dyDescent="0.2"/>
    <row r="169" spans="1:7" x14ac:dyDescent="0.2">
      <c r="B169" s="77" t="s">
        <v>954</v>
      </c>
      <c r="C169" s="78"/>
      <c r="D169" s="77"/>
    </row>
    <row r="170" spans="1:7" x14ac:dyDescent="0.2">
      <c r="B170" s="77" t="s">
        <v>1127</v>
      </c>
      <c r="D170" s="77"/>
    </row>
    <row r="171" spans="1:7" ht="165" customHeight="1" x14ac:dyDescent="0.2"/>
  </sheetData>
  <mergeCells count="18">
    <mergeCell ref="B145:D145"/>
    <mergeCell ref="B146:C146"/>
    <mergeCell ref="B164:C164"/>
    <mergeCell ref="B161:C161"/>
    <mergeCell ref="A1:H1"/>
    <mergeCell ref="A2:H2"/>
    <mergeCell ref="A3:H3"/>
    <mergeCell ref="B160:C160"/>
    <mergeCell ref="B139:H139"/>
    <mergeCell ref="B140:H140"/>
    <mergeCell ref="B147:C147"/>
    <mergeCell ref="B148:C148"/>
    <mergeCell ref="B158:C158"/>
    <mergeCell ref="B159:C159"/>
    <mergeCell ref="B141:H141"/>
    <mergeCell ref="B142:H142"/>
    <mergeCell ref="B143:H143"/>
    <mergeCell ref="B156:C156"/>
  </mergeCells>
  <hyperlinks>
    <hyperlink ref="I1" location="Index!B2" display="Index" xr:uid="{F11DDAFE-91E8-4548-870B-983B0BC52DCD}"/>
  </hyperlinks>
  <pageMargins left="5.000000074505806E-2" right="5.000000074505806E-2" top="0.30000001192092896" bottom="0.20000000298023224" header="0" footer="0"/>
  <pageSetup paperSize="9" orientation="landscape" horizontalDpi="0" verticalDpi="0"/>
  <headerFooter alignWithMargins="0">
    <oddHeader>&amp;L&amp;"Calibri"&amp;10&amp;KFF0000 "Sensitivity: Internal Use Only"&amp;1#_x000D_</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5267-82C2-4AA3-9766-529DBEB658E3}">
  <sheetPr>
    <pageSetUpPr fitToPage="1"/>
  </sheetPr>
  <dimension ref="A1:K223"/>
  <sheetViews>
    <sheetView zoomScaleNormal="100" workbookViewId="0">
      <selection activeCell="A8" sqref="A8"/>
    </sheetView>
  </sheetViews>
  <sheetFormatPr defaultColWidth="9.140625" defaultRowHeight="13.5" x14ac:dyDescent="0.25"/>
  <cols>
    <col min="1" max="1" width="42" style="178" customWidth="1"/>
    <col min="2" max="2" width="54.7109375" style="178" customWidth="1"/>
    <col min="3" max="3" width="31" style="178" bestFit="1" customWidth="1"/>
    <col min="4" max="4" width="20.140625" style="178" bestFit="1" customWidth="1"/>
    <col min="5" max="5" width="16.5703125" style="178" customWidth="1"/>
    <col min="6" max="6" width="18.7109375" style="178" bestFit="1" customWidth="1"/>
    <col min="7" max="7" width="17.5703125" style="178" customWidth="1"/>
    <col min="8" max="8" width="15.5703125" style="178" bestFit="1" customWidth="1"/>
    <col min="9" max="9" width="13.5703125" style="178" customWidth="1"/>
    <col min="10" max="10" width="20.5703125" style="178" customWidth="1"/>
    <col min="11" max="11" width="12.42578125" style="178" bestFit="1" customWidth="1"/>
    <col min="12" max="16384" width="9.140625" style="178"/>
  </cols>
  <sheetData>
    <row r="1" spans="1:10" x14ac:dyDescent="0.25">
      <c r="F1" s="179" t="s">
        <v>1002</v>
      </c>
    </row>
    <row r="2" spans="1:10" x14ac:dyDescent="0.25">
      <c r="A2" s="287" t="s">
        <v>1172</v>
      </c>
      <c r="B2" s="287"/>
      <c r="C2" s="287"/>
      <c r="D2" s="287"/>
      <c r="E2" s="287"/>
      <c r="F2" s="287"/>
    </row>
    <row r="3" spans="1:10" x14ac:dyDescent="0.25">
      <c r="A3" s="287" t="s">
        <v>1173</v>
      </c>
      <c r="B3" s="287"/>
      <c r="C3" s="287"/>
      <c r="D3" s="287"/>
      <c r="E3" s="287"/>
      <c r="F3" s="287"/>
    </row>
    <row r="4" spans="1:10" x14ac:dyDescent="0.25">
      <c r="A4" s="179"/>
      <c r="B4" s="179"/>
      <c r="C4" s="179"/>
      <c r="D4" s="179"/>
      <c r="E4" s="179"/>
      <c r="F4" s="179"/>
    </row>
    <row r="5" spans="1:10" x14ac:dyDescent="0.25">
      <c r="A5" s="287" t="s">
        <v>1174</v>
      </c>
      <c r="B5" s="287"/>
      <c r="C5" s="287"/>
      <c r="D5" s="287"/>
      <c r="E5" s="287"/>
      <c r="F5" s="287"/>
    </row>
    <row r="6" spans="1:10" x14ac:dyDescent="0.25">
      <c r="A6" s="179" t="s">
        <v>1167</v>
      </c>
    </row>
    <row r="8" spans="1:10" s="179" customFormat="1" ht="27" x14ac:dyDescent="0.25">
      <c r="A8" s="180" t="s">
        <v>1150</v>
      </c>
      <c r="B8" s="180" t="s">
        <v>1151</v>
      </c>
      <c r="C8" s="180" t="s">
        <v>1152</v>
      </c>
      <c r="D8" s="181" t="s">
        <v>1153</v>
      </c>
      <c r="E8" s="181" t="s">
        <v>1154</v>
      </c>
      <c r="F8" s="181" t="s">
        <v>1155</v>
      </c>
    </row>
    <row r="9" spans="1:10" x14ac:dyDescent="0.25">
      <c r="A9" s="182" t="s">
        <v>496</v>
      </c>
      <c r="B9" s="182" t="s">
        <v>977</v>
      </c>
      <c r="C9" s="183" t="s">
        <v>1156</v>
      </c>
      <c r="D9" s="184">
        <v>2366.39</v>
      </c>
      <c r="E9" s="185">
        <v>2522</v>
      </c>
      <c r="F9" s="186">
        <v>28.284921000000001</v>
      </c>
      <c r="J9" s="187"/>
    </row>
    <row r="10" spans="1:10" x14ac:dyDescent="0.25">
      <c r="A10" s="182" t="s">
        <v>496</v>
      </c>
      <c r="B10" s="182" t="s">
        <v>991</v>
      </c>
      <c r="C10" s="183" t="s">
        <v>1156</v>
      </c>
      <c r="D10" s="184">
        <v>1086.43</v>
      </c>
      <c r="E10" s="185">
        <v>1137.2</v>
      </c>
      <c r="F10" s="186">
        <v>358.81230240000002</v>
      </c>
    </row>
    <row r="11" spans="1:10" x14ac:dyDescent="0.25">
      <c r="A11" s="182" t="s">
        <v>496</v>
      </c>
      <c r="B11" s="182" t="s">
        <v>976</v>
      </c>
      <c r="C11" s="183" t="s">
        <v>1156</v>
      </c>
      <c r="D11" s="184">
        <v>168.36</v>
      </c>
      <c r="E11" s="185">
        <v>162.97</v>
      </c>
      <c r="F11" s="186">
        <v>15.773983199999998</v>
      </c>
    </row>
    <row r="12" spans="1:10" x14ac:dyDescent="0.25">
      <c r="A12" s="182" t="s">
        <v>496</v>
      </c>
      <c r="B12" s="182" t="s">
        <v>987</v>
      </c>
      <c r="C12" s="183" t="s">
        <v>1156</v>
      </c>
      <c r="D12" s="184">
        <v>256.76</v>
      </c>
      <c r="E12" s="185">
        <v>260.38</v>
      </c>
      <c r="F12" s="186">
        <v>304.25421449999999</v>
      </c>
    </row>
    <row r="13" spans="1:10" x14ac:dyDescent="0.25">
      <c r="A13" s="182" t="s">
        <v>496</v>
      </c>
      <c r="B13" s="182" t="s">
        <v>980</v>
      </c>
      <c r="C13" s="183" t="s">
        <v>1156</v>
      </c>
      <c r="D13" s="184">
        <v>407.59</v>
      </c>
      <c r="E13" s="185">
        <v>405.65</v>
      </c>
      <c r="F13" s="186">
        <v>42.875128799999999</v>
      </c>
    </row>
    <row r="14" spans="1:10" x14ac:dyDescent="0.25">
      <c r="A14" s="182" t="s">
        <v>496</v>
      </c>
      <c r="B14" s="182" t="s">
        <v>993</v>
      </c>
      <c r="C14" s="183" t="s">
        <v>1156</v>
      </c>
      <c r="D14" s="184">
        <v>1931.01</v>
      </c>
      <c r="E14" s="185">
        <v>1891.8</v>
      </c>
      <c r="F14" s="186">
        <v>662.85713250000003</v>
      </c>
    </row>
    <row r="15" spans="1:10" x14ac:dyDescent="0.25">
      <c r="A15" s="182" t="s">
        <v>496</v>
      </c>
      <c r="B15" s="182" t="s">
        <v>990</v>
      </c>
      <c r="C15" s="183" t="s">
        <v>1156</v>
      </c>
      <c r="D15" s="184">
        <v>360.63</v>
      </c>
      <c r="E15" s="185">
        <v>342.65</v>
      </c>
      <c r="F15" s="186">
        <v>386.37830000000002</v>
      </c>
    </row>
    <row r="16" spans="1:10" x14ac:dyDescent="0.25">
      <c r="A16" s="182" t="s">
        <v>496</v>
      </c>
      <c r="B16" s="182" t="s">
        <v>988</v>
      </c>
      <c r="C16" s="183" t="s">
        <v>1156</v>
      </c>
      <c r="D16" s="184">
        <v>18413.47</v>
      </c>
      <c r="E16" s="185">
        <v>16442</v>
      </c>
      <c r="F16" s="186">
        <v>381.96941249999998</v>
      </c>
    </row>
    <row r="17" spans="1:6" x14ac:dyDescent="0.25">
      <c r="A17" s="182" t="s">
        <v>496</v>
      </c>
      <c r="B17" s="182" t="s">
        <v>982</v>
      </c>
      <c r="C17" s="183" t="s">
        <v>1156</v>
      </c>
      <c r="D17" s="184">
        <v>175.32</v>
      </c>
      <c r="E17" s="185">
        <v>177.08</v>
      </c>
      <c r="F17" s="186">
        <v>83.578370400000011</v>
      </c>
    </row>
    <row r="18" spans="1:6" x14ac:dyDescent="0.25">
      <c r="A18" s="182" t="s">
        <v>496</v>
      </c>
      <c r="B18" s="182" t="s">
        <v>994</v>
      </c>
      <c r="C18" s="183" t="s">
        <v>1156</v>
      </c>
      <c r="D18" s="184">
        <v>968.46</v>
      </c>
      <c r="E18" s="185">
        <v>956.1</v>
      </c>
      <c r="F18" s="186">
        <v>751.61956169999996</v>
      </c>
    </row>
    <row r="19" spans="1:6" x14ac:dyDescent="0.25">
      <c r="A19" s="182" t="s">
        <v>496</v>
      </c>
      <c r="B19" s="182" t="s">
        <v>992</v>
      </c>
      <c r="C19" s="183" t="s">
        <v>1156</v>
      </c>
      <c r="D19" s="184">
        <v>4635.0200000000004</v>
      </c>
      <c r="E19" s="185">
        <v>4780.3</v>
      </c>
      <c r="F19" s="186">
        <v>443.27090249999998</v>
      </c>
    </row>
    <row r="20" spans="1:6" x14ac:dyDescent="0.25">
      <c r="A20" s="182" t="s">
        <v>496</v>
      </c>
      <c r="B20" s="182" t="s">
        <v>996</v>
      </c>
      <c r="C20" s="183" t="s">
        <v>1156</v>
      </c>
      <c r="D20" s="184">
        <v>1396.13</v>
      </c>
      <c r="E20" s="185">
        <v>1357.5</v>
      </c>
      <c r="F20" s="186">
        <v>765.03763000000004</v>
      </c>
    </row>
    <row r="21" spans="1:6" x14ac:dyDescent="0.25">
      <c r="A21" s="182" t="s">
        <v>496</v>
      </c>
      <c r="B21" s="182" t="s">
        <v>989</v>
      </c>
      <c r="C21" s="183" t="s">
        <v>1156</v>
      </c>
      <c r="D21" s="184">
        <v>751.56</v>
      </c>
      <c r="E21" s="185">
        <v>725.1</v>
      </c>
      <c r="F21" s="186">
        <v>318.44736</v>
      </c>
    </row>
    <row r="22" spans="1:6" x14ac:dyDescent="0.25">
      <c r="A22" s="182" t="s">
        <v>496</v>
      </c>
      <c r="B22" s="182" t="s">
        <v>986</v>
      </c>
      <c r="C22" s="183" t="s">
        <v>1156</v>
      </c>
      <c r="D22" s="184">
        <v>313.58</v>
      </c>
      <c r="E22" s="185">
        <v>295.14999999999998</v>
      </c>
      <c r="F22" s="186">
        <v>260.288679</v>
      </c>
    </row>
    <row r="23" spans="1:6" x14ac:dyDescent="0.25">
      <c r="A23" s="182" t="s">
        <v>496</v>
      </c>
      <c r="B23" s="182" t="s">
        <v>978</v>
      </c>
      <c r="C23" s="183" t="s">
        <v>1156</v>
      </c>
      <c r="D23" s="184">
        <v>541.52</v>
      </c>
      <c r="E23" s="185">
        <v>533.45000000000005</v>
      </c>
      <c r="F23" s="186">
        <v>32.259062499999999</v>
      </c>
    </row>
    <row r="24" spans="1:6" x14ac:dyDescent="0.25">
      <c r="A24" s="182" t="s">
        <v>496</v>
      </c>
      <c r="B24" s="182" t="s">
        <v>985</v>
      </c>
      <c r="C24" s="183" t="s">
        <v>1156</v>
      </c>
      <c r="D24" s="184">
        <v>1109.1099999999999</v>
      </c>
      <c r="E24" s="185">
        <v>1149.0999999999999</v>
      </c>
      <c r="F24" s="186">
        <v>181.25301480000002</v>
      </c>
    </row>
    <row r="25" spans="1:6" x14ac:dyDescent="0.25">
      <c r="A25" s="182" t="s">
        <v>496</v>
      </c>
      <c r="B25" s="182" t="s">
        <v>983</v>
      </c>
      <c r="C25" s="183" t="s">
        <v>1156</v>
      </c>
      <c r="D25" s="184">
        <v>2035.04</v>
      </c>
      <c r="E25" s="185">
        <v>2004.9</v>
      </c>
      <c r="F25" s="186">
        <v>86.381428000000014</v>
      </c>
    </row>
    <row r="26" spans="1:6" x14ac:dyDescent="0.25">
      <c r="A26" s="182" t="s">
        <v>496</v>
      </c>
      <c r="B26" s="182" t="s">
        <v>984</v>
      </c>
      <c r="C26" s="183" t="s">
        <v>1156</v>
      </c>
      <c r="D26" s="184">
        <v>717.82</v>
      </c>
      <c r="E26" s="185">
        <v>702.55</v>
      </c>
      <c r="F26" s="186">
        <v>94.150916999999993</v>
      </c>
    </row>
    <row r="27" spans="1:6" x14ac:dyDescent="0.25">
      <c r="A27" s="182" t="s">
        <v>496</v>
      </c>
      <c r="B27" s="182" t="s">
        <v>998</v>
      </c>
      <c r="C27" s="183" t="s">
        <v>1156</v>
      </c>
      <c r="D27" s="184">
        <v>8079.88</v>
      </c>
      <c r="E27" s="185">
        <v>7848</v>
      </c>
      <c r="F27" s="186">
        <v>1646.2256831999998</v>
      </c>
    </row>
    <row r="28" spans="1:6" x14ac:dyDescent="0.25">
      <c r="A28" s="182" t="s">
        <v>496</v>
      </c>
      <c r="B28" s="182" t="s">
        <v>981</v>
      </c>
      <c r="C28" s="183" t="s">
        <v>1156</v>
      </c>
      <c r="D28" s="184">
        <v>234</v>
      </c>
      <c r="E28" s="185">
        <v>240.72</v>
      </c>
      <c r="F28" s="186">
        <v>50.621447400000001</v>
      </c>
    </row>
    <row r="29" spans="1:6" x14ac:dyDescent="0.25">
      <c r="A29" s="182" t="s">
        <v>496</v>
      </c>
      <c r="B29" s="182" t="s">
        <v>997</v>
      </c>
      <c r="C29" s="183" t="s">
        <v>1156</v>
      </c>
      <c r="D29" s="184">
        <v>1397.42</v>
      </c>
      <c r="E29" s="185">
        <v>1373.2</v>
      </c>
      <c r="F29" s="186">
        <v>923.09220000000005</v>
      </c>
    </row>
    <row r="30" spans="1:6" x14ac:dyDescent="0.25">
      <c r="A30" s="182" t="s">
        <v>496</v>
      </c>
      <c r="B30" s="182" t="s">
        <v>995</v>
      </c>
      <c r="C30" s="183" t="s">
        <v>1156</v>
      </c>
      <c r="D30" s="184">
        <v>873.77</v>
      </c>
      <c r="E30" s="185">
        <v>876.95</v>
      </c>
      <c r="F30" s="186">
        <v>736.15679999999998</v>
      </c>
    </row>
    <row r="31" spans="1:6" x14ac:dyDescent="0.25">
      <c r="A31" s="182" t="s">
        <v>496</v>
      </c>
      <c r="B31" s="182" t="s">
        <v>979</v>
      </c>
      <c r="C31" s="183" t="s">
        <v>1156</v>
      </c>
      <c r="D31" s="184">
        <v>437.74</v>
      </c>
      <c r="E31" s="185">
        <v>469.1</v>
      </c>
      <c r="F31" s="186">
        <v>27.894185</v>
      </c>
    </row>
    <row r="32" spans="1:6" x14ac:dyDescent="0.25">
      <c r="A32" s="182"/>
      <c r="B32" s="182"/>
      <c r="C32" s="183"/>
      <c r="D32" s="184"/>
      <c r="E32" s="185"/>
      <c r="F32" s="186"/>
    </row>
    <row r="33" spans="1:6" x14ac:dyDescent="0.25">
      <c r="A33" s="182" t="s">
        <v>635</v>
      </c>
      <c r="B33" s="182" t="s">
        <v>977</v>
      </c>
      <c r="C33" s="183" t="s">
        <v>1156</v>
      </c>
      <c r="D33" s="184">
        <v>2581.3000000000002</v>
      </c>
      <c r="E33" s="185">
        <v>2522</v>
      </c>
      <c r="F33" s="186">
        <v>185.87233800000001</v>
      </c>
    </row>
    <row r="34" spans="1:6" x14ac:dyDescent="0.25">
      <c r="A34" s="182" t="s">
        <v>635</v>
      </c>
      <c r="B34" s="182" t="s">
        <v>1060</v>
      </c>
      <c r="C34" s="183" t="s">
        <v>1156</v>
      </c>
      <c r="D34" s="184">
        <v>1345.71</v>
      </c>
      <c r="E34" s="185">
        <v>1411.2</v>
      </c>
      <c r="F34" s="186">
        <v>64.512103500000009</v>
      </c>
    </row>
    <row r="35" spans="1:6" x14ac:dyDescent="0.25">
      <c r="A35" s="182" t="s">
        <v>635</v>
      </c>
      <c r="B35" s="182" t="s">
        <v>991</v>
      </c>
      <c r="C35" s="183" t="s">
        <v>1156</v>
      </c>
      <c r="D35" s="184">
        <v>1168.1199999999999</v>
      </c>
      <c r="E35" s="185">
        <v>1137.2</v>
      </c>
      <c r="F35" s="186">
        <v>222.48934879999999</v>
      </c>
    </row>
    <row r="36" spans="1:6" x14ac:dyDescent="0.25">
      <c r="A36" s="182" t="s">
        <v>635</v>
      </c>
      <c r="B36" s="182" t="s">
        <v>1071</v>
      </c>
      <c r="C36" s="183" t="s">
        <v>1156</v>
      </c>
      <c r="D36" s="184">
        <v>1038.06</v>
      </c>
      <c r="E36" s="185">
        <v>1004.6</v>
      </c>
      <c r="F36" s="186">
        <v>219.47557499999999</v>
      </c>
    </row>
    <row r="37" spans="1:6" x14ac:dyDescent="0.25">
      <c r="A37" s="182" t="s">
        <v>635</v>
      </c>
      <c r="B37" s="182" t="s">
        <v>1045</v>
      </c>
      <c r="C37" s="183" t="s">
        <v>1156</v>
      </c>
      <c r="D37" s="184">
        <v>2101.6</v>
      </c>
      <c r="E37" s="185">
        <v>2020.7</v>
      </c>
      <c r="F37" s="186">
        <v>12.46637</v>
      </c>
    </row>
    <row r="38" spans="1:6" x14ac:dyDescent="0.25">
      <c r="A38" s="182" t="s">
        <v>635</v>
      </c>
      <c r="B38" s="182" t="s">
        <v>987</v>
      </c>
      <c r="C38" s="183" t="s">
        <v>1156</v>
      </c>
      <c r="D38" s="184">
        <v>255.78</v>
      </c>
      <c r="E38" s="185">
        <v>260.38</v>
      </c>
      <c r="F38" s="186">
        <v>51.9458415</v>
      </c>
    </row>
    <row r="39" spans="1:6" x14ac:dyDescent="0.25">
      <c r="A39" s="182" t="s">
        <v>635</v>
      </c>
      <c r="B39" s="182" t="s">
        <v>1064</v>
      </c>
      <c r="C39" s="183" t="s">
        <v>1156</v>
      </c>
      <c r="D39" s="184">
        <v>1518.28</v>
      </c>
      <c r="E39" s="185">
        <v>1502</v>
      </c>
      <c r="F39" s="186">
        <v>144.75568799999999</v>
      </c>
    </row>
    <row r="40" spans="1:6" x14ac:dyDescent="0.25">
      <c r="A40" s="182" t="s">
        <v>635</v>
      </c>
      <c r="B40" s="182" t="s">
        <v>993</v>
      </c>
      <c r="C40" s="183" t="s">
        <v>1156</v>
      </c>
      <c r="D40" s="184">
        <v>1948.2</v>
      </c>
      <c r="E40" s="185">
        <v>1891.8</v>
      </c>
      <c r="F40" s="186">
        <v>116.51170500000001</v>
      </c>
    </row>
    <row r="41" spans="1:6" x14ac:dyDescent="0.25">
      <c r="A41" s="182" t="s">
        <v>635</v>
      </c>
      <c r="B41" s="182" t="s">
        <v>1059</v>
      </c>
      <c r="C41" s="183" t="s">
        <v>1156</v>
      </c>
      <c r="D41" s="184">
        <v>2080.5</v>
      </c>
      <c r="E41" s="185">
        <v>2053.1999999999998</v>
      </c>
      <c r="F41" s="186">
        <v>89.967308399999993</v>
      </c>
    </row>
    <row r="42" spans="1:6" x14ac:dyDescent="0.25">
      <c r="A42" s="182" t="s">
        <v>635</v>
      </c>
      <c r="B42" s="182" t="s">
        <v>1052</v>
      </c>
      <c r="C42" s="183" t="s">
        <v>1156</v>
      </c>
      <c r="D42" s="184">
        <v>121.73</v>
      </c>
      <c r="E42" s="185">
        <v>124.6</v>
      </c>
      <c r="F42" s="186">
        <v>42.863345000000002</v>
      </c>
    </row>
    <row r="43" spans="1:6" x14ac:dyDescent="0.25">
      <c r="A43" s="182" t="s">
        <v>635</v>
      </c>
      <c r="B43" s="182" t="s">
        <v>1058</v>
      </c>
      <c r="C43" s="183" t="s">
        <v>1156</v>
      </c>
      <c r="D43" s="184">
        <v>1523.07</v>
      </c>
      <c r="E43" s="185">
        <v>1512.8</v>
      </c>
      <c r="F43" s="186">
        <v>42.285364800000004</v>
      </c>
    </row>
    <row r="44" spans="1:6" x14ac:dyDescent="0.25">
      <c r="A44" s="182" t="s">
        <v>635</v>
      </c>
      <c r="B44" s="182" t="s">
        <v>1043</v>
      </c>
      <c r="C44" s="183" t="s">
        <v>1156</v>
      </c>
      <c r="D44" s="184">
        <v>6073.5</v>
      </c>
      <c r="E44" s="185">
        <v>5728</v>
      </c>
      <c r="F44" s="186">
        <v>2.0270999999999999</v>
      </c>
    </row>
    <row r="45" spans="1:6" x14ac:dyDescent="0.25">
      <c r="A45" s="182" t="s">
        <v>635</v>
      </c>
      <c r="B45" s="182" t="s">
        <v>1046</v>
      </c>
      <c r="C45" s="183" t="s">
        <v>1156</v>
      </c>
      <c r="D45" s="184">
        <v>768.55</v>
      </c>
      <c r="E45" s="185">
        <v>718.3</v>
      </c>
      <c r="F45" s="186">
        <v>16.899440600000002</v>
      </c>
    </row>
    <row r="46" spans="1:6" x14ac:dyDescent="0.25">
      <c r="A46" s="182" t="s">
        <v>635</v>
      </c>
      <c r="B46" s="182" t="s">
        <v>1053</v>
      </c>
      <c r="C46" s="183" t="s">
        <v>1156</v>
      </c>
      <c r="D46" s="184">
        <v>329.18</v>
      </c>
      <c r="E46" s="185">
        <v>327.9</v>
      </c>
      <c r="F46" s="186">
        <v>52.288499699999996</v>
      </c>
    </row>
    <row r="47" spans="1:6" x14ac:dyDescent="0.25">
      <c r="A47" s="182" t="s">
        <v>635</v>
      </c>
      <c r="B47" s="182" t="s">
        <v>1044</v>
      </c>
      <c r="C47" s="183" t="s">
        <v>1156</v>
      </c>
      <c r="D47" s="184">
        <v>191.49</v>
      </c>
      <c r="E47" s="185">
        <v>193.92</v>
      </c>
      <c r="F47" s="186">
        <v>8.5919624999999993</v>
      </c>
    </row>
    <row r="48" spans="1:6" x14ac:dyDescent="0.25">
      <c r="A48" s="182" t="s">
        <v>635</v>
      </c>
      <c r="B48" s="182" t="s">
        <v>1068</v>
      </c>
      <c r="C48" s="183" t="s">
        <v>1156</v>
      </c>
      <c r="D48" s="184">
        <v>588.07000000000005</v>
      </c>
      <c r="E48" s="185">
        <v>572.9</v>
      </c>
      <c r="F48" s="186">
        <v>125.108445</v>
      </c>
    </row>
    <row r="49" spans="1:6" x14ac:dyDescent="0.25">
      <c r="A49" s="182" t="s">
        <v>635</v>
      </c>
      <c r="B49" s="182" t="s">
        <v>994</v>
      </c>
      <c r="C49" s="183" t="s">
        <v>1156</v>
      </c>
      <c r="D49" s="184">
        <v>957.06</v>
      </c>
      <c r="E49" s="185">
        <v>956.1</v>
      </c>
      <c r="F49" s="186">
        <v>210.9809296</v>
      </c>
    </row>
    <row r="50" spans="1:6" x14ac:dyDescent="0.25">
      <c r="A50" s="182" t="s">
        <v>635</v>
      </c>
      <c r="B50" s="182" t="s">
        <v>1067</v>
      </c>
      <c r="C50" s="183" t="s">
        <v>1156</v>
      </c>
      <c r="D50" s="184">
        <v>757.7</v>
      </c>
      <c r="E50" s="185">
        <v>767.65</v>
      </c>
      <c r="F50" s="186">
        <v>114.97473399999998</v>
      </c>
    </row>
    <row r="51" spans="1:6" x14ac:dyDescent="0.25">
      <c r="A51" s="182" t="s">
        <v>635</v>
      </c>
      <c r="B51" s="182" t="s">
        <v>992</v>
      </c>
      <c r="C51" s="183" t="s">
        <v>1156</v>
      </c>
      <c r="D51" s="184">
        <v>4772.76</v>
      </c>
      <c r="E51" s="185">
        <v>4780.3</v>
      </c>
      <c r="F51" s="186">
        <v>105.76288199999999</v>
      </c>
    </row>
    <row r="52" spans="1:6" x14ac:dyDescent="0.25">
      <c r="A52" s="182" t="s">
        <v>635</v>
      </c>
      <c r="B52" s="182" t="s">
        <v>1061</v>
      </c>
      <c r="C52" s="183" t="s">
        <v>1156</v>
      </c>
      <c r="D52" s="184">
        <v>2548.7600000000002</v>
      </c>
      <c r="E52" s="185">
        <v>2531.6</v>
      </c>
      <c r="F52" s="186">
        <v>56.681289000000007</v>
      </c>
    </row>
    <row r="53" spans="1:6" x14ac:dyDescent="0.25">
      <c r="A53" s="182" t="s">
        <v>635</v>
      </c>
      <c r="B53" s="182" t="s">
        <v>996</v>
      </c>
      <c r="C53" s="183" t="s">
        <v>1156</v>
      </c>
      <c r="D53" s="184">
        <v>1380.5</v>
      </c>
      <c r="E53" s="185">
        <v>1357.5</v>
      </c>
      <c r="F53" s="186">
        <v>385.07461999999998</v>
      </c>
    </row>
    <row r="54" spans="1:6" x14ac:dyDescent="0.25">
      <c r="A54" s="182" t="s">
        <v>635</v>
      </c>
      <c r="B54" s="182" t="s">
        <v>989</v>
      </c>
      <c r="C54" s="183" t="s">
        <v>1156</v>
      </c>
      <c r="D54" s="184">
        <v>747.6</v>
      </c>
      <c r="E54" s="185">
        <v>725.1</v>
      </c>
      <c r="F54" s="186">
        <v>82.455119999999994</v>
      </c>
    </row>
    <row r="55" spans="1:6" x14ac:dyDescent="0.25">
      <c r="A55" s="182" t="s">
        <v>635</v>
      </c>
      <c r="B55" s="182" t="s">
        <v>1054</v>
      </c>
      <c r="C55" s="183" t="s">
        <v>1156</v>
      </c>
      <c r="D55" s="184">
        <v>360.5</v>
      </c>
      <c r="E55" s="185">
        <v>345.1</v>
      </c>
      <c r="F55" s="186">
        <v>47.629452499999999</v>
      </c>
    </row>
    <row r="56" spans="1:6" x14ac:dyDescent="0.25">
      <c r="A56" s="182" t="s">
        <v>635</v>
      </c>
      <c r="B56" s="182" t="s">
        <v>1062</v>
      </c>
      <c r="C56" s="183" t="s">
        <v>1156</v>
      </c>
      <c r="D56" s="184">
        <v>756.72</v>
      </c>
      <c r="E56" s="185">
        <v>738.9</v>
      </c>
      <c r="F56" s="186">
        <v>87.042299600000007</v>
      </c>
    </row>
    <row r="57" spans="1:6" x14ac:dyDescent="0.25">
      <c r="A57" s="182" t="s">
        <v>635</v>
      </c>
      <c r="B57" s="182" t="s">
        <v>1072</v>
      </c>
      <c r="C57" s="183" t="s">
        <v>1156</v>
      </c>
      <c r="D57" s="184">
        <v>407.97</v>
      </c>
      <c r="E57" s="185">
        <v>404.4</v>
      </c>
      <c r="F57" s="186">
        <v>336.16791999999998</v>
      </c>
    </row>
    <row r="58" spans="1:6" x14ac:dyDescent="0.25">
      <c r="A58" s="182" t="s">
        <v>635</v>
      </c>
      <c r="B58" s="182" t="s">
        <v>978</v>
      </c>
      <c r="C58" s="183" t="s">
        <v>1156</v>
      </c>
      <c r="D58" s="184">
        <v>546.4</v>
      </c>
      <c r="E58" s="185">
        <v>533.45000000000005</v>
      </c>
      <c r="F58" s="186">
        <v>23.226524999999999</v>
      </c>
    </row>
    <row r="59" spans="1:6" x14ac:dyDescent="0.25">
      <c r="A59" s="182" t="s">
        <v>635</v>
      </c>
      <c r="B59" s="182" t="s">
        <v>983</v>
      </c>
      <c r="C59" s="183" t="s">
        <v>1156</v>
      </c>
      <c r="D59" s="184">
        <v>2025.1</v>
      </c>
      <c r="E59" s="185">
        <v>2004.9</v>
      </c>
      <c r="F59" s="186">
        <v>83.453243999999998</v>
      </c>
    </row>
    <row r="60" spans="1:6" x14ac:dyDescent="0.25">
      <c r="A60" s="182" t="s">
        <v>635</v>
      </c>
      <c r="B60" s="182" t="s">
        <v>1069</v>
      </c>
      <c r="C60" s="183" t="s">
        <v>1156</v>
      </c>
      <c r="D60" s="184">
        <v>3737.09</v>
      </c>
      <c r="E60" s="185">
        <v>3680.4</v>
      </c>
      <c r="F60" s="186">
        <v>128.769263</v>
      </c>
    </row>
    <row r="61" spans="1:6" x14ac:dyDescent="0.25">
      <c r="A61" s="182" t="s">
        <v>635</v>
      </c>
      <c r="B61" s="182" t="s">
        <v>1048</v>
      </c>
      <c r="C61" s="183" t="s">
        <v>1156</v>
      </c>
      <c r="D61" s="184">
        <v>3600.28</v>
      </c>
      <c r="E61" s="185">
        <v>3452.4</v>
      </c>
      <c r="F61" s="186">
        <v>25.056686999999997</v>
      </c>
    </row>
    <row r="62" spans="1:6" x14ac:dyDescent="0.25">
      <c r="A62" s="182" t="s">
        <v>635</v>
      </c>
      <c r="B62" s="182" t="s">
        <v>1063</v>
      </c>
      <c r="C62" s="183" t="s">
        <v>1156</v>
      </c>
      <c r="D62" s="184">
        <v>1568.34</v>
      </c>
      <c r="E62" s="185">
        <v>1584.1</v>
      </c>
      <c r="F62" s="186">
        <v>87.523424000000006</v>
      </c>
    </row>
    <row r="63" spans="1:6" x14ac:dyDescent="0.25">
      <c r="A63" s="182" t="s">
        <v>635</v>
      </c>
      <c r="B63" s="182" t="s">
        <v>1041</v>
      </c>
      <c r="C63" s="183" t="s">
        <v>1156</v>
      </c>
      <c r="D63" s="184">
        <v>1206.2</v>
      </c>
      <c r="E63" s="185">
        <v>1161.7</v>
      </c>
      <c r="F63" s="186">
        <v>1.034645</v>
      </c>
    </row>
    <row r="64" spans="1:6" x14ac:dyDescent="0.25">
      <c r="A64" s="182" t="s">
        <v>635</v>
      </c>
      <c r="B64" s="182" t="s">
        <v>981</v>
      </c>
      <c r="C64" s="183" t="s">
        <v>1156</v>
      </c>
      <c r="D64" s="184">
        <v>236.03</v>
      </c>
      <c r="E64" s="185">
        <v>240.72</v>
      </c>
      <c r="F64" s="186">
        <v>2.9777322000000002</v>
      </c>
    </row>
    <row r="65" spans="1:6" x14ac:dyDescent="0.25">
      <c r="A65" s="182" t="s">
        <v>635</v>
      </c>
      <c r="B65" s="182" t="s">
        <v>1049</v>
      </c>
      <c r="C65" s="183" t="s">
        <v>1156</v>
      </c>
      <c r="D65" s="184">
        <v>886.38</v>
      </c>
      <c r="E65" s="185">
        <v>869</v>
      </c>
      <c r="F65" s="186">
        <v>35.538633600000004</v>
      </c>
    </row>
    <row r="66" spans="1:6" x14ac:dyDescent="0.25">
      <c r="A66" s="182" t="s">
        <v>635</v>
      </c>
      <c r="B66" s="182" t="s">
        <v>1055</v>
      </c>
      <c r="C66" s="183" t="s">
        <v>1156</v>
      </c>
      <c r="D66" s="184">
        <v>114.78</v>
      </c>
      <c r="E66" s="185">
        <v>113.72</v>
      </c>
      <c r="F66" s="186">
        <v>43.979904000000005</v>
      </c>
    </row>
    <row r="67" spans="1:6" x14ac:dyDescent="0.25">
      <c r="A67" s="182" t="s">
        <v>635</v>
      </c>
      <c r="B67" s="182" t="s">
        <v>1066</v>
      </c>
      <c r="C67" s="183" t="s">
        <v>1156</v>
      </c>
      <c r="D67" s="184">
        <v>274.52</v>
      </c>
      <c r="E67" s="185">
        <v>279.8</v>
      </c>
      <c r="F67" s="186">
        <v>207.60023400000003</v>
      </c>
    </row>
    <row r="68" spans="1:6" x14ac:dyDescent="0.25">
      <c r="A68" s="182" t="s">
        <v>635</v>
      </c>
      <c r="B68" s="182" t="s">
        <v>997</v>
      </c>
      <c r="C68" s="183" t="s">
        <v>1156</v>
      </c>
      <c r="D68" s="184">
        <v>1388.3</v>
      </c>
      <c r="E68" s="185">
        <v>1373.2</v>
      </c>
      <c r="F68" s="186">
        <v>453.04393499999998</v>
      </c>
    </row>
    <row r="69" spans="1:6" x14ac:dyDescent="0.25">
      <c r="A69" s="182" t="s">
        <v>635</v>
      </c>
      <c r="B69" s="182" t="s">
        <v>1050</v>
      </c>
      <c r="C69" s="183" t="s">
        <v>1156</v>
      </c>
      <c r="D69" s="184">
        <v>156.35</v>
      </c>
      <c r="E69" s="185">
        <v>161.29</v>
      </c>
      <c r="F69" s="186">
        <v>55.72909760000001</v>
      </c>
    </row>
    <row r="70" spans="1:6" x14ac:dyDescent="0.25">
      <c r="A70" s="182" t="s">
        <v>635</v>
      </c>
      <c r="B70" s="182" t="s">
        <v>1056</v>
      </c>
      <c r="C70" s="183" t="s">
        <v>1156</v>
      </c>
      <c r="D70" s="184">
        <v>1819.98</v>
      </c>
      <c r="E70" s="185">
        <v>1802</v>
      </c>
      <c r="F70" s="186">
        <v>39.558050399999999</v>
      </c>
    </row>
    <row r="71" spans="1:6" x14ac:dyDescent="0.25">
      <c r="A71" s="182" t="s">
        <v>635</v>
      </c>
      <c r="B71" s="182" t="s">
        <v>1042</v>
      </c>
      <c r="C71" s="183" t="s">
        <v>1156</v>
      </c>
      <c r="D71" s="184">
        <v>3129.65</v>
      </c>
      <c r="E71" s="185">
        <v>3142.2</v>
      </c>
      <c r="F71" s="186">
        <v>1.6748926000000002</v>
      </c>
    </row>
    <row r="72" spans="1:6" x14ac:dyDescent="0.25">
      <c r="A72" s="182" t="s">
        <v>635</v>
      </c>
      <c r="B72" s="182" t="s">
        <v>995</v>
      </c>
      <c r="C72" s="183" t="s">
        <v>1156</v>
      </c>
      <c r="D72" s="184">
        <v>864</v>
      </c>
      <c r="E72" s="185">
        <v>876.95</v>
      </c>
      <c r="F72" s="186">
        <v>152.982585</v>
      </c>
    </row>
    <row r="73" spans="1:6" x14ac:dyDescent="0.25">
      <c r="A73" s="182" t="s">
        <v>635</v>
      </c>
      <c r="B73" s="182" t="s">
        <v>1065</v>
      </c>
      <c r="C73" s="183" t="s">
        <v>1156</v>
      </c>
      <c r="D73" s="184">
        <v>1646.74</v>
      </c>
      <c r="E73" s="185">
        <v>1605.6</v>
      </c>
      <c r="F73" s="186">
        <v>95.546704199999994</v>
      </c>
    </row>
    <row r="74" spans="1:6" x14ac:dyDescent="0.25">
      <c r="A74" s="182" t="s">
        <v>635</v>
      </c>
      <c r="B74" s="182" t="s">
        <v>1070</v>
      </c>
      <c r="C74" s="183" t="s">
        <v>1156</v>
      </c>
      <c r="D74" s="184">
        <v>2908.25</v>
      </c>
      <c r="E74" s="185">
        <v>2897.2</v>
      </c>
      <c r="F74" s="186">
        <v>182.683144</v>
      </c>
    </row>
    <row r="75" spans="1:6" x14ac:dyDescent="0.25">
      <c r="A75" s="182" t="s">
        <v>635</v>
      </c>
      <c r="B75" s="182" t="s">
        <v>1051</v>
      </c>
      <c r="C75" s="183" t="s">
        <v>1156</v>
      </c>
      <c r="D75" s="184">
        <v>1147.73</v>
      </c>
      <c r="E75" s="185">
        <v>1136.4000000000001</v>
      </c>
      <c r="F75" s="186">
        <v>34.629231999999995</v>
      </c>
    </row>
    <row r="76" spans="1:6" x14ac:dyDescent="0.25">
      <c r="A76" s="182" t="s">
        <v>635</v>
      </c>
      <c r="B76" s="182" t="s">
        <v>1047</v>
      </c>
      <c r="C76" s="183" t="s">
        <v>1156</v>
      </c>
      <c r="D76" s="184">
        <v>677.17</v>
      </c>
      <c r="E76" s="185">
        <v>683.3</v>
      </c>
      <c r="F76" s="186">
        <v>24.722367999999999</v>
      </c>
    </row>
    <row r="77" spans="1:6" x14ac:dyDescent="0.25">
      <c r="A77" s="182" t="s">
        <v>635</v>
      </c>
      <c r="B77" s="182" t="s">
        <v>1057</v>
      </c>
      <c r="C77" s="183" t="s">
        <v>1156</v>
      </c>
      <c r="D77" s="184">
        <v>175.26</v>
      </c>
      <c r="E77" s="185">
        <v>170.07</v>
      </c>
      <c r="F77" s="186">
        <v>43.52205</v>
      </c>
    </row>
    <row r="78" spans="1:6" x14ac:dyDescent="0.25">
      <c r="A78" s="182"/>
      <c r="B78" s="182"/>
      <c r="C78" s="183"/>
      <c r="D78" s="184"/>
      <c r="E78" s="185"/>
      <c r="F78" s="186"/>
    </row>
    <row r="79" spans="1:6" x14ac:dyDescent="0.25">
      <c r="A79" s="182" t="s">
        <v>659</v>
      </c>
      <c r="B79" s="182" t="s">
        <v>1045</v>
      </c>
      <c r="C79" s="183" t="s">
        <v>1156</v>
      </c>
      <c r="D79" s="184">
        <v>2092.11</v>
      </c>
      <c r="E79" s="185">
        <v>2020.7</v>
      </c>
      <c r="F79" s="186">
        <v>343.71562999999998</v>
      </c>
    </row>
    <row r="80" spans="1:6" x14ac:dyDescent="0.25">
      <c r="A80" s="182" t="s">
        <v>659</v>
      </c>
      <c r="B80" s="182" t="s">
        <v>987</v>
      </c>
      <c r="C80" s="183" t="s">
        <v>1156</v>
      </c>
      <c r="D80" s="184">
        <v>257.76</v>
      </c>
      <c r="E80" s="185">
        <v>260.38</v>
      </c>
      <c r="F80" s="186">
        <v>474.93340799999999</v>
      </c>
    </row>
    <row r="81" spans="1:6" x14ac:dyDescent="0.25">
      <c r="A81" s="182" t="s">
        <v>659</v>
      </c>
      <c r="B81" s="182" t="s">
        <v>993</v>
      </c>
      <c r="C81" s="183" t="s">
        <v>1156</v>
      </c>
      <c r="D81" s="184">
        <v>1960.4</v>
      </c>
      <c r="E81" s="185">
        <v>1891.8</v>
      </c>
      <c r="F81" s="186">
        <v>426.68475749999999</v>
      </c>
    </row>
    <row r="82" spans="1:6" x14ac:dyDescent="0.25">
      <c r="A82" s="182" t="s">
        <v>659</v>
      </c>
      <c r="B82" s="182" t="s">
        <v>1052</v>
      </c>
      <c r="C82" s="183" t="s">
        <v>1156</v>
      </c>
      <c r="D82" s="184">
        <v>123.05</v>
      </c>
      <c r="E82" s="185">
        <v>124.6</v>
      </c>
      <c r="F82" s="186">
        <v>486.92759920000003</v>
      </c>
    </row>
    <row r="83" spans="1:6" x14ac:dyDescent="0.25">
      <c r="A83" s="182" t="s">
        <v>659</v>
      </c>
      <c r="B83" s="182" t="s">
        <v>1058</v>
      </c>
      <c r="C83" s="183" t="s">
        <v>1156</v>
      </c>
      <c r="D83" s="184">
        <v>1539.72</v>
      </c>
      <c r="E83" s="185">
        <v>1512.8</v>
      </c>
      <c r="F83" s="186">
        <v>345.33047920000001</v>
      </c>
    </row>
    <row r="84" spans="1:6" x14ac:dyDescent="0.25">
      <c r="A84" s="182" t="s">
        <v>659</v>
      </c>
      <c r="B84" s="182" t="s">
        <v>1053</v>
      </c>
      <c r="C84" s="183" t="s">
        <v>1156</v>
      </c>
      <c r="D84" s="184">
        <v>337.23</v>
      </c>
      <c r="E84" s="185">
        <v>327.9</v>
      </c>
      <c r="F84" s="186">
        <v>712.67288479999991</v>
      </c>
    </row>
    <row r="85" spans="1:6" x14ac:dyDescent="0.25">
      <c r="A85" s="182" t="s">
        <v>659</v>
      </c>
      <c r="B85" s="182" t="s">
        <v>992</v>
      </c>
      <c r="C85" s="183" t="s">
        <v>1156</v>
      </c>
      <c r="D85" s="184">
        <v>4829.16</v>
      </c>
      <c r="E85" s="185">
        <v>4780.3</v>
      </c>
      <c r="F85" s="186">
        <v>331.2866745</v>
      </c>
    </row>
    <row r="86" spans="1:6" x14ac:dyDescent="0.25">
      <c r="A86" s="182" t="s">
        <v>659</v>
      </c>
      <c r="B86" s="182" t="s">
        <v>996</v>
      </c>
      <c r="C86" s="183" t="s">
        <v>1156</v>
      </c>
      <c r="D86" s="184">
        <v>1397.88</v>
      </c>
      <c r="E86" s="185">
        <v>1357.5</v>
      </c>
      <c r="F86" s="186">
        <v>552.05388000000005</v>
      </c>
    </row>
    <row r="87" spans="1:6" x14ac:dyDescent="0.25">
      <c r="A87" s="182" t="s">
        <v>659</v>
      </c>
      <c r="B87" s="182" t="s">
        <v>983</v>
      </c>
      <c r="C87" s="183" t="s">
        <v>1156</v>
      </c>
      <c r="D87" s="184">
        <v>2061.29</v>
      </c>
      <c r="E87" s="185">
        <v>2004.9</v>
      </c>
      <c r="F87" s="186">
        <v>405.55348400000008</v>
      </c>
    </row>
    <row r="88" spans="1:6" x14ac:dyDescent="0.25">
      <c r="A88" s="182" t="s">
        <v>659</v>
      </c>
      <c r="B88" s="182" t="s">
        <v>998</v>
      </c>
      <c r="C88" s="183" t="s">
        <v>1156</v>
      </c>
      <c r="D88" s="184">
        <v>8039.14</v>
      </c>
      <c r="E88" s="185">
        <v>7848</v>
      </c>
      <c r="F88" s="186">
        <v>230.27561640000002</v>
      </c>
    </row>
    <row r="89" spans="1:6" x14ac:dyDescent="0.25">
      <c r="A89" s="182" t="s">
        <v>659</v>
      </c>
      <c r="B89" s="182" t="s">
        <v>1076</v>
      </c>
      <c r="C89" s="183" t="s">
        <v>1156</v>
      </c>
      <c r="D89" s="184">
        <v>599.41999999999996</v>
      </c>
      <c r="E89" s="185">
        <v>579</v>
      </c>
      <c r="F89" s="186">
        <v>85.579245</v>
      </c>
    </row>
    <row r="90" spans="1:6" x14ac:dyDescent="0.25">
      <c r="A90" s="182" t="s">
        <v>659</v>
      </c>
      <c r="B90" s="182" t="s">
        <v>997</v>
      </c>
      <c r="C90" s="183" t="s">
        <v>1156</v>
      </c>
      <c r="D90" s="184">
        <v>1404.31</v>
      </c>
      <c r="E90" s="185">
        <v>1373.2</v>
      </c>
      <c r="F90" s="186">
        <v>357.09093000000001</v>
      </c>
    </row>
    <row r="91" spans="1:6" x14ac:dyDescent="0.25">
      <c r="A91" s="182" t="s">
        <v>659</v>
      </c>
      <c r="B91" s="182" t="s">
        <v>1070</v>
      </c>
      <c r="C91" s="183" t="s">
        <v>1156</v>
      </c>
      <c r="D91" s="184">
        <v>3080.76</v>
      </c>
      <c r="E91" s="185">
        <v>2897.2</v>
      </c>
      <c r="F91" s="186">
        <v>226.99737199999998</v>
      </c>
    </row>
    <row r="92" spans="1:6" x14ac:dyDescent="0.25">
      <c r="A92" s="182"/>
      <c r="B92" s="182"/>
      <c r="C92" s="183"/>
      <c r="D92" s="184"/>
      <c r="E92" s="185"/>
      <c r="F92" s="186"/>
    </row>
    <row r="93" spans="1:6" x14ac:dyDescent="0.25">
      <c r="A93" s="182" t="s">
        <v>706</v>
      </c>
      <c r="B93" s="182" t="s">
        <v>1097</v>
      </c>
      <c r="C93" s="183" t="s">
        <v>1156</v>
      </c>
      <c r="D93" s="184">
        <v>1105.01</v>
      </c>
      <c r="E93" s="185">
        <v>1089</v>
      </c>
      <c r="F93" s="186">
        <v>108.06135999999999</v>
      </c>
    </row>
    <row r="94" spans="1:6" x14ac:dyDescent="0.25">
      <c r="A94" s="182" t="s">
        <v>706</v>
      </c>
      <c r="B94" s="182" t="s">
        <v>991</v>
      </c>
      <c r="C94" s="183" t="s">
        <v>1156</v>
      </c>
      <c r="D94" s="184">
        <v>1145.42</v>
      </c>
      <c r="E94" s="185">
        <v>1137.2</v>
      </c>
      <c r="F94" s="186">
        <v>770.35329439999998</v>
      </c>
    </row>
    <row r="95" spans="1:6" x14ac:dyDescent="0.25">
      <c r="A95" s="182" t="s">
        <v>706</v>
      </c>
      <c r="B95" s="182" t="s">
        <v>1071</v>
      </c>
      <c r="C95" s="183" t="s">
        <v>1156</v>
      </c>
      <c r="D95" s="184">
        <v>970.35</v>
      </c>
      <c r="E95" s="185">
        <v>1004.6</v>
      </c>
      <c r="F95" s="186">
        <v>102.50955</v>
      </c>
    </row>
    <row r="96" spans="1:6" x14ac:dyDescent="0.25">
      <c r="A96" s="182" t="s">
        <v>706</v>
      </c>
      <c r="B96" s="182" t="s">
        <v>1045</v>
      </c>
      <c r="C96" s="183" t="s">
        <v>1156</v>
      </c>
      <c r="D96" s="184">
        <v>2090.7600000000002</v>
      </c>
      <c r="E96" s="185">
        <v>2020.7</v>
      </c>
      <c r="F96" s="186">
        <v>58.770029999999998</v>
      </c>
    </row>
    <row r="97" spans="1:6" x14ac:dyDescent="0.25">
      <c r="A97" s="182" t="s">
        <v>706</v>
      </c>
      <c r="B97" s="182" t="s">
        <v>987</v>
      </c>
      <c r="C97" s="183" t="s">
        <v>1156</v>
      </c>
      <c r="D97" s="184">
        <v>257.14</v>
      </c>
      <c r="E97" s="185">
        <v>260.38</v>
      </c>
      <c r="F97" s="186">
        <v>206.29919910000001</v>
      </c>
    </row>
    <row r="98" spans="1:6" x14ac:dyDescent="0.25">
      <c r="A98" s="182" t="s">
        <v>706</v>
      </c>
      <c r="B98" s="182" t="s">
        <v>993</v>
      </c>
      <c r="C98" s="183" t="s">
        <v>1156</v>
      </c>
      <c r="D98" s="184">
        <v>1957.59</v>
      </c>
      <c r="E98" s="185">
        <v>1891.8</v>
      </c>
      <c r="F98" s="186">
        <v>1457.970795</v>
      </c>
    </row>
    <row r="99" spans="1:6" x14ac:dyDescent="0.25">
      <c r="A99" s="182" t="s">
        <v>706</v>
      </c>
      <c r="B99" s="182" t="s">
        <v>1043</v>
      </c>
      <c r="C99" s="183" t="s">
        <v>1156</v>
      </c>
      <c r="D99" s="184">
        <v>6021.33</v>
      </c>
      <c r="E99" s="185">
        <v>5728</v>
      </c>
      <c r="F99" s="186">
        <v>3.0406499999999999</v>
      </c>
    </row>
    <row r="100" spans="1:6" x14ac:dyDescent="0.25">
      <c r="A100" s="182" t="s">
        <v>706</v>
      </c>
      <c r="B100" s="182" t="s">
        <v>1053</v>
      </c>
      <c r="C100" s="183" t="s">
        <v>1156</v>
      </c>
      <c r="D100" s="184">
        <v>327.48</v>
      </c>
      <c r="E100" s="185">
        <v>327.9</v>
      </c>
      <c r="F100" s="186">
        <v>147.1824436</v>
      </c>
    </row>
    <row r="101" spans="1:6" x14ac:dyDescent="0.25">
      <c r="A101" s="182" t="s">
        <v>706</v>
      </c>
      <c r="B101" s="182" t="s">
        <v>1068</v>
      </c>
      <c r="C101" s="183" t="s">
        <v>1156</v>
      </c>
      <c r="D101" s="184">
        <v>595.78</v>
      </c>
      <c r="E101" s="185">
        <v>572.9</v>
      </c>
      <c r="F101" s="186">
        <v>113.73495</v>
      </c>
    </row>
    <row r="102" spans="1:6" x14ac:dyDescent="0.25">
      <c r="A102" s="182" t="s">
        <v>706</v>
      </c>
      <c r="B102" s="182" t="s">
        <v>994</v>
      </c>
      <c r="C102" s="183" t="s">
        <v>1156</v>
      </c>
      <c r="D102" s="184">
        <v>964.32</v>
      </c>
      <c r="E102" s="185">
        <v>956.1</v>
      </c>
      <c r="F102" s="186">
        <v>254.30737050000002</v>
      </c>
    </row>
    <row r="103" spans="1:6" x14ac:dyDescent="0.25">
      <c r="A103" s="182" t="s">
        <v>706</v>
      </c>
      <c r="B103" s="182" t="s">
        <v>1067</v>
      </c>
      <c r="C103" s="183" t="s">
        <v>1156</v>
      </c>
      <c r="D103" s="184">
        <v>750.39</v>
      </c>
      <c r="E103" s="185">
        <v>767.65</v>
      </c>
      <c r="F103" s="186">
        <v>212.10856099999998</v>
      </c>
    </row>
    <row r="104" spans="1:6" x14ac:dyDescent="0.25">
      <c r="A104" s="182" t="s">
        <v>706</v>
      </c>
      <c r="B104" s="182" t="s">
        <v>992</v>
      </c>
      <c r="C104" s="183" t="s">
        <v>1156</v>
      </c>
      <c r="D104" s="184">
        <v>4755.3500000000004</v>
      </c>
      <c r="E104" s="185">
        <v>4780.3</v>
      </c>
      <c r="F104" s="186">
        <v>77.766824999999997</v>
      </c>
    </row>
    <row r="105" spans="1:6" x14ac:dyDescent="0.25">
      <c r="A105" s="182" t="s">
        <v>706</v>
      </c>
      <c r="B105" s="182" t="s">
        <v>1061</v>
      </c>
      <c r="C105" s="183" t="s">
        <v>1156</v>
      </c>
      <c r="D105" s="184">
        <v>2555.9499999999998</v>
      </c>
      <c r="E105" s="185">
        <v>2531.6</v>
      </c>
      <c r="F105" s="186">
        <v>141.70322250000001</v>
      </c>
    </row>
    <row r="106" spans="1:6" x14ac:dyDescent="0.25">
      <c r="A106" s="182" t="s">
        <v>706</v>
      </c>
      <c r="B106" s="182" t="s">
        <v>996</v>
      </c>
      <c r="C106" s="183" t="s">
        <v>1156</v>
      </c>
      <c r="D106" s="184">
        <v>1395.14</v>
      </c>
      <c r="E106" s="185">
        <v>1357.5</v>
      </c>
      <c r="F106" s="186">
        <v>949.05559000000005</v>
      </c>
    </row>
    <row r="107" spans="1:6" x14ac:dyDescent="0.25">
      <c r="A107" s="182" t="s">
        <v>706</v>
      </c>
      <c r="B107" s="182" t="s">
        <v>1072</v>
      </c>
      <c r="C107" s="183" t="s">
        <v>1156</v>
      </c>
      <c r="D107" s="184">
        <v>404.77</v>
      </c>
      <c r="E107" s="185">
        <v>404.4</v>
      </c>
      <c r="F107" s="186">
        <v>204.92428000000001</v>
      </c>
    </row>
    <row r="108" spans="1:6" x14ac:dyDescent="0.25">
      <c r="A108" s="182" t="s">
        <v>706</v>
      </c>
      <c r="B108" s="182" t="s">
        <v>985</v>
      </c>
      <c r="C108" s="183" t="s">
        <v>1156</v>
      </c>
      <c r="D108" s="184">
        <v>1150.8499999999999</v>
      </c>
      <c r="E108" s="185">
        <v>1149.0999999999999</v>
      </c>
      <c r="F108" s="186">
        <v>181.25301480000002</v>
      </c>
    </row>
    <row r="109" spans="1:6" x14ac:dyDescent="0.25">
      <c r="A109" s="182" t="s">
        <v>706</v>
      </c>
      <c r="B109" s="182" t="s">
        <v>983</v>
      </c>
      <c r="C109" s="183" t="s">
        <v>1156</v>
      </c>
      <c r="D109" s="184">
        <v>2045.24</v>
      </c>
      <c r="E109" s="185">
        <v>2004.9</v>
      </c>
      <c r="F109" s="186">
        <v>202.04469600000002</v>
      </c>
    </row>
    <row r="110" spans="1:6" x14ac:dyDescent="0.25">
      <c r="A110" s="182" t="s">
        <v>706</v>
      </c>
      <c r="B110" s="182" t="s">
        <v>1069</v>
      </c>
      <c r="C110" s="183" t="s">
        <v>1156</v>
      </c>
      <c r="D110" s="184">
        <v>3688.45</v>
      </c>
      <c r="E110" s="185">
        <v>3680.4</v>
      </c>
      <c r="F110" s="186">
        <v>205.11918</v>
      </c>
    </row>
    <row r="111" spans="1:6" x14ac:dyDescent="0.25">
      <c r="A111" s="182" t="s">
        <v>706</v>
      </c>
      <c r="B111" s="182" t="s">
        <v>1048</v>
      </c>
      <c r="C111" s="183" t="s">
        <v>1156</v>
      </c>
      <c r="D111" s="184">
        <v>3628.96</v>
      </c>
      <c r="E111" s="185">
        <v>3452.4</v>
      </c>
      <c r="F111" s="186">
        <v>257.16073499999999</v>
      </c>
    </row>
    <row r="112" spans="1:6" x14ac:dyDescent="0.25">
      <c r="A112" s="182" t="s">
        <v>706</v>
      </c>
      <c r="B112" s="182" t="s">
        <v>1098</v>
      </c>
      <c r="C112" s="183" t="s">
        <v>1156</v>
      </c>
      <c r="D112" s="184">
        <v>350.55</v>
      </c>
      <c r="E112" s="185">
        <v>342.65</v>
      </c>
      <c r="F112" s="186">
        <v>107.75420250000001</v>
      </c>
    </row>
    <row r="113" spans="1:6" x14ac:dyDescent="0.25">
      <c r="A113" s="182" t="s">
        <v>706</v>
      </c>
      <c r="B113" s="182" t="s">
        <v>1049</v>
      </c>
      <c r="C113" s="183" t="s">
        <v>1156</v>
      </c>
      <c r="D113" s="184">
        <v>823.36</v>
      </c>
      <c r="E113" s="185">
        <v>869</v>
      </c>
      <c r="F113" s="186">
        <v>41.461739200000004</v>
      </c>
    </row>
    <row r="114" spans="1:6" x14ac:dyDescent="0.25">
      <c r="A114" s="182" t="s">
        <v>706</v>
      </c>
      <c r="B114" s="182" t="s">
        <v>997</v>
      </c>
      <c r="C114" s="183" t="s">
        <v>1156</v>
      </c>
      <c r="D114" s="184">
        <v>1403.4</v>
      </c>
      <c r="E114" s="185">
        <v>1373.2</v>
      </c>
      <c r="F114" s="186">
        <v>1231.59933</v>
      </c>
    </row>
    <row r="115" spans="1:6" x14ac:dyDescent="0.25">
      <c r="A115" s="182" t="s">
        <v>706</v>
      </c>
      <c r="B115" s="182" t="s">
        <v>1096</v>
      </c>
      <c r="C115" s="183" t="s">
        <v>1156</v>
      </c>
      <c r="D115" s="184">
        <v>610.20000000000005</v>
      </c>
      <c r="E115" s="185">
        <v>620.6</v>
      </c>
      <c r="F115" s="186">
        <v>10.544929199999999</v>
      </c>
    </row>
    <row r="116" spans="1:6" x14ac:dyDescent="0.25">
      <c r="A116" s="182" t="s">
        <v>706</v>
      </c>
      <c r="B116" s="182" t="s">
        <v>995</v>
      </c>
      <c r="C116" s="183" t="s">
        <v>1156</v>
      </c>
      <c r="D116" s="184">
        <v>878.32</v>
      </c>
      <c r="E116" s="185">
        <v>876.95</v>
      </c>
      <c r="F116" s="186">
        <v>559.01907000000006</v>
      </c>
    </row>
    <row r="117" spans="1:6" x14ac:dyDescent="0.25">
      <c r="A117" s="182"/>
      <c r="B117" s="182"/>
      <c r="C117" s="183"/>
      <c r="D117" s="184"/>
      <c r="E117" s="185"/>
      <c r="F117" s="186"/>
    </row>
    <row r="118" spans="1:6" x14ac:dyDescent="0.25">
      <c r="A118" s="182" t="s">
        <v>845</v>
      </c>
      <c r="B118" s="182" t="s">
        <v>991</v>
      </c>
      <c r="C118" s="183" t="s">
        <v>1156</v>
      </c>
      <c r="D118" s="184">
        <v>1167.67</v>
      </c>
      <c r="E118" s="185">
        <v>1137.2</v>
      </c>
      <c r="F118" s="186">
        <v>900.24591999999996</v>
      </c>
    </row>
    <row r="119" spans="1:6" x14ac:dyDescent="0.25">
      <c r="A119" s="182" t="s">
        <v>845</v>
      </c>
      <c r="B119" s="182" t="s">
        <v>993</v>
      </c>
      <c r="C119" s="183" t="s">
        <v>1156</v>
      </c>
      <c r="D119" s="184">
        <v>1955.8</v>
      </c>
      <c r="E119" s="185">
        <v>1891.8</v>
      </c>
      <c r="F119" s="186">
        <v>415.66338000000002</v>
      </c>
    </row>
    <row r="120" spans="1:6" x14ac:dyDescent="0.25">
      <c r="A120" s="182" t="s">
        <v>845</v>
      </c>
      <c r="B120" s="182" t="s">
        <v>1069</v>
      </c>
      <c r="C120" s="183" t="s">
        <v>1156</v>
      </c>
      <c r="D120" s="184">
        <v>3713.35</v>
      </c>
      <c r="E120" s="185">
        <v>3680.4</v>
      </c>
      <c r="F120" s="186">
        <v>404.54060500000003</v>
      </c>
    </row>
    <row r="121" spans="1:6" x14ac:dyDescent="0.25">
      <c r="A121" s="182" t="s">
        <v>845</v>
      </c>
      <c r="B121" s="182" t="s">
        <v>1048</v>
      </c>
      <c r="C121" s="183" t="s">
        <v>1156</v>
      </c>
      <c r="D121" s="184">
        <v>3617.88</v>
      </c>
      <c r="E121" s="185">
        <v>3452.4</v>
      </c>
      <c r="F121" s="186">
        <v>915.22846199999992</v>
      </c>
    </row>
    <row r="122" spans="1:6" x14ac:dyDescent="0.25">
      <c r="A122" s="182" t="s">
        <v>845</v>
      </c>
      <c r="B122" s="182" t="s">
        <v>1124</v>
      </c>
      <c r="C122" s="183" t="s">
        <v>1156</v>
      </c>
      <c r="D122" s="184">
        <v>3470.97</v>
      </c>
      <c r="E122" s="185">
        <v>3463.8</v>
      </c>
      <c r="F122" s="186">
        <v>141.69355200000001</v>
      </c>
    </row>
    <row r="123" spans="1:6" x14ac:dyDescent="0.25">
      <c r="A123" s="182" t="s">
        <v>845</v>
      </c>
      <c r="B123" s="182" t="s">
        <v>1125</v>
      </c>
      <c r="C123" s="183" t="s">
        <v>1156</v>
      </c>
      <c r="D123" s="184">
        <v>12469.08</v>
      </c>
      <c r="E123" s="185">
        <v>12283</v>
      </c>
      <c r="F123" s="186">
        <v>185.70339000000001</v>
      </c>
    </row>
    <row r="124" spans="1:6" x14ac:dyDescent="0.25">
      <c r="F124" s="187"/>
    </row>
    <row r="125" spans="1:6" x14ac:dyDescent="0.25">
      <c r="A125" s="179" t="s">
        <v>1175</v>
      </c>
      <c r="D125" s="188"/>
      <c r="E125" s="188"/>
      <c r="F125" s="188"/>
    </row>
    <row r="127" spans="1:6" x14ac:dyDescent="0.25">
      <c r="A127" s="189" t="s">
        <v>1150</v>
      </c>
      <c r="B127" s="189" t="s">
        <v>1157</v>
      </c>
    </row>
    <row r="128" spans="1:6" x14ac:dyDescent="0.25">
      <c r="A128" s="182" t="s">
        <v>496</v>
      </c>
      <c r="B128" s="190">
        <v>6.2701729999999998</v>
      </c>
    </row>
    <row r="129" spans="1:11" x14ac:dyDescent="0.25">
      <c r="A129" s="182" t="s">
        <v>635</v>
      </c>
      <c r="B129" s="190">
        <v>72.987490999999991</v>
      </c>
    </row>
    <row r="130" spans="1:11" x14ac:dyDescent="0.25">
      <c r="A130" s="191" t="s">
        <v>659</v>
      </c>
      <c r="B130" s="190">
        <v>15.235472000000001</v>
      </c>
    </row>
    <row r="131" spans="1:11" x14ac:dyDescent="0.25">
      <c r="A131" s="191" t="s">
        <v>706</v>
      </c>
      <c r="B131" s="190">
        <v>36.550725</v>
      </c>
    </row>
    <row r="132" spans="1:11" x14ac:dyDescent="0.25">
      <c r="A132" s="191" t="s">
        <v>845</v>
      </c>
      <c r="B132" s="190">
        <v>5.8202160000000003</v>
      </c>
    </row>
    <row r="134" spans="1:11" x14ac:dyDescent="0.25">
      <c r="A134" s="179" t="s">
        <v>1176</v>
      </c>
    </row>
    <row r="135" spans="1:11" x14ac:dyDescent="0.25">
      <c r="A135" s="179"/>
    </row>
    <row r="136" spans="1:11" ht="67.5" x14ac:dyDescent="0.25">
      <c r="A136" s="180" t="s">
        <v>1150</v>
      </c>
      <c r="B136" s="181" t="s">
        <v>1158</v>
      </c>
      <c r="C136" s="181" t="s">
        <v>1159</v>
      </c>
      <c r="D136" s="181" t="s">
        <v>1160</v>
      </c>
      <c r="E136" s="181" t="s">
        <v>1161</v>
      </c>
      <c r="F136" s="181" t="s">
        <v>1162</v>
      </c>
    </row>
    <row r="137" spans="1:11" x14ac:dyDescent="0.25">
      <c r="A137" s="182" t="s">
        <v>496</v>
      </c>
      <c r="B137" s="192">
        <v>3797</v>
      </c>
      <c r="C137" s="192">
        <v>3797</v>
      </c>
      <c r="D137" s="193">
        <v>33785.231876699989</v>
      </c>
      <c r="E137" s="193">
        <v>33575.761881598228</v>
      </c>
      <c r="F137" s="193">
        <v>-209.46999510176101</v>
      </c>
      <c r="G137" s="194"/>
      <c r="H137" s="195"/>
      <c r="I137" s="196"/>
      <c r="J137" s="196"/>
      <c r="K137" s="196"/>
    </row>
    <row r="138" spans="1:11" x14ac:dyDescent="0.25">
      <c r="A138" s="197" t="s">
        <v>635</v>
      </c>
      <c r="B138" s="198">
        <v>3149</v>
      </c>
      <c r="C138" s="198">
        <v>3149</v>
      </c>
      <c r="D138" s="199">
        <v>22822.564871399998</v>
      </c>
      <c r="E138" s="199">
        <v>22695.215083899988</v>
      </c>
      <c r="F138" s="199">
        <v>-127.34978750001028</v>
      </c>
      <c r="G138" s="194"/>
      <c r="H138" s="195"/>
      <c r="I138" s="196"/>
      <c r="J138" s="196"/>
      <c r="K138" s="196"/>
    </row>
    <row r="139" spans="1:11" x14ac:dyDescent="0.25">
      <c r="A139" s="197" t="s">
        <v>659</v>
      </c>
      <c r="B139" s="198">
        <v>3468</v>
      </c>
      <c r="C139" s="198">
        <v>3468</v>
      </c>
      <c r="D139" s="199">
        <v>27988.12334609999</v>
      </c>
      <c r="E139" s="199">
        <v>27407.5807613</v>
      </c>
      <c r="F139" s="199">
        <v>-580.54258479999044</v>
      </c>
      <c r="G139" s="194"/>
      <c r="H139" s="195"/>
      <c r="I139" s="196"/>
      <c r="J139" s="196"/>
      <c r="K139" s="196"/>
    </row>
    <row r="140" spans="1:11" x14ac:dyDescent="0.25">
      <c r="A140" s="197" t="s">
        <v>706</v>
      </c>
      <c r="B140" s="198">
        <v>5484</v>
      </c>
      <c r="C140" s="198">
        <v>5484</v>
      </c>
      <c r="D140" s="199">
        <v>41503.770791800001</v>
      </c>
      <c r="E140" s="199">
        <v>41120.735408449567</v>
      </c>
      <c r="F140" s="199">
        <v>-383.03538335043413</v>
      </c>
      <c r="G140" s="194"/>
      <c r="H140" s="195"/>
      <c r="I140" s="196"/>
      <c r="J140" s="196"/>
      <c r="K140" s="196"/>
    </row>
    <row r="141" spans="1:11" x14ac:dyDescent="0.25">
      <c r="A141" s="197" t="s">
        <v>845</v>
      </c>
      <c r="B141" s="198">
        <v>2877</v>
      </c>
      <c r="C141" s="198">
        <v>2877</v>
      </c>
      <c r="D141" s="199">
        <v>20682.364975899996</v>
      </c>
      <c r="E141" s="199">
        <v>19997.375900344137</v>
      </c>
      <c r="F141" s="199">
        <v>-684.98907555585902</v>
      </c>
      <c r="G141" s="194"/>
      <c r="H141" s="195"/>
      <c r="I141" s="196"/>
      <c r="J141" s="196"/>
      <c r="K141" s="196"/>
    </row>
    <row r="142" spans="1:11" x14ac:dyDescent="0.25">
      <c r="A142" s="200"/>
      <c r="B142" s="201"/>
      <c r="F142" s="202"/>
    </row>
    <row r="143" spans="1:11" x14ac:dyDescent="0.25">
      <c r="A143" s="179" t="s">
        <v>1177</v>
      </c>
      <c r="B143" s="201"/>
    </row>
    <row r="144" spans="1:11" x14ac:dyDescent="0.25">
      <c r="A144" s="200"/>
      <c r="B144" s="201"/>
    </row>
    <row r="145" spans="1:8" x14ac:dyDescent="0.25">
      <c r="A145" s="179" t="s">
        <v>1178</v>
      </c>
    </row>
    <row r="146" spans="1:8" x14ac:dyDescent="0.25">
      <c r="A146" s="179"/>
    </row>
    <row r="147" spans="1:8" ht="54" x14ac:dyDescent="0.25">
      <c r="A147" s="203" t="s">
        <v>1150</v>
      </c>
      <c r="B147" s="204" t="s">
        <v>1158</v>
      </c>
      <c r="C147" s="204" t="s">
        <v>1159</v>
      </c>
      <c r="D147" s="204" t="s">
        <v>1160</v>
      </c>
      <c r="E147" s="204" t="s">
        <v>1163</v>
      </c>
      <c r="F147" s="204" t="s">
        <v>1164</v>
      </c>
      <c r="G147" s="194"/>
      <c r="H147" s="195">
        <v>0</v>
      </c>
    </row>
    <row r="148" spans="1:8" x14ac:dyDescent="0.25">
      <c r="A148" s="205" t="s">
        <v>182</v>
      </c>
      <c r="B148" s="206">
        <v>116</v>
      </c>
      <c r="C148" s="206">
        <v>116</v>
      </c>
      <c r="D148" s="199">
        <v>934.44764190000001</v>
      </c>
      <c r="E148" s="199">
        <v>932.99510229999987</v>
      </c>
      <c r="F148" s="199">
        <v>-1.4525396000001365</v>
      </c>
      <c r="G148" s="194"/>
      <c r="H148" s="195"/>
    </row>
    <row r="149" spans="1:8" x14ac:dyDescent="0.25">
      <c r="A149" s="205" t="s">
        <v>911</v>
      </c>
      <c r="B149" s="206">
        <v>879</v>
      </c>
      <c r="C149" s="206">
        <v>879</v>
      </c>
      <c r="D149" s="199">
        <v>7543.2618494999997</v>
      </c>
      <c r="E149" s="199">
        <v>7660.6629344000003</v>
      </c>
      <c r="F149" s="199">
        <v>117.40108490000057</v>
      </c>
      <c r="G149" s="194"/>
      <c r="H149" s="195"/>
    </row>
    <row r="150" spans="1:8" x14ac:dyDescent="0.25">
      <c r="A150" s="205" t="s">
        <v>451</v>
      </c>
      <c r="B150" s="206">
        <v>185</v>
      </c>
      <c r="C150" s="206">
        <v>185</v>
      </c>
      <c r="D150" s="199">
        <v>998.5975087999999</v>
      </c>
      <c r="E150" s="199">
        <v>986.28125</v>
      </c>
      <c r="F150" s="199">
        <v>-12.3162587999999</v>
      </c>
      <c r="G150" s="194"/>
      <c r="H150" s="195"/>
    </row>
    <row r="151" spans="1:8" x14ac:dyDescent="0.25">
      <c r="A151" s="205" t="s">
        <v>496</v>
      </c>
      <c r="B151" s="206">
        <v>1805</v>
      </c>
      <c r="C151" s="206">
        <v>1805</v>
      </c>
      <c r="D151" s="199">
        <v>13265.9689741</v>
      </c>
      <c r="E151" s="199">
        <v>13158.3902318</v>
      </c>
      <c r="F151" s="199">
        <v>-107.57874230000016</v>
      </c>
      <c r="G151" s="194"/>
      <c r="H151" s="195"/>
    </row>
    <row r="152" spans="1:8" x14ac:dyDescent="0.25">
      <c r="A152" s="205" t="s">
        <v>659</v>
      </c>
      <c r="B152" s="206">
        <v>402</v>
      </c>
      <c r="C152" s="206">
        <v>402</v>
      </c>
      <c r="D152" s="199">
        <v>2979.7402872000002</v>
      </c>
      <c r="E152" s="199">
        <v>2951.2744496999999</v>
      </c>
      <c r="F152" s="199">
        <v>-28.465837500000362</v>
      </c>
      <c r="G152" s="194"/>
      <c r="H152" s="195"/>
    </row>
    <row r="153" spans="1:8" x14ac:dyDescent="0.25">
      <c r="A153" s="205" t="s">
        <v>706</v>
      </c>
      <c r="B153" s="206">
        <v>106</v>
      </c>
      <c r="C153" s="206">
        <v>106</v>
      </c>
      <c r="D153" s="199">
        <v>735.54640790000008</v>
      </c>
      <c r="E153" s="199">
        <v>741.39715109999997</v>
      </c>
      <c r="F153" s="199">
        <v>5.8507431999998971</v>
      </c>
      <c r="G153" s="194"/>
      <c r="H153" s="195"/>
    </row>
    <row r="154" spans="1:8" x14ac:dyDescent="0.25">
      <c r="A154" s="205" t="s">
        <v>814</v>
      </c>
      <c r="B154" s="206">
        <v>288</v>
      </c>
      <c r="C154" s="206">
        <v>288</v>
      </c>
      <c r="D154" s="199">
        <v>2413.8110875000002</v>
      </c>
      <c r="E154" s="199">
        <v>2387.9250000000002</v>
      </c>
      <c r="F154" s="199">
        <v>-25.886087500000031</v>
      </c>
      <c r="G154" s="194"/>
      <c r="H154" s="195"/>
    </row>
    <row r="155" spans="1:8" x14ac:dyDescent="0.25">
      <c r="A155" s="205" t="s">
        <v>845</v>
      </c>
      <c r="B155" s="206">
        <v>445</v>
      </c>
      <c r="C155" s="206">
        <v>445</v>
      </c>
      <c r="D155" s="199">
        <v>3187.9549787999999</v>
      </c>
      <c r="E155" s="199">
        <v>3272.8240832000001</v>
      </c>
      <c r="F155" s="199">
        <v>84.869104400000197</v>
      </c>
      <c r="G155" s="194"/>
      <c r="H155" s="195"/>
    </row>
    <row r="156" spans="1:8" x14ac:dyDescent="0.25">
      <c r="A156" s="205" t="s">
        <v>1179</v>
      </c>
      <c r="B156" s="206">
        <v>120</v>
      </c>
      <c r="C156" s="206">
        <v>120</v>
      </c>
      <c r="D156" s="199">
        <v>1066.5204878999998</v>
      </c>
      <c r="E156" s="199">
        <v>1091.02801</v>
      </c>
      <c r="F156" s="199">
        <v>24.507522100000187</v>
      </c>
      <c r="G156" s="194"/>
      <c r="H156" s="195"/>
    </row>
    <row r="157" spans="1:8" x14ac:dyDescent="0.25">
      <c r="A157" s="205" t="s">
        <v>811</v>
      </c>
      <c r="B157" s="206">
        <v>230</v>
      </c>
      <c r="C157" s="206">
        <v>230</v>
      </c>
      <c r="D157" s="199">
        <v>1832.6505079000003</v>
      </c>
      <c r="E157" s="199">
        <v>1833.4934955000001</v>
      </c>
      <c r="F157" s="199">
        <v>0.84298759999978756</v>
      </c>
      <c r="G157" s="194"/>
      <c r="H157" s="195"/>
    </row>
    <row r="158" spans="1:8" x14ac:dyDescent="0.25">
      <c r="A158" s="205" t="s">
        <v>672</v>
      </c>
      <c r="B158" s="206">
        <v>129</v>
      </c>
      <c r="C158" s="206">
        <v>129</v>
      </c>
      <c r="D158" s="199">
        <v>791.89552500000002</v>
      </c>
      <c r="E158" s="199">
        <v>752.65049999999997</v>
      </c>
      <c r="F158" s="199">
        <v>-39.245025000000055</v>
      </c>
      <c r="G158" s="194"/>
      <c r="H158" s="195"/>
    </row>
    <row r="159" spans="1:8" x14ac:dyDescent="0.25">
      <c r="A159" s="205" t="s">
        <v>841</v>
      </c>
      <c r="B159" s="206">
        <v>240</v>
      </c>
      <c r="C159" s="206">
        <v>240</v>
      </c>
      <c r="D159" s="199">
        <v>2241.2173749000003</v>
      </c>
      <c r="E159" s="199">
        <v>2297.7229900000002</v>
      </c>
      <c r="F159" s="199">
        <v>56.505615099999886</v>
      </c>
      <c r="G159" s="194"/>
      <c r="H159" s="195"/>
    </row>
    <row r="160" spans="1:8" x14ac:dyDescent="0.25">
      <c r="B160" s="207"/>
      <c r="C160" s="207"/>
      <c r="D160" s="202"/>
      <c r="E160" s="202"/>
      <c r="F160" s="202"/>
      <c r="G160" s="194"/>
      <c r="H160" s="195"/>
    </row>
    <row r="161" spans="1:7" x14ac:dyDescent="0.25">
      <c r="A161" s="208"/>
      <c r="B161" s="209"/>
      <c r="C161" s="209"/>
      <c r="D161" s="210"/>
      <c r="E161" s="210"/>
      <c r="F161" s="210"/>
      <c r="G161" s="195"/>
    </row>
    <row r="162" spans="1:7" x14ac:dyDescent="0.25">
      <c r="A162" s="179" t="s">
        <v>1180</v>
      </c>
      <c r="C162" s="211"/>
    </row>
    <row r="163" spans="1:7" hidden="1" x14ac:dyDescent="0.25"/>
    <row r="164" spans="1:7" ht="27" hidden="1" x14ac:dyDescent="0.25">
      <c r="A164" s="204" t="s">
        <v>1150</v>
      </c>
      <c r="B164" s="204" t="s">
        <v>1151</v>
      </c>
      <c r="C164" s="204" t="s">
        <v>1181</v>
      </c>
      <c r="D164" s="204" t="s">
        <v>1182</v>
      </c>
      <c r="E164" s="204" t="s">
        <v>1183</v>
      </c>
      <c r="F164" s="204" t="s">
        <v>1184</v>
      </c>
    </row>
    <row r="165" spans="1:7" hidden="1" x14ac:dyDescent="0.25">
      <c r="A165" s="206" t="s">
        <v>671</v>
      </c>
      <c r="B165" s="206" t="s">
        <v>671</v>
      </c>
      <c r="C165" s="206" t="s">
        <v>671</v>
      </c>
      <c r="D165" s="206" t="s">
        <v>671</v>
      </c>
      <c r="E165" s="206" t="s">
        <v>671</v>
      </c>
      <c r="F165" s="206" t="s">
        <v>671</v>
      </c>
    </row>
    <row r="166" spans="1:7" hidden="1" x14ac:dyDescent="0.25">
      <c r="C166" s="211"/>
      <c r="D166" s="211"/>
      <c r="E166" s="212"/>
      <c r="F166" s="212"/>
    </row>
    <row r="167" spans="1:7" hidden="1" x14ac:dyDescent="0.25">
      <c r="C167" s="211"/>
      <c r="D167" s="211"/>
      <c r="E167" s="212"/>
      <c r="F167" s="212"/>
    </row>
    <row r="168" spans="1:7" hidden="1" x14ac:dyDescent="0.25">
      <c r="A168" s="179" t="s">
        <v>1185</v>
      </c>
      <c r="F168" s="178" t="s">
        <v>1165</v>
      </c>
    </row>
    <row r="169" spans="1:7" hidden="1" x14ac:dyDescent="0.25">
      <c r="A169" s="179"/>
    </row>
    <row r="170" spans="1:7" hidden="1" x14ac:dyDescent="0.25">
      <c r="A170" s="213" t="s">
        <v>1150</v>
      </c>
      <c r="B170" s="213" t="s">
        <v>1157</v>
      </c>
    </row>
    <row r="171" spans="1:7" hidden="1" x14ac:dyDescent="0.25">
      <c r="A171" s="206" t="s">
        <v>671</v>
      </c>
      <c r="B171" s="206" t="s">
        <v>671</v>
      </c>
    </row>
    <row r="172" spans="1:7" hidden="1" x14ac:dyDescent="0.25">
      <c r="B172" s="214"/>
      <c r="C172" s="215"/>
    </row>
    <row r="173" spans="1:7" hidden="1" x14ac:dyDescent="0.25">
      <c r="A173" s="179" t="s">
        <v>1186</v>
      </c>
    </row>
    <row r="174" spans="1:7" hidden="1" x14ac:dyDescent="0.25"/>
    <row r="175" spans="1:7" ht="40.5" hidden="1" x14ac:dyDescent="0.25">
      <c r="A175" s="203" t="s">
        <v>1150</v>
      </c>
      <c r="B175" s="204" t="s">
        <v>1187</v>
      </c>
      <c r="C175" s="204" t="s">
        <v>1188</v>
      </c>
      <c r="D175" s="204" t="s">
        <v>1189</v>
      </c>
      <c r="E175" s="204" t="s">
        <v>1190</v>
      </c>
    </row>
    <row r="176" spans="1:7" hidden="1" x14ac:dyDescent="0.25">
      <c r="A176" s="216"/>
      <c r="B176" s="206"/>
      <c r="C176" s="217"/>
      <c r="D176" s="218"/>
      <c r="E176" s="218">
        <v>0</v>
      </c>
    </row>
    <row r="177" spans="1:6" hidden="1" x14ac:dyDescent="0.25">
      <c r="A177" s="219"/>
      <c r="B177" s="220"/>
      <c r="C177" s="221"/>
      <c r="D177" s="221"/>
      <c r="E177" s="222"/>
    </row>
    <row r="178" spans="1:6" hidden="1" x14ac:dyDescent="0.25">
      <c r="A178" s="219"/>
      <c r="B178" s="220"/>
      <c r="C178" s="221"/>
      <c r="D178" s="221"/>
      <c r="E178" s="222"/>
    </row>
    <row r="180" spans="1:6" x14ac:dyDescent="0.25">
      <c r="A180" s="179" t="s">
        <v>1191</v>
      </c>
    </row>
    <row r="181" spans="1:6" hidden="1" x14ac:dyDescent="0.25"/>
    <row r="182" spans="1:6" ht="27" hidden="1" x14ac:dyDescent="0.25">
      <c r="A182" s="204" t="s">
        <v>1150</v>
      </c>
      <c r="B182" s="204" t="s">
        <v>1151</v>
      </c>
      <c r="C182" s="204" t="s">
        <v>1181</v>
      </c>
      <c r="D182" s="204" t="s">
        <v>1182</v>
      </c>
      <c r="E182" s="204" t="s">
        <v>1183</v>
      </c>
      <c r="F182" s="204" t="s">
        <v>1184</v>
      </c>
    </row>
    <row r="183" spans="1:6" hidden="1" x14ac:dyDescent="0.25">
      <c r="A183" s="197" t="s">
        <v>671</v>
      </c>
      <c r="B183" s="197" t="s">
        <v>671</v>
      </c>
      <c r="C183" s="197" t="s">
        <v>671</v>
      </c>
      <c r="D183" s="197" t="s">
        <v>671</v>
      </c>
      <c r="E183" s="197" t="s">
        <v>671</v>
      </c>
      <c r="F183" s="197" t="s">
        <v>671</v>
      </c>
    </row>
    <row r="184" spans="1:6" hidden="1" x14ac:dyDescent="0.25">
      <c r="B184" s="223"/>
      <c r="C184" s="224"/>
      <c r="D184" s="225"/>
      <c r="E184" s="212"/>
      <c r="F184" s="212"/>
    </row>
    <row r="185" spans="1:6" hidden="1" x14ac:dyDescent="0.25">
      <c r="A185" s="179" t="s">
        <v>1192</v>
      </c>
    </row>
    <row r="186" spans="1:6" hidden="1" x14ac:dyDescent="0.25">
      <c r="A186" s="179"/>
    </row>
    <row r="187" spans="1:6" hidden="1" x14ac:dyDescent="0.25">
      <c r="A187" s="213" t="s">
        <v>1150</v>
      </c>
      <c r="B187" s="213" t="s">
        <v>1157</v>
      </c>
    </row>
    <row r="188" spans="1:6" hidden="1" x14ac:dyDescent="0.25">
      <c r="A188" s="197" t="s">
        <v>671</v>
      </c>
      <c r="B188" s="197" t="s">
        <v>671</v>
      </c>
    </row>
    <row r="189" spans="1:6" hidden="1" x14ac:dyDescent="0.25">
      <c r="A189" s="200"/>
      <c r="B189" s="215"/>
    </row>
    <row r="190" spans="1:6" hidden="1" x14ac:dyDescent="0.25">
      <c r="A190" s="179" t="s">
        <v>1193</v>
      </c>
    </row>
    <row r="191" spans="1:6" hidden="1" x14ac:dyDescent="0.25"/>
    <row r="192" spans="1:6" ht="40.5" hidden="1" x14ac:dyDescent="0.25">
      <c r="A192" s="203" t="s">
        <v>1150</v>
      </c>
      <c r="B192" s="204" t="s">
        <v>1187</v>
      </c>
      <c r="C192" s="204" t="s">
        <v>1194</v>
      </c>
      <c r="D192" s="204" t="s">
        <v>1195</v>
      </c>
      <c r="E192" s="204" t="s">
        <v>1190</v>
      </c>
    </row>
    <row r="193" spans="1:7" hidden="1" x14ac:dyDescent="0.25">
      <c r="A193" s="197"/>
      <c r="B193" s="206"/>
      <c r="C193" s="217"/>
      <c r="D193" s="206"/>
      <c r="E193" s="206"/>
    </row>
    <row r="194" spans="1:7" hidden="1" x14ac:dyDescent="0.25">
      <c r="F194" s="187"/>
    </row>
    <row r="195" spans="1:7" x14ac:dyDescent="0.25">
      <c r="E195" s="226"/>
      <c r="F195" s="196"/>
    </row>
    <row r="196" spans="1:7" x14ac:dyDescent="0.25">
      <c r="A196" s="179" t="s">
        <v>1196</v>
      </c>
    </row>
    <row r="197" spans="1:7" ht="26.25" x14ac:dyDescent="0.25">
      <c r="A197" s="227" t="s">
        <v>1197</v>
      </c>
      <c r="B197" s="228" t="s">
        <v>1198</v>
      </c>
      <c r="C197" s="228" t="s">
        <v>1199</v>
      </c>
      <c r="D197" s="229" t="s">
        <v>1200</v>
      </c>
      <c r="E197" s="229" t="s">
        <v>1201</v>
      </c>
      <c r="F197" s="228" t="s">
        <v>1202</v>
      </c>
      <c r="G197" s="228" t="s">
        <v>1203</v>
      </c>
    </row>
    <row r="198" spans="1:7" x14ac:dyDescent="0.25">
      <c r="A198" s="230" t="s">
        <v>1204</v>
      </c>
      <c r="B198" s="230" t="s">
        <v>1205</v>
      </c>
      <c r="C198" s="230" t="s">
        <v>1206</v>
      </c>
      <c r="D198" s="230" t="s">
        <v>1207</v>
      </c>
      <c r="E198" s="230" t="s">
        <v>1208</v>
      </c>
      <c r="F198" s="199">
        <v>2500</v>
      </c>
      <c r="G198" s="231">
        <v>46101</v>
      </c>
    </row>
    <row r="199" spans="1:7" x14ac:dyDescent="0.25">
      <c r="A199" s="230" t="s">
        <v>1204</v>
      </c>
      <c r="B199" s="230" t="s">
        <v>1205</v>
      </c>
      <c r="C199" s="230" t="s">
        <v>1206</v>
      </c>
      <c r="D199" s="230" t="s">
        <v>1207</v>
      </c>
      <c r="E199" s="230" t="s">
        <v>1208</v>
      </c>
      <c r="F199" s="199">
        <v>2500</v>
      </c>
      <c r="G199" s="231">
        <v>46168</v>
      </c>
    </row>
    <row r="200" spans="1:7" x14ac:dyDescent="0.25">
      <c r="A200" s="230" t="s">
        <v>1204</v>
      </c>
      <c r="B200" s="230" t="s">
        <v>1205</v>
      </c>
      <c r="C200" s="230" t="s">
        <v>1209</v>
      </c>
      <c r="D200" s="230" t="s">
        <v>1207</v>
      </c>
      <c r="E200" s="230" t="s">
        <v>1208</v>
      </c>
      <c r="F200" s="199">
        <v>2500</v>
      </c>
      <c r="G200" s="231">
        <v>46087</v>
      </c>
    </row>
    <row r="201" spans="1:7" x14ac:dyDescent="0.25">
      <c r="A201" s="230" t="s">
        <v>1204</v>
      </c>
      <c r="B201" s="230" t="s">
        <v>1205</v>
      </c>
      <c r="C201" s="230" t="s">
        <v>1210</v>
      </c>
      <c r="D201" s="230" t="s">
        <v>1207</v>
      </c>
      <c r="E201" s="230" t="s">
        <v>1208</v>
      </c>
      <c r="F201" s="199">
        <v>2500</v>
      </c>
      <c r="G201" s="231">
        <v>46002</v>
      </c>
    </row>
    <row r="202" spans="1:7" x14ac:dyDescent="0.25">
      <c r="D202" s="196"/>
    </row>
    <row r="203" spans="1:7" x14ac:dyDescent="0.25">
      <c r="A203" s="179" t="s">
        <v>1211</v>
      </c>
      <c r="D203" s="196"/>
    </row>
    <row r="204" spans="1:7" hidden="1" x14ac:dyDescent="0.25">
      <c r="D204" s="196"/>
    </row>
    <row r="205" spans="1:7" ht="27" hidden="1" x14ac:dyDescent="0.25">
      <c r="A205" s="203" t="s">
        <v>1150</v>
      </c>
      <c r="B205" s="204" t="s">
        <v>1151</v>
      </c>
      <c r="C205" s="204" t="s">
        <v>1152</v>
      </c>
      <c r="D205" s="204" t="s">
        <v>1212</v>
      </c>
      <c r="E205" s="204" t="s">
        <v>1213</v>
      </c>
      <c r="F205" s="204" t="s">
        <v>1214</v>
      </c>
    </row>
    <row r="206" spans="1:7" hidden="1" x14ac:dyDescent="0.25">
      <c r="A206" s="232" t="s">
        <v>671</v>
      </c>
      <c r="B206" s="232" t="s">
        <v>671</v>
      </c>
      <c r="C206" s="232" t="s">
        <v>671</v>
      </c>
      <c r="D206" s="232" t="s">
        <v>671</v>
      </c>
      <c r="E206" s="232" t="s">
        <v>671</v>
      </c>
      <c r="F206" s="232" t="s">
        <v>671</v>
      </c>
    </row>
    <row r="207" spans="1:7" hidden="1" x14ac:dyDescent="0.25">
      <c r="D207" s="196"/>
    </row>
    <row r="208" spans="1:7" hidden="1" x14ac:dyDescent="0.25">
      <c r="A208" s="179" t="s">
        <v>1215</v>
      </c>
      <c r="D208" s="196"/>
    </row>
    <row r="209" spans="1:9" hidden="1" x14ac:dyDescent="0.25">
      <c r="A209" s="179"/>
      <c r="D209" s="196"/>
    </row>
    <row r="210" spans="1:9" hidden="1" x14ac:dyDescent="0.25">
      <c r="A210" s="213" t="s">
        <v>1150</v>
      </c>
      <c r="B210" s="213" t="s">
        <v>1157</v>
      </c>
      <c r="D210" s="196"/>
    </row>
    <row r="211" spans="1:9" hidden="1" x14ac:dyDescent="0.25">
      <c r="A211" s="232" t="s">
        <v>671</v>
      </c>
      <c r="B211" s="232" t="s">
        <v>671</v>
      </c>
      <c r="D211" s="196"/>
    </row>
    <row r="212" spans="1:9" x14ac:dyDescent="0.25">
      <c r="D212" s="196"/>
    </row>
    <row r="213" spans="1:9" hidden="1" x14ac:dyDescent="0.25">
      <c r="A213" s="179" t="s">
        <v>1216</v>
      </c>
      <c r="D213" s="196"/>
    </row>
    <row r="214" spans="1:9" hidden="1" x14ac:dyDescent="0.25">
      <c r="D214" s="196"/>
    </row>
    <row r="215" spans="1:9" ht="67.5" hidden="1" x14ac:dyDescent="0.25">
      <c r="A215" s="203" t="s">
        <v>1150</v>
      </c>
      <c r="B215" s="204" t="s">
        <v>1158</v>
      </c>
      <c r="C215" s="204" t="s">
        <v>1159</v>
      </c>
      <c r="D215" s="204" t="s">
        <v>1160</v>
      </c>
      <c r="E215" s="204" t="s">
        <v>1161</v>
      </c>
      <c r="F215" s="204" t="s">
        <v>1162</v>
      </c>
    </row>
    <row r="216" spans="1:9" hidden="1" x14ac:dyDescent="0.25">
      <c r="A216" s="233"/>
      <c r="B216" s="233"/>
      <c r="C216" s="198"/>
      <c r="D216" s="234"/>
      <c r="E216" s="235"/>
      <c r="F216" s="236"/>
      <c r="H216" s="195"/>
      <c r="I216" s="196"/>
    </row>
    <row r="217" spans="1:9" hidden="1" x14ac:dyDescent="0.25">
      <c r="D217" s="196"/>
    </row>
    <row r="218" spans="1:9" hidden="1" x14ac:dyDescent="0.25">
      <c r="D218" s="196"/>
    </row>
    <row r="219" spans="1:9" hidden="1" x14ac:dyDescent="0.25">
      <c r="A219" s="179" t="s">
        <v>1217</v>
      </c>
      <c r="D219" s="196"/>
    </row>
    <row r="220" spans="1:9" hidden="1" x14ac:dyDescent="0.25">
      <c r="D220" s="196"/>
    </row>
    <row r="221" spans="1:9" ht="67.5" hidden="1" x14ac:dyDescent="0.25">
      <c r="A221" s="203" t="s">
        <v>1150</v>
      </c>
      <c r="B221" s="204" t="s">
        <v>1158</v>
      </c>
      <c r="C221" s="204" t="s">
        <v>1159</v>
      </c>
      <c r="D221" s="204" t="s">
        <v>1160</v>
      </c>
      <c r="E221" s="204" t="s">
        <v>1161</v>
      </c>
      <c r="F221" s="204" t="s">
        <v>1162</v>
      </c>
    </row>
    <row r="222" spans="1:9" hidden="1" x14ac:dyDescent="0.25">
      <c r="A222" s="237"/>
      <c r="B222" s="206"/>
      <c r="C222" s="206"/>
      <c r="D222" s="238"/>
      <c r="E222" s="238"/>
      <c r="F222" s="238"/>
    </row>
    <row r="223" spans="1:9" x14ac:dyDescent="0.25">
      <c r="A223" s="178" t="s">
        <v>1166</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headerFooter>
    <oddHeader>&amp;L&amp;"Calibri"&amp;10&amp;KFF0000 "Sensitivity: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SUNMFF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2025-10-01T12:59:26Z</dcterms:created>
  <dcterms:modified xsi:type="dcterms:W3CDTF">2025-10-10T04:45:48Z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a6dec7-ad36-4603-99ea-a4fb4d4185bf_Enabled">
    <vt:lpwstr>true</vt:lpwstr>
  </property>
  <property fmtid="{D5CDD505-2E9C-101B-9397-08002B2CF9AE}" pid="3" name="MSIP_Label_3fa6dec7-ad36-4603-99ea-a4fb4d4185bf_SetDate">
    <vt:lpwstr>2025-10-01T12:59:26Z</vt:lpwstr>
  </property>
  <property fmtid="{D5CDD505-2E9C-101B-9397-08002B2CF9AE}" pid="4" name="MSIP_Label_3fa6dec7-ad36-4603-99ea-a4fb4d4185bf_Method">
    <vt:lpwstr>Privileged</vt:lpwstr>
  </property>
  <property fmtid="{D5CDD505-2E9C-101B-9397-08002B2CF9AE}" pid="5" name="MSIP_Label_3fa6dec7-ad36-4603-99ea-a4fb4d4185bf_Name">
    <vt:lpwstr>Internal Use Only</vt:lpwstr>
  </property>
  <property fmtid="{D5CDD505-2E9C-101B-9397-08002B2CF9AE}" pid="6" name="MSIP_Label_3fa6dec7-ad36-4603-99ea-a4fb4d4185bf_SiteId">
    <vt:lpwstr>b8d87d45-aff7-4067-8708-1c35bbaab723</vt:lpwstr>
  </property>
  <property fmtid="{D5CDD505-2E9C-101B-9397-08002B2CF9AE}" pid="7" name="MSIP_Label_3fa6dec7-ad36-4603-99ea-a4fb4d4185bf_ActionId">
    <vt:lpwstr>0e35ac8a-fd4a-4b3c-bdc7-e8550a70596c</vt:lpwstr>
  </property>
  <property fmtid="{D5CDD505-2E9C-101B-9397-08002B2CF9AE}" pid="8" name="MSIP_Label_3fa6dec7-ad36-4603-99ea-a4fb4d4185bf_ContentBits">
    <vt:lpwstr>1</vt:lpwstr>
  </property>
  <property fmtid="{D5CDD505-2E9C-101B-9397-08002B2CF9AE}" pid="9" name="MSIP_Label_3fa6dec7-ad36-4603-99ea-a4fb4d4185bf_Tag">
    <vt:lpwstr>10, 0, 1, 1</vt:lpwstr>
  </property>
</Properties>
</file>