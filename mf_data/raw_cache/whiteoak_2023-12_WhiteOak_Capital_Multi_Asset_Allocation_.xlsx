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11" documentId="8_{3DC84059-78A5-45F0-8BB1-6BC30BA0B005}" xr6:coauthVersionLast="47" xr6:coauthVersionMax="47" xr10:uidLastSave="{C96C1253-DB35-408F-AF8B-A620FCA76A2B}"/>
  <bookViews>
    <workbookView xWindow="-120" yWindow="-120" windowWidth="20730" windowHeight="11160" xr2:uid="{F28AD209-4902-4FB8-A208-FA2CFC3782DD}"/>
  </bookViews>
  <sheets>
    <sheet name="WOMAF" sheetId="1" r:id="rId1"/>
  </sheets>
  <definedNames>
    <definedName name="_xlnm._FilterDatabase" localSheetId="0" hidden="1">WOMAF!$B$145:$H$156</definedName>
    <definedName name="JR_PAGE_ANCHOR_0_1">#REF!</definedName>
    <definedName name="JR_PAGE_ANCHOR_0_12">#REF!</definedName>
    <definedName name="JR_PAGE_ANCHOR_0_5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G103" i="1"/>
  <c r="H102" i="1"/>
  <c r="G102" i="1"/>
  <c r="H98" i="1"/>
  <c r="G98" i="1"/>
  <c r="H95" i="1"/>
  <c r="G95" i="1"/>
</calcChain>
</file>

<file path=xl/sharedStrings.xml><?xml version="1.0" encoding="utf-8"?>
<sst xmlns="http://schemas.openxmlformats.org/spreadsheetml/2006/main" count="519" uniqueCount="402">
  <si>
    <t>WhiteOak Capital Multi Asset Allocation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</si>
  <si>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</si>
  <si>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</si>
  <si>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</si>
  <si>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</si>
  <si>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</si>
  <si>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</si>
  <si>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</si>
  <si>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</si>
  <si>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</si>
  <si>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</si>
  <si>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</si>
  <si>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</si>
  <si>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</si>
  <si>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</si>
  <si>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</si>
  <si>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</si>
  <si>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</si>
  <si>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</si>
  <si>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</si>
  <si>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</si>
  <si>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</si>
  <si>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</si>
  <si>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</si>
  <si>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</si>
  <si>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</si>
  <si>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</si>
  <si>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</si>
  <si>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</si>
  <si>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</si>
  <si>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NEST01</t>
  </si>
  <si>
    <t>Nestle India Limited</t>
  </si>
  <si>
    <t>INE239A01016</t>
  </si>
  <si>
    <t>Food Products</t>
  </si>
  <si>
    <t>BAFL02</t>
  </si>
  <si>
    <t>Bajaj Finance Limited</t>
  </si>
  <si>
    <t>INE296A01024</t>
  </si>
  <si>
    <t>Finance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</si>
  <si>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</si>
  <si>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</si>
  <si>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</si>
  <si>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</si>
  <si>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</si>
  <si>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</si>
  <si>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</si>
  <si>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</si>
  <si>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ONGC02</t>
  </si>
  <si>
    <t>Oil &amp; Natural Gas Corporation Limited</t>
  </si>
  <si>
    <t>INE213A01029</t>
  </si>
  <si>
    <t>Oil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</si>
  <si>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</si>
  <si>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</si>
  <si>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</si>
  <si>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</si>
  <si>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</si>
  <si>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</si>
  <si>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</si>
  <si>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</si>
  <si>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</si>
  <si>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</si>
  <si>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</si>
  <si>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</si>
  <si>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</si>
  <si>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</si>
  <si>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ASEA02</t>
  </si>
  <si>
    <t>ABB India Limited</t>
  </si>
  <si>
    <t>INE117A01022</t>
  </si>
  <si>
    <t>Electrical Equipment</t>
  </si>
  <si>
    <t>TOPH02</t>
  </si>
  <si>
    <t>Torrent Pharmaceuticals Limited</t>
  </si>
  <si>
    <t>INE685A01028</t>
  </si>
  <si>
    <t>Pharmaceuticals &amp; Biotechnology</t>
  </si>
  <si>
    <t>INFS02</t>
  </si>
  <si>
    <t>Infosys Limited</t>
  </si>
  <si>
    <t>INE009A01021</t>
  </si>
  <si>
    <t>NITL01</t>
  </si>
  <si>
    <t>Coforge Limited</t>
  </si>
  <si>
    <t>INE591G01017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</si>
  <si>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</si>
  <si>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</si>
  <si>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</si>
  <si>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</si>
  <si>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</si>
  <si>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</si>
  <si>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</si>
  <si>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CROM02</t>
  </si>
  <si>
    <t>CG Power and Industrial Solutions Limited</t>
  </si>
  <si>
    <t>INE067A01029</t>
  </si>
  <si>
    <t>HDLI01</t>
  </si>
  <si>
    <t>HDFC Life Insurance Company Limited</t>
  </si>
  <si>
    <t>INE795G01014</t>
  </si>
  <si>
    <t>Insurance</t>
  </si>
  <si>
    <t>MAHI02</t>
  </si>
  <si>
    <t>Mahindra &amp; Mahindra Limited</t>
  </si>
  <si>
    <t>INE101A01026</t>
  </si>
  <si>
    <t>NELA01</t>
  </si>
  <si>
    <t>Neuland Laboratories Limited</t>
  </si>
  <si>
    <t>INE794A01010</t>
  </si>
  <si>
    <t>GCPL02</t>
  </si>
  <si>
    <t>Godrej Consumer Products Limited</t>
  </si>
  <si>
    <t>INE102D01028</t>
  </si>
  <si>
    <t>Personal Products</t>
  </si>
  <si>
    <t>LTIL01</t>
  </si>
  <si>
    <t>LTIMindtree Limited</t>
  </si>
  <si>
    <t>INE214T01019</t>
  </si>
  <si>
    <t>ZMPL01</t>
  </si>
  <si>
    <t>Zomato Limited</t>
  </si>
  <si>
    <t>INE758T01015</t>
  </si>
  <si>
    <t>Retailing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</si>
  <si>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</si>
  <si>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</si>
  <si>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</si>
  <si>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</si>
  <si>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</si>
  <si>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</si>
  <si>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</si>
  <si>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GHPL01</t>
  </si>
  <si>
    <t>Global Health Limited</t>
  </si>
  <si>
    <t>INE474Q01031</t>
  </si>
  <si>
    <t>Healthcare Services</t>
  </si>
  <si>
    <t>RELS01</t>
  </si>
  <si>
    <t>Jio Financial Services Limited</t>
  </si>
  <si>
    <t>INE758E01017</t>
  </si>
  <si>
    <t>LAKM02</t>
  </si>
  <si>
    <t>Trent Limited</t>
  </si>
  <si>
    <t>INE849A01020</t>
  </si>
  <si>
    <t>KSPL01</t>
  </si>
  <si>
    <t>KSB Limited</t>
  </si>
  <si>
    <t>INE999A01015</t>
  </si>
  <si>
    <t>Industrial Products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</si>
  <si>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</si>
  <si>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</si>
  <si>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</si>
  <si>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</si>
  <si>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</si>
  <si>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</si>
  <si>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</si>
  <si>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CMSI01</t>
  </si>
  <si>
    <t>CMS Info System Limited</t>
  </si>
  <si>
    <t>INE925R01014</t>
  </si>
  <si>
    <t>Commercial Services &amp; Supplies</t>
  </si>
  <si>
    <t>TISC03</t>
  </si>
  <si>
    <t>Tata Steel Limited</t>
  </si>
  <si>
    <t>INE081A01020</t>
  </si>
  <si>
    <t>Ferrous Metals</t>
  </si>
  <si>
    <t>VNBL02</t>
  </si>
  <si>
    <t>Varun Beverages Limited</t>
  </si>
  <si>
    <t>INE200M01021</t>
  </si>
  <si>
    <t>Beverages</t>
  </si>
  <si>
    <t>ELMA01</t>
  </si>
  <si>
    <t>Electronics Mart India Limited</t>
  </si>
  <si>
    <t>INE02YR01019</t>
  </si>
  <si>
    <t>IEIN01</t>
  </si>
  <si>
    <t>Info Edge (India) Limited</t>
  </si>
  <si>
    <t>INE663F01024</t>
  </si>
  <si>
    <t>GUAM02</t>
  </si>
  <si>
    <t>Ambuja Cements Limited</t>
  </si>
  <si>
    <t>INE079A01024</t>
  </si>
  <si>
    <t>Cement &amp; Cement Products</t>
  </si>
  <si>
    <t>ARVF01</t>
  </si>
  <si>
    <t>Arvind Fashions Limited</t>
  </si>
  <si>
    <t>INE955V01021</t>
  </si>
  <si>
    <t>NTPC01</t>
  </si>
  <si>
    <t>NTPC Limited</t>
  </si>
  <si>
    <t>INE733E01010</t>
  </si>
  <si>
    <t>Power</t>
  </si>
  <si>
    <t>POME02</t>
  </si>
  <si>
    <t>Poly Medicure Limited</t>
  </si>
  <si>
    <t>INE205C01021</t>
  </si>
  <si>
    <t>Healthcare Equipment &amp; Supplies</t>
  </si>
  <si>
    <t>RACM01</t>
  </si>
  <si>
    <t>Rainbow Childrens Medicare Limited</t>
  </si>
  <si>
    <t>INE961O01016</t>
  </si>
  <si>
    <t>FSBF02</t>
  </si>
  <si>
    <t>Five Star Business Finance Limited</t>
  </si>
  <si>
    <t>INE128S01021</t>
  </si>
  <si>
    <t>IDBK01</t>
  </si>
  <si>
    <t>IDFC First Bank Limited</t>
  </si>
  <si>
    <t>INE092T01019</t>
  </si>
  <si>
    <t>KIMS01</t>
  </si>
  <si>
    <t>Krishna Institute Of Medical Sciences Limited</t>
  </si>
  <si>
    <t>INE967H01017</t>
  </si>
  <si>
    <t>ASTP04</t>
  </si>
  <si>
    <t>Astral Limited</t>
  </si>
  <si>
    <t>INE006I01046</t>
  </si>
  <si>
    <t>MKIP01</t>
  </si>
  <si>
    <t>Mankind Pharma Limited</t>
  </si>
  <si>
    <t>INE634S01028</t>
  </si>
  <si>
    <t>KKCL01</t>
  </si>
  <si>
    <t>Kewal Kiran Clothing Limited</t>
  </si>
  <si>
    <t>INE401H01017</t>
  </si>
  <si>
    <t>Textiles &amp; Apparels</t>
  </si>
  <si>
    <t>IINF02</t>
  </si>
  <si>
    <t>IIFL Finance Limited</t>
  </si>
  <si>
    <t>INE530B01024</t>
  </si>
  <si>
    <t>PGCI01</t>
  </si>
  <si>
    <t>Power Grid Corporation of India Limited</t>
  </si>
  <si>
    <t>INE752E01010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</si>
  <si>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</si>
  <si>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</si>
  <si>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</si>
  <si>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</si>
  <si>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</si>
  <si>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</si>
  <si>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</si>
  <si>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SOSO03</t>
  </si>
  <si>
    <t>Sonata Software Limited</t>
  </si>
  <si>
    <t>INE269A01021</t>
  </si>
  <si>
    <t>SYNI01</t>
  </si>
  <si>
    <t>Syngene International Limited</t>
  </si>
  <si>
    <t>INE398R01022</t>
  </si>
  <si>
    <t>PHMI02</t>
  </si>
  <si>
    <t>The Phoenix Mills Limited</t>
  </si>
  <si>
    <t>INE211B01039</t>
  </si>
  <si>
    <t>Realty</t>
  </si>
  <si>
    <t>VIDI01</t>
  </si>
  <si>
    <t>Vijaya Diagnostic Centre Limited</t>
  </si>
  <si>
    <t>INE043W01024</t>
  </si>
  <si>
    <t>AIEL02</t>
  </si>
  <si>
    <t>AIA Engineering Limited</t>
  </si>
  <si>
    <t>INE212H01026</t>
  </si>
  <si>
    <t>BOOT01</t>
  </si>
  <si>
    <t>Abbott India Limited</t>
  </si>
  <si>
    <t>INE358A01014</t>
  </si>
  <si>
    <t>MUFL01</t>
  </si>
  <si>
    <t>Muthoot Finance Limited</t>
  </si>
  <si>
    <t>INE414G01012</t>
  </si>
  <si>
    <t>CEWO01</t>
  </si>
  <si>
    <t>Cello World Limited</t>
  </si>
  <si>
    <t>INE0LMW01024</t>
  </si>
  <si>
    <t>HPEC01</t>
  </si>
  <si>
    <t>Hindustan Petroleum Corporation Limited</t>
  </si>
  <si>
    <t>INE094A01015</t>
  </si>
  <si>
    <t>IPLI01</t>
  </si>
  <si>
    <t>ICICI Prudential Life Insurance Company Limited</t>
  </si>
  <si>
    <t>INE726G01019</t>
  </si>
  <si>
    <t>IMIN01</t>
  </si>
  <si>
    <t>Indiamart Intermesh Limited</t>
  </si>
  <si>
    <t>INE933S01016</t>
  </si>
  <si>
    <t>GFPL01</t>
  </si>
  <si>
    <t>Go Fashion (India) Limited</t>
  </si>
  <si>
    <t>INE0BJS01011</t>
  </si>
  <si>
    <t>IIFM02</t>
  </si>
  <si>
    <t>360 One WAM Limited</t>
  </si>
  <si>
    <t>INE466L01038</t>
  </si>
  <si>
    <t>JKBL02</t>
  </si>
  <si>
    <t>The Jammu &amp; Kashmir Bank Limited</t>
  </si>
  <si>
    <t>INE168A01041</t>
  </si>
  <si>
    <t>GRIN02</t>
  </si>
  <si>
    <t>Grindwell Norton Limited</t>
  </si>
  <si>
    <t>INE536A01023</t>
  </si>
  <si>
    <t>JBCH03</t>
  </si>
  <si>
    <t>JB Chemicals &amp; Pharmaceuticals Limited</t>
  </si>
  <si>
    <t>INE572A01036</t>
  </si>
  <si>
    <t>BALI02</t>
  </si>
  <si>
    <t>Balkrishna Industries Limited</t>
  </si>
  <si>
    <t>INE787D01026</t>
  </si>
  <si>
    <t>Auto Components</t>
  </si>
  <si>
    <t>ASPA02</t>
  </si>
  <si>
    <t>Asian Paints Limited</t>
  </si>
  <si>
    <t>INE021A01026</t>
  </si>
  <si>
    <t>SBCL01</t>
  </si>
  <si>
    <t>SHIVALIK BIMETAL CONTROLS LIMITED</t>
  </si>
  <si>
    <t>INE386D01027</t>
  </si>
  <si>
    <t>IDAL01</t>
  </si>
  <si>
    <t>Intellect Design Arena Limited</t>
  </si>
  <si>
    <t>INE306R01017</t>
  </si>
  <si>
    <t>NSEL01</t>
  </si>
  <si>
    <t>Nucleus Software Exports Limited</t>
  </si>
  <si>
    <t>INE096B01018</t>
  </si>
  <si>
    <t>EIML02</t>
  </si>
  <si>
    <t>Eicher Motors Limited</t>
  </si>
  <si>
    <t>INE066A01021</t>
  </si>
  <si>
    <t>RCMS01</t>
  </si>
  <si>
    <t>Radiant Cash Management Services Limited</t>
  </si>
  <si>
    <t>INE855R01021</t>
  </si>
  <si>
    <t>SAFI02</t>
  </si>
  <si>
    <t>Safari Industries (India) Limited</t>
  </si>
  <si>
    <t>INE429E01023</t>
  </si>
  <si>
    <t>GAND02</t>
  </si>
  <si>
    <t>Gandhar Oil Refinery (India) Limited</t>
  </si>
  <si>
    <t>INE717W01049</t>
  </si>
  <si>
    <t>KAYN01</t>
  </si>
  <si>
    <t>Kaynes Technology India Limited</t>
  </si>
  <si>
    <t>INE918Z01012</t>
  </si>
  <si>
    <t>Industrial Manufacturing</t>
  </si>
  <si>
    <t>GAWA01</t>
  </si>
  <si>
    <t>Garware Technical Fibres Limited</t>
  </si>
  <si>
    <t>INE276A01018</t>
  </si>
  <si>
    <t>PSYL01</t>
  </si>
  <si>
    <t>Persistent Systems Limited</t>
  </si>
  <si>
    <t>INE262H01013</t>
  </si>
  <si>
    <t>AVAT01</t>
  </si>
  <si>
    <t>Avalon Technologies Limited</t>
  </si>
  <si>
    <t>INE0LCL01028</t>
  </si>
  <si>
    <t>GRCO02</t>
  </si>
  <si>
    <t>Saregama India Limited</t>
  </si>
  <si>
    <t>INE979A01025</t>
  </si>
  <si>
    <t>Entertainment</t>
  </si>
  <si>
    <t>JLLH01</t>
  </si>
  <si>
    <t>Jupiter Life Line Hospitals Limited</t>
  </si>
  <si>
    <t>INE682M01012</t>
  </si>
  <si>
    <t>ORRE01</t>
  </si>
  <si>
    <t>RHI Magnesita India Limited</t>
  </si>
  <si>
    <t>INE743M01012</t>
  </si>
  <si>
    <t>DIDI01</t>
  </si>
  <si>
    <t xml:space="preserve">Digidrive Distributors Limited </t>
  </si>
  <si>
    <t>INE0PSC01024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</si>
  <si>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</si>
  <si>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</si>
  <si>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</si>
  <si>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</si>
  <si>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</si>
  <si>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</si>
  <si>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</si>
  <si>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</si>
  <si>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</si>
  <si>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</si>
  <si>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</si>
  <si>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</si>
  <si>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</si>
  <si>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</si>
  <si>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</si>
  <si>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</si>
  <si>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</si>
  <si>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</si>
  <si>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GOI5077</t>
  </si>
  <si>
    <t>7.06% Government of India (10/04/2028)</t>
  </si>
  <si>
    <t>IN0020230010</t>
  </si>
  <si>
    <t>Sovereign</t>
  </si>
  <si>
    <t>GOI4485</t>
  </si>
  <si>
    <t>7.38% Government of India (20/06/2027)</t>
  </si>
  <si>
    <t>IN0020220037</t>
  </si>
  <si>
    <t>POWF303</t>
  </si>
  <si>
    <t>8.65% Power Finance Corporation Limited (28/12/2024) **</t>
  </si>
  <si>
    <t>INE134E08GV9</t>
  </si>
  <si>
    <t>CRISIL AAA</t>
  </si>
  <si>
    <t>TPOW112</t>
  </si>
  <si>
    <t>7.99% Tata Power Company Limited (15/11/2024) **</t>
  </si>
  <si>
    <t>INE245A08133</t>
  </si>
  <si>
    <t>CARE AA</t>
  </si>
  <si>
    <t>GOI5228</t>
  </si>
  <si>
    <t>7.18% Government of India (14/08/2033)</t>
  </si>
  <si>
    <t>IN0020230085</t>
  </si>
  <si>
    <t>LICH562</t>
  </si>
  <si>
    <t>7.33% LIC Housing Finance Limited (12/02/2025) **</t>
  </si>
  <si>
    <t>INE115A07OS8</t>
  </si>
  <si>
    <t>RECL416</t>
  </si>
  <si>
    <t>5.74% REC Limited (20/06/2024) **</t>
  </si>
  <si>
    <t>INE020B08DR1</t>
  </si>
  <si>
    <t>GOI5336</t>
  </si>
  <si>
    <t>7.37% Government of India (23/10/2028)</t>
  </si>
  <si>
    <t>IN0020230101</t>
  </si>
  <si>
    <t>SIDB468</t>
  </si>
  <si>
    <t>7.25% Small Industries Dev Bank of India (31/07/2025) **</t>
  </si>
  <si>
    <t>INE556F08KA6</t>
  </si>
  <si>
    <t>ICRA AAA</t>
  </si>
  <si>
    <t>CHOL941</t>
  </si>
  <si>
    <t>7.38% Cholamandalam Investment and Finance Company Ltd (31/07/2024) **</t>
  </si>
  <si>
    <t>INE121A07PN4</t>
  </si>
  <si>
    <t>ICRA AA+</t>
  </si>
  <si>
    <t>(b) Privately placed / Unlisted</t>
  </si>
  <si>
    <t>Others</t>
  </si>
  <si>
    <t>Exchange Traded Funds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</si>
  <si>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</si>
  <si>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</si>
  <si>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</si>
  <si>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</si>
  <si>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</si>
  <si>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</si>
  <si>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</si>
  <si>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</si>
  <si>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</si>
  <si>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</si>
  <si>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</si>
  <si>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</si>
  <si>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</si>
  <si>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TRP_011223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</si>
  <si>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</si>
  <si>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</si>
  <si>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</si>
  <si>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</si>
  <si>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</si>
  <si>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</si>
  <si>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</si>
  <si>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</si>
  <si>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</si>
  <si>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Kotak Mahindra Bank </t>
  </si>
  <si>
    <t xml:space="preserve">Maruti Suzuki India </t>
  </si>
  <si>
    <t xml:space="preserve">Oil &amp; Natural Gas </t>
  </si>
  <si>
    <t xml:space="preserve">Hindustan Unilever </t>
  </si>
  <si>
    <t xml:space="preserve">Axis Bank </t>
  </si>
  <si>
    <t xml:space="preserve">Bajaj Finance </t>
  </si>
  <si>
    <t xml:space="preserve">Reliance Industries </t>
  </si>
  <si>
    <t xml:space="preserve">ICICI Bank </t>
  </si>
  <si>
    <t>Long</t>
  </si>
  <si>
    <t xml:space="preserve">Persistent Systems </t>
  </si>
  <si>
    <t xml:space="preserve">Tata Consultancy </t>
  </si>
  <si>
    <t xml:space="preserve">HDFC Bank </t>
  </si>
  <si>
    <t>**  Thinly Traded / Non Traded Security</t>
  </si>
  <si>
    <t>~ YTM as on November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</si>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</sst>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0" fontId="0" fillId="0" borderId="0" xfId="0" applyNumberFormat="1"/>
    <xf numFmtId="0" fontId="2" fillId="0" borderId="0" xfId="1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99ACBA62-B92E-475F-95C4-5A9591460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561975</xdr:colOff>
      <xdr:row>5</xdr:row>
      <xdr:rowOff>152399</xdr:rowOff>
    </xdr:from>
    <xdr:to>
      <xdr:col>20</xdr:col>
      <xdr:colOff>485774</xdr:colOff>
      <xdr:row>19</xdr:row>
      <xdr:rowOff>746</xdr:rowOff>
    </xdr:to>
    <xdr:pic>
      <xdr:nvPicPr>
        <xdr:cNvPr id="2" name="Picture 1" descr="A close-up of a card&#10;&#10;Description automatically generated">
          <a:extLst>
            <a:ext uri="{FF2B5EF4-FFF2-40B4-BE49-F238E27FC236}">
              <a16:creationId xmlns:a16="http://schemas.microsoft.com/office/drawing/2014/main" id="{96BAAE2B-9F16-4978-A0D0-F5B4DD227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90624"/>
          <a:ext cx="6629399" cy="211529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A1C6-96D3-4E66-B1DF-B765F1DE7226}">
  <sheetPr>
    <outlinePr summaryBelow="0"/>
  </sheetPr>
  <dimension ref="A1:K160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34.85546875" customWidth="1"/>
    <col min="4" max="4" width="16.7109375" customWidth="1"/>
    <col min="5" max="5" width="20" customWidth="1"/>
    <col min="6" max="6" width="12" customWidth="1"/>
    <col min="7" max="7" width="18.5703125" customWidth="1"/>
    <col min="8" max="8" width="14.28515625" customWidth="1"/>
    <col min="9" max="9" width="12" customWidth="1"/>
    <col min="257" max="257" width="3.28515625" customWidth="1"/>
    <col min="258" max="258" width="16.7109375" customWidth="1"/>
    <col min="259" max="259" width="52.42578125" customWidth="1"/>
    <col min="260" max="260" width="16.7109375" customWidth="1"/>
    <col min="261" max="261" width="33.28515625" customWidth="1"/>
    <col min="262" max="262" width="16.7109375" customWidth="1"/>
    <col min="263" max="264" width="25" customWidth="1"/>
    <col min="265" max="265" width="16.7109375" customWidth="1"/>
    <col min="513" max="513" width="3.28515625" customWidth="1"/>
    <col min="514" max="514" width="16.7109375" customWidth="1"/>
    <col min="515" max="515" width="52.42578125" customWidth="1"/>
    <col min="516" max="516" width="16.7109375" customWidth="1"/>
    <col min="517" max="517" width="33.28515625" customWidth="1"/>
    <col min="518" max="518" width="16.7109375" customWidth="1"/>
    <col min="519" max="520" width="25" customWidth="1"/>
    <col min="521" max="521" width="16.7109375" customWidth="1"/>
    <col min="769" max="769" width="3.28515625" customWidth="1"/>
    <col min="770" max="770" width="16.7109375" customWidth="1"/>
    <col min="771" max="771" width="52.42578125" customWidth="1"/>
    <col min="772" max="772" width="16.7109375" customWidth="1"/>
    <col min="773" max="773" width="33.28515625" customWidth="1"/>
    <col min="774" max="774" width="16.7109375" customWidth="1"/>
    <col min="775" max="776" width="25" customWidth="1"/>
    <col min="777" max="777" width="16.7109375" customWidth="1"/>
    <col min="1025" max="1025" width="3.28515625" customWidth="1"/>
    <col min="1026" max="1026" width="16.7109375" customWidth="1"/>
    <col min="1027" max="1027" width="52.42578125" customWidth="1"/>
    <col min="1028" max="1028" width="16.7109375" customWidth="1"/>
    <col min="1029" max="1029" width="33.28515625" customWidth="1"/>
    <col min="1030" max="1030" width="16.7109375" customWidth="1"/>
    <col min="1031" max="1032" width="25" customWidth="1"/>
    <col min="1033" max="1033" width="16.7109375" customWidth="1"/>
    <col min="1281" max="1281" width="3.28515625" customWidth="1"/>
    <col min="1282" max="1282" width="16.7109375" customWidth="1"/>
    <col min="1283" max="1283" width="52.42578125" customWidth="1"/>
    <col min="1284" max="1284" width="16.7109375" customWidth="1"/>
    <col min="1285" max="1285" width="33.28515625" customWidth="1"/>
    <col min="1286" max="1286" width="16.7109375" customWidth="1"/>
    <col min="1287" max="1288" width="25" customWidth="1"/>
    <col min="1289" max="1289" width="16.7109375" customWidth="1"/>
    <col min="1537" max="1537" width="3.28515625" customWidth="1"/>
    <col min="1538" max="1538" width="16.7109375" customWidth="1"/>
    <col min="1539" max="1539" width="52.42578125" customWidth="1"/>
    <col min="1540" max="1540" width="16.7109375" customWidth="1"/>
    <col min="1541" max="1541" width="33.28515625" customWidth="1"/>
    <col min="1542" max="1542" width="16.7109375" customWidth="1"/>
    <col min="1543" max="1544" width="25" customWidth="1"/>
    <col min="1545" max="1545" width="16.7109375" customWidth="1"/>
    <col min="1793" max="1793" width="3.28515625" customWidth="1"/>
    <col min="1794" max="1794" width="16.7109375" customWidth="1"/>
    <col min="1795" max="1795" width="52.42578125" customWidth="1"/>
    <col min="1796" max="1796" width="16.7109375" customWidth="1"/>
    <col min="1797" max="1797" width="33.28515625" customWidth="1"/>
    <col min="1798" max="1798" width="16.7109375" customWidth="1"/>
    <col min="1799" max="1800" width="25" customWidth="1"/>
    <col min="1801" max="1801" width="16.7109375" customWidth="1"/>
    <col min="2049" max="2049" width="3.28515625" customWidth="1"/>
    <col min="2050" max="2050" width="16.7109375" customWidth="1"/>
    <col min="2051" max="2051" width="52.42578125" customWidth="1"/>
    <col min="2052" max="2052" width="16.7109375" customWidth="1"/>
    <col min="2053" max="2053" width="33.28515625" customWidth="1"/>
    <col min="2054" max="2054" width="16.7109375" customWidth="1"/>
    <col min="2055" max="2056" width="25" customWidth="1"/>
    <col min="2057" max="2057" width="16.7109375" customWidth="1"/>
    <col min="2305" max="2305" width="3.28515625" customWidth="1"/>
    <col min="2306" max="2306" width="16.7109375" customWidth="1"/>
    <col min="2307" max="2307" width="52.42578125" customWidth="1"/>
    <col min="2308" max="2308" width="16.7109375" customWidth="1"/>
    <col min="2309" max="2309" width="33.28515625" customWidth="1"/>
    <col min="2310" max="2310" width="16.7109375" customWidth="1"/>
    <col min="2311" max="2312" width="25" customWidth="1"/>
    <col min="2313" max="2313" width="16.7109375" customWidth="1"/>
    <col min="2561" max="2561" width="3.28515625" customWidth="1"/>
    <col min="2562" max="2562" width="16.7109375" customWidth="1"/>
    <col min="2563" max="2563" width="52.42578125" customWidth="1"/>
    <col min="2564" max="2564" width="16.7109375" customWidth="1"/>
    <col min="2565" max="2565" width="33.28515625" customWidth="1"/>
    <col min="2566" max="2566" width="16.7109375" customWidth="1"/>
    <col min="2567" max="2568" width="25" customWidth="1"/>
    <col min="2569" max="2569" width="16.7109375" customWidth="1"/>
    <col min="2817" max="2817" width="3.28515625" customWidth="1"/>
    <col min="2818" max="2818" width="16.7109375" customWidth="1"/>
    <col min="2819" max="2819" width="52.42578125" customWidth="1"/>
    <col min="2820" max="2820" width="16.7109375" customWidth="1"/>
    <col min="2821" max="2821" width="33.28515625" customWidth="1"/>
    <col min="2822" max="2822" width="16.7109375" customWidth="1"/>
    <col min="2823" max="2824" width="25" customWidth="1"/>
    <col min="2825" max="2825" width="16.7109375" customWidth="1"/>
    <col min="3073" max="3073" width="3.28515625" customWidth="1"/>
    <col min="3074" max="3074" width="16.7109375" customWidth="1"/>
    <col min="3075" max="3075" width="52.42578125" customWidth="1"/>
    <col min="3076" max="3076" width="16.7109375" customWidth="1"/>
    <col min="3077" max="3077" width="33.28515625" customWidth="1"/>
    <col min="3078" max="3078" width="16.7109375" customWidth="1"/>
    <col min="3079" max="3080" width="25" customWidth="1"/>
    <col min="3081" max="3081" width="16.7109375" customWidth="1"/>
    <col min="3329" max="3329" width="3.28515625" customWidth="1"/>
    <col min="3330" max="3330" width="16.7109375" customWidth="1"/>
    <col min="3331" max="3331" width="52.42578125" customWidth="1"/>
    <col min="3332" max="3332" width="16.7109375" customWidth="1"/>
    <col min="3333" max="3333" width="33.28515625" customWidth="1"/>
    <col min="3334" max="3334" width="16.7109375" customWidth="1"/>
    <col min="3335" max="3336" width="25" customWidth="1"/>
    <col min="3337" max="3337" width="16.7109375" customWidth="1"/>
    <col min="3585" max="3585" width="3.28515625" customWidth="1"/>
    <col min="3586" max="3586" width="16.7109375" customWidth="1"/>
    <col min="3587" max="3587" width="52.42578125" customWidth="1"/>
    <col min="3588" max="3588" width="16.7109375" customWidth="1"/>
    <col min="3589" max="3589" width="33.28515625" customWidth="1"/>
    <col min="3590" max="3590" width="16.7109375" customWidth="1"/>
    <col min="3591" max="3592" width="25" customWidth="1"/>
    <col min="3593" max="3593" width="16.7109375" customWidth="1"/>
    <col min="3841" max="3841" width="3.28515625" customWidth="1"/>
    <col min="3842" max="3842" width="16.7109375" customWidth="1"/>
    <col min="3843" max="3843" width="52.42578125" customWidth="1"/>
    <col min="3844" max="3844" width="16.7109375" customWidth="1"/>
    <col min="3845" max="3845" width="33.28515625" customWidth="1"/>
    <col min="3846" max="3846" width="16.7109375" customWidth="1"/>
    <col min="3847" max="3848" width="25" customWidth="1"/>
    <col min="3849" max="3849" width="16.7109375" customWidth="1"/>
    <col min="4097" max="4097" width="3.28515625" customWidth="1"/>
    <col min="4098" max="4098" width="16.7109375" customWidth="1"/>
    <col min="4099" max="4099" width="52.42578125" customWidth="1"/>
    <col min="4100" max="4100" width="16.7109375" customWidth="1"/>
    <col min="4101" max="4101" width="33.28515625" customWidth="1"/>
    <col min="4102" max="4102" width="16.7109375" customWidth="1"/>
    <col min="4103" max="4104" width="25" customWidth="1"/>
    <col min="4105" max="4105" width="16.7109375" customWidth="1"/>
    <col min="4353" max="4353" width="3.28515625" customWidth="1"/>
    <col min="4354" max="4354" width="16.7109375" customWidth="1"/>
    <col min="4355" max="4355" width="52.42578125" customWidth="1"/>
    <col min="4356" max="4356" width="16.7109375" customWidth="1"/>
    <col min="4357" max="4357" width="33.28515625" customWidth="1"/>
    <col min="4358" max="4358" width="16.7109375" customWidth="1"/>
    <col min="4359" max="4360" width="25" customWidth="1"/>
    <col min="4361" max="4361" width="16.7109375" customWidth="1"/>
    <col min="4609" max="4609" width="3.28515625" customWidth="1"/>
    <col min="4610" max="4610" width="16.7109375" customWidth="1"/>
    <col min="4611" max="4611" width="52.42578125" customWidth="1"/>
    <col min="4612" max="4612" width="16.7109375" customWidth="1"/>
    <col min="4613" max="4613" width="33.28515625" customWidth="1"/>
    <col min="4614" max="4614" width="16.7109375" customWidth="1"/>
    <col min="4615" max="4616" width="25" customWidth="1"/>
    <col min="4617" max="4617" width="16.7109375" customWidth="1"/>
    <col min="4865" max="4865" width="3.28515625" customWidth="1"/>
    <col min="4866" max="4866" width="16.7109375" customWidth="1"/>
    <col min="4867" max="4867" width="52.42578125" customWidth="1"/>
    <col min="4868" max="4868" width="16.7109375" customWidth="1"/>
    <col min="4869" max="4869" width="33.28515625" customWidth="1"/>
    <col min="4870" max="4870" width="16.7109375" customWidth="1"/>
    <col min="4871" max="4872" width="25" customWidth="1"/>
    <col min="4873" max="4873" width="16.7109375" customWidth="1"/>
    <col min="5121" max="5121" width="3.28515625" customWidth="1"/>
    <col min="5122" max="5122" width="16.7109375" customWidth="1"/>
    <col min="5123" max="5123" width="52.42578125" customWidth="1"/>
    <col min="5124" max="5124" width="16.7109375" customWidth="1"/>
    <col min="5125" max="5125" width="33.28515625" customWidth="1"/>
    <col min="5126" max="5126" width="16.7109375" customWidth="1"/>
    <col min="5127" max="5128" width="25" customWidth="1"/>
    <col min="5129" max="5129" width="16.7109375" customWidth="1"/>
    <col min="5377" max="5377" width="3.28515625" customWidth="1"/>
    <col min="5378" max="5378" width="16.7109375" customWidth="1"/>
    <col min="5379" max="5379" width="52.42578125" customWidth="1"/>
    <col min="5380" max="5380" width="16.7109375" customWidth="1"/>
    <col min="5381" max="5381" width="33.28515625" customWidth="1"/>
    <col min="5382" max="5382" width="16.7109375" customWidth="1"/>
    <col min="5383" max="5384" width="25" customWidth="1"/>
    <col min="5385" max="5385" width="16.7109375" customWidth="1"/>
    <col min="5633" max="5633" width="3.28515625" customWidth="1"/>
    <col min="5634" max="5634" width="16.7109375" customWidth="1"/>
    <col min="5635" max="5635" width="52.42578125" customWidth="1"/>
    <col min="5636" max="5636" width="16.7109375" customWidth="1"/>
    <col min="5637" max="5637" width="33.28515625" customWidth="1"/>
    <col min="5638" max="5638" width="16.7109375" customWidth="1"/>
    <col min="5639" max="5640" width="25" customWidth="1"/>
    <col min="5641" max="5641" width="16.7109375" customWidth="1"/>
    <col min="5889" max="5889" width="3.28515625" customWidth="1"/>
    <col min="5890" max="5890" width="16.7109375" customWidth="1"/>
    <col min="5891" max="5891" width="52.42578125" customWidth="1"/>
    <col min="5892" max="5892" width="16.7109375" customWidth="1"/>
    <col min="5893" max="5893" width="33.28515625" customWidth="1"/>
    <col min="5894" max="5894" width="16.7109375" customWidth="1"/>
    <col min="5895" max="5896" width="25" customWidth="1"/>
    <col min="5897" max="5897" width="16.7109375" customWidth="1"/>
    <col min="6145" max="6145" width="3.28515625" customWidth="1"/>
    <col min="6146" max="6146" width="16.7109375" customWidth="1"/>
    <col min="6147" max="6147" width="52.42578125" customWidth="1"/>
    <col min="6148" max="6148" width="16.7109375" customWidth="1"/>
    <col min="6149" max="6149" width="33.28515625" customWidth="1"/>
    <col min="6150" max="6150" width="16.7109375" customWidth="1"/>
    <col min="6151" max="6152" width="25" customWidth="1"/>
    <col min="6153" max="6153" width="16.7109375" customWidth="1"/>
    <col min="6401" max="6401" width="3.28515625" customWidth="1"/>
    <col min="6402" max="6402" width="16.7109375" customWidth="1"/>
    <col min="6403" max="6403" width="52.42578125" customWidth="1"/>
    <col min="6404" max="6404" width="16.7109375" customWidth="1"/>
    <col min="6405" max="6405" width="33.28515625" customWidth="1"/>
    <col min="6406" max="6406" width="16.7109375" customWidth="1"/>
    <col min="6407" max="6408" width="25" customWidth="1"/>
    <col min="6409" max="6409" width="16.7109375" customWidth="1"/>
    <col min="6657" max="6657" width="3.28515625" customWidth="1"/>
    <col min="6658" max="6658" width="16.7109375" customWidth="1"/>
    <col min="6659" max="6659" width="52.42578125" customWidth="1"/>
    <col min="6660" max="6660" width="16.7109375" customWidth="1"/>
    <col min="6661" max="6661" width="33.28515625" customWidth="1"/>
    <col min="6662" max="6662" width="16.7109375" customWidth="1"/>
    <col min="6663" max="6664" width="25" customWidth="1"/>
    <col min="6665" max="6665" width="16.7109375" customWidth="1"/>
    <col min="6913" max="6913" width="3.28515625" customWidth="1"/>
    <col min="6914" max="6914" width="16.7109375" customWidth="1"/>
    <col min="6915" max="6915" width="52.42578125" customWidth="1"/>
    <col min="6916" max="6916" width="16.7109375" customWidth="1"/>
    <col min="6917" max="6917" width="33.28515625" customWidth="1"/>
    <col min="6918" max="6918" width="16.7109375" customWidth="1"/>
    <col min="6919" max="6920" width="25" customWidth="1"/>
    <col min="6921" max="6921" width="16.7109375" customWidth="1"/>
    <col min="7169" max="7169" width="3.28515625" customWidth="1"/>
    <col min="7170" max="7170" width="16.7109375" customWidth="1"/>
    <col min="7171" max="7171" width="52.42578125" customWidth="1"/>
    <col min="7172" max="7172" width="16.7109375" customWidth="1"/>
    <col min="7173" max="7173" width="33.28515625" customWidth="1"/>
    <col min="7174" max="7174" width="16.7109375" customWidth="1"/>
    <col min="7175" max="7176" width="25" customWidth="1"/>
    <col min="7177" max="7177" width="16.7109375" customWidth="1"/>
    <col min="7425" max="7425" width="3.28515625" customWidth="1"/>
    <col min="7426" max="7426" width="16.7109375" customWidth="1"/>
    <col min="7427" max="7427" width="52.42578125" customWidth="1"/>
    <col min="7428" max="7428" width="16.7109375" customWidth="1"/>
    <col min="7429" max="7429" width="33.28515625" customWidth="1"/>
    <col min="7430" max="7430" width="16.7109375" customWidth="1"/>
    <col min="7431" max="7432" width="25" customWidth="1"/>
    <col min="7433" max="7433" width="16.7109375" customWidth="1"/>
    <col min="7681" max="7681" width="3.28515625" customWidth="1"/>
    <col min="7682" max="7682" width="16.7109375" customWidth="1"/>
    <col min="7683" max="7683" width="52.42578125" customWidth="1"/>
    <col min="7684" max="7684" width="16.7109375" customWidth="1"/>
    <col min="7685" max="7685" width="33.28515625" customWidth="1"/>
    <col min="7686" max="7686" width="16.7109375" customWidth="1"/>
    <col min="7687" max="7688" width="25" customWidth="1"/>
    <col min="7689" max="7689" width="16.7109375" customWidth="1"/>
    <col min="7937" max="7937" width="3.28515625" customWidth="1"/>
    <col min="7938" max="7938" width="16.7109375" customWidth="1"/>
    <col min="7939" max="7939" width="52.42578125" customWidth="1"/>
    <col min="7940" max="7940" width="16.7109375" customWidth="1"/>
    <col min="7941" max="7941" width="33.28515625" customWidth="1"/>
    <col min="7942" max="7942" width="16.7109375" customWidth="1"/>
    <col min="7943" max="7944" width="25" customWidth="1"/>
    <col min="7945" max="7945" width="16.7109375" customWidth="1"/>
    <col min="8193" max="8193" width="3.28515625" customWidth="1"/>
    <col min="8194" max="8194" width="16.7109375" customWidth="1"/>
    <col min="8195" max="8195" width="52.42578125" customWidth="1"/>
    <col min="8196" max="8196" width="16.7109375" customWidth="1"/>
    <col min="8197" max="8197" width="33.28515625" customWidth="1"/>
    <col min="8198" max="8198" width="16.7109375" customWidth="1"/>
    <col min="8199" max="8200" width="25" customWidth="1"/>
    <col min="8201" max="8201" width="16.7109375" customWidth="1"/>
    <col min="8449" max="8449" width="3.28515625" customWidth="1"/>
    <col min="8450" max="8450" width="16.7109375" customWidth="1"/>
    <col min="8451" max="8451" width="52.42578125" customWidth="1"/>
    <col min="8452" max="8452" width="16.7109375" customWidth="1"/>
    <col min="8453" max="8453" width="33.28515625" customWidth="1"/>
    <col min="8454" max="8454" width="16.7109375" customWidth="1"/>
    <col min="8455" max="8456" width="25" customWidth="1"/>
    <col min="8457" max="8457" width="16.7109375" customWidth="1"/>
    <col min="8705" max="8705" width="3.28515625" customWidth="1"/>
    <col min="8706" max="8706" width="16.7109375" customWidth="1"/>
    <col min="8707" max="8707" width="52.42578125" customWidth="1"/>
    <col min="8708" max="8708" width="16.7109375" customWidth="1"/>
    <col min="8709" max="8709" width="33.28515625" customWidth="1"/>
    <col min="8710" max="8710" width="16.7109375" customWidth="1"/>
    <col min="8711" max="8712" width="25" customWidth="1"/>
    <col min="8713" max="8713" width="16.7109375" customWidth="1"/>
    <col min="8961" max="8961" width="3.28515625" customWidth="1"/>
    <col min="8962" max="8962" width="16.7109375" customWidth="1"/>
    <col min="8963" max="8963" width="52.42578125" customWidth="1"/>
    <col min="8964" max="8964" width="16.7109375" customWidth="1"/>
    <col min="8965" max="8965" width="33.28515625" customWidth="1"/>
    <col min="8966" max="8966" width="16.7109375" customWidth="1"/>
    <col min="8967" max="8968" width="25" customWidth="1"/>
    <col min="8969" max="8969" width="16.7109375" customWidth="1"/>
    <col min="9217" max="9217" width="3.28515625" customWidth="1"/>
    <col min="9218" max="9218" width="16.7109375" customWidth="1"/>
    <col min="9219" max="9219" width="52.42578125" customWidth="1"/>
    <col min="9220" max="9220" width="16.7109375" customWidth="1"/>
    <col min="9221" max="9221" width="33.28515625" customWidth="1"/>
    <col min="9222" max="9222" width="16.7109375" customWidth="1"/>
    <col min="9223" max="9224" width="25" customWidth="1"/>
    <col min="9225" max="9225" width="16.7109375" customWidth="1"/>
    <col min="9473" max="9473" width="3.28515625" customWidth="1"/>
    <col min="9474" max="9474" width="16.7109375" customWidth="1"/>
    <col min="9475" max="9475" width="52.42578125" customWidth="1"/>
    <col min="9476" max="9476" width="16.7109375" customWidth="1"/>
    <col min="9477" max="9477" width="33.28515625" customWidth="1"/>
    <col min="9478" max="9478" width="16.7109375" customWidth="1"/>
    <col min="9479" max="9480" width="25" customWidth="1"/>
    <col min="9481" max="9481" width="16.7109375" customWidth="1"/>
    <col min="9729" max="9729" width="3.28515625" customWidth="1"/>
    <col min="9730" max="9730" width="16.7109375" customWidth="1"/>
    <col min="9731" max="9731" width="52.42578125" customWidth="1"/>
    <col min="9732" max="9732" width="16.7109375" customWidth="1"/>
    <col min="9733" max="9733" width="33.28515625" customWidth="1"/>
    <col min="9734" max="9734" width="16.7109375" customWidth="1"/>
    <col min="9735" max="9736" width="25" customWidth="1"/>
    <col min="9737" max="9737" width="16.7109375" customWidth="1"/>
    <col min="9985" max="9985" width="3.28515625" customWidth="1"/>
    <col min="9986" max="9986" width="16.7109375" customWidth="1"/>
    <col min="9987" max="9987" width="52.42578125" customWidth="1"/>
    <col min="9988" max="9988" width="16.7109375" customWidth="1"/>
    <col min="9989" max="9989" width="33.28515625" customWidth="1"/>
    <col min="9990" max="9990" width="16.7109375" customWidth="1"/>
    <col min="9991" max="9992" width="25" customWidth="1"/>
    <col min="9993" max="9993" width="16.7109375" customWidth="1"/>
    <col min="10241" max="10241" width="3.28515625" customWidth="1"/>
    <col min="10242" max="10242" width="16.7109375" customWidth="1"/>
    <col min="10243" max="10243" width="52.42578125" customWidth="1"/>
    <col min="10244" max="10244" width="16.7109375" customWidth="1"/>
    <col min="10245" max="10245" width="33.28515625" customWidth="1"/>
    <col min="10246" max="10246" width="16.7109375" customWidth="1"/>
    <col min="10247" max="10248" width="25" customWidth="1"/>
    <col min="10249" max="10249" width="16.7109375" customWidth="1"/>
    <col min="10497" max="10497" width="3.28515625" customWidth="1"/>
    <col min="10498" max="10498" width="16.7109375" customWidth="1"/>
    <col min="10499" max="10499" width="52.42578125" customWidth="1"/>
    <col min="10500" max="10500" width="16.7109375" customWidth="1"/>
    <col min="10501" max="10501" width="33.28515625" customWidth="1"/>
    <col min="10502" max="10502" width="16.7109375" customWidth="1"/>
    <col min="10503" max="10504" width="25" customWidth="1"/>
    <col min="10505" max="10505" width="16.7109375" customWidth="1"/>
    <col min="10753" max="10753" width="3.28515625" customWidth="1"/>
    <col min="10754" max="10754" width="16.7109375" customWidth="1"/>
    <col min="10755" max="10755" width="52.42578125" customWidth="1"/>
    <col min="10756" max="10756" width="16.7109375" customWidth="1"/>
    <col min="10757" max="10757" width="33.28515625" customWidth="1"/>
    <col min="10758" max="10758" width="16.7109375" customWidth="1"/>
    <col min="10759" max="10760" width="25" customWidth="1"/>
    <col min="10761" max="10761" width="16.7109375" customWidth="1"/>
    <col min="11009" max="11009" width="3.28515625" customWidth="1"/>
    <col min="11010" max="11010" width="16.7109375" customWidth="1"/>
    <col min="11011" max="11011" width="52.42578125" customWidth="1"/>
    <col min="11012" max="11012" width="16.7109375" customWidth="1"/>
    <col min="11013" max="11013" width="33.28515625" customWidth="1"/>
    <col min="11014" max="11014" width="16.7109375" customWidth="1"/>
    <col min="11015" max="11016" width="25" customWidth="1"/>
    <col min="11017" max="11017" width="16.7109375" customWidth="1"/>
    <col min="11265" max="11265" width="3.28515625" customWidth="1"/>
    <col min="11266" max="11266" width="16.7109375" customWidth="1"/>
    <col min="11267" max="11267" width="52.42578125" customWidth="1"/>
    <col min="11268" max="11268" width="16.7109375" customWidth="1"/>
    <col min="11269" max="11269" width="33.28515625" customWidth="1"/>
    <col min="11270" max="11270" width="16.7109375" customWidth="1"/>
    <col min="11271" max="11272" width="25" customWidth="1"/>
    <col min="11273" max="11273" width="16.7109375" customWidth="1"/>
    <col min="11521" max="11521" width="3.28515625" customWidth="1"/>
    <col min="11522" max="11522" width="16.7109375" customWidth="1"/>
    <col min="11523" max="11523" width="52.42578125" customWidth="1"/>
    <col min="11524" max="11524" width="16.7109375" customWidth="1"/>
    <col min="11525" max="11525" width="33.28515625" customWidth="1"/>
    <col min="11526" max="11526" width="16.7109375" customWidth="1"/>
    <col min="11527" max="11528" width="25" customWidth="1"/>
    <col min="11529" max="11529" width="16.7109375" customWidth="1"/>
    <col min="11777" max="11777" width="3.28515625" customWidth="1"/>
    <col min="11778" max="11778" width="16.7109375" customWidth="1"/>
    <col min="11779" max="11779" width="52.42578125" customWidth="1"/>
    <col min="11780" max="11780" width="16.7109375" customWidth="1"/>
    <col min="11781" max="11781" width="33.28515625" customWidth="1"/>
    <col min="11782" max="11782" width="16.7109375" customWidth="1"/>
    <col min="11783" max="11784" width="25" customWidth="1"/>
    <col min="11785" max="11785" width="16.7109375" customWidth="1"/>
    <col min="12033" max="12033" width="3.28515625" customWidth="1"/>
    <col min="12034" max="12034" width="16.7109375" customWidth="1"/>
    <col min="12035" max="12035" width="52.42578125" customWidth="1"/>
    <col min="12036" max="12036" width="16.7109375" customWidth="1"/>
    <col min="12037" max="12037" width="33.28515625" customWidth="1"/>
    <col min="12038" max="12038" width="16.7109375" customWidth="1"/>
    <col min="12039" max="12040" width="25" customWidth="1"/>
    <col min="12041" max="12041" width="16.7109375" customWidth="1"/>
    <col min="12289" max="12289" width="3.28515625" customWidth="1"/>
    <col min="12290" max="12290" width="16.7109375" customWidth="1"/>
    <col min="12291" max="12291" width="52.42578125" customWidth="1"/>
    <col min="12292" max="12292" width="16.7109375" customWidth="1"/>
    <col min="12293" max="12293" width="33.28515625" customWidth="1"/>
    <col min="12294" max="12294" width="16.7109375" customWidth="1"/>
    <col min="12295" max="12296" width="25" customWidth="1"/>
    <col min="12297" max="12297" width="16.7109375" customWidth="1"/>
    <col min="12545" max="12545" width="3.28515625" customWidth="1"/>
    <col min="12546" max="12546" width="16.7109375" customWidth="1"/>
    <col min="12547" max="12547" width="52.42578125" customWidth="1"/>
    <col min="12548" max="12548" width="16.7109375" customWidth="1"/>
    <col min="12549" max="12549" width="33.28515625" customWidth="1"/>
    <col min="12550" max="12550" width="16.7109375" customWidth="1"/>
    <col min="12551" max="12552" width="25" customWidth="1"/>
    <col min="12553" max="12553" width="16.7109375" customWidth="1"/>
    <col min="12801" max="12801" width="3.28515625" customWidth="1"/>
    <col min="12802" max="12802" width="16.7109375" customWidth="1"/>
    <col min="12803" max="12803" width="52.42578125" customWidth="1"/>
    <col min="12804" max="12804" width="16.7109375" customWidth="1"/>
    <col min="12805" max="12805" width="33.28515625" customWidth="1"/>
    <col min="12806" max="12806" width="16.7109375" customWidth="1"/>
    <col min="12807" max="12808" width="25" customWidth="1"/>
    <col min="12809" max="12809" width="16.7109375" customWidth="1"/>
    <col min="13057" max="13057" width="3.28515625" customWidth="1"/>
    <col min="13058" max="13058" width="16.7109375" customWidth="1"/>
    <col min="13059" max="13059" width="52.42578125" customWidth="1"/>
    <col min="13060" max="13060" width="16.7109375" customWidth="1"/>
    <col min="13061" max="13061" width="33.28515625" customWidth="1"/>
    <col min="13062" max="13062" width="16.7109375" customWidth="1"/>
    <col min="13063" max="13064" width="25" customWidth="1"/>
    <col min="13065" max="13065" width="16.7109375" customWidth="1"/>
    <col min="13313" max="13313" width="3.28515625" customWidth="1"/>
    <col min="13314" max="13314" width="16.7109375" customWidth="1"/>
    <col min="13315" max="13315" width="52.42578125" customWidth="1"/>
    <col min="13316" max="13316" width="16.7109375" customWidth="1"/>
    <col min="13317" max="13317" width="33.28515625" customWidth="1"/>
    <col min="13318" max="13318" width="16.7109375" customWidth="1"/>
    <col min="13319" max="13320" width="25" customWidth="1"/>
    <col min="13321" max="13321" width="16.7109375" customWidth="1"/>
    <col min="13569" max="13569" width="3.28515625" customWidth="1"/>
    <col min="13570" max="13570" width="16.7109375" customWidth="1"/>
    <col min="13571" max="13571" width="52.42578125" customWidth="1"/>
    <col min="13572" max="13572" width="16.7109375" customWidth="1"/>
    <col min="13573" max="13573" width="33.28515625" customWidth="1"/>
    <col min="13574" max="13574" width="16.7109375" customWidth="1"/>
    <col min="13575" max="13576" width="25" customWidth="1"/>
    <col min="13577" max="13577" width="16.7109375" customWidth="1"/>
    <col min="13825" max="13825" width="3.28515625" customWidth="1"/>
    <col min="13826" max="13826" width="16.7109375" customWidth="1"/>
    <col min="13827" max="13827" width="52.42578125" customWidth="1"/>
    <col min="13828" max="13828" width="16.7109375" customWidth="1"/>
    <col min="13829" max="13829" width="33.28515625" customWidth="1"/>
    <col min="13830" max="13830" width="16.7109375" customWidth="1"/>
    <col min="13831" max="13832" width="25" customWidth="1"/>
    <col min="13833" max="13833" width="16.7109375" customWidth="1"/>
    <col min="14081" max="14081" width="3.28515625" customWidth="1"/>
    <col min="14082" max="14082" width="16.7109375" customWidth="1"/>
    <col min="14083" max="14083" width="52.42578125" customWidth="1"/>
    <col min="14084" max="14084" width="16.7109375" customWidth="1"/>
    <col min="14085" max="14085" width="33.28515625" customWidth="1"/>
    <col min="14086" max="14086" width="16.7109375" customWidth="1"/>
    <col min="14087" max="14088" width="25" customWidth="1"/>
    <col min="14089" max="14089" width="16.7109375" customWidth="1"/>
    <col min="14337" max="14337" width="3.28515625" customWidth="1"/>
    <col min="14338" max="14338" width="16.7109375" customWidth="1"/>
    <col min="14339" max="14339" width="52.42578125" customWidth="1"/>
    <col min="14340" max="14340" width="16.7109375" customWidth="1"/>
    <col min="14341" max="14341" width="33.28515625" customWidth="1"/>
    <col min="14342" max="14342" width="16.7109375" customWidth="1"/>
    <col min="14343" max="14344" width="25" customWidth="1"/>
    <col min="14345" max="14345" width="16.7109375" customWidth="1"/>
    <col min="14593" max="14593" width="3.28515625" customWidth="1"/>
    <col min="14594" max="14594" width="16.7109375" customWidth="1"/>
    <col min="14595" max="14595" width="52.42578125" customWidth="1"/>
    <col min="14596" max="14596" width="16.7109375" customWidth="1"/>
    <col min="14597" max="14597" width="33.28515625" customWidth="1"/>
    <col min="14598" max="14598" width="16.7109375" customWidth="1"/>
    <col min="14599" max="14600" width="25" customWidth="1"/>
    <col min="14601" max="14601" width="16.7109375" customWidth="1"/>
    <col min="14849" max="14849" width="3.28515625" customWidth="1"/>
    <col min="14850" max="14850" width="16.7109375" customWidth="1"/>
    <col min="14851" max="14851" width="52.42578125" customWidth="1"/>
    <col min="14852" max="14852" width="16.7109375" customWidth="1"/>
    <col min="14853" max="14853" width="33.28515625" customWidth="1"/>
    <col min="14854" max="14854" width="16.7109375" customWidth="1"/>
    <col min="14855" max="14856" width="25" customWidth="1"/>
    <col min="14857" max="14857" width="16.7109375" customWidth="1"/>
    <col min="15105" max="15105" width="3.28515625" customWidth="1"/>
    <col min="15106" max="15106" width="16.7109375" customWidth="1"/>
    <col min="15107" max="15107" width="52.42578125" customWidth="1"/>
    <col min="15108" max="15108" width="16.7109375" customWidth="1"/>
    <col min="15109" max="15109" width="33.28515625" customWidth="1"/>
    <col min="15110" max="15110" width="16.7109375" customWidth="1"/>
    <col min="15111" max="15112" width="25" customWidth="1"/>
    <col min="15113" max="15113" width="16.7109375" customWidth="1"/>
    <col min="15361" max="15361" width="3.28515625" customWidth="1"/>
    <col min="15362" max="15362" width="16.7109375" customWidth="1"/>
    <col min="15363" max="15363" width="52.42578125" customWidth="1"/>
    <col min="15364" max="15364" width="16.7109375" customWidth="1"/>
    <col min="15365" max="15365" width="33.28515625" customWidth="1"/>
    <col min="15366" max="15366" width="16.7109375" customWidth="1"/>
    <col min="15367" max="15368" width="25" customWidth="1"/>
    <col min="15369" max="15369" width="16.7109375" customWidth="1"/>
    <col min="15617" max="15617" width="3.28515625" customWidth="1"/>
    <col min="15618" max="15618" width="16.7109375" customWidth="1"/>
    <col min="15619" max="15619" width="52.42578125" customWidth="1"/>
    <col min="15620" max="15620" width="16.7109375" customWidth="1"/>
    <col min="15621" max="15621" width="33.28515625" customWidth="1"/>
    <col min="15622" max="15622" width="16.7109375" customWidth="1"/>
    <col min="15623" max="15624" width="25" customWidth="1"/>
    <col min="15625" max="15625" width="16.7109375" customWidth="1"/>
    <col min="15873" max="15873" width="3.28515625" customWidth="1"/>
    <col min="15874" max="15874" width="16.7109375" customWidth="1"/>
    <col min="15875" max="15875" width="52.42578125" customWidth="1"/>
    <col min="15876" max="15876" width="16.7109375" customWidth="1"/>
    <col min="15877" max="15877" width="33.28515625" customWidth="1"/>
    <col min="15878" max="15878" width="16.7109375" customWidth="1"/>
    <col min="15879" max="15880" width="25" customWidth="1"/>
    <col min="15881" max="15881" width="16.7109375" customWidth="1"/>
    <col min="16129" max="16129" width="3.28515625" customWidth="1"/>
    <col min="16130" max="16130" width="16.7109375" customWidth="1"/>
    <col min="16131" max="16131" width="52.42578125" customWidth="1"/>
    <col min="16132" max="16132" width="16.7109375" customWidth="1"/>
    <col min="16133" max="16133" width="33.28515625" customWidth="1"/>
    <col min="16134" max="16134" width="16.7109375" customWidth="1"/>
    <col min="16135" max="16136" width="25" customWidth="1"/>
    <col min="16137" max="16137" width="16.7109375" customWidth="1"/>
  </cols>
  <sheetData>
    <row r="1" spans="1:9" ht="15.95" customHeight="1">
      <c r="A1" s="1"/>
      <c r="B1" s="40" t="s">
        <v>0</v>
      </c>
      <c r="C1" s="40"/>
      <c r="D1" s="1"/>
      <c r="E1" s="1"/>
      <c r="F1" s="1"/>
      <c r="G1" s="1"/>
      <c r="H1" s="1"/>
      <c r="I1" s="1"/>
    </row>
    <row r="2" spans="1:9" ht="12.95" customHeight="1">
      <c r="A2" s="1"/>
      <c r="B2" s="41"/>
      <c r="C2" s="41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42" t="s">
        <v>2</v>
      </c>
      <c r="C3" s="42"/>
      <c r="D3" s="1"/>
      <c r="E3" s="1"/>
      <c r="F3" s="1"/>
      <c r="G3" s="1"/>
      <c r="H3" s="1"/>
      <c r="I3" s="1"/>
    </row>
    <row r="4" spans="1:9" ht="27.95" customHeight="1">
      <c r="A4" s="1"/>
      <c r="B4" s="43" t="s">
        <v>3</v>
      </c>
      <c r="C4" s="4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44" t="s">
        <v>10</v>
      </c>
      <c r="C5" s="44"/>
      <c r="D5" s="5"/>
      <c r="E5" s="5"/>
      <c r="F5" s="5"/>
      <c r="G5" s="5"/>
      <c r="H5" s="5"/>
      <c r="I5" s="6"/>
    </row>
    <row r="6" spans="1:9" ht="12.95" customHeight="1">
      <c r="A6" s="1"/>
      <c r="B6" s="44" t="s">
        <v>11</v>
      </c>
      <c r="C6" s="44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39" t="s">
        <v>13</v>
      </c>
      <c r="C7" s="39"/>
      <c r="D7" s="5" t="s">
        <v>14</v>
      </c>
      <c r="E7" s="5" t="s">
        <v>15</v>
      </c>
      <c r="F7" s="8">
        <v>67523</v>
      </c>
      <c r="G7" s="9">
        <v>631.30999999999995</v>
      </c>
      <c r="H7" s="10">
        <v>2.5999999999999999E-2</v>
      </c>
      <c r="I7" s="11"/>
    </row>
    <row r="8" spans="1:9" ht="12.95" customHeight="1">
      <c r="A8" s="7" t="s">
        <v>16</v>
      </c>
      <c r="B8" s="39" t="s">
        <v>17</v>
      </c>
      <c r="C8" s="39"/>
      <c r="D8" s="5" t="s">
        <v>18</v>
      </c>
      <c r="E8" s="5" t="s">
        <v>15</v>
      </c>
      <c r="F8" s="8">
        <v>38718</v>
      </c>
      <c r="G8" s="9">
        <v>603.54</v>
      </c>
      <c r="H8" s="10">
        <v>2.4799999999999999E-2</v>
      </c>
      <c r="I8" s="11"/>
    </row>
    <row r="9" spans="1:9" ht="12.95" customHeight="1">
      <c r="A9" s="7" t="s">
        <v>19</v>
      </c>
      <c r="B9" s="39" t="s">
        <v>20</v>
      </c>
      <c r="C9" s="39"/>
      <c r="D9" s="5" t="s">
        <v>21</v>
      </c>
      <c r="E9" s="5" t="s">
        <v>15</v>
      </c>
      <c r="F9" s="8">
        <v>29486</v>
      </c>
      <c r="G9" s="9">
        <v>517.61</v>
      </c>
      <c r="H9" s="10">
        <v>2.1299999999999999E-2</v>
      </c>
      <c r="I9" s="11"/>
    </row>
    <row r="10" spans="1:9" ht="12.95" customHeight="1">
      <c r="A10" s="7" t="s">
        <v>22</v>
      </c>
      <c r="B10" s="39" t="s">
        <v>23</v>
      </c>
      <c r="C10" s="39"/>
      <c r="D10" s="5" t="s">
        <v>24</v>
      </c>
      <c r="E10" s="5" t="s">
        <v>25</v>
      </c>
      <c r="F10" s="8">
        <v>4871</v>
      </c>
      <c r="G10" s="9">
        <v>516.75</v>
      </c>
      <c r="H10" s="10">
        <v>2.12E-2</v>
      </c>
      <c r="I10" s="11"/>
    </row>
    <row r="11" spans="1:9" ht="12.95" customHeight="1">
      <c r="A11" s="7" t="s">
        <v>26</v>
      </c>
      <c r="B11" s="39" t="s">
        <v>27</v>
      </c>
      <c r="C11" s="39"/>
      <c r="D11" s="5" t="s">
        <v>28</v>
      </c>
      <c r="E11" s="5" t="s">
        <v>29</v>
      </c>
      <c r="F11" s="8">
        <v>15595</v>
      </c>
      <c r="G11" s="9">
        <v>370.76</v>
      </c>
      <c r="H11" s="10">
        <v>1.52E-2</v>
      </c>
      <c r="I11" s="11"/>
    </row>
    <row r="12" spans="1:9" ht="12.95" customHeight="1">
      <c r="A12" s="7" t="s">
        <v>30</v>
      </c>
      <c r="B12" s="39" t="s">
        <v>31</v>
      </c>
      <c r="C12" s="39"/>
      <c r="D12" s="5" t="s">
        <v>32</v>
      </c>
      <c r="E12" s="5" t="s">
        <v>33</v>
      </c>
      <c r="F12" s="8">
        <v>1400</v>
      </c>
      <c r="G12" s="9">
        <v>339.31</v>
      </c>
      <c r="H12" s="10">
        <v>1.4E-2</v>
      </c>
      <c r="I12" s="11"/>
    </row>
    <row r="13" spans="1:9" ht="12.95" customHeight="1">
      <c r="A13" s="7" t="s">
        <v>34</v>
      </c>
      <c r="B13" s="39" t="s">
        <v>35</v>
      </c>
      <c r="C13" s="39"/>
      <c r="D13" s="5" t="s">
        <v>36</v>
      </c>
      <c r="E13" s="5" t="s">
        <v>37</v>
      </c>
      <c r="F13" s="8">
        <v>4275</v>
      </c>
      <c r="G13" s="9">
        <v>304.45999999999998</v>
      </c>
      <c r="H13" s="10">
        <v>1.2500000000000001E-2</v>
      </c>
      <c r="I13" s="11"/>
    </row>
    <row r="14" spans="1:9" ht="12.95" customHeight="1">
      <c r="A14" s="7" t="s">
        <v>38</v>
      </c>
      <c r="B14" s="39" t="s">
        <v>39</v>
      </c>
      <c r="C14" s="39"/>
      <c r="D14" s="5" t="s">
        <v>40</v>
      </c>
      <c r="E14" s="5" t="s">
        <v>41</v>
      </c>
      <c r="F14" s="8">
        <v>8451</v>
      </c>
      <c r="G14" s="9">
        <v>294.99</v>
      </c>
      <c r="H14" s="10">
        <v>1.21E-2</v>
      </c>
      <c r="I14" s="11"/>
    </row>
    <row r="15" spans="1:9" ht="12.95" customHeight="1">
      <c r="A15" s="7" t="s">
        <v>42</v>
      </c>
      <c r="B15" s="39" t="s">
        <v>43</v>
      </c>
      <c r="C15" s="39"/>
      <c r="D15" s="5" t="s">
        <v>44</v>
      </c>
      <c r="E15" s="5" t="s">
        <v>45</v>
      </c>
      <c r="F15" s="8">
        <v>10936</v>
      </c>
      <c r="G15" s="9">
        <v>278.38</v>
      </c>
      <c r="H15" s="10">
        <v>1.14E-2</v>
      </c>
      <c r="I15" s="11"/>
    </row>
    <row r="16" spans="1:9" ht="12.95" customHeight="1">
      <c r="A16" s="7" t="s">
        <v>46</v>
      </c>
      <c r="B16" s="39" t="s">
        <v>47</v>
      </c>
      <c r="C16" s="39"/>
      <c r="D16" s="5" t="s">
        <v>48</v>
      </c>
      <c r="E16" s="5" t="s">
        <v>49</v>
      </c>
      <c r="F16" s="8">
        <v>136908</v>
      </c>
      <c r="G16" s="9">
        <v>266.89999999999998</v>
      </c>
      <c r="H16" s="10">
        <v>1.0999999999999999E-2</v>
      </c>
      <c r="I16" s="11"/>
    </row>
    <row r="17" spans="1:9" ht="12.95" customHeight="1">
      <c r="A17" s="7" t="s">
        <v>50</v>
      </c>
      <c r="B17" s="39" t="s">
        <v>51</v>
      </c>
      <c r="C17" s="39"/>
      <c r="D17" s="5" t="s">
        <v>52</v>
      </c>
      <c r="E17" s="5" t="s">
        <v>15</v>
      </c>
      <c r="F17" s="8">
        <v>23983</v>
      </c>
      <c r="G17" s="9">
        <v>257.64</v>
      </c>
      <c r="H17" s="10">
        <v>1.06E-2</v>
      </c>
      <c r="I17" s="11"/>
    </row>
    <row r="18" spans="1:9" ht="12.95" customHeight="1">
      <c r="A18" s="7" t="s">
        <v>53</v>
      </c>
      <c r="B18" s="39" t="s">
        <v>54</v>
      </c>
      <c r="C18" s="39"/>
      <c r="D18" s="5" t="s">
        <v>55</v>
      </c>
      <c r="E18" s="5" t="s">
        <v>56</v>
      </c>
      <c r="F18" s="8">
        <v>6498</v>
      </c>
      <c r="G18" s="9">
        <v>226.62</v>
      </c>
      <c r="H18" s="10">
        <v>9.2999999999999992E-3</v>
      </c>
      <c r="I18" s="11"/>
    </row>
    <row r="19" spans="1:9" ht="12.95" customHeight="1">
      <c r="A19" s="7" t="s">
        <v>57</v>
      </c>
      <c r="B19" s="39" t="s">
        <v>58</v>
      </c>
      <c r="C19" s="39"/>
      <c r="D19" s="5" t="s">
        <v>59</v>
      </c>
      <c r="E19" s="5" t="s">
        <v>60</v>
      </c>
      <c r="F19" s="8">
        <v>6835</v>
      </c>
      <c r="G19" s="9">
        <v>212.51</v>
      </c>
      <c r="H19" s="10">
        <v>8.6999999999999994E-3</v>
      </c>
      <c r="I19" s="11"/>
    </row>
    <row r="20" spans="1:9" ht="12.95" customHeight="1">
      <c r="A20" s="7" t="s">
        <v>61</v>
      </c>
      <c r="B20" s="39" t="s">
        <v>62</v>
      </c>
      <c r="C20" s="39"/>
      <c r="D20" s="5" t="s">
        <v>63</v>
      </c>
      <c r="E20" s="5" t="s">
        <v>37</v>
      </c>
      <c r="F20" s="8">
        <v>13878</v>
      </c>
      <c r="G20" s="9">
        <v>155.08000000000001</v>
      </c>
      <c r="H20" s="10">
        <v>6.4000000000000003E-3</v>
      </c>
      <c r="I20" s="11"/>
    </row>
    <row r="21" spans="1:9" ht="12.95" customHeight="1">
      <c r="A21" s="7" t="s">
        <v>64</v>
      </c>
      <c r="B21" s="39" t="s">
        <v>65</v>
      </c>
      <c r="C21" s="39"/>
      <c r="D21" s="5" t="s">
        <v>66</v>
      </c>
      <c r="E21" s="5" t="s">
        <v>67</v>
      </c>
      <c r="F21" s="8">
        <v>3431</v>
      </c>
      <c r="G21" s="9">
        <v>151.63999999999999</v>
      </c>
      <c r="H21" s="10">
        <v>6.1999999999999998E-3</v>
      </c>
      <c r="I21" s="11"/>
    </row>
    <row r="22" spans="1:9" ht="12.95" customHeight="1">
      <c r="A22" s="7" t="s">
        <v>68</v>
      </c>
      <c r="B22" s="39" t="s">
        <v>69</v>
      </c>
      <c r="C22" s="39"/>
      <c r="D22" s="5" t="s">
        <v>70</v>
      </c>
      <c r="E22" s="5" t="s">
        <v>71</v>
      </c>
      <c r="F22" s="8">
        <v>6448</v>
      </c>
      <c r="G22" s="9">
        <v>137.12</v>
      </c>
      <c r="H22" s="10">
        <v>5.5999999999999999E-3</v>
      </c>
      <c r="I22" s="11"/>
    </row>
    <row r="23" spans="1:9" ht="12.95" customHeight="1">
      <c r="A23" s="7" t="s">
        <v>72</v>
      </c>
      <c r="B23" s="39" t="s">
        <v>73</v>
      </c>
      <c r="C23" s="39"/>
      <c r="D23" s="5" t="s">
        <v>74</v>
      </c>
      <c r="E23" s="5" t="s">
        <v>56</v>
      </c>
      <c r="F23" s="8">
        <v>9157</v>
      </c>
      <c r="G23" s="9">
        <v>133.25</v>
      </c>
      <c r="H23" s="10">
        <v>5.4999999999999997E-3</v>
      </c>
      <c r="I23" s="11"/>
    </row>
    <row r="24" spans="1:9" ht="12.95" customHeight="1">
      <c r="A24" s="7" t="s">
        <v>75</v>
      </c>
      <c r="B24" s="39" t="s">
        <v>76</v>
      </c>
      <c r="C24" s="39"/>
      <c r="D24" s="5" t="s">
        <v>77</v>
      </c>
      <c r="E24" s="5" t="s">
        <v>56</v>
      </c>
      <c r="F24" s="8">
        <v>2174</v>
      </c>
      <c r="G24" s="9">
        <v>125.24</v>
      </c>
      <c r="H24" s="10">
        <v>5.1999999999999998E-3</v>
      </c>
      <c r="I24" s="11"/>
    </row>
    <row r="25" spans="1:9" ht="12.95" customHeight="1">
      <c r="A25" s="7" t="s">
        <v>78</v>
      </c>
      <c r="B25" s="39" t="s">
        <v>79</v>
      </c>
      <c r="C25" s="39"/>
      <c r="D25" s="5" t="s">
        <v>80</v>
      </c>
      <c r="E25" s="5" t="s">
        <v>81</v>
      </c>
      <c r="F25" s="8">
        <v>80693</v>
      </c>
      <c r="G25" s="9">
        <v>117.73</v>
      </c>
      <c r="H25" s="10">
        <v>4.7999999999999996E-3</v>
      </c>
      <c r="I25" s="11"/>
    </row>
    <row r="26" spans="1:9" ht="12.95" customHeight="1">
      <c r="A26" s="7" t="s">
        <v>82</v>
      </c>
      <c r="B26" s="39" t="s">
        <v>83</v>
      </c>
      <c r="C26" s="39"/>
      <c r="D26" s="5" t="s">
        <v>84</v>
      </c>
      <c r="E26" s="5" t="s">
        <v>37</v>
      </c>
      <c r="F26" s="8">
        <v>32769</v>
      </c>
      <c r="G26" s="9">
        <v>114.27</v>
      </c>
      <c r="H26" s="10">
        <v>4.7000000000000002E-3</v>
      </c>
      <c r="I26" s="11"/>
    </row>
    <row r="27" spans="1:9" ht="12.95" customHeight="1">
      <c r="A27" s="7" t="s">
        <v>85</v>
      </c>
      <c r="B27" s="39" t="s">
        <v>86</v>
      </c>
      <c r="C27" s="39"/>
      <c r="D27" s="5" t="s">
        <v>87</v>
      </c>
      <c r="E27" s="5" t="s">
        <v>67</v>
      </c>
      <c r="F27" s="8">
        <v>25149</v>
      </c>
      <c r="G27" s="9">
        <v>113.02</v>
      </c>
      <c r="H27" s="10">
        <v>4.5999999999999999E-3</v>
      </c>
      <c r="I27" s="11"/>
    </row>
    <row r="28" spans="1:9" ht="12.95" customHeight="1">
      <c r="A28" s="7" t="s">
        <v>88</v>
      </c>
      <c r="B28" s="39" t="s">
        <v>89</v>
      </c>
      <c r="C28" s="39"/>
      <c r="D28" s="5" t="s">
        <v>90</v>
      </c>
      <c r="E28" s="5" t="s">
        <v>91</v>
      </c>
      <c r="F28" s="8">
        <v>15088</v>
      </c>
      <c r="G28" s="9">
        <v>104.22</v>
      </c>
      <c r="H28" s="10">
        <v>4.3E-3</v>
      </c>
      <c r="I28" s="11"/>
    </row>
    <row r="29" spans="1:9" ht="12.95" customHeight="1">
      <c r="A29" s="7" t="s">
        <v>92</v>
      </c>
      <c r="B29" s="39" t="s">
        <v>93</v>
      </c>
      <c r="C29" s="39"/>
      <c r="D29" s="5" t="s">
        <v>94</v>
      </c>
      <c r="E29" s="5" t="s">
        <v>25</v>
      </c>
      <c r="F29" s="8">
        <v>6298</v>
      </c>
      <c r="G29" s="9">
        <v>103.78</v>
      </c>
      <c r="H29" s="10">
        <v>4.3E-3</v>
      </c>
      <c r="I29" s="11"/>
    </row>
    <row r="30" spans="1:9" ht="12.95" customHeight="1">
      <c r="A30" s="7" t="s">
        <v>95</v>
      </c>
      <c r="B30" s="39" t="s">
        <v>96</v>
      </c>
      <c r="C30" s="39"/>
      <c r="D30" s="5" t="s">
        <v>97</v>
      </c>
      <c r="E30" s="5" t="s">
        <v>71</v>
      </c>
      <c r="F30" s="8">
        <v>1882</v>
      </c>
      <c r="G30" s="9">
        <v>102.89</v>
      </c>
      <c r="H30" s="10">
        <v>4.1999999999999997E-3</v>
      </c>
      <c r="I30" s="11"/>
    </row>
    <row r="31" spans="1:9" ht="12.95" customHeight="1">
      <c r="A31" s="7" t="s">
        <v>98</v>
      </c>
      <c r="B31" s="39" t="s">
        <v>99</v>
      </c>
      <c r="C31" s="39"/>
      <c r="D31" s="5" t="s">
        <v>100</v>
      </c>
      <c r="E31" s="5" t="s">
        <v>101</v>
      </c>
      <c r="F31" s="8">
        <v>10194</v>
      </c>
      <c r="G31" s="9">
        <v>102.78</v>
      </c>
      <c r="H31" s="10">
        <v>4.1999999999999997E-3</v>
      </c>
      <c r="I31" s="11"/>
    </row>
    <row r="32" spans="1:9" ht="12.95" customHeight="1">
      <c r="A32" s="7" t="s">
        <v>102</v>
      </c>
      <c r="B32" s="39" t="s">
        <v>103</v>
      </c>
      <c r="C32" s="39"/>
      <c r="D32" s="5" t="s">
        <v>104</v>
      </c>
      <c r="E32" s="5" t="s">
        <v>56</v>
      </c>
      <c r="F32" s="8">
        <v>1648</v>
      </c>
      <c r="G32" s="9">
        <v>91.24</v>
      </c>
      <c r="H32" s="10">
        <v>3.8E-3</v>
      </c>
      <c r="I32" s="11"/>
    </row>
    <row r="33" spans="1:9" ht="12.95" customHeight="1">
      <c r="A33" s="7" t="s">
        <v>105</v>
      </c>
      <c r="B33" s="39" t="s">
        <v>106</v>
      </c>
      <c r="C33" s="39"/>
      <c r="D33" s="5" t="s">
        <v>107</v>
      </c>
      <c r="E33" s="5" t="s">
        <v>108</v>
      </c>
      <c r="F33" s="8">
        <v>76586</v>
      </c>
      <c r="G33" s="9">
        <v>90.79</v>
      </c>
      <c r="H33" s="10">
        <v>3.7000000000000002E-3</v>
      </c>
      <c r="I33" s="11"/>
    </row>
    <row r="34" spans="1:9" ht="12.95" customHeight="1">
      <c r="A34" s="7" t="s">
        <v>109</v>
      </c>
      <c r="B34" s="39" t="s">
        <v>110</v>
      </c>
      <c r="C34" s="39"/>
      <c r="D34" s="5" t="s">
        <v>111</v>
      </c>
      <c r="E34" s="5" t="s">
        <v>112</v>
      </c>
      <c r="F34" s="8">
        <v>15333</v>
      </c>
      <c r="G34" s="9">
        <v>79.06</v>
      </c>
      <c r="H34" s="10">
        <v>3.3E-3</v>
      </c>
      <c r="I34" s="11"/>
    </row>
    <row r="35" spans="1:9" ht="12.95" customHeight="1">
      <c r="A35" s="7" t="s">
        <v>113</v>
      </c>
      <c r="B35" s="39" t="s">
        <v>114</v>
      </c>
      <c r="C35" s="39"/>
      <c r="D35" s="5" t="s">
        <v>115</v>
      </c>
      <c r="E35" s="5" t="s">
        <v>37</v>
      </c>
      <c r="F35" s="8">
        <v>4623</v>
      </c>
      <c r="G35" s="9">
        <v>77.37</v>
      </c>
      <c r="H35" s="10">
        <v>3.2000000000000002E-3</v>
      </c>
      <c r="I35" s="11"/>
    </row>
    <row r="36" spans="1:9" ht="12.95" customHeight="1">
      <c r="A36" s="7" t="s">
        <v>116</v>
      </c>
      <c r="B36" s="39" t="s">
        <v>117</v>
      </c>
      <c r="C36" s="39"/>
      <c r="D36" s="5" t="s">
        <v>118</v>
      </c>
      <c r="E36" s="5" t="s">
        <v>119</v>
      </c>
      <c r="F36" s="8">
        <v>7680</v>
      </c>
      <c r="G36" s="9">
        <v>73.52</v>
      </c>
      <c r="H36" s="10">
        <v>3.0000000000000001E-3</v>
      </c>
      <c r="I36" s="11"/>
    </row>
    <row r="37" spans="1:9" ht="12.95" customHeight="1">
      <c r="A37" s="7" t="s">
        <v>120</v>
      </c>
      <c r="B37" s="39" t="s">
        <v>121</v>
      </c>
      <c r="C37" s="39"/>
      <c r="D37" s="5" t="s">
        <v>122</v>
      </c>
      <c r="E37" s="5" t="s">
        <v>37</v>
      </c>
      <c r="F37" s="8">
        <v>31853</v>
      </c>
      <c r="G37" s="9">
        <v>73.069999999999993</v>
      </c>
      <c r="H37" s="10">
        <v>3.0000000000000001E-3</v>
      </c>
      <c r="I37" s="11"/>
    </row>
    <row r="38" spans="1:9" ht="12.95" customHeight="1">
      <c r="A38" s="7" t="s">
        <v>123</v>
      </c>
      <c r="B38" s="39" t="s">
        <v>124</v>
      </c>
      <c r="C38" s="39"/>
      <c r="D38" s="5" t="s">
        <v>125</v>
      </c>
      <c r="E38" s="5" t="s">
        <v>108</v>
      </c>
      <c r="F38" s="8">
        <v>2447</v>
      </c>
      <c r="G38" s="9">
        <v>68.2</v>
      </c>
      <c r="H38" s="10">
        <v>2.8E-3</v>
      </c>
      <c r="I38" s="11"/>
    </row>
    <row r="39" spans="1:9" ht="12.95" customHeight="1">
      <c r="A39" s="7" t="s">
        <v>126</v>
      </c>
      <c r="B39" s="39" t="s">
        <v>127</v>
      </c>
      <c r="C39" s="39"/>
      <c r="D39" s="5" t="s">
        <v>128</v>
      </c>
      <c r="E39" s="5" t="s">
        <v>129</v>
      </c>
      <c r="F39" s="8">
        <v>1988</v>
      </c>
      <c r="G39" s="9">
        <v>68.05</v>
      </c>
      <c r="H39" s="10">
        <v>2.8E-3</v>
      </c>
      <c r="I39" s="11"/>
    </row>
    <row r="40" spans="1:9" ht="12.95" customHeight="1">
      <c r="A40" s="7" t="s">
        <v>130</v>
      </c>
      <c r="B40" s="39" t="s">
        <v>131</v>
      </c>
      <c r="C40" s="39"/>
      <c r="D40" s="5" t="s">
        <v>132</v>
      </c>
      <c r="E40" s="5" t="s">
        <v>15</v>
      </c>
      <c r="F40" s="8">
        <v>11948</v>
      </c>
      <c r="G40" s="9">
        <v>67.48</v>
      </c>
      <c r="H40" s="10">
        <v>2.8E-3</v>
      </c>
      <c r="I40" s="11"/>
    </row>
    <row r="41" spans="1:9" ht="12.95" customHeight="1">
      <c r="A41" s="7" t="s">
        <v>133</v>
      </c>
      <c r="B41" s="39" t="s">
        <v>134</v>
      </c>
      <c r="C41" s="39"/>
      <c r="D41" s="5" t="s">
        <v>135</v>
      </c>
      <c r="E41" s="5" t="s">
        <v>136</v>
      </c>
      <c r="F41" s="8">
        <v>6266</v>
      </c>
      <c r="G41" s="9">
        <v>63.58</v>
      </c>
      <c r="H41" s="10">
        <v>2.5999999999999999E-3</v>
      </c>
      <c r="I41" s="11"/>
    </row>
    <row r="42" spans="1:9" ht="12.95" customHeight="1">
      <c r="A42" s="7" t="s">
        <v>137</v>
      </c>
      <c r="B42" s="39" t="s">
        <v>138</v>
      </c>
      <c r="C42" s="39"/>
      <c r="D42" s="5" t="s">
        <v>139</v>
      </c>
      <c r="E42" s="5" t="s">
        <v>140</v>
      </c>
      <c r="F42" s="8">
        <v>15303</v>
      </c>
      <c r="G42" s="9">
        <v>61.97</v>
      </c>
      <c r="H42" s="10">
        <v>2.5000000000000001E-3</v>
      </c>
      <c r="I42" s="11"/>
    </row>
    <row r="43" spans="1:9" ht="12.95" customHeight="1">
      <c r="A43" s="7" t="s">
        <v>141</v>
      </c>
      <c r="B43" s="39" t="s">
        <v>142</v>
      </c>
      <c r="C43" s="39"/>
      <c r="D43" s="5" t="s">
        <v>143</v>
      </c>
      <c r="E43" s="5" t="s">
        <v>144</v>
      </c>
      <c r="F43" s="8">
        <v>46298</v>
      </c>
      <c r="G43" s="9">
        <v>59.22</v>
      </c>
      <c r="H43" s="10">
        <v>2.3999999999999998E-3</v>
      </c>
      <c r="I43" s="11"/>
    </row>
    <row r="44" spans="1:9" ht="12.95" customHeight="1">
      <c r="A44" s="7" t="s">
        <v>145</v>
      </c>
      <c r="B44" s="39" t="s">
        <v>146</v>
      </c>
      <c r="C44" s="39"/>
      <c r="D44" s="5" t="s">
        <v>147</v>
      </c>
      <c r="E44" s="5" t="s">
        <v>148</v>
      </c>
      <c r="F44" s="8">
        <v>5354</v>
      </c>
      <c r="G44" s="9">
        <v>59.16</v>
      </c>
      <c r="H44" s="10">
        <v>2.3999999999999998E-3</v>
      </c>
      <c r="I44" s="11"/>
    </row>
    <row r="45" spans="1:9" ht="12.95" customHeight="1">
      <c r="A45" s="7" t="s">
        <v>149</v>
      </c>
      <c r="B45" s="39" t="s">
        <v>150</v>
      </c>
      <c r="C45" s="39"/>
      <c r="D45" s="5" t="s">
        <v>151</v>
      </c>
      <c r="E45" s="5" t="s">
        <v>108</v>
      </c>
      <c r="F45" s="8">
        <v>24587</v>
      </c>
      <c r="G45" s="9">
        <v>55.37</v>
      </c>
      <c r="H45" s="10">
        <v>2.3E-3</v>
      </c>
      <c r="I45" s="11"/>
    </row>
    <row r="46" spans="1:9" ht="12.95" customHeight="1">
      <c r="A46" s="7" t="s">
        <v>152</v>
      </c>
      <c r="B46" s="39" t="s">
        <v>153</v>
      </c>
      <c r="C46" s="39"/>
      <c r="D46" s="5" t="s">
        <v>154</v>
      </c>
      <c r="E46" s="5" t="s">
        <v>108</v>
      </c>
      <c r="F46" s="8">
        <v>1199</v>
      </c>
      <c r="G46" s="9">
        <v>55.29</v>
      </c>
      <c r="H46" s="10">
        <v>2.3E-3</v>
      </c>
      <c r="I46" s="11"/>
    </row>
    <row r="47" spans="1:9" ht="12.95" customHeight="1">
      <c r="A47" s="7" t="s">
        <v>155</v>
      </c>
      <c r="B47" s="39" t="s">
        <v>156</v>
      </c>
      <c r="C47" s="39"/>
      <c r="D47" s="5" t="s">
        <v>157</v>
      </c>
      <c r="E47" s="5" t="s">
        <v>158</v>
      </c>
      <c r="F47" s="8">
        <v>11671</v>
      </c>
      <c r="G47" s="9">
        <v>51.26</v>
      </c>
      <c r="H47" s="10">
        <v>2.0999999999999999E-3</v>
      </c>
      <c r="I47" s="11"/>
    </row>
    <row r="48" spans="1:9" ht="12.95" customHeight="1">
      <c r="A48" s="7" t="s">
        <v>159</v>
      </c>
      <c r="B48" s="39" t="s">
        <v>160</v>
      </c>
      <c r="C48" s="39"/>
      <c r="D48" s="5" t="s">
        <v>161</v>
      </c>
      <c r="E48" s="5" t="s">
        <v>108</v>
      </c>
      <c r="F48" s="8">
        <v>11397</v>
      </c>
      <c r="G48" s="9">
        <v>50.1</v>
      </c>
      <c r="H48" s="10">
        <v>2.0999999999999999E-3</v>
      </c>
      <c r="I48" s="11"/>
    </row>
    <row r="49" spans="1:9" ht="12.95" customHeight="1">
      <c r="A49" s="7" t="s">
        <v>162</v>
      </c>
      <c r="B49" s="39" t="s">
        <v>163</v>
      </c>
      <c r="C49" s="39"/>
      <c r="D49" s="5" t="s">
        <v>164</v>
      </c>
      <c r="E49" s="5" t="s">
        <v>165</v>
      </c>
      <c r="F49" s="8">
        <v>18551</v>
      </c>
      <c r="G49" s="9">
        <v>48.47</v>
      </c>
      <c r="H49" s="10">
        <v>2E-3</v>
      </c>
      <c r="I49" s="11"/>
    </row>
    <row r="50" spans="1:9" ht="12.95" customHeight="1">
      <c r="A50" s="7" t="s">
        <v>166</v>
      </c>
      <c r="B50" s="39" t="s">
        <v>167</v>
      </c>
      <c r="C50" s="39"/>
      <c r="D50" s="5" t="s">
        <v>168</v>
      </c>
      <c r="E50" s="5" t="s">
        <v>169</v>
      </c>
      <c r="F50" s="8">
        <v>3033</v>
      </c>
      <c r="G50" s="9">
        <v>46.27</v>
      </c>
      <c r="H50" s="10">
        <v>1.9E-3</v>
      </c>
      <c r="I50" s="11"/>
    </row>
    <row r="51" spans="1:9" ht="12.95" customHeight="1">
      <c r="A51" s="7" t="s">
        <v>170</v>
      </c>
      <c r="B51" s="39" t="s">
        <v>171</v>
      </c>
      <c r="C51" s="39"/>
      <c r="D51" s="5" t="s">
        <v>172</v>
      </c>
      <c r="E51" s="5" t="s">
        <v>119</v>
      </c>
      <c r="F51" s="8">
        <v>4264</v>
      </c>
      <c r="G51" s="9">
        <v>45.77</v>
      </c>
      <c r="H51" s="10">
        <v>1.9E-3</v>
      </c>
      <c r="I51" s="11"/>
    </row>
    <row r="52" spans="1:9" ht="12.95" customHeight="1">
      <c r="A52" s="7" t="s">
        <v>173</v>
      </c>
      <c r="B52" s="39" t="s">
        <v>174</v>
      </c>
      <c r="C52" s="39"/>
      <c r="D52" s="5" t="s">
        <v>175</v>
      </c>
      <c r="E52" s="5" t="s">
        <v>37</v>
      </c>
      <c r="F52" s="8">
        <v>5892</v>
      </c>
      <c r="G52" s="9">
        <v>44.26</v>
      </c>
      <c r="H52" s="10">
        <v>1.8E-3</v>
      </c>
      <c r="I52" s="11"/>
    </row>
    <row r="53" spans="1:9" ht="12.95" customHeight="1">
      <c r="A53" s="7" t="s">
        <v>176</v>
      </c>
      <c r="B53" s="39" t="s">
        <v>177</v>
      </c>
      <c r="C53" s="39"/>
      <c r="D53" s="5" t="s">
        <v>178</v>
      </c>
      <c r="E53" s="5" t="s">
        <v>15</v>
      </c>
      <c r="F53" s="8">
        <v>51462</v>
      </c>
      <c r="G53" s="9">
        <v>43.85</v>
      </c>
      <c r="H53" s="10">
        <v>1.8E-3</v>
      </c>
      <c r="I53" s="11"/>
    </row>
    <row r="54" spans="1:9" ht="12.95" customHeight="1">
      <c r="A54" s="7" t="s">
        <v>179</v>
      </c>
      <c r="B54" s="39" t="s">
        <v>180</v>
      </c>
      <c r="C54" s="39"/>
      <c r="D54" s="5" t="s">
        <v>181</v>
      </c>
      <c r="E54" s="5" t="s">
        <v>119</v>
      </c>
      <c r="F54" s="8">
        <v>2223</v>
      </c>
      <c r="G54" s="9">
        <v>43.47</v>
      </c>
      <c r="H54" s="10">
        <v>1.8E-3</v>
      </c>
      <c r="I54" s="11"/>
    </row>
    <row r="55" spans="1:9" ht="12.95" customHeight="1">
      <c r="A55" s="7" t="s">
        <v>182</v>
      </c>
      <c r="B55" s="39" t="s">
        <v>183</v>
      </c>
      <c r="C55" s="39"/>
      <c r="D55" s="5" t="s">
        <v>184</v>
      </c>
      <c r="E55" s="5" t="s">
        <v>129</v>
      </c>
      <c r="F55" s="8">
        <v>2174</v>
      </c>
      <c r="G55" s="9">
        <v>42.39</v>
      </c>
      <c r="H55" s="10">
        <v>1.6999999999999999E-3</v>
      </c>
      <c r="I55" s="11"/>
    </row>
    <row r="56" spans="1:9" ht="12.95" customHeight="1">
      <c r="A56" s="7" t="s">
        <v>185</v>
      </c>
      <c r="B56" s="39" t="s">
        <v>186</v>
      </c>
      <c r="C56" s="39"/>
      <c r="D56" s="5" t="s">
        <v>187</v>
      </c>
      <c r="E56" s="5" t="s">
        <v>71</v>
      </c>
      <c r="F56" s="8">
        <v>2223</v>
      </c>
      <c r="G56" s="9">
        <v>42.18</v>
      </c>
      <c r="H56" s="10">
        <v>1.6999999999999999E-3</v>
      </c>
      <c r="I56" s="11"/>
    </row>
    <row r="57" spans="1:9" ht="12.95" customHeight="1">
      <c r="A57" s="7" t="s">
        <v>188</v>
      </c>
      <c r="B57" s="39" t="s">
        <v>189</v>
      </c>
      <c r="C57" s="39"/>
      <c r="D57" s="5" t="s">
        <v>190</v>
      </c>
      <c r="E57" s="5" t="s">
        <v>191</v>
      </c>
      <c r="F57" s="8">
        <v>5026</v>
      </c>
      <c r="G57" s="9">
        <v>40.130000000000003</v>
      </c>
      <c r="H57" s="10">
        <v>1.6999999999999999E-3</v>
      </c>
      <c r="I57" s="11"/>
    </row>
    <row r="58" spans="1:9" ht="12.95" customHeight="1">
      <c r="A58" s="7" t="s">
        <v>192</v>
      </c>
      <c r="B58" s="39" t="s">
        <v>193</v>
      </c>
      <c r="C58" s="39"/>
      <c r="D58" s="5" t="s">
        <v>194</v>
      </c>
      <c r="E58" s="5" t="s">
        <v>37</v>
      </c>
      <c r="F58" s="8">
        <v>6558</v>
      </c>
      <c r="G58" s="9">
        <v>39.909999999999997</v>
      </c>
      <c r="H58" s="10">
        <v>1.6000000000000001E-3</v>
      </c>
      <c r="I58" s="11"/>
    </row>
    <row r="59" spans="1:9" ht="12.95" customHeight="1">
      <c r="A59" s="7" t="s">
        <v>195</v>
      </c>
      <c r="B59" s="39" t="s">
        <v>196</v>
      </c>
      <c r="C59" s="39"/>
      <c r="D59" s="5" t="s">
        <v>197</v>
      </c>
      <c r="E59" s="5" t="s">
        <v>165</v>
      </c>
      <c r="F59" s="8">
        <v>18949</v>
      </c>
      <c r="G59" s="9">
        <v>39.590000000000003</v>
      </c>
      <c r="H59" s="10">
        <v>1.6000000000000001E-3</v>
      </c>
      <c r="I59" s="11"/>
    </row>
    <row r="60" spans="1:9" ht="12.95" customHeight="1">
      <c r="A60" s="7" t="s">
        <v>198</v>
      </c>
      <c r="B60" s="39" t="s">
        <v>199</v>
      </c>
      <c r="C60" s="39"/>
      <c r="D60" s="5" t="s">
        <v>200</v>
      </c>
      <c r="E60" s="5" t="s">
        <v>71</v>
      </c>
      <c r="F60" s="8">
        <v>1987</v>
      </c>
      <c r="G60" s="9">
        <v>39.270000000000003</v>
      </c>
      <c r="H60" s="10">
        <v>1.6000000000000001E-3</v>
      </c>
      <c r="I60" s="11"/>
    </row>
    <row r="61" spans="1:9" ht="12.95" customHeight="1">
      <c r="A61" s="7" t="s">
        <v>201</v>
      </c>
      <c r="B61" s="39" t="s">
        <v>202</v>
      </c>
      <c r="C61" s="39"/>
      <c r="D61" s="5" t="s">
        <v>203</v>
      </c>
      <c r="E61" s="5" t="s">
        <v>204</v>
      </c>
      <c r="F61" s="8">
        <v>1051</v>
      </c>
      <c r="G61" s="9">
        <v>38.9</v>
      </c>
      <c r="H61" s="10">
        <v>1.6000000000000001E-3</v>
      </c>
      <c r="I61" s="11"/>
    </row>
    <row r="62" spans="1:9" ht="12.95" customHeight="1">
      <c r="A62" s="7" t="s">
        <v>205</v>
      </c>
      <c r="B62" s="39" t="s">
        <v>206</v>
      </c>
      <c r="C62" s="39"/>
      <c r="D62" s="5" t="s">
        <v>207</v>
      </c>
      <c r="E62" s="5" t="s">
        <v>56</v>
      </c>
      <c r="F62" s="8">
        <v>2809</v>
      </c>
      <c r="G62" s="9">
        <v>38.18</v>
      </c>
      <c r="H62" s="10">
        <v>1.6000000000000001E-3</v>
      </c>
      <c r="I62" s="11"/>
    </row>
    <row r="63" spans="1:9" ht="12.95" customHeight="1">
      <c r="A63" s="7" t="s">
        <v>208</v>
      </c>
      <c r="B63" s="39" t="s">
        <v>209</v>
      </c>
      <c r="C63" s="39"/>
      <c r="D63" s="5" t="s">
        <v>210</v>
      </c>
      <c r="E63" s="5" t="s">
        <v>119</v>
      </c>
      <c r="F63" s="8">
        <v>4714</v>
      </c>
      <c r="G63" s="9">
        <v>35.46</v>
      </c>
      <c r="H63" s="10">
        <v>1.5E-3</v>
      </c>
      <c r="I63" s="11"/>
    </row>
    <row r="64" spans="1:9" ht="12.95" customHeight="1">
      <c r="A64" s="7" t="s">
        <v>211</v>
      </c>
      <c r="B64" s="39" t="s">
        <v>212</v>
      </c>
      <c r="C64" s="39"/>
      <c r="D64" s="5" t="s">
        <v>213</v>
      </c>
      <c r="E64" s="5" t="s">
        <v>214</v>
      </c>
      <c r="F64" s="8">
        <v>1492</v>
      </c>
      <c r="G64" s="9">
        <v>35.380000000000003</v>
      </c>
      <c r="H64" s="10">
        <v>1.5E-3</v>
      </c>
      <c r="I64" s="11"/>
    </row>
    <row r="65" spans="1:9" ht="12.95" customHeight="1">
      <c r="A65" s="7" t="s">
        <v>215</v>
      </c>
      <c r="B65" s="39" t="s">
        <v>216</v>
      </c>
      <c r="C65" s="39"/>
      <c r="D65" s="5" t="s">
        <v>217</v>
      </c>
      <c r="E65" s="5" t="s">
        <v>119</v>
      </c>
      <c r="F65" s="8">
        <v>5528</v>
      </c>
      <c r="G65" s="9">
        <v>35.31</v>
      </c>
      <c r="H65" s="10">
        <v>1.5E-3</v>
      </c>
      <c r="I65" s="11"/>
    </row>
    <row r="66" spans="1:9" ht="12.95" customHeight="1">
      <c r="A66" s="7" t="s">
        <v>218</v>
      </c>
      <c r="B66" s="39" t="s">
        <v>219</v>
      </c>
      <c r="C66" s="39"/>
      <c r="D66" s="5" t="s">
        <v>220</v>
      </c>
      <c r="E66" s="5" t="s">
        <v>129</v>
      </c>
      <c r="F66" s="8">
        <v>972</v>
      </c>
      <c r="G66" s="9">
        <v>34.909999999999997</v>
      </c>
      <c r="H66" s="10">
        <v>1.4E-3</v>
      </c>
      <c r="I66" s="11"/>
    </row>
    <row r="67" spans="1:9" ht="12.95" customHeight="1">
      <c r="A67" s="7" t="s">
        <v>221</v>
      </c>
      <c r="B67" s="39" t="s">
        <v>222</v>
      </c>
      <c r="C67" s="39"/>
      <c r="D67" s="5" t="s">
        <v>223</v>
      </c>
      <c r="E67" s="5" t="s">
        <v>71</v>
      </c>
      <c r="F67" s="8">
        <v>146</v>
      </c>
      <c r="G67" s="9">
        <v>34.76</v>
      </c>
      <c r="H67" s="10">
        <v>1.4E-3</v>
      </c>
      <c r="I67" s="11"/>
    </row>
    <row r="68" spans="1:9" ht="12.95" customHeight="1">
      <c r="A68" s="7" t="s">
        <v>224</v>
      </c>
      <c r="B68" s="39" t="s">
        <v>225</v>
      </c>
      <c r="C68" s="39"/>
      <c r="D68" s="5" t="s">
        <v>226</v>
      </c>
      <c r="E68" s="5" t="s">
        <v>37</v>
      </c>
      <c r="F68" s="8">
        <v>2304</v>
      </c>
      <c r="G68" s="9">
        <v>34.14</v>
      </c>
      <c r="H68" s="10">
        <v>1.4E-3</v>
      </c>
      <c r="I68" s="11"/>
    </row>
    <row r="69" spans="1:9" ht="12.95" customHeight="1">
      <c r="A69" s="7" t="s">
        <v>227</v>
      </c>
      <c r="B69" s="39" t="s">
        <v>228</v>
      </c>
      <c r="C69" s="39"/>
      <c r="D69" s="5" t="s">
        <v>229</v>
      </c>
      <c r="E69" s="5" t="s">
        <v>41</v>
      </c>
      <c r="F69" s="8">
        <v>4202</v>
      </c>
      <c r="G69" s="9">
        <v>33.82</v>
      </c>
      <c r="H69" s="10">
        <v>1.4E-3</v>
      </c>
      <c r="I69" s="11"/>
    </row>
    <row r="70" spans="1:9" ht="12.95" customHeight="1">
      <c r="A70" s="7" t="s">
        <v>230</v>
      </c>
      <c r="B70" s="39" t="s">
        <v>231</v>
      </c>
      <c r="C70" s="39"/>
      <c r="D70" s="5" t="s">
        <v>232</v>
      </c>
      <c r="E70" s="5" t="s">
        <v>29</v>
      </c>
      <c r="F70" s="8">
        <v>9604</v>
      </c>
      <c r="G70" s="9">
        <v>33.36</v>
      </c>
      <c r="H70" s="10">
        <v>1.4E-3</v>
      </c>
      <c r="I70" s="11"/>
    </row>
    <row r="71" spans="1:9" ht="12.95" customHeight="1">
      <c r="A71" s="7" t="s">
        <v>233</v>
      </c>
      <c r="B71" s="39" t="s">
        <v>234</v>
      </c>
      <c r="C71" s="39"/>
      <c r="D71" s="5" t="s">
        <v>235</v>
      </c>
      <c r="E71" s="5" t="s">
        <v>91</v>
      </c>
      <c r="F71" s="8">
        <v>5817</v>
      </c>
      <c r="G71" s="9">
        <v>32.729999999999997</v>
      </c>
      <c r="H71" s="10">
        <v>1.2999999999999999E-3</v>
      </c>
      <c r="I71" s="11"/>
    </row>
    <row r="72" spans="1:9" ht="12.95" customHeight="1">
      <c r="A72" s="7" t="s">
        <v>236</v>
      </c>
      <c r="B72" s="39" t="s">
        <v>237</v>
      </c>
      <c r="C72" s="39"/>
      <c r="D72" s="5" t="s">
        <v>238</v>
      </c>
      <c r="E72" s="5" t="s">
        <v>108</v>
      </c>
      <c r="F72" s="8">
        <v>1197</v>
      </c>
      <c r="G72" s="9">
        <v>31.17</v>
      </c>
      <c r="H72" s="10">
        <v>1.2999999999999999E-3</v>
      </c>
      <c r="I72" s="11"/>
    </row>
    <row r="73" spans="1:9" ht="12.95" customHeight="1">
      <c r="A73" s="7" t="s">
        <v>239</v>
      </c>
      <c r="B73" s="39" t="s">
        <v>240</v>
      </c>
      <c r="C73" s="39"/>
      <c r="D73" s="5" t="s">
        <v>241</v>
      </c>
      <c r="E73" s="5" t="s">
        <v>108</v>
      </c>
      <c r="F73" s="8">
        <v>2323</v>
      </c>
      <c r="G73" s="9">
        <v>30.89</v>
      </c>
      <c r="H73" s="10">
        <v>1.2999999999999999E-3</v>
      </c>
      <c r="I73" s="11"/>
    </row>
    <row r="74" spans="1:9" ht="12.95" customHeight="1">
      <c r="A74" s="7" t="s">
        <v>242</v>
      </c>
      <c r="B74" s="39" t="s">
        <v>243</v>
      </c>
      <c r="C74" s="39"/>
      <c r="D74" s="5" t="s">
        <v>244</v>
      </c>
      <c r="E74" s="5" t="s">
        <v>37</v>
      </c>
      <c r="F74" s="8">
        <v>5390</v>
      </c>
      <c r="G74" s="9">
        <v>30.84</v>
      </c>
      <c r="H74" s="10">
        <v>1.2999999999999999E-3</v>
      </c>
      <c r="I74" s="11"/>
    </row>
    <row r="75" spans="1:9" ht="12.95" customHeight="1">
      <c r="A75" s="7" t="s">
        <v>245</v>
      </c>
      <c r="B75" s="39" t="s">
        <v>246</v>
      </c>
      <c r="C75" s="39"/>
      <c r="D75" s="5" t="s">
        <v>247</v>
      </c>
      <c r="E75" s="5" t="s">
        <v>15</v>
      </c>
      <c r="F75" s="8">
        <v>28063</v>
      </c>
      <c r="G75" s="9">
        <v>30.73</v>
      </c>
      <c r="H75" s="10">
        <v>1.2999999999999999E-3</v>
      </c>
      <c r="I75" s="11"/>
    </row>
    <row r="76" spans="1:9" ht="12.95" customHeight="1">
      <c r="A76" s="7" t="s">
        <v>248</v>
      </c>
      <c r="B76" s="39" t="s">
        <v>249</v>
      </c>
      <c r="C76" s="39"/>
      <c r="D76" s="5" t="s">
        <v>250</v>
      </c>
      <c r="E76" s="5" t="s">
        <v>129</v>
      </c>
      <c r="F76" s="8">
        <v>1463</v>
      </c>
      <c r="G76" s="9">
        <v>30.64</v>
      </c>
      <c r="H76" s="10">
        <v>1.2999999999999999E-3</v>
      </c>
      <c r="I76" s="11"/>
    </row>
    <row r="77" spans="1:9" ht="12.95" customHeight="1">
      <c r="A77" s="7" t="s">
        <v>251</v>
      </c>
      <c r="B77" s="39" t="s">
        <v>252</v>
      </c>
      <c r="C77" s="39"/>
      <c r="D77" s="5" t="s">
        <v>253</v>
      </c>
      <c r="E77" s="5" t="s">
        <v>71</v>
      </c>
      <c r="F77" s="8">
        <v>2046</v>
      </c>
      <c r="G77" s="9">
        <v>29.69</v>
      </c>
      <c r="H77" s="10">
        <v>1.1999999999999999E-3</v>
      </c>
      <c r="I77" s="11"/>
    </row>
    <row r="78" spans="1:9" ht="12.95" customHeight="1">
      <c r="A78" s="7" t="s">
        <v>254</v>
      </c>
      <c r="B78" s="39" t="s">
        <v>255</v>
      </c>
      <c r="C78" s="39"/>
      <c r="D78" s="5" t="s">
        <v>256</v>
      </c>
      <c r="E78" s="5" t="s">
        <v>257</v>
      </c>
      <c r="F78" s="8">
        <v>1131</v>
      </c>
      <c r="G78" s="9">
        <v>29.14</v>
      </c>
      <c r="H78" s="10">
        <v>1.1999999999999999E-3</v>
      </c>
      <c r="I78" s="11"/>
    </row>
    <row r="79" spans="1:9" ht="12.95" customHeight="1">
      <c r="A79" s="7" t="s">
        <v>258</v>
      </c>
      <c r="B79" s="39" t="s">
        <v>259</v>
      </c>
      <c r="C79" s="39"/>
      <c r="D79" s="5" t="s">
        <v>260</v>
      </c>
      <c r="E79" s="5" t="s">
        <v>41</v>
      </c>
      <c r="F79" s="8">
        <v>919</v>
      </c>
      <c r="G79" s="9">
        <v>28.67</v>
      </c>
      <c r="H79" s="10">
        <v>1.1999999999999999E-3</v>
      </c>
      <c r="I79" s="11"/>
    </row>
    <row r="80" spans="1:9" ht="12.95" customHeight="1">
      <c r="A80" s="7" t="s">
        <v>261</v>
      </c>
      <c r="B80" s="39" t="s">
        <v>262</v>
      </c>
      <c r="C80" s="39"/>
      <c r="D80" s="5" t="s">
        <v>263</v>
      </c>
      <c r="E80" s="5" t="s">
        <v>129</v>
      </c>
      <c r="F80" s="8">
        <v>5055</v>
      </c>
      <c r="G80" s="9">
        <v>27.9</v>
      </c>
      <c r="H80" s="10">
        <v>1.1000000000000001E-3</v>
      </c>
      <c r="I80" s="11"/>
    </row>
    <row r="81" spans="1:9" ht="12.95" customHeight="1">
      <c r="A81" s="7" t="s">
        <v>264</v>
      </c>
      <c r="B81" s="39" t="s">
        <v>265</v>
      </c>
      <c r="C81" s="39"/>
      <c r="D81" s="5" t="s">
        <v>266</v>
      </c>
      <c r="E81" s="5" t="s">
        <v>56</v>
      </c>
      <c r="F81" s="8">
        <v>3564</v>
      </c>
      <c r="G81" s="9">
        <v>26.18</v>
      </c>
      <c r="H81" s="10">
        <v>1.1000000000000001E-3</v>
      </c>
      <c r="I81" s="11"/>
    </row>
    <row r="82" spans="1:9" ht="12.95" customHeight="1">
      <c r="A82" s="7" t="s">
        <v>267</v>
      </c>
      <c r="B82" s="39" t="s">
        <v>268</v>
      </c>
      <c r="C82" s="39"/>
      <c r="D82" s="5" t="s">
        <v>269</v>
      </c>
      <c r="E82" s="5" t="s">
        <v>56</v>
      </c>
      <c r="F82" s="8">
        <v>1716</v>
      </c>
      <c r="G82" s="9">
        <v>25.22</v>
      </c>
      <c r="H82" s="10">
        <v>1E-3</v>
      </c>
      <c r="I82" s="11"/>
    </row>
    <row r="83" spans="1:9" ht="12.95" customHeight="1">
      <c r="A83" s="7" t="s">
        <v>270</v>
      </c>
      <c r="B83" s="39" t="s">
        <v>271</v>
      </c>
      <c r="C83" s="39"/>
      <c r="D83" s="5" t="s">
        <v>272</v>
      </c>
      <c r="E83" s="5" t="s">
        <v>25</v>
      </c>
      <c r="F83" s="8">
        <v>618</v>
      </c>
      <c r="G83" s="9">
        <v>24.08</v>
      </c>
      <c r="H83" s="10">
        <v>1E-3</v>
      </c>
      <c r="I83" s="11"/>
    </row>
    <row r="84" spans="1:9" ht="12.95" customHeight="1">
      <c r="A84" s="7" t="s">
        <v>273</v>
      </c>
      <c r="B84" s="39" t="s">
        <v>274</v>
      </c>
      <c r="C84" s="39"/>
      <c r="D84" s="5" t="s">
        <v>275</v>
      </c>
      <c r="E84" s="5" t="s">
        <v>140</v>
      </c>
      <c r="F84" s="8">
        <v>26488</v>
      </c>
      <c r="G84" s="9">
        <v>23.35</v>
      </c>
      <c r="H84" s="10">
        <v>1E-3</v>
      </c>
      <c r="I84" s="11"/>
    </row>
    <row r="85" spans="1:9" ht="12.95" customHeight="1">
      <c r="A85" s="7" t="s">
        <v>276</v>
      </c>
      <c r="B85" s="39" t="s">
        <v>277</v>
      </c>
      <c r="C85" s="39"/>
      <c r="D85" s="5" t="s">
        <v>278</v>
      </c>
      <c r="E85" s="5" t="s">
        <v>41</v>
      </c>
      <c r="F85" s="8">
        <v>517</v>
      </c>
      <c r="G85" s="9">
        <v>22.89</v>
      </c>
      <c r="H85" s="10">
        <v>8.9999999999999998E-4</v>
      </c>
      <c r="I85" s="11"/>
    </row>
    <row r="86" spans="1:9" ht="12.95" customHeight="1">
      <c r="A86" s="7" t="s">
        <v>279</v>
      </c>
      <c r="B86" s="39" t="s">
        <v>280</v>
      </c>
      <c r="C86" s="39"/>
      <c r="D86" s="5" t="s">
        <v>281</v>
      </c>
      <c r="E86" s="5" t="s">
        <v>29</v>
      </c>
      <c r="F86" s="8">
        <v>7083</v>
      </c>
      <c r="G86" s="9">
        <v>21.35</v>
      </c>
      <c r="H86" s="10">
        <v>8.9999999999999998E-4</v>
      </c>
      <c r="I86" s="11"/>
    </row>
    <row r="87" spans="1:9" ht="12.95" customHeight="1">
      <c r="A87" s="7" t="s">
        <v>282</v>
      </c>
      <c r="B87" s="39" t="s">
        <v>283</v>
      </c>
      <c r="C87" s="39"/>
      <c r="D87" s="5" t="s">
        <v>284</v>
      </c>
      <c r="E87" s="5" t="s">
        <v>285</v>
      </c>
      <c r="F87" s="8">
        <v>789</v>
      </c>
      <c r="G87" s="9">
        <v>19.46</v>
      </c>
      <c r="H87" s="10">
        <v>8.0000000000000004E-4</v>
      </c>
      <c r="I87" s="11"/>
    </row>
    <row r="88" spans="1:9" ht="12.95" customHeight="1">
      <c r="A88" s="7" t="s">
        <v>286</v>
      </c>
      <c r="B88" s="39" t="s">
        <v>287</v>
      </c>
      <c r="C88" s="39"/>
      <c r="D88" s="5" t="s">
        <v>288</v>
      </c>
      <c r="E88" s="5" t="s">
        <v>191</v>
      </c>
      <c r="F88" s="8">
        <v>455</v>
      </c>
      <c r="G88" s="9">
        <v>15.46</v>
      </c>
      <c r="H88" s="10">
        <v>5.9999999999999995E-4</v>
      </c>
      <c r="I88" s="11"/>
    </row>
    <row r="89" spans="1:9" ht="12.95" customHeight="1">
      <c r="A89" s="7" t="s">
        <v>289</v>
      </c>
      <c r="B89" s="39" t="s">
        <v>290</v>
      </c>
      <c r="C89" s="39"/>
      <c r="D89" s="5" t="s">
        <v>291</v>
      </c>
      <c r="E89" s="5" t="s">
        <v>56</v>
      </c>
      <c r="F89" s="8">
        <v>232</v>
      </c>
      <c r="G89" s="9">
        <v>14.85</v>
      </c>
      <c r="H89" s="10">
        <v>5.9999999999999995E-4</v>
      </c>
      <c r="I89" s="11"/>
    </row>
    <row r="90" spans="1:9" ht="12.95" customHeight="1">
      <c r="A90" s="7" t="s">
        <v>292</v>
      </c>
      <c r="B90" s="39" t="s">
        <v>293</v>
      </c>
      <c r="C90" s="39"/>
      <c r="D90" s="5" t="s">
        <v>294</v>
      </c>
      <c r="E90" s="5" t="s">
        <v>67</v>
      </c>
      <c r="F90" s="8">
        <v>2508</v>
      </c>
      <c r="G90" s="9">
        <v>12.65</v>
      </c>
      <c r="H90" s="10">
        <v>5.0000000000000001E-4</v>
      </c>
      <c r="I90" s="11"/>
    </row>
    <row r="91" spans="1:9" ht="12.95" customHeight="1">
      <c r="A91" s="7" t="s">
        <v>295</v>
      </c>
      <c r="B91" s="39" t="s">
        <v>296</v>
      </c>
      <c r="C91" s="39"/>
      <c r="D91" s="5" t="s">
        <v>297</v>
      </c>
      <c r="E91" s="5" t="s">
        <v>298</v>
      </c>
      <c r="F91" s="8">
        <v>3195</v>
      </c>
      <c r="G91" s="9">
        <v>11.88</v>
      </c>
      <c r="H91" s="10">
        <v>5.0000000000000001E-4</v>
      </c>
      <c r="I91" s="11"/>
    </row>
    <row r="92" spans="1:9" ht="12.95" customHeight="1">
      <c r="A92" s="7" t="s">
        <v>299</v>
      </c>
      <c r="B92" s="39" t="s">
        <v>300</v>
      </c>
      <c r="C92" s="39"/>
      <c r="D92" s="5" t="s">
        <v>301</v>
      </c>
      <c r="E92" s="5" t="s">
        <v>119</v>
      </c>
      <c r="F92" s="8">
        <v>856</v>
      </c>
      <c r="G92" s="9">
        <v>9.52</v>
      </c>
      <c r="H92" s="10">
        <v>4.0000000000000002E-4</v>
      </c>
      <c r="I92" s="11"/>
    </row>
    <row r="93" spans="1:9" ht="12.95" customHeight="1">
      <c r="A93" s="7" t="s">
        <v>302</v>
      </c>
      <c r="B93" s="39" t="s">
        <v>303</v>
      </c>
      <c r="C93" s="39"/>
      <c r="D93" s="5" t="s">
        <v>304</v>
      </c>
      <c r="E93" s="5" t="s">
        <v>129</v>
      </c>
      <c r="F93" s="8">
        <v>1049</v>
      </c>
      <c r="G93" s="9">
        <v>8.0299999999999994</v>
      </c>
      <c r="H93" s="10">
        <v>2.9999999999999997E-4</v>
      </c>
      <c r="I93" s="11"/>
    </row>
    <row r="94" spans="1:9" ht="12.95" customHeight="1">
      <c r="A94" s="7" t="s">
        <v>305</v>
      </c>
      <c r="B94" s="39" t="s">
        <v>306</v>
      </c>
      <c r="C94" s="39"/>
      <c r="D94" s="5" t="s">
        <v>307</v>
      </c>
      <c r="E94" s="5" t="s">
        <v>108</v>
      </c>
      <c r="F94" s="8">
        <v>959</v>
      </c>
      <c r="G94" s="9">
        <v>1.1599999999999999</v>
      </c>
      <c r="H94" s="12">
        <v>0</v>
      </c>
      <c r="I94" s="11"/>
    </row>
    <row r="95" spans="1:9" ht="12.95" customHeight="1">
      <c r="A95" s="1"/>
      <c r="B95" s="44" t="s">
        <v>308</v>
      </c>
      <c r="C95" s="44"/>
      <c r="D95" s="5"/>
      <c r="E95" s="5"/>
      <c r="F95" s="5"/>
      <c r="G95" s="13">
        <f>+SUM(G7:G94)</f>
        <v>8834.7900000000009</v>
      </c>
      <c r="H95" s="14">
        <f>+SUM(H7:H94)</f>
        <v>0.36310000000000031</v>
      </c>
      <c r="I95" s="15"/>
    </row>
    <row r="96" spans="1:9" ht="12.95" customHeight="1">
      <c r="A96" s="1"/>
      <c r="B96" s="45" t="s">
        <v>309</v>
      </c>
      <c r="C96" s="45"/>
      <c r="D96" s="16"/>
      <c r="E96" s="16"/>
      <c r="F96" s="16"/>
      <c r="G96" s="15" t="s">
        <v>310</v>
      </c>
      <c r="H96" s="15" t="s">
        <v>310</v>
      </c>
      <c r="I96" s="15"/>
    </row>
    <row r="97" spans="1:9" ht="12.95" customHeight="1">
      <c r="A97" s="1"/>
      <c r="B97" s="45" t="s">
        <v>308</v>
      </c>
      <c r="C97" s="45"/>
      <c r="D97" s="16"/>
      <c r="E97" s="16"/>
      <c r="F97" s="16"/>
      <c r="G97" s="15" t="s">
        <v>310</v>
      </c>
      <c r="H97" s="15" t="s">
        <v>310</v>
      </c>
      <c r="I97" s="15"/>
    </row>
    <row r="98" spans="1:9" ht="12.95" customHeight="1">
      <c r="A98" s="1"/>
      <c r="B98" s="45" t="s">
        <v>311</v>
      </c>
      <c r="C98" s="45"/>
      <c r="D98" s="17"/>
      <c r="E98" s="16"/>
      <c r="F98" s="17"/>
      <c r="G98" s="13">
        <f>+G95</f>
        <v>8834.7900000000009</v>
      </c>
      <c r="H98" s="14">
        <f>+H95</f>
        <v>0.36310000000000031</v>
      </c>
      <c r="I98" s="15"/>
    </row>
    <row r="99" spans="1:9" ht="12.95" customHeight="1">
      <c r="A99" s="1"/>
      <c r="B99" s="44" t="s">
        <v>312</v>
      </c>
      <c r="C99" s="44"/>
      <c r="D99" s="5"/>
      <c r="E99" s="5"/>
      <c r="F99" s="5"/>
      <c r="G99" s="18"/>
      <c r="H99" s="19"/>
      <c r="I99" s="20"/>
    </row>
    <row r="100" spans="1:9" ht="12.95" customHeight="1">
      <c r="A100" s="7" t="s">
        <v>313</v>
      </c>
      <c r="B100" s="39" t="s">
        <v>314</v>
      </c>
      <c r="C100" s="39"/>
      <c r="D100" s="5" t="s">
        <v>315</v>
      </c>
      <c r="E100" s="5" t="s">
        <v>214</v>
      </c>
      <c r="F100" s="8">
        <v>122429</v>
      </c>
      <c r="G100" s="9">
        <v>293.12</v>
      </c>
      <c r="H100" s="10">
        <v>1.21E-2</v>
      </c>
      <c r="I100" s="11"/>
    </row>
    <row r="101" spans="1:9" ht="12.95" customHeight="1">
      <c r="A101" s="7" t="s">
        <v>316</v>
      </c>
      <c r="B101" s="39" t="s">
        <v>317</v>
      </c>
      <c r="C101" s="39"/>
      <c r="D101" s="5" t="s">
        <v>318</v>
      </c>
      <c r="E101" s="5" t="s">
        <v>214</v>
      </c>
      <c r="F101" s="8">
        <v>274730</v>
      </c>
      <c r="G101" s="9">
        <v>361.13</v>
      </c>
      <c r="H101" s="10">
        <v>1.49E-2</v>
      </c>
      <c r="I101" s="11"/>
    </row>
    <row r="102" spans="1:9" ht="12.95" customHeight="1">
      <c r="A102" s="1"/>
      <c r="B102" s="44" t="s">
        <v>308</v>
      </c>
      <c r="C102" s="44"/>
      <c r="D102" s="5"/>
      <c r="E102" s="5"/>
      <c r="F102" s="5"/>
      <c r="G102" s="18">
        <f>+G100+G101</f>
        <v>654.25</v>
      </c>
      <c r="H102" s="19">
        <f>+H100+H101</f>
        <v>2.7E-2</v>
      </c>
      <c r="I102" s="20"/>
    </row>
    <row r="103" spans="1:9" ht="12.95" customHeight="1">
      <c r="A103" s="1"/>
      <c r="B103" s="45" t="s">
        <v>311</v>
      </c>
      <c r="C103" s="45"/>
      <c r="D103" s="21"/>
      <c r="E103" s="22"/>
      <c r="F103" s="22"/>
      <c r="G103" s="23">
        <f>+G102</f>
        <v>654.25</v>
      </c>
      <c r="H103" s="24">
        <f>+H102</f>
        <v>2.7E-2</v>
      </c>
      <c r="I103" s="25"/>
    </row>
    <row r="104" spans="1:9" ht="12.95" customHeight="1">
      <c r="A104" s="1"/>
      <c r="B104" s="44" t="s">
        <v>319</v>
      </c>
      <c r="C104" s="44"/>
      <c r="D104" s="5"/>
      <c r="E104" s="5"/>
      <c r="F104" s="5"/>
      <c r="G104" s="5"/>
      <c r="H104" s="5"/>
      <c r="I104" s="6"/>
    </row>
    <row r="105" spans="1:9" ht="12.95" customHeight="1">
      <c r="A105" s="1"/>
      <c r="B105" s="44" t="s">
        <v>11</v>
      </c>
      <c r="C105" s="44"/>
      <c r="D105" s="5"/>
      <c r="E105" s="5"/>
      <c r="F105" s="5"/>
      <c r="G105" s="1"/>
      <c r="H105" s="6"/>
      <c r="I105" s="6"/>
    </row>
    <row r="106" spans="1:9" ht="12.95" customHeight="1">
      <c r="A106" s="7" t="s">
        <v>320</v>
      </c>
      <c r="B106" s="39" t="s">
        <v>321</v>
      </c>
      <c r="C106" s="39"/>
      <c r="D106" s="5" t="s">
        <v>322</v>
      </c>
      <c r="E106" s="5" t="s">
        <v>323</v>
      </c>
      <c r="F106" s="8">
        <v>3241</v>
      </c>
      <c r="G106" s="9">
        <v>1132.9000000000001</v>
      </c>
      <c r="H106" s="10">
        <v>4.6600000000000003E-2</v>
      </c>
      <c r="I106" s="11"/>
    </row>
    <row r="107" spans="1:9" ht="12.95" customHeight="1">
      <c r="A107" s="1"/>
      <c r="B107" s="44" t="s">
        <v>308</v>
      </c>
      <c r="C107" s="44"/>
      <c r="D107" s="5"/>
      <c r="E107" s="5"/>
      <c r="F107" s="5"/>
      <c r="G107" s="13">
        <v>1132.9000000000001</v>
      </c>
      <c r="H107" s="14">
        <v>4.6600000000000003E-2</v>
      </c>
      <c r="I107" s="15"/>
    </row>
    <row r="108" spans="1:9" ht="12.95" customHeight="1">
      <c r="A108" s="1"/>
      <c r="B108" s="45" t="s">
        <v>309</v>
      </c>
      <c r="C108" s="45"/>
      <c r="D108" s="16"/>
      <c r="E108" s="16"/>
      <c r="F108" s="16"/>
      <c r="G108" s="15" t="s">
        <v>310</v>
      </c>
      <c r="H108" s="15" t="s">
        <v>310</v>
      </c>
      <c r="I108" s="15"/>
    </row>
    <row r="109" spans="1:9" ht="12.95" customHeight="1">
      <c r="A109" s="1"/>
      <c r="B109" s="45" t="s">
        <v>308</v>
      </c>
      <c r="C109" s="45"/>
      <c r="D109" s="16"/>
      <c r="E109" s="16"/>
      <c r="F109" s="16"/>
      <c r="G109" s="15" t="s">
        <v>310</v>
      </c>
      <c r="H109" s="15" t="s">
        <v>310</v>
      </c>
      <c r="I109" s="15"/>
    </row>
    <row r="110" spans="1:9" ht="12.95" customHeight="1">
      <c r="A110" s="1"/>
      <c r="B110" s="45" t="s">
        <v>311</v>
      </c>
      <c r="C110" s="45"/>
      <c r="D110" s="17"/>
      <c r="E110" s="16"/>
      <c r="F110" s="17"/>
      <c r="G110" s="13">
        <v>1132.9000000000001</v>
      </c>
      <c r="H110" s="14">
        <v>4.6600000000000003E-2</v>
      </c>
      <c r="I110" s="15"/>
    </row>
    <row r="111" spans="1:9" ht="12.95" customHeight="1">
      <c r="A111" s="1"/>
      <c r="B111" s="44" t="s">
        <v>324</v>
      </c>
      <c r="C111" s="44"/>
      <c r="D111" s="5"/>
      <c r="E111" s="5"/>
      <c r="F111" s="5"/>
      <c r="G111" s="5"/>
      <c r="H111" s="5"/>
      <c r="I111" s="6"/>
    </row>
    <row r="112" spans="1:9" ht="12.95" customHeight="1">
      <c r="A112" s="1"/>
      <c r="B112" s="44" t="s">
        <v>325</v>
      </c>
      <c r="C112" s="44"/>
      <c r="D112" s="5"/>
      <c r="E112" s="5"/>
      <c r="F112" s="5"/>
      <c r="G112" s="1"/>
      <c r="H112" s="6"/>
      <c r="I112" s="6"/>
    </row>
    <row r="113" spans="1:9" ht="12.95" customHeight="1">
      <c r="A113" s="7" t="s">
        <v>326</v>
      </c>
      <c r="B113" s="39" t="s">
        <v>327</v>
      </c>
      <c r="C113" s="39"/>
      <c r="D113" s="5" t="s">
        <v>328</v>
      </c>
      <c r="E113" s="5" t="s">
        <v>329</v>
      </c>
      <c r="F113" s="8">
        <v>1000000</v>
      </c>
      <c r="G113" s="9">
        <v>992.51</v>
      </c>
      <c r="H113" s="10">
        <v>4.0800000000000003E-2</v>
      </c>
      <c r="I113" s="26">
        <v>7.392E-2</v>
      </c>
    </row>
    <row r="114" spans="1:9" ht="12.95" customHeight="1">
      <c r="A114" s="7" t="s">
        <v>330</v>
      </c>
      <c r="B114" s="39" t="s">
        <v>331</v>
      </c>
      <c r="C114" s="39"/>
      <c r="D114" s="5" t="s">
        <v>332</v>
      </c>
      <c r="E114" s="5" t="s">
        <v>329</v>
      </c>
      <c r="F114" s="8">
        <v>900000</v>
      </c>
      <c r="G114" s="9">
        <v>903.15</v>
      </c>
      <c r="H114" s="10">
        <v>3.7100000000000001E-2</v>
      </c>
      <c r="I114" s="26">
        <v>7.3963000000000001E-2</v>
      </c>
    </row>
    <row r="115" spans="1:9" ht="12.95" customHeight="1">
      <c r="A115" s="7" t="s">
        <v>333</v>
      </c>
      <c r="B115" s="39" t="s">
        <v>334</v>
      </c>
      <c r="C115" s="39"/>
      <c r="D115" s="5" t="s">
        <v>335</v>
      </c>
      <c r="E115" s="5" t="s">
        <v>336</v>
      </c>
      <c r="F115" s="8">
        <v>70</v>
      </c>
      <c r="G115" s="9">
        <v>706.04</v>
      </c>
      <c r="H115" s="10">
        <v>2.9000000000000001E-2</v>
      </c>
      <c r="I115" s="26">
        <v>7.7600000000000002E-2</v>
      </c>
    </row>
    <row r="116" spans="1:9" ht="12.95" customHeight="1">
      <c r="A116" s="7" t="s">
        <v>337</v>
      </c>
      <c r="B116" s="39" t="s">
        <v>338</v>
      </c>
      <c r="C116" s="39"/>
      <c r="D116" s="5" t="s">
        <v>339</v>
      </c>
      <c r="E116" s="5" t="s">
        <v>340</v>
      </c>
      <c r="F116" s="8">
        <v>55</v>
      </c>
      <c r="G116" s="9">
        <v>550.19000000000005</v>
      </c>
      <c r="H116" s="10">
        <v>2.2599999999999999E-2</v>
      </c>
      <c r="I116" s="26">
        <v>7.9250000000000001E-2</v>
      </c>
    </row>
    <row r="117" spans="1:9" ht="12.95" customHeight="1">
      <c r="A117" s="7" t="s">
        <v>341</v>
      </c>
      <c r="B117" s="39" t="s">
        <v>342</v>
      </c>
      <c r="C117" s="39"/>
      <c r="D117" s="5" t="s">
        <v>343</v>
      </c>
      <c r="E117" s="5" t="s">
        <v>329</v>
      </c>
      <c r="F117" s="8">
        <v>550000</v>
      </c>
      <c r="G117" s="9">
        <v>546.16999999999996</v>
      </c>
      <c r="H117" s="10">
        <v>2.2499999999999999E-2</v>
      </c>
      <c r="I117" s="26">
        <v>7.4116000000000001E-2</v>
      </c>
    </row>
    <row r="118" spans="1:9" ht="12.95" customHeight="1">
      <c r="A118" s="7" t="s">
        <v>344</v>
      </c>
      <c r="B118" s="39" t="s">
        <v>345</v>
      </c>
      <c r="C118" s="39"/>
      <c r="D118" s="5" t="s">
        <v>346</v>
      </c>
      <c r="E118" s="5" t="s">
        <v>336</v>
      </c>
      <c r="F118" s="8">
        <v>50</v>
      </c>
      <c r="G118" s="9">
        <v>496.38</v>
      </c>
      <c r="H118" s="10">
        <v>2.0400000000000001E-2</v>
      </c>
      <c r="I118" s="26">
        <v>7.9450000000000007E-2</v>
      </c>
    </row>
    <row r="119" spans="1:9" ht="12.95" customHeight="1">
      <c r="A119" s="7" t="s">
        <v>347</v>
      </c>
      <c r="B119" s="39" t="s">
        <v>348</v>
      </c>
      <c r="C119" s="39"/>
      <c r="D119" s="5" t="s">
        <v>349</v>
      </c>
      <c r="E119" s="5" t="s">
        <v>336</v>
      </c>
      <c r="F119" s="8">
        <v>50</v>
      </c>
      <c r="G119" s="9">
        <v>494.46</v>
      </c>
      <c r="H119" s="10">
        <v>2.0299999999999999E-2</v>
      </c>
      <c r="I119" s="26">
        <v>7.6349E-2</v>
      </c>
    </row>
    <row r="120" spans="1:9" ht="12.95" customHeight="1">
      <c r="A120" s="7" t="s">
        <v>350</v>
      </c>
      <c r="B120" s="39" t="s">
        <v>351</v>
      </c>
      <c r="C120" s="39"/>
      <c r="D120" s="5" t="s">
        <v>352</v>
      </c>
      <c r="E120" s="5" t="s">
        <v>329</v>
      </c>
      <c r="F120" s="8">
        <v>450000</v>
      </c>
      <c r="G120" s="9">
        <v>452.09</v>
      </c>
      <c r="H120" s="10">
        <v>1.8599999999999998E-2</v>
      </c>
      <c r="I120" s="26">
        <v>7.3844000000000007E-2</v>
      </c>
    </row>
    <row r="121" spans="1:9" ht="12.95" customHeight="1">
      <c r="A121" s="7" t="s">
        <v>353</v>
      </c>
      <c r="B121" s="39" t="s">
        <v>354</v>
      </c>
      <c r="C121" s="39"/>
      <c r="D121" s="5" t="s">
        <v>355</v>
      </c>
      <c r="E121" s="5" t="s">
        <v>356</v>
      </c>
      <c r="F121" s="8">
        <v>40</v>
      </c>
      <c r="G121" s="9">
        <v>396.01</v>
      </c>
      <c r="H121" s="10">
        <v>1.6299999999999999E-2</v>
      </c>
      <c r="I121" s="26">
        <v>7.8700000000000006E-2</v>
      </c>
    </row>
    <row r="122" spans="1:9" ht="12.95" customHeight="1">
      <c r="A122" s="7" t="s">
        <v>357</v>
      </c>
      <c r="B122" s="39" t="s">
        <v>358</v>
      </c>
      <c r="C122" s="39"/>
      <c r="D122" s="5" t="s">
        <v>359</v>
      </c>
      <c r="E122" s="5" t="s">
        <v>360</v>
      </c>
      <c r="F122" s="8">
        <v>30</v>
      </c>
      <c r="G122" s="9">
        <v>297.73</v>
      </c>
      <c r="H122" s="10">
        <v>1.2200000000000001E-2</v>
      </c>
      <c r="I122" s="26">
        <v>8.3751000000000006E-2</v>
      </c>
    </row>
    <row r="123" spans="1:9" ht="12.95" customHeight="1">
      <c r="A123" s="1"/>
      <c r="B123" s="44" t="s">
        <v>308</v>
      </c>
      <c r="C123" s="44"/>
      <c r="D123" s="5"/>
      <c r="E123" s="5"/>
      <c r="F123" s="5"/>
      <c r="G123" s="13">
        <v>5834.73</v>
      </c>
      <c r="H123" s="14">
        <v>0.23980000000000001</v>
      </c>
      <c r="I123" s="15"/>
    </row>
    <row r="124" spans="1:9" ht="12.95" customHeight="1">
      <c r="A124" s="1"/>
      <c r="B124" s="45" t="s">
        <v>361</v>
      </c>
      <c r="C124" s="45"/>
      <c r="D124" s="16"/>
      <c r="E124" s="16"/>
      <c r="F124" s="16"/>
      <c r="G124" s="15" t="s">
        <v>310</v>
      </c>
      <c r="H124" s="15" t="s">
        <v>310</v>
      </c>
      <c r="I124" s="15"/>
    </row>
    <row r="125" spans="1:9" ht="12.95" customHeight="1">
      <c r="A125" s="1"/>
      <c r="B125" s="45" t="s">
        <v>308</v>
      </c>
      <c r="C125" s="45"/>
      <c r="D125" s="16"/>
      <c r="E125" s="16"/>
      <c r="F125" s="16"/>
      <c r="G125" s="15" t="s">
        <v>310</v>
      </c>
      <c r="H125" s="15" t="s">
        <v>310</v>
      </c>
      <c r="I125" s="15"/>
    </row>
    <row r="126" spans="1:9" ht="12.95" customHeight="1">
      <c r="A126" s="1"/>
      <c r="B126" s="45" t="s">
        <v>311</v>
      </c>
      <c r="C126" s="45"/>
      <c r="D126" s="17"/>
      <c r="E126" s="16"/>
      <c r="F126" s="17"/>
      <c r="G126" s="13">
        <v>5834.73</v>
      </c>
      <c r="H126" s="14">
        <v>0.23980000000000001</v>
      </c>
      <c r="I126" s="15"/>
    </row>
    <row r="127" spans="1:9" ht="12.95" customHeight="1">
      <c r="A127" s="1"/>
      <c r="B127" s="44" t="s">
        <v>362</v>
      </c>
      <c r="C127" s="44"/>
      <c r="D127" s="5"/>
      <c r="E127" s="5"/>
      <c r="F127" s="5"/>
      <c r="G127" s="5"/>
      <c r="H127" s="5"/>
      <c r="I127" s="6"/>
    </row>
    <row r="128" spans="1:9" ht="12.95" customHeight="1">
      <c r="A128" s="1"/>
      <c r="B128" s="44" t="s">
        <v>363</v>
      </c>
      <c r="C128" s="44"/>
      <c r="D128" s="5"/>
      <c r="E128" s="5"/>
      <c r="F128" s="5"/>
      <c r="G128" s="1"/>
      <c r="H128" s="6"/>
      <c r="I128" s="6"/>
    </row>
    <row r="129" spans="1:9" ht="12.95" customHeight="1">
      <c r="A129" s="7" t="s">
        <v>364</v>
      </c>
      <c r="B129" s="39" t="s">
        <v>365</v>
      </c>
      <c r="C129" s="39"/>
      <c r="D129" s="5" t="s">
        <v>366</v>
      </c>
      <c r="E129" s="5"/>
      <c r="F129" s="8">
        <v>5302847</v>
      </c>
      <c r="G129" s="9">
        <v>2900.66</v>
      </c>
      <c r="H129" s="10">
        <v>0.1193</v>
      </c>
      <c r="I129" s="26"/>
    </row>
    <row r="130" spans="1:9" ht="12.95" customHeight="1">
      <c r="A130" s="7" t="s">
        <v>367</v>
      </c>
      <c r="B130" s="39" t="s">
        <v>368</v>
      </c>
      <c r="C130" s="39"/>
      <c r="D130" s="5" t="s">
        <v>369</v>
      </c>
      <c r="E130" s="5"/>
      <c r="F130" s="8">
        <v>4222235</v>
      </c>
      <c r="G130" s="9">
        <v>2306.61</v>
      </c>
      <c r="H130" s="10">
        <v>9.4799999999999995E-2</v>
      </c>
      <c r="I130" s="26"/>
    </row>
    <row r="131" spans="1:9" ht="12.95" customHeight="1">
      <c r="A131" s="7" t="s">
        <v>370</v>
      </c>
      <c r="B131" s="39" t="s">
        <v>371</v>
      </c>
      <c r="C131" s="39"/>
      <c r="D131" s="5" t="s">
        <v>372</v>
      </c>
      <c r="E131" s="5"/>
      <c r="F131" s="8">
        <v>176666</v>
      </c>
      <c r="G131" s="9">
        <v>229.4</v>
      </c>
      <c r="H131" s="10">
        <v>9.4000000000000004E-3</v>
      </c>
      <c r="I131" s="26"/>
    </row>
    <row r="132" spans="1:9" ht="12.95" customHeight="1">
      <c r="A132" s="7" t="s">
        <v>373</v>
      </c>
      <c r="B132" s="39" t="s">
        <v>374</v>
      </c>
      <c r="C132" s="39"/>
      <c r="D132" s="5" t="s">
        <v>375</v>
      </c>
      <c r="E132" s="5"/>
      <c r="F132" s="8">
        <v>526958</v>
      </c>
      <c r="G132" s="9">
        <v>179.27</v>
      </c>
      <c r="H132" s="10">
        <v>7.4000000000000003E-3</v>
      </c>
      <c r="I132" s="26"/>
    </row>
    <row r="133" spans="1:9" ht="12.95" customHeight="1">
      <c r="A133" s="1"/>
      <c r="B133" s="44" t="s">
        <v>308</v>
      </c>
      <c r="C133" s="44"/>
      <c r="D133" s="5"/>
      <c r="E133" s="5"/>
      <c r="F133" s="5"/>
      <c r="G133" s="13">
        <v>5615.94</v>
      </c>
      <c r="H133" s="14">
        <v>0.23089999999999999</v>
      </c>
      <c r="I133" s="15"/>
    </row>
    <row r="134" spans="1:9" ht="12.95" customHeight="1">
      <c r="A134" s="1"/>
      <c r="B134" s="45" t="s">
        <v>311</v>
      </c>
      <c r="C134" s="45"/>
      <c r="D134" s="17"/>
      <c r="E134" s="16"/>
      <c r="F134" s="17"/>
      <c r="G134" s="13">
        <v>5615.94</v>
      </c>
      <c r="H134" s="14">
        <v>0.23089999999999999</v>
      </c>
      <c r="I134" s="15"/>
    </row>
    <row r="135" spans="1:9" ht="12.95" customHeight="1">
      <c r="A135" s="1"/>
      <c r="B135" s="44" t="s">
        <v>376</v>
      </c>
      <c r="C135" s="44"/>
      <c r="D135" s="5"/>
      <c r="E135" s="5"/>
      <c r="F135" s="5"/>
      <c r="G135" s="5"/>
      <c r="H135" s="5"/>
      <c r="I135" s="6"/>
    </row>
    <row r="136" spans="1:9" ht="12.95" customHeight="1">
      <c r="A136" s="7" t="s">
        <v>377</v>
      </c>
      <c r="B136" s="39" t="s">
        <v>378</v>
      </c>
      <c r="C136" s="39"/>
      <c r="D136" s="5"/>
      <c r="E136" s="5"/>
      <c r="F136" s="8"/>
      <c r="G136" s="9">
        <v>2041.3</v>
      </c>
      <c r="H136" s="10">
        <v>8.3900000000000002E-2</v>
      </c>
      <c r="I136" s="26">
        <v>6.7589958129484998E-2</v>
      </c>
    </row>
    <row r="137" spans="1:9" ht="12.95" customHeight="1">
      <c r="A137" s="1"/>
      <c r="B137" s="44" t="s">
        <v>308</v>
      </c>
      <c r="C137" s="44"/>
      <c r="D137" s="5"/>
      <c r="E137" s="5"/>
      <c r="F137" s="5"/>
      <c r="G137" s="13">
        <v>2041.3</v>
      </c>
      <c r="H137" s="14">
        <v>8.3900000000000002E-2</v>
      </c>
      <c r="I137" s="15"/>
    </row>
    <row r="138" spans="1:9" ht="12.95" customHeight="1">
      <c r="A138" s="1"/>
      <c r="B138" s="45" t="s">
        <v>361</v>
      </c>
      <c r="C138" s="45"/>
      <c r="D138" s="16"/>
      <c r="E138" s="16"/>
      <c r="F138" s="16"/>
      <c r="G138" s="15" t="s">
        <v>310</v>
      </c>
      <c r="H138" s="15" t="s">
        <v>310</v>
      </c>
      <c r="I138" s="15"/>
    </row>
    <row r="139" spans="1:9" ht="12.95" customHeight="1">
      <c r="A139" s="1"/>
      <c r="B139" s="45" t="s">
        <v>308</v>
      </c>
      <c r="C139" s="45"/>
      <c r="D139" s="16"/>
      <c r="E139" s="16"/>
      <c r="F139" s="16"/>
      <c r="G139" s="15" t="s">
        <v>310</v>
      </c>
      <c r="H139" s="15" t="s">
        <v>310</v>
      </c>
      <c r="I139" s="15"/>
    </row>
    <row r="140" spans="1:9" ht="12.95" customHeight="1">
      <c r="A140" s="1"/>
      <c r="B140" s="45" t="s">
        <v>311</v>
      </c>
      <c r="C140" s="45"/>
      <c r="D140" s="17"/>
      <c r="E140" s="16"/>
      <c r="F140" s="17"/>
      <c r="G140" s="13">
        <v>2041.3</v>
      </c>
      <c r="H140" s="14">
        <v>8.3900000000000002E-2</v>
      </c>
      <c r="I140" s="15"/>
    </row>
    <row r="141" spans="1:9" ht="12.95" customHeight="1">
      <c r="A141" s="1"/>
      <c r="B141" s="45" t="s">
        <v>379</v>
      </c>
      <c r="C141" s="45"/>
      <c r="D141" s="5"/>
      <c r="E141" s="16"/>
      <c r="F141" s="5"/>
      <c r="G141" s="27">
        <v>204.59</v>
      </c>
      <c r="H141" s="14">
        <v>8.6999999999999994E-3</v>
      </c>
      <c r="I141" s="15"/>
    </row>
    <row r="142" spans="1:9" ht="12.95" customHeight="1" thickBot="1">
      <c r="A142" s="1"/>
      <c r="B142" s="46" t="s">
        <v>380</v>
      </c>
      <c r="C142" s="46"/>
      <c r="D142" s="28"/>
      <c r="E142" s="28"/>
      <c r="F142" s="28"/>
      <c r="G142" s="29">
        <v>24318.5</v>
      </c>
      <c r="H142" s="30">
        <v>1</v>
      </c>
      <c r="I142" s="31"/>
    </row>
    <row r="143" spans="1:9" ht="12.95" customHeight="1">
      <c r="A143" s="1"/>
      <c r="B143" s="47"/>
      <c r="C143" s="47"/>
      <c r="D143" s="1"/>
      <c r="E143" s="1"/>
      <c r="F143" s="1"/>
      <c r="G143" s="1"/>
      <c r="H143" s="1"/>
      <c r="I143" s="1"/>
    </row>
    <row r="144" spans="1:9" ht="12.95" customHeight="1">
      <c r="A144" s="1"/>
      <c r="B144" s="32" t="s">
        <v>381</v>
      </c>
      <c r="C144" s="1"/>
      <c r="D144" s="1"/>
      <c r="E144" s="1"/>
      <c r="F144" s="1"/>
      <c r="G144" s="1"/>
      <c r="H144" s="1"/>
      <c r="I144" s="1"/>
    </row>
    <row r="145" spans="1:11" ht="39.950000000000003" customHeight="1">
      <c r="A145" s="1"/>
      <c r="B145" s="48" t="s">
        <v>382</v>
      </c>
      <c r="C145" s="48"/>
      <c r="D145" s="33" t="s">
        <v>3</v>
      </c>
      <c r="E145" s="33" t="s">
        <v>5</v>
      </c>
      <c r="F145" s="33" t="s">
        <v>383</v>
      </c>
      <c r="G145" s="33" t="s">
        <v>384</v>
      </c>
      <c r="H145" s="33" t="s">
        <v>385</v>
      </c>
      <c r="I145" s="1"/>
    </row>
    <row r="146" spans="1:11" ht="12.95" customHeight="1">
      <c r="A146" s="1"/>
      <c r="B146" s="49" t="s">
        <v>386</v>
      </c>
      <c r="C146" s="49"/>
      <c r="D146" s="16" t="s">
        <v>387</v>
      </c>
      <c r="E146" s="16" t="s">
        <v>15</v>
      </c>
      <c r="F146" s="34">
        <v>19200</v>
      </c>
      <c r="G146" s="35">
        <v>-338.63040000000001</v>
      </c>
      <c r="H146" s="36">
        <v>-1.3899999999999999E-2</v>
      </c>
      <c r="I146" s="1"/>
      <c r="K146" s="37"/>
    </row>
    <row r="147" spans="1:11" ht="12.95" customHeight="1">
      <c r="A147" s="1"/>
      <c r="B147" s="49" t="s">
        <v>386</v>
      </c>
      <c r="C147" s="49"/>
      <c r="D147" s="16" t="s">
        <v>388</v>
      </c>
      <c r="E147" s="16" t="s">
        <v>25</v>
      </c>
      <c r="F147" s="34">
        <v>3000</v>
      </c>
      <c r="G147" s="35">
        <v>-319.476</v>
      </c>
      <c r="H147" s="36">
        <v>-1.3100000000000001E-2</v>
      </c>
      <c r="I147" s="1"/>
      <c r="K147" s="37"/>
    </row>
    <row r="148" spans="1:11" ht="12.95" customHeight="1">
      <c r="A148" s="1"/>
      <c r="B148" s="49" t="s">
        <v>386</v>
      </c>
      <c r="C148" s="49"/>
      <c r="D148" s="16" t="s">
        <v>389</v>
      </c>
      <c r="E148" s="16" t="s">
        <v>49</v>
      </c>
      <c r="F148" s="34">
        <v>115500</v>
      </c>
      <c r="G148" s="35">
        <v>-226.43774999999999</v>
      </c>
      <c r="H148" s="36">
        <v>-9.2999999999999992E-3</v>
      </c>
      <c r="I148" s="1"/>
      <c r="K148" s="37"/>
    </row>
    <row r="149" spans="1:11" ht="12.95" customHeight="1">
      <c r="A149" s="1"/>
      <c r="B149" s="49" t="s">
        <v>386</v>
      </c>
      <c r="C149" s="49"/>
      <c r="D149" s="16" t="s">
        <v>390</v>
      </c>
      <c r="E149" s="16" t="s">
        <v>45</v>
      </c>
      <c r="F149" s="34">
        <v>8400</v>
      </c>
      <c r="G149" s="35">
        <v>-215.0778</v>
      </c>
      <c r="H149" s="36">
        <v>-8.8000000000000005E-3</v>
      </c>
      <c r="I149" s="1"/>
      <c r="K149" s="37"/>
    </row>
    <row r="150" spans="1:11" ht="12.95" customHeight="1">
      <c r="A150" s="1"/>
      <c r="B150" s="49" t="s">
        <v>386</v>
      </c>
      <c r="C150" s="49"/>
      <c r="D150" s="16" t="s">
        <v>391</v>
      </c>
      <c r="E150" s="16" t="s">
        <v>15</v>
      </c>
      <c r="F150" s="34">
        <v>18750</v>
      </c>
      <c r="G150" s="35">
        <v>-202.171875</v>
      </c>
      <c r="H150" s="36">
        <v>-8.3000000000000001E-3</v>
      </c>
      <c r="I150" s="1"/>
      <c r="K150" s="37"/>
    </row>
    <row r="151" spans="1:11" ht="12.95" customHeight="1">
      <c r="A151" s="1"/>
      <c r="B151" s="49" t="s">
        <v>386</v>
      </c>
      <c r="C151" s="49"/>
      <c r="D151" s="16" t="s">
        <v>392</v>
      </c>
      <c r="E151" s="16" t="s">
        <v>37</v>
      </c>
      <c r="F151" s="34">
        <v>2625</v>
      </c>
      <c r="G151" s="35">
        <v>-188.41200000000001</v>
      </c>
      <c r="H151" s="36">
        <v>-7.7000000000000002E-3</v>
      </c>
      <c r="I151" s="1"/>
      <c r="K151" s="37"/>
    </row>
    <row r="152" spans="1:11" ht="12.95" customHeight="1">
      <c r="A152" s="1"/>
      <c r="B152" s="49" t="s">
        <v>386</v>
      </c>
      <c r="C152" s="49"/>
      <c r="D152" s="16" t="s">
        <v>393</v>
      </c>
      <c r="E152" s="16" t="s">
        <v>29</v>
      </c>
      <c r="F152" s="34">
        <v>7500</v>
      </c>
      <c r="G152" s="35">
        <v>-179.73750000000001</v>
      </c>
      <c r="H152" s="36">
        <v>-7.4000000000000003E-3</v>
      </c>
      <c r="I152" s="1"/>
      <c r="K152" s="37"/>
    </row>
    <row r="153" spans="1:11" ht="12.95" customHeight="1">
      <c r="A153" s="1"/>
      <c r="B153" s="49" t="s">
        <v>386</v>
      </c>
      <c r="C153" s="49"/>
      <c r="D153" s="16" t="s">
        <v>394</v>
      </c>
      <c r="E153" s="16" t="s">
        <v>15</v>
      </c>
      <c r="F153" s="34">
        <v>9800</v>
      </c>
      <c r="G153" s="35">
        <v>-92.017099999999999</v>
      </c>
      <c r="H153" s="36">
        <v>-3.8E-3</v>
      </c>
      <c r="I153" s="1"/>
      <c r="K153" s="37"/>
    </row>
    <row r="154" spans="1:11" ht="12.95" customHeight="1">
      <c r="A154" s="1"/>
      <c r="B154" s="49" t="s">
        <v>395</v>
      </c>
      <c r="C154" s="49"/>
      <c r="D154" s="16" t="s">
        <v>396</v>
      </c>
      <c r="E154" s="16" t="s">
        <v>56</v>
      </c>
      <c r="F154" s="34">
        <v>1400</v>
      </c>
      <c r="G154" s="35">
        <v>88.572400000000002</v>
      </c>
      <c r="H154" s="36">
        <v>3.5999999999999999E-3</v>
      </c>
      <c r="I154" s="1"/>
    </row>
    <row r="155" spans="1:11" ht="12.95" customHeight="1">
      <c r="A155" s="1"/>
      <c r="B155" s="49" t="s">
        <v>386</v>
      </c>
      <c r="C155" s="49"/>
      <c r="D155" s="16" t="s">
        <v>397</v>
      </c>
      <c r="E155" s="16" t="s">
        <v>56</v>
      </c>
      <c r="F155" s="34">
        <v>2450</v>
      </c>
      <c r="G155" s="35">
        <v>-86.099125000000001</v>
      </c>
      <c r="H155" s="36">
        <v>-3.5000000000000001E-3</v>
      </c>
      <c r="I155" s="1"/>
      <c r="K155" s="37"/>
    </row>
    <row r="156" spans="1:11" ht="12.95" customHeight="1">
      <c r="A156" s="1"/>
      <c r="B156" s="49" t="s">
        <v>386</v>
      </c>
      <c r="C156" s="49"/>
      <c r="D156" s="16" t="s">
        <v>398</v>
      </c>
      <c r="E156" s="16" t="s">
        <v>15</v>
      </c>
      <c r="F156" s="34">
        <v>3300</v>
      </c>
      <c r="G156" s="35">
        <v>-51.656550000000003</v>
      </c>
      <c r="H156" s="36">
        <v>-2.0999999999999999E-3</v>
      </c>
      <c r="I156" s="1"/>
      <c r="K156" s="37"/>
    </row>
    <row r="158" spans="1:11">
      <c r="B158" s="38" t="s">
        <v>399</v>
      </c>
    </row>
    <row r="159" spans="1:11">
      <c r="B159" s="38" t="s">
        <v>400</v>
      </c>
    </row>
    <row r="160" spans="1:11">
      <c r="B160" s="38" t="s">
        <v>401</v>
      </c>
    </row>
  </sheetData>
  <mergeCells count="155">
    <mergeCell ref="B152:C152"/>
    <mergeCell ref="B153:C153"/>
    <mergeCell ref="B154:C154"/>
    <mergeCell ref="B155:C155"/>
    <mergeCell ref="B156:C156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61D07BB-174F-4ECF-85A9-1A10311852F5}"/>
</file>

<file path=customXml/itemProps2.xml><?xml version="1.0" encoding="utf-8"?>
<ds:datastoreItem xmlns:ds="http://schemas.openxmlformats.org/officeDocument/2006/customXml" ds:itemID="{CEC2C107-0128-4E02-8AD2-1315C1B0D9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38B5E8-7E46-40DD-8691-5F335C1F0141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2023-12-07T13:05:21Z</dcterms:created>
  <dcterms:modified xsi:type="dcterms:W3CDTF">2023-12-07T13:40:41Z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