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FBD1FE03-E9A1-4A2F-BC11-DCC547F56918}" xr6:coauthVersionLast="47" xr6:coauthVersionMax="47" xr10:uidLastSave="{00000000-0000-0000-0000-000000000000}"/>
  <bookViews>
    <workbookView xWindow="-108" yWindow="-108" windowWidth="41496" windowHeight="16896" xr2:uid="{9CB233A0-9B03-40BC-B5A2-1CD8CA4A6069}"/>
  </bookViews>
  <sheets>
    <sheet name="IDF277" sheetId="1" r:id="rId1"/>
  </sheets>
  <definedNames>
    <definedName name="JR_PAGE_ANCHOR_0_46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  <c r="F103" i="1"/>
  <c r="G100" i="1"/>
  <c r="F100" i="1"/>
</calcChain>
</file>

<file path=xl/sharedStrings.xml><?xml version="1.0" encoding="utf-8"?>
<sst xmlns="http://schemas.openxmlformats.org/spreadsheetml/2006/main" count="406" uniqueCount="348">
  <si>
    <t>IDF277</t>
  </si>
  <si>
    <t>INDEX</t>
  </si>
  <si>
    <t>Portfolio Statement as on February 28,2025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</si>
  <si>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</si>
  <si>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</si>
  <si>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</si>
  <si>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</si>
  <si>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</si>
  <si>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</si>
  <si>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</si>
  <si>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</si>
  <si>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</si>
  <si>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</si>
  <si>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</si>
  <si>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</si>
  <si>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</si>
  <si>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</si>
  <si>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</si>
  <si>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</si>
  <si>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</si>
  <si>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</si>
  <si>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</si>
  <si>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</si>
  <si>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</si>
  <si>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</si>
  <si>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</si>
  <si>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</si>
  <si>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</si>
  <si>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</si>
  <si>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</si>
  <si>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</si>
  <si>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</si>
  <si>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</si>
  <si>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</si>
  <si>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VMAR01</t>
  </si>
  <si>
    <t>V-Mart Retail Limited</t>
  </si>
  <si>
    <t>INE665J01013</t>
  </si>
  <si>
    <t>Retailing</t>
  </si>
  <si>
    <t>AVAF03</t>
  </si>
  <si>
    <t>Avanti Feeds Limited</t>
  </si>
  <si>
    <t>INE871C01038</t>
  </si>
  <si>
    <t>Food Products</t>
  </si>
  <si>
    <t>UBBL02</t>
  </si>
  <si>
    <t>United Breweries Limited</t>
  </si>
  <si>
    <t>INE686F01025</t>
  </si>
  <si>
    <t>Beverages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</si>
  <si>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</si>
  <si>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</si>
  <si>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</si>
  <si>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</si>
  <si>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</si>
  <si>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</si>
  <si>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</si>
  <si>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GLAX01</t>
  </si>
  <si>
    <t>GlaxoSmithKline Pharmaceuticals Limited</t>
  </si>
  <si>
    <t>INE159A01016</t>
  </si>
  <si>
    <t>Pharmaceuticals &amp; Biotechnology</t>
  </si>
  <si>
    <t>IIBL01</t>
  </si>
  <si>
    <t>IndusInd Bank Limited</t>
  </si>
  <si>
    <t>INE095A01012</t>
  </si>
  <si>
    <t>AVSP01</t>
  </si>
  <si>
    <t>Avenue Supermarts Limited</t>
  </si>
  <si>
    <t>INE192R01011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</si>
  <si>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</si>
  <si>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</si>
  <si>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</si>
  <si>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</si>
  <si>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</si>
  <si>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</si>
  <si>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</si>
  <si>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</si>
  <si>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</si>
  <si>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</si>
  <si>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</si>
  <si>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</si>
  <si>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</si>
  <si>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</si>
  <si>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</si>
  <si>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Automobiles</t>
  </si>
  <si>
    <t>MAFS02</t>
  </si>
  <si>
    <t>Mahindra &amp; Mahindra Financial Services Limited</t>
  </si>
  <si>
    <t>INE774D01024</t>
  </si>
  <si>
    <t>BAYE02</t>
  </si>
  <si>
    <t>Bayer Cropscience Limited</t>
  </si>
  <si>
    <t>INE462A01022</t>
  </si>
  <si>
    <t>Fertilizers &amp; Agrochemicals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</si>
  <si>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</si>
  <si>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</si>
  <si>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</si>
  <si>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</si>
  <si>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</si>
  <si>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</si>
  <si>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</si>
  <si>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</si>
  <si>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</si>
  <si>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</si>
  <si>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HERO02</t>
  </si>
  <si>
    <t>Hero MotoCorp Limited</t>
  </si>
  <si>
    <t>INE158A01026</t>
  </si>
  <si>
    <t>JSPL03</t>
  </si>
  <si>
    <t>Jindal Steel &amp; Power Limited</t>
  </si>
  <si>
    <t>INE749A01030</t>
  </si>
  <si>
    <t>Ferrous Metals</t>
  </si>
  <si>
    <t>MALE02</t>
  </si>
  <si>
    <t>Poonawalla Fincorp Limited</t>
  </si>
  <si>
    <t>INE511C01022</t>
  </si>
  <si>
    <t>MAXI02</t>
  </si>
  <si>
    <t>Max Financial Services Limited</t>
  </si>
  <si>
    <t>INE180A01020</t>
  </si>
  <si>
    <t>NEST02</t>
  </si>
  <si>
    <t>Nestle India Limited</t>
  </si>
  <si>
    <t>INE239A01024</t>
  </si>
  <si>
    <t>BAND01</t>
  </si>
  <si>
    <t>Bandhan Bank Limited</t>
  </si>
  <si>
    <t>INE545U01014</t>
  </si>
  <si>
    <t>EASI02</t>
  </si>
  <si>
    <t>EIH Limited</t>
  </si>
  <si>
    <t>INE230A01023</t>
  </si>
  <si>
    <t>Leisure Services</t>
  </si>
  <si>
    <t>AUPH03</t>
  </si>
  <si>
    <t>Aurobindo Pharma Limited</t>
  </si>
  <si>
    <t>INE406A01037</t>
  </si>
  <si>
    <t>SESA02</t>
  </si>
  <si>
    <t>Vedanta Limited</t>
  </si>
  <si>
    <t>INE205A01025</t>
  </si>
  <si>
    <t>Diversified Metals</t>
  </si>
  <si>
    <t>TAHO01</t>
  </si>
  <si>
    <t>Honeywell Automation India Limited</t>
  </si>
  <si>
    <t>INE671A01010</t>
  </si>
  <si>
    <t>Industrial Manufacturing</t>
  </si>
  <si>
    <t>UPDS01</t>
  </si>
  <si>
    <t>Updater Services Limited</t>
  </si>
  <si>
    <t>INE851I01011</t>
  </si>
  <si>
    <t>Commercial Services &amp; Supplies</t>
  </si>
  <si>
    <t>ITCL02</t>
  </si>
  <si>
    <t>ITC Limited</t>
  </si>
  <si>
    <t>INE154A01025</t>
  </si>
  <si>
    <t>Diversified FMCG</t>
  </si>
  <si>
    <t>TAEL01</t>
  </si>
  <si>
    <t>Tata Elxsi Limited</t>
  </si>
  <si>
    <t>INE670A01012</t>
  </si>
  <si>
    <t>GRAS02</t>
  </si>
  <si>
    <t>Grasim Industries Limited</t>
  </si>
  <si>
    <t>INE047A01021</t>
  </si>
  <si>
    <t>Cement &amp; Cement Products</t>
  </si>
  <si>
    <t>SOTL02</t>
  </si>
  <si>
    <t>Sterlite Technologies Limited</t>
  </si>
  <si>
    <t>INE089C01029</t>
  </si>
  <si>
    <t>Telecom - Equipment &amp; Accessories</t>
  </si>
  <si>
    <t>CROM02</t>
  </si>
  <si>
    <t>CG Power and Industrial Solutions Limited</t>
  </si>
  <si>
    <t>INE067A01029</t>
  </si>
  <si>
    <t>Electrical Equipment</t>
  </si>
  <si>
    <t>GPIL03</t>
  </si>
  <si>
    <t>Greenply Industries Limited</t>
  </si>
  <si>
    <t>INE461C01038</t>
  </si>
  <si>
    <t>Consumer Durables</t>
  </si>
  <si>
    <t>MRFL01</t>
  </si>
  <si>
    <t>MRF Limited</t>
  </si>
  <si>
    <t>INE883A01011</t>
  </si>
  <si>
    <t>ALKE01</t>
  </si>
  <si>
    <t>Alkem Laboratories Limited</t>
  </si>
  <si>
    <t>INE540L01014</t>
  </si>
  <si>
    <t>MKIP01</t>
  </si>
  <si>
    <t>Mankind Pharma Limited</t>
  </si>
  <si>
    <t>INE634S01028</t>
  </si>
  <si>
    <t>EMAM02</t>
  </si>
  <si>
    <t>Emami Limited</t>
  </si>
  <si>
    <t>INE548C01032</t>
  </si>
  <si>
    <t>Personal Products</t>
  </si>
  <si>
    <t>DRRL03</t>
  </si>
  <si>
    <t>Dr. Reddy's Laboratories Limited</t>
  </si>
  <si>
    <t>INE089A01031</t>
  </si>
  <si>
    <t>MFSL01</t>
  </si>
  <si>
    <t>Mas Financial Services Limited</t>
  </si>
  <si>
    <t>INE348L01012</t>
  </si>
  <si>
    <t>NMDC01</t>
  </si>
  <si>
    <t>NMDC Limited</t>
  </si>
  <si>
    <t>INE584A01023</t>
  </si>
  <si>
    <t>Minerals &amp; Mining</t>
  </si>
  <si>
    <t>MCEL03</t>
  </si>
  <si>
    <t>The Ramco Cements Limited</t>
  </si>
  <si>
    <t>INE331A01037</t>
  </si>
  <si>
    <t>BATA02</t>
  </si>
  <si>
    <t>Bata India Limited</t>
  </si>
  <si>
    <t>INE176A01028</t>
  </si>
  <si>
    <t>SYRM01</t>
  </si>
  <si>
    <t>Syrma SGS Technology Limited</t>
  </si>
  <si>
    <t>INE0DYJ01015</t>
  </si>
  <si>
    <t>SECH03</t>
  </si>
  <si>
    <t>UPL Limited</t>
  </si>
  <si>
    <t>INE628A01036</t>
  </si>
  <si>
    <t>OIIL01</t>
  </si>
  <si>
    <t>Oil India Limited</t>
  </si>
  <si>
    <t>INE274J01014</t>
  </si>
  <si>
    <t>Oil</t>
  </si>
  <si>
    <t>ORRE01</t>
  </si>
  <si>
    <t>RHI Magnesita India Limited</t>
  </si>
  <si>
    <t>INE743M01012</t>
  </si>
  <si>
    <t>Industrial Products</t>
  </si>
  <si>
    <t>GESC01</t>
  </si>
  <si>
    <t>Mahindra Lifespace Developers Limited</t>
  </si>
  <si>
    <t>INE813A01018</t>
  </si>
  <si>
    <t>Realty</t>
  </si>
  <si>
    <t>PREP01</t>
  </si>
  <si>
    <t>Prestige Estates Projects Limited</t>
  </si>
  <si>
    <t>INE811K01011</t>
  </si>
  <si>
    <t>SBAI02</t>
  </si>
  <si>
    <t>State Bank of India</t>
  </si>
  <si>
    <t>INE062A01020</t>
  </si>
  <si>
    <t>INEN02</t>
  </si>
  <si>
    <t>Cyient Limited</t>
  </si>
  <si>
    <t>INE136B01020</t>
  </si>
  <si>
    <t>IT - Services</t>
  </si>
  <si>
    <t>BIOC01</t>
  </si>
  <si>
    <t>Biocon Limited</t>
  </si>
  <si>
    <t>INE376G01013</t>
  </si>
  <si>
    <t>BAAB01</t>
  </si>
  <si>
    <t>Styrenix Performance Materials Limited</t>
  </si>
  <si>
    <t>INE189B01011</t>
  </si>
  <si>
    <t>Chemicals &amp; Petrochemicals</t>
  </si>
  <si>
    <t>GCPL02</t>
  </si>
  <si>
    <t>Godrej Consumer Products Limited</t>
  </si>
  <si>
    <t>INE102D01028</t>
  </si>
  <si>
    <t>SUMI01</t>
  </si>
  <si>
    <t>Sumitomo Chemical India Limited</t>
  </si>
  <si>
    <t>INE258G01013</t>
  </si>
  <si>
    <t>BERG03</t>
  </si>
  <si>
    <t>Berger Paints (I) Limited</t>
  </si>
  <si>
    <t>INE463A01038</t>
  </si>
  <si>
    <t>ONGC02</t>
  </si>
  <si>
    <t>Oil &amp; Natural Gas Corporation Limited</t>
  </si>
  <si>
    <t>INE213A01029</t>
  </si>
  <si>
    <t>SODL01</t>
  </si>
  <si>
    <t>Sobha Limited</t>
  </si>
  <si>
    <t>INE671H01015</t>
  </si>
  <si>
    <t>PFIZ01</t>
  </si>
  <si>
    <t>Pfizer Limited</t>
  </si>
  <si>
    <t>INE182A01018</t>
  </si>
  <si>
    <t>KEIN02</t>
  </si>
  <si>
    <t>KEC International Limited</t>
  </si>
  <si>
    <t>INE389H01022</t>
  </si>
  <si>
    <t>SHCE01</t>
  </si>
  <si>
    <t>Shree Cement Limited</t>
  </si>
  <si>
    <t>INE070A01015</t>
  </si>
  <si>
    <t>SAWL01</t>
  </si>
  <si>
    <t>Sterling And Wilson Renewable Energy Limited</t>
  </si>
  <si>
    <t>INE00M201021</t>
  </si>
  <si>
    <t>SBCP01</t>
  </si>
  <si>
    <t>SBI Cards and Payment Services Limited</t>
  </si>
  <si>
    <t>INE018E01016</t>
  </si>
  <si>
    <t>NTPC01</t>
  </si>
  <si>
    <t>NTPC Limited</t>
  </si>
  <si>
    <t>INE733E01010</t>
  </si>
  <si>
    <t>Power</t>
  </si>
  <si>
    <t>NACL03</t>
  </si>
  <si>
    <t>National Aluminium Company Limited</t>
  </si>
  <si>
    <t>INE139A01034</t>
  </si>
  <si>
    <t>Non - Ferrous Metals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</si>
  <si>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</si>
  <si>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</si>
  <si>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</si>
  <si>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</si>
  <si>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</si>
  <si>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</si>
  <si>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Healthcare Services</t>
  </si>
  <si>
    <t>FINI02</t>
  </si>
  <si>
    <t>Finolex Industries Limited</t>
  </si>
  <si>
    <t>INE183A01024</t>
  </si>
  <si>
    <t>HLEL02</t>
  </si>
  <si>
    <t>Hindustan Unilever Limited</t>
  </si>
  <si>
    <t>INE030A01027</t>
  </si>
  <si>
    <t>TEMA02</t>
  </si>
  <si>
    <t>Tech Mahindra Limited</t>
  </si>
  <si>
    <t>INE669C01036</t>
  </si>
  <si>
    <t>WOPA02</t>
  </si>
  <si>
    <t>Wockhardt Limited</t>
  </si>
  <si>
    <t>INE049B01025</t>
  </si>
  <si>
    <t>IPCA03</t>
  </si>
  <si>
    <t>IPCA Laboratories Limited</t>
  </si>
  <si>
    <t>INE571A01038</t>
  </si>
  <si>
    <t>MARC02</t>
  </si>
  <si>
    <t>Marico Limited</t>
  </si>
  <si>
    <t>INE196A01026</t>
  </si>
  <si>
    <t>Agricultural Food &amp; other Products</t>
  </si>
  <si>
    <t>YATR01</t>
  </si>
  <si>
    <t>Yatra Online Limited</t>
  </si>
  <si>
    <t>INE0JR601024</t>
  </si>
  <si>
    <t>TLSL01</t>
  </si>
  <si>
    <t>TeamLease Services Limited</t>
  </si>
  <si>
    <t>INE985S01024</t>
  </si>
  <si>
    <t>LAKM02</t>
  </si>
  <si>
    <t>Trent Limited</t>
  </si>
  <si>
    <t>INE849A01020</t>
  </si>
  <si>
    <t>GODP02</t>
  </si>
  <si>
    <t>Godrej Properties Limited</t>
  </si>
  <si>
    <t>INE484J01027</t>
  </si>
  <si>
    <t>HPEC01</t>
  </si>
  <si>
    <t>Hindustan Petroleum Corporation Limited</t>
  </si>
  <si>
    <t>INE094A01015</t>
  </si>
  <si>
    <t>CARU03</t>
  </si>
  <si>
    <t>Carborundum Universal Limited</t>
  </si>
  <si>
    <t>INE120A01034</t>
  </si>
  <si>
    <t>GGLT02</t>
  </si>
  <si>
    <t>Gujarat Gas Limited</t>
  </si>
  <si>
    <t>INE844O01030</t>
  </si>
  <si>
    <t>Gas</t>
  </si>
  <si>
    <t>MEBR01</t>
  </si>
  <si>
    <t>Metro Brands Limited</t>
  </si>
  <si>
    <t>INE317I01021</t>
  </si>
  <si>
    <t>KPNE02</t>
  </si>
  <si>
    <t>Kirloskar Pneumatic Company Limited</t>
  </si>
  <si>
    <t>INE811A01020</t>
  </si>
  <si>
    <t>SOBA02</t>
  </si>
  <si>
    <t>The South Indian Bank Limited</t>
  </si>
  <si>
    <t>INE683A01023</t>
  </si>
  <si>
    <t>AUAX01</t>
  </si>
  <si>
    <t>Automotive Axles Limited</t>
  </si>
  <si>
    <t>INE449A01011</t>
  </si>
  <si>
    <t>BIRM01</t>
  </si>
  <si>
    <t>3M India Limited</t>
  </si>
  <si>
    <t>INE470A01017</t>
  </si>
  <si>
    <t>Diversified</t>
  </si>
  <si>
    <t>UTIA01</t>
  </si>
  <si>
    <t>UTI Asset Management Company Limited</t>
  </si>
  <si>
    <t>INE094J01016</t>
  </si>
  <si>
    <t>Capital Markets</t>
  </si>
  <si>
    <t>Subtotal</t>
  </si>
  <si>
    <t>(b) UNLISTED</t>
  </si>
  <si>
    <t>SECH04</t>
  </si>
  <si>
    <t>UPL Limited **</t>
  </si>
  <si>
    <t>IN9628A01018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</si>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</sst>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52049-0302-413F-A9A5-1BDF00C2E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02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571500</xdr:colOff>
      <xdr:row>133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DCE357-0882-425E-BD81-0A25C946C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0002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1466-117B-4727-8185-6FEF3E3C6843}">
  <sheetPr codeName="Sheet46">
    <outlinePr summaryBelow="0"/>
  </sheetPr>
  <dimension ref="A1:H122"/>
  <sheetViews>
    <sheetView tabSelected="1" topLeftCell="A98" workbookViewId="0">
      <selection activeCell="D116" sqref="D116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795000</v>
      </c>
      <c r="F8" s="18">
        <v>13772.58</v>
      </c>
      <c r="G8" s="19">
        <v>6.2100000000000002E-2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775000</v>
      </c>
      <c r="F9" s="18">
        <v>9300.7800000000007</v>
      </c>
      <c r="G9" s="19">
        <v>4.19E-2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650000</v>
      </c>
      <c r="F10" s="18">
        <v>6601.08</v>
      </c>
      <c r="G10" s="19">
        <v>2.98E-2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500000</v>
      </c>
      <c r="F11" s="18">
        <v>6020.5</v>
      </c>
      <c r="G11" s="19">
        <v>2.7099999999999999E-2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325000</v>
      </c>
      <c r="F12" s="18">
        <v>5485.03</v>
      </c>
      <c r="G12" s="19">
        <v>2.47E-2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250000</v>
      </c>
      <c r="F13" s="18">
        <v>4757.38</v>
      </c>
      <c r="G13" s="19">
        <v>2.1399999999999999E-2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141000</v>
      </c>
      <c r="F14" s="18">
        <v>4217.5200000000004</v>
      </c>
      <c r="G14" s="19">
        <v>1.9E-2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600000</v>
      </c>
      <c r="F15" s="18">
        <v>4155.8999999999996</v>
      </c>
      <c r="G15" s="19">
        <v>1.8700000000000001E-2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200000</v>
      </c>
      <c r="F16" s="18">
        <v>3892.3</v>
      </c>
      <c r="G16" s="19">
        <v>1.7500000000000002E-2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45000</v>
      </c>
      <c r="F17" s="18">
        <v>3838.64</v>
      </c>
      <c r="G17" s="19">
        <v>1.7299999999999999E-2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30</v>
      </c>
      <c r="E18" s="17">
        <v>100000</v>
      </c>
      <c r="F18" s="18">
        <v>3483.25</v>
      </c>
      <c r="G18" s="19">
        <v>1.5699999999999999E-2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140000</v>
      </c>
      <c r="F19" s="18">
        <v>3465.49</v>
      </c>
      <c r="G19" s="19">
        <v>1.5599999999999999E-2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350000</v>
      </c>
      <c r="F20" s="18">
        <v>3465.35</v>
      </c>
      <c r="G20" s="19">
        <v>1.5599999999999999E-2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37</v>
      </c>
      <c r="E21" s="17">
        <v>100000</v>
      </c>
      <c r="F21" s="18">
        <v>3403.95</v>
      </c>
      <c r="G21" s="19">
        <v>1.5299999999999999E-2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105000</v>
      </c>
      <c r="F22" s="18">
        <v>3322.04</v>
      </c>
      <c r="G22" s="19">
        <v>1.4999999999999999E-2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200000</v>
      </c>
      <c r="F23" s="18">
        <v>3140.4</v>
      </c>
      <c r="G23" s="19">
        <v>1.4200000000000001E-2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185000</v>
      </c>
      <c r="F24" s="18">
        <v>3128.26</v>
      </c>
      <c r="G24" s="19">
        <v>1.41E-2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25000</v>
      </c>
      <c r="F25" s="18">
        <v>2986.46</v>
      </c>
      <c r="G25" s="19">
        <v>1.35E-2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49</v>
      </c>
      <c r="E26" s="17">
        <v>1100000</v>
      </c>
      <c r="F26" s="18">
        <v>2976.6</v>
      </c>
      <c r="G26" s="19">
        <v>1.34E-2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62000</v>
      </c>
      <c r="F27" s="18">
        <v>2932.04</v>
      </c>
      <c r="G27" s="19">
        <v>1.32E-2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11000</v>
      </c>
      <c r="F28" s="18">
        <v>2919.84</v>
      </c>
      <c r="G28" s="19">
        <v>1.32E-2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56</v>
      </c>
      <c r="E29" s="17">
        <v>175000</v>
      </c>
      <c r="F29" s="18">
        <v>2788.19</v>
      </c>
      <c r="G29" s="19">
        <v>1.26E-2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74</v>
      </c>
      <c r="E30" s="17">
        <v>450000</v>
      </c>
      <c r="F30" s="18">
        <v>2738.25</v>
      </c>
      <c r="G30" s="19">
        <v>1.23E-2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78</v>
      </c>
      <c r="E31" s="17">
        <v>70000</v>
      </c>
      <c r="F31" s="18">
        <v>2576.77</v>
      </c>
      <c r="G31" s="19">
        <v>1.1599999999999999E-2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300000</v>
      </c>
      <c r="F32" s="18">
        <v>2568.4499999999998</v>
      </c>
      <c r="G32" s="19">
        <v>1.1599999999999999E-2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49</v>
      </c>
      <c r="E33" s="17">
        <v>900000</v>
      </c>
      <c r="F33" s="18">
        <v>2531.6999999999998</v>
      </c>
      <c r="G33" s="19">
        <v>1.14E-2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74</v>
      </c>
      <c r="E34" s="17">
        <v>250000</v>
      </c>
      <c r="F34" s="18">
        <v>2495.25</v>
      </c>
      <c r="G34" s="19">
        <v>1.12E-2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41</v>
      </c>
      <c r="E35" s="17">
        <v>110000</v>
      </c>
      <c r="F35" s="18">
        <v>2408.62</v>
      </c>
      <c r="G35" s="19">
        <v>1.09E-2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16</v>
      </c>
      <c r="E36" s="17">
        <v>1700000</v>
      </c>
      <c r="F36" s="18">
        <v>2400.23</v>
      </c>
      <c r="G36" s="19">
        <v>1.0800000000000001E-2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750000</v>
      </c>
      <c r="F37" s="18">
        <v>2394.38</v>
      </c>
      <c r="G37" s="19">
        <v>1.0800000000000001E-2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56</v>
      </c>
      <c r="E38" s="17">
        <v>225000</v>
      </c>
      <c r="F38" s="18">
        <v>2381.1799999999998</v>
      </c>
      <c r="G38" s="19">
        <v>1.0699999999999999E-2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600000</v>
      </c>
      <c r="F39" s="18">
        <v>2368.5</v>
      </c>
      <c r="G39" s="19">
        <v>1.0699999999999999E-2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7000</v>
      </c>
      <c r="F40" s="18">
        <v>2359.12</v>
      </c>
      <c r="G40" s="19">
        <v>1.06E-2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725000</v>
      </c>
      <c r="F41" s="18">
        <v>2187.69</v>
      </c>
      <c r="G41" s="19">
        <v>9.9000000000000008E-3</v>
      </c>
      <c r="H41" s="20"/>
    </row>
    <row r="42" spans="1:8" ht="12.9" customHeight="1">
      <c r="A42" s="15" t="s">
        <v>134</v>
      </c>
      <c r="B42" s="16" t="s">
        <v>135</v>
      </c>
      <c r="C42" s="12" t="s">
        <v>136</v>
      </c>
      <c r="D42" s="13" t="s">
        <v>137</v>
      </c>
      <c r="E42" s="17">
        <v>550000</v>
      </c>
      <c r="F42" s="18">
        <v>2172.5</v>
      </c>
      <c r="G42" s="19">
        <v>9.7999999999999997E-3</v>
      </c>
      <c r="H42" s="20"/>
    </row>
    <row r="43" spans="1:8" ht="12.9" customHeight="1">
      <c r="A43" s="15" t="s">
        <v>138</v>
      </c>
      <c r="B43" s="16" t="s">
        <v>139</v>
      </c>
      <c r="C43" s="12" t="s">
        <v>140</v>
      </c>
      <c r="D43" s="13" t="s">
        <v>30</v>
      </c>
      <c r="E43" s="17">
        <v>40000</v>
      </c>
      <c r="F43" s="18">
        <v>2164.44</v>
      </c>
      <c r="G43" s="19">
        <v>9.7999999999999997E-3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93578</v>
      </c>
      <c r="F44" s="18">
        <v>2158.52</v>
      </c>
      <c r="G44" s="19">
        <v>9.7000000000000003E-3</v>
      </c>
      <c r="H44" s="20"/>
    </row>
    <row r="45" spans="1:8" ht="12.9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2500000</v>
      </c>
      <c r="F45" s="18">
        <v>2155.5</v>
      </c>
      <c r="G45" s="19">
        <v>9.7000000000000003E-3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375000</v>
      </c>
      <c r="F46" s="18">
        <v>2147.25</v>
      </c>
      <c r="G46" s="19">
        <v>9.7000000000000003E-3</v>
      </c>
      <c r="H46" s="20"/>
    </row>
    <row r="47" spans="1:8" ht="12.9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775000</v>
      </c>
      <c r="F47" s="18">
        <v>2112.65</v>
      </c>
      <c r="G47" s="19">
        <v>9.4999999999999998E-3</v>
      </c>
      <c r="H47" s="20"/>
    </row>
    <row r="48" spans="1:8" ht="12.9" customHeight="1">
      <c r="A48" s="15" t="s">
        <v>157</v>
      </c>
      <c r="B48" s="16" t="s">
        <v>158</v>
      </c>
      <c r="C48" s="12" t="s">
        <v>159</v>
      </c>
      <c r="D48" s="13" t="s">
        <v>89</v>
      </c>
      <c r="E48" s="17">
        <v>2000</v>
      </c>
      <c r="F48" s="18">
        <v>2107.4699999999998</v>
      </c>
      <c r="G48" s="19">
        <v>9.4999999999999998E-3</v>
      </c>
      <c r="H48" s="20"/>
    </row>
    <row r="49" spans="1:8" ht="12.9" customHeight="1">
      <c r="A49" s="15" t="s">
        <v>160</v>
      </c>
      <c r="B49" s="16" t="s">
        <v>161</v>
      </c>
      <c r="C49" s="12" t="s">
        <v>162</v>
      </c>
      <c r="D49" s="13" t="s">
        <v>56</v>
      </c>
      <c r="E49" s="17">
        <v>45000</v>
      </c>
      <c r="F49" s="18">
        <v>2090.79</v>
      </c>
      <c r="G49" s="19">
        <v>9.4000000000000004E-3</v>
      </c>
      <c r="H49" s="20"/>
    </row>
    <row r="50" spans="1:8" ht="12.9" customHeight="1">
      <c r="A50" s="15" t="s">
        <v>163</v>
      </c>
      <c r="B50" s="16" t="s">
        <v>164</v>
      </c>
      <c r="C50" s="12" t="s">
        <v>165</v>
      </c>
      <c r="D50" s="13" t="s">
        <v>56</v>
      </c>
      <c r="E50" s="17">
        <v>90000</v>
      </c>
      <c r="F50" s="18">
        <v>2061.54</v>
      </c>
      <c r="G50" s="19">
        <v>9.2999999999999992E-3</v>
      </c>
      <c r="H50" s="20"/>
    </row>
    <row r="51" spans="1:8" ht="12.9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375000</v>
      </c>
      <c r="F51" s="18">
        <v>1987.31</v>
      </c>
      <c r="G51" s="19">
        <v>8.9999999999999993E-3</v>
      </c>
      <c r="H51" s="20"/>
    </row>
    <row r="52" spans="1:8" ht="12.9" customHeight="1">
      <c r="A52" s="15" t="s">
        <v>170</v>
      </c>
      <c r="B52" s="16" t="s">
        <v>171</v>
      </c>
      <c r="C52" s="12" t="s">
        <v>172</v>
      </c>
      <c r="D52" s="13" t="s">
        <v>56</v>
      </c>
      <c r="E52" s="17">
        <v>175000</v>
      </c>
      <c r="F52" s="18">
        <v>1953.88</v>
      </c>
      <c r="G52" s="19">
        <v>8.8000000000000005E-3</v>
      </c>
      <c r="H52" s="20"/>
    </row>
    <row r="53" spans="1:8" ht="12.9" customHeight="1">
      <c r="A53" s="15" t="s">
        <v>173</v>
      </c>
      <c r="B53" s="16" t="s">
        <v>174</v>
      </c>
      <c r="C53" s="12" t="s">
        <v>175</v>
      </c>
      <c r="D53" s="13" t="s">
        <v>49</v>
      </c>
      <c r="E53" s="17">
        <v>825000</v>
      </c>
      <c r="F53" s="18">
        <v>1926.79</v>
      </c>
      <c r="G53" s="19">
        <v>8.6999999999999994E-3</v>
      </c>
      <c r="H53" s="20"/>
    </row>
    <row r="54" spans="1:8" ht="12.9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3000000</v>
      </c>
      <c r="F54" s="18">
        <v>1874.4</v>
      </c>
      <c r="G54" s="19">
        <v>8.3999999999999995E-3</v>
      </c>
      <c r="H54" s="20"/>
    </row>
    <row r="55" spans="1:8" ht="12.9" customHeight="1">
      <c r="A55" s="15" t="s">
        <v>180</v>
      </c>
      <c r="B55" s="16" t="s">
        <v>181</v>
      </c>
      <c r="C55" s="12" t="s">
        <v>182</v>
      </c>
      <c r="D55" s="13" t="s">
        <v>144</v>
      </c>
      <c r="E55" s="17">
        <v>225000</v>
      </c>
      <c r="F55" s="18">
        <v>1865.25</v>
      </c>
      <c r="G55" s="19">
        <v>8.3999999999999995E-3</v>
      </c>
      <c r="H55" s="20"/>
    </row>
    <row r="56" spans="1:8" ht="12.9" customHeight="1">
      <c r="A56" s="15" t="s">
        <v>183</v>
      </c>
      <c r="B56" s="16" t="s">
        <v>184</v>
      </c>
      <c r="C56" s="12" t="s">
        <v>185</v>
      </c>
      <c r="D56" s="13" t="s">
        <v>156</v>
      </c>
      <c r="E56" s="17">
        <v>150000</v>
      </c>
      <c r="F56" s="18">
        <v>1831.65</v>
      </c>
      <c r="G56" s="19">
        <v>8.3000000000000001E-3</v>
      </c>
      <c r="H56" s="20"/>
    </row>
    <row r="57" spans="1:8" ht="12.9" customHeight="1">
      <c r="A57" s="15" t="s">
        <v>186</v>
      </c>
      <c r="B57" s="16" t="s">
        <v>187</v>
      </c>
      <c r="C57" s="12" t="s">
        <v>188</v>
      </c>
      <c r="D57" s="13" t="s">
        <v>129</v>
      </c>
      <c r="E57" s="17">
        <v>425000</v>
      </c>
      <c r="F57" s="18">
        <v>1758.86</v>
      </c>
      <c r="G57" s="19">
        <v>7.9000000000000008E-3</v>
      </c>
      <c r="H57" s="20"/>
    </row>
    <row r="58" spans="1:8" ht="12.9" customHeight="1">
      <c r="A58" s="15" t="s">
        <v>189</v>
      </c>
      <c r="B58" s="16" t="s">
        <v>190</v>
      </c>
      <c r="C58" s="12" t="s">
        <v>191</v>
      </c>
      <c r="D58" s="13" t="s">
        <v>85</v>
      </c>
      <c r="E58" s="17">
        <v>275000</v>
      </c>
      <c r="F58" s="18">
        <v>1740.61</v>
      </c>
      <c r="G58" s="19">
        <v>7.7999999999999996E-3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500000</v>
      </c>
      <c r="F59" s="18">
        <v>1713.5</v>
      </c>
      <c r="G59" s="19">
        <v>7.7000000000000002E-3</v>
      </c>
      <c r="H59" s="20"/>
    </row>
    <row r="60" spans="1:8" ht="12.9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425000</v>
      </c>
      <c r="F60" s="18">
        <v>1664.73</v>
      </c>
      <c r="G60" s="19">
        <v>7.4999999999999997E-3</v>
      </c>
      <c r="H60" s="20"/>
    </row>
    <row r="61" spans="1:8" ht="12.9" customHeight="1">
      <c r="A61" s="15" t="s">
        <v>200</v>
      </c>
      <c r="B61" s="16" t="s">
        <v>201</v>
      </c>
      <c r="C61" s="12" t="s">
        <v>202</v>
      </c>
      <c r="D61" s="13" t="s">
        <v>203</v>
      </c>
      <c r="E61" s="17">
        <v>500000</v>
      </c>
      <c r="F61" s="18">
        <v>1584.25</v>
      </c>
      <c r="G61" s="19">
        <v>7.1000000000000004E-3</v>
      </c>
      <c r="H61" s="20"/>
    </row>
    <row r="62" spans="1:8" ht="12.9" customHeight="1">
      <c r="A62" s="15" t="s">
        <v>204</v>
      </c>
      <c r="B62" s="16" t="s">
        <v>205</v>
      </c>
      <c r="C62" s="12" t="s">
        <v>206</v>
      </c>
      <c r="D62" s="13" t="s">
        <v>203</v>
      </c>
      <c r="E62" s="17">
        <v>140000</v>
      </c>
      <c r="F62" s="18">
        <v>1577.24</v>
      </c>
      <c r="G62" s="19">
        <v>7.1000000000000004E-3</v>
      </c>
      <c r="H62" s="20"/>
    </row>
    <row r="63" spans="1:8" ht="12.9" customHeight="1">
      <c r="A63" s="15" t="s">
        <v>207</v>
      </c>
      <c r="B63" s="16" t="s">
        <v>208</v>
      </c>
      <c r="C63" s="12" t="s">
        <v>209</v>
      </c>
      <c r="D63" s="13" t="s">
        <v>16</v>
      </c>
      <c r="E63" s="17">
        <v>225000</v>
      </c>
      <c r="F63" s="18">
        <v>1549.8</v>
      </c>
      <c r="G63" s="19">
        <v>7.0000000000000001E-3</v>
      </c>
      <c r="H63" s="20"/>
    </row>
    <row r="64" spans="1:8" ht="12.9" customHeight="1">
      <c r="A64" s="15" t="s">
        <v>210</v>
      </c>
      <c r="B64" s="16" t="s">
        <v>211</v>
      </c>
      <c r="C64" s="12" t="s">
        <v>212</v>
      </c>
      <c r="D64" s="13" t="s">
        <v>213</v>
      </c>
      <c r="E64" s="17">
        <v>120000</v>
      </c>
      <c r="F64" s="18">
        <v>1520.58</v>
      </c>
      <c r="G64" s="19">
        <v>6.8999999999999999E-3</v>
      </c>
      <c r="H64" s="20"/>
    </row>
    <row r="65" spans="1:8" ht="12.9" customHeight="1">
      <c r="A65" s="15" t="s">
        <v>214</v>
      </c>
      <c r="B65" s="16" t="s">
        <v>215</v>
      </c>
      <c r="C65" s="12" t="s">
        <v>216</v>
      </c>
      <c r="D65" s="13" t="s">
        <v>56</v>
      </c>
      <c r="E65" s="17">
        <v>500000</v>
      </c>
      <c r="F65" s="18">
        <v>1512.25</v>
      </c>
      <c r="G65" s="19">
        <v>6.7999999999999996E-3</v>
      </c>
      <c r="H65" s="20"/>
    </row>
    <row r="66" spans="1:8" ht="12.9" customHeight="1">
      <c r="A66" s="15" t="s">
        <v>217</v>
      </c>
      <c r="B66" s="16" t="s">
        <v>218</v>
      </c>
      <c r="C66" s="12" t="s">
        <v>219</v>
      </c>
      <c r="D66" s="13" t="s">
        <v>220</v>
      </c>
      <c r="E66" s="17">
        <v>65000</v>
      </c>
      <c r="F66" s="18">
        <v>1511.48</v>
      </c>
      <c r="G66" s="19">
        <v>6.7999999999999996E-3</v>
      </c>
      <c r="H66" s="20"/>
    </row>
    <row r="67" spans="1:8" ht="12.9" customHeight="1">
      <c r="A67" s="15" t="s">
        <v>221</v>
      </c>
      <c r="B67" s="16" t="s">
        <v>222</v>
      </c>
      <c r="C67" s="12" t="s">
        <v>223</v>
      </c>
      <c r="D67" s="13" t="s">
        <v>169</v>
      </c>
      <c r="E67" s="17">
        <v>150000</v>
      </c>
      <c r="F67" s="18">
        <v>1507.73</v>
      </c>
      <c r="G67" s="19">
        <v>6.7999999999999996E-3</v>
      </c>
      <c r="H67" s="20"/>
    </row>
    <row r="68" spans="1:8" ht="12.9" customHeight="1">
      <c r="A68" s="15" t="s">
        <v>224</v>
      </c>
      <c r="B68" s="16" t="s">
        <v>225</v>
      </c>
      <c r="C68" s="12" t="s">
        <v>226</v>
      </c>
      <c r="D68" s="13" t="s">
        <v>85</v>
      </c>
      <c r="E68" s="17">
        <v>320000</v>
      </c>
      <c r="F68" s="18">
        <v>1473.92</v>
      </c>
      <c r="G68" s="19">
        <v>6.6E-3</v>
      </c>
      <c r="H68" s="20"/>
    </row>
    <row r="69" spans="1:8" ht="12.9" customHeight="1">
      <c r="A69" s="15" t="s">
        <v>227</v>
      </c>
      <c r="B69" s="16" t="s">
        <v>228</v>
      </c>
      <c r="C69" s="12" t="s">
        <v>229</v>
      </c>
      <c r="D69" s="13" t="s">
        <v>156</v>
      </c>
      <c r="E69" s="17">
        <v>300000</v>
      </c>
      <c r="F69" s="18">
        <v>1465.65</v>
      </c>
      <c r="G69" s="19">
        <v>6.6E-3</v>
      </c>
      <c r="H69" s="20"/>
    </row>
    <row r="70" spans="1:8" ht="12.9" customHeight="1">
      <c r="A70" s="15" t="s">
        <v>230</v>
      </c>
      <c r="B70" s="16" t="s">
        <v>231</v>
      </c>
      <c r="C70" s="12" t="s">
        <v>232</v>
      </c>
      <c r="D70" s="13" t="s">
        <v>195</v>
      </c>
      <c r="E70" s="17">
        <v>650000</v>
      </c>
      <c r="F70" s="18">
        <v>1464.13</v>
      </c>
      <c r="G70" s="19">
        <v>6.6E-3</v>
      </c>
      <c r="H70" s="20"/>
    </row>
    <row r="71" spans="1:8" ht="12.9" customHeight="1">
      <c r="A71" s="15" t="s">
        <v>233</v>
      </c>
      <c r="B71" s="16" t="s">
        <v>234</v>
      </c>
      <c r="C71" s="12" t="s">
        <v>235</v>
      </c>
      <c r="D71" s="13" t="s">
        <v>203</v>
      </c>
      <c r="E71" s="17">
        <v>120000</v>
      </c>
      <c r="F71" s="18">
        <v>1440.72</v>
      </c>
      <c r="G71" s="19">
        <v>6.4999999999999997E-3</v>
      </c>
      <c r="H71" s="20"/>
    </row>
    <row r="72" spans="1:8" ht="12.9" customHeight="1">
      <c r="A72" s="15" t="s">
        <v>236</v>
      </c>
      <c r="B72" s="16" t="s">
        <v>237</v>
      </c>
      <c r="C72" s="12" t="s">
        <v>238</v>
      </c>
      <c r="D72" s="13" t="s">
        <v>56</v>
      </c>
      <c r="E72" s="17">
        <v>35000</v>
      </c>
      <c r="F72" s="18">
        <v>1417.76</v>
      </c>
      <c r="G72" s="19">
        <v>6.4000000000000003E-3</v>
      </c>
      <c r="H72" s="20"/>
    </row>
    <row r="73" spans="1:8" ht="12.9" customHeight="1">
      <c r="A73" s="15" t="s">
        <v>239</v>
      </c>
      <c r="B73" s="16" t="s">
        <v>240</v>
      </c>
      <c r="C73" s="12" t="s">
        <v>241</v>
      </c>
      <c r="D73" s="13" t="s">
        <v>66</v>
      </c>
      <c r="E73" s="17">
        <v>200000</v>
      </c>
      <c r="F73" s="18">
        <v>1372.9</v>
      </c>
      <c r="G73" s="19">
        <v>6.1999999999999998E-3</v>
      </c>
      <c r="H73" s="20"/>
    </row>
    <row r="74" spans="1:8" ht="12.9" customHeight="1">
      <c r="A74" s="15" t="s">
        <v>242</v>
      </c>
      <c r="B74" s="16" t="s">
        <v>243</v>
      </c>
      <c r="C74" s="12" t="s">
        <v>244</v>
      </c>
      <c r="D74" s="13" t="s">
        <v>144</v>
      </c>
      <c r="E74" s="17">
        <v>5000</v>
      </c>
      <c r="F74" s="18">
        <v>1364.2</v>
      </c>
      <c r="G74" s="19">
        <v>6.1000000000000004E-3</v>
      </c>
      <c r="H74" s="20"/>
    </row>
    <row r="75" spans="1:8" ht="12.9" customHeight="1">
      <c r="A75" s="15" t="s">
        <v>245</v>
      </c>
      <c r="B75" s="16" t="s">
        <v>246</v>
      </c>
      <c r="C75" s="12" t="s">
        <v>247</v>
      </c>
      <c r="D75" s="13" t="s">
        <v>66</v>
      </c>
      <c r="E75" s="17">
        <v>500000</v>
      </c>
      <c r="F75" s="18">
        <v>1277.25</v>
      </c>
      <c r="G75" s="19">
        <v>5.7999999999999996E-3</v>
      </c>
      <c r="H75" s="20"/>
    </row>
    <row r="76" spans="1:8" ht="12.9" customHeight="1">
      <c r="A76" s="15" t="s">
        <v>248</v>
      </c>
      <c r="B76" s="16" t="s">
        <v>249</v>
      </c>
      <c r="C76" s="12" t="s">
        <v>250</v>
      </c>
      <c r="D76" s="13" t="s">
        <v>49</v>
      </c>
      <c r="E76" s="17">
        <v>150000</v>
      </c>
      <c r="F76" s="18">
        <v>1258.2</v>
      </c>
      <c r="G76" s="19">
        <v>5.7000000000000002E-3</v>
      </c>
      <c r="H76" s="20"/>
    </row>
    <row r="77" spans="1:8" ht="12.9" customHeight="1">
      <c r="A77" s="15" t="s">
        <v>251</v>
      </c>
      <c r="B77" s="16" t="s">
        <v>252</v>
      </c>
      <c r="C77" s="12" t="s">
        <v>253</v>
      </c>
      <c r="D77" s="13" t="s">
        <v>254</v>
      </c>
      <c r="E77" s="17">
        <v>400000</v>
      </c>
      <c r="F77" s="18">
        <v>1245.8</v>
      </c>
      <c r="G77" s="19">
        <v>5.5999999999999999E-3</v>
      </c>
      <c r="H77" s="20"/>
    </row>
    <row r="78" spans="1:8" ht="12.9" customHeight="1">
      <c r="A78" s="15" t="s">
        <v>255</v>
      </c>
      <c r="B78" s="16" t="s">
        <v>256</v>
      </c>
      <c r="C78" s="12" t="s">
        <v>257</v>
      </c>
      <c r="D78" s="13" t="s">
        <v>258</v>
      </c>
      <c r="E78" s="17">
        <v>700000</v>
      </c>
      <c r="F78" s="18">
        <v>1243.2</v>
      </c>
      <c r="G78" s="19">
        <v>5.5999999999999999E-3</v>
      </c>
      <c r="H78" s="20"/>
    </row>
    <row r="79" spans="1:8" ht="12.9" customHeight="1">
      <c r="A79" s="15" t="s">
        <v>259</v>
      </c>
      <c r="B79" s="16" t="s">
        <v>260</v>
      </c>
      <c r="C79" s="12" t="s">
        <v>261</v>
      </c>
      <c r="D79" s="13" t="s">
        <v>156</v>
      </c>
      <c r="E79" s="17">
        <v>40000</v>
      </c>
      <c r="F79" s="18">
        <v>1230.9000000000001</v>
      </c>
      <c r="G79" s="19">
        <v>5.4999999999999997E-3</v>
      </c>
      <c r="H79" s="20"/>
    </row>
    <row r="80" spans="1:8" ht="12.9" customHeight="1">
      <c r="A80" s="15" t="s">
        <v>262</v>
      </c>
      <c r="B80" s="16" t="s">
        <v>263</v>
      </c>
      <c r="C80" s="12" t="s">
        <v>264</v>
      </c>
      <c r="D80" s="13" t="s">
        <v>265</v>
      </c>
      <c r="E80" s="17">
        <v>20000</v>
      </c>
      <c r="F80" s="18">
        <v>1210.52</v>
      </c>
      <c r="G80" s="19">
        <v>5.4999999999999997E-3</v>
      </c>
      <c r="H80" s="20"/>
    </row>
    <row r="81" spans="1:8" ht="12.9" customHeight="1">
      <c r="A81" s="15" t="s">
        <v>266</v>
      </c>
      <c r="B81" s="16" t="s">
        <v>267</v>
      </c>
      <c r="C81" s="12" t="s">
        <v>268</v>
      </c>
      <c r="D81" s="13" t="s">
        <v>199</v>
      </c>
      <c r="E81" s="17">
        <v>707648</v>
      </c>
      <c r="F81" s="18">
        <v>1208.5899999999999</v>
      </c>
      <c r="G81" s="19">
        <v>5.4000000000000003E-3</v>
      </c>
      <c r="H81" s="20"/>
    </row>
    <row r="82" spans="1:8" ht="12.9" customHeight="1">
      <c r="A82" s="15" t="s">
        <v>269</v>
      </c>
      <c r="B82" s="16" t="s">
        <v>270</v>
      </c>
      <c r="C82" s="12" t="s">
        <v>271</v>
      </c>
      <c r="D82" s="13" t="s">
        <v>137</v>
      </c>
      <c r="E82" s="17">
        <v>50000</v>
      </c>
      <c r="F82" s="18">
        <v>1095.1300000000001</v>
      </c>
      <c r="G82" s="19">
        <v>4.8999999999999998E-3</v>
      </c>
      <c r="H82" s="20"/>
    </row>
    <row r="83" spans="1:8" ht="12.9" customHeight="1">
      <c r="A83" s="15" t="s">
        <v>272</v>
      </c>
      <c r="B83" s="16" t="s">
        <v>273</v>
      </c>
      <c r="C83" s="12" t="s">
        <v>274</v>
      </c>
      <c r="D83" s="13" t="s">
        <v>30</v>
      </c>
      <c r="E83" s="17">
        <v>70000</v>
      </c>
      <c r="F83" s="18">
        <v>1041.5</v>
      </c>
      <c r="G83" s="19">
        <v>4.7000000000000002E-3</v>
      </c>
      <c r="H83" s="20"/>
    </row>
    <row r="84" spans="1:8" ht="12.9" customHeight="1">
      <c r="A84" s="15" t="s">
        <v>275</v>
      </c>
      <c r="B84" s="16" t="s">
        <v>276</v>
      </c>
      <c r="C84" s="12" t="s">
        <v>277</v>
      </c>
      <c r="D84" s="13" t="s">
        <v>56</v>
      </c>
      <c r="E84" s="17">
        <v>90000</v>
      </c>
      <c r="F84" s="18">
        <v>1039.95</v>
      </c>
      <c r="G84" s="19">
        <v>4.7000000000000002E-3</v>
      </c>
      <c r="H84" s="20"/>
    </row>
    <row r="85" spans="1:8" ht="12.9" customHeight="1">
      <c r="A85" s="15" t="s">
        <v>278</v>
      </c>
      <c r="B85" s="16" t="s">
        <v>279</v>
      </c>
      <c r="C85" s="12" t="s">
        <v>280</v>
      </c>
      <c r="D85" s="13" t="s">
        <v>56</v>
      </c>
      <c r="E85" s="17">
        <v>76089</v>
      </c>
      <c r="F85" s="18">
        <v>1031.27</v>
      </c>
      <c r="G85" s="19">
        <v>4.5999999999999999E-3</v>
      </c>
      <c r="H85" s="20"/>
    </row>
    <row r="86" spans="1:8" ht="12.9" customHeight="1">
      <c r="A86" s="15" t="s">
        <v>281</v>
      </c>
      <c r="B86" s="16" t="s">
        <v>282</v>
      </c>
      <c r="C86" s="12" t="s">
        <v>283</v>
      </c>
      <c r="D86" s="13" t="s">
        <v>284</v>
      </c>
      <c r="E86" s="17">
        <v>170000</v>
      </c>
      <c r="F86" s="18">
        <v>1021.02</v>
      </c>
      <c r="G86" s="19">
        <v>4.5999999999999999E-3</v>
      </c>
      <c r="H86" s="20"/>
    </row>
    <row r="87" spans="1:8" ht="12.9" customHeight="1">
      <c r="A87" s="15" t="s">
        <v>285</v>
      </c>
      <c r="B87" s="16" t="s">
        <v>286</v>
      </c>
      <c r="C87" s="12" t="s">
        <v>287</v>
      </c>
      <c r="D87" s="13" t="s">
        <v>118</v>
      </c>
      <c r="E87" s="17">
        <v>1430000</v>
      </c>
      <c r="F87" s="18">
        <v>1003.86</v>
      </c>
      <c r="G87" s="19">
        <v>4.4999999999999997E-3</v>
      </c>
      <c r="H87" s="20"/>
    </row>
    <row r="88" spans="1:8" ht="12.9" customHeight="1">
      <c r="A88" s="15" t="s">
        <v>288</v>
      </c>
      <c r="B88" s="16" t="s">
        <v>289</v>
      </c>
      <c r="C88" s="12" t="s">
        <v>290</v>
      </c>
      <c r="D88" s="13" t="s">
        <v>133</v>
      </c>
      <c r="E88" s="17">
        <v>50000</v>
      </c>
      <c r="F88" s="18">
        <v>974.5</v>
      </c>
      <c r="G88" s="19">
        <v>4.4000000000000003E-3</v>
      </c>
      <c r="H88" s="20"/>
    </row>
    <row r="89" spans="1:8" ht="12.9" customHeight="1">
      <c r="A89" s="15" t="s">
        <v>291</v>
      </c>
      <c r="B89" s="16" t="s">
        <v>292</v>
      </c>
      <c r="C89" s="12" t="s">
        <v>293</v>
      </c>
      <c r="D89" s="13" t="s">
        <v>37</v>
      </c>
      <c r="E89" s="17">
        <v>20000</v>
      </c>
      <c r="F89" s="18">
        <v>970.31</v>
      </c>
      <c r="G89" s="19">
        <v>4.4000000000000003E-3</v>
      </c>
      <c r="H89" s="20"/>
    </row>
    <row r="90" spans="1:8" ht="12.9" customHeight="1">
      <c r="A90" s="15" t="s">
        <v>294</v>
      </c>
      <c r="B90" s="16" t="s">
        <v>295</v>
      </c>
      <c r="C90" s="12" t="s">
        <v>296</v>
      </c>
      <c r="D90" s="13" t="s">
        <v>203</v>
      </c>
      <c r="E90" s="17">
        <v>50000</v>
      </c>
      <c r="F90" s="18">
        <v>968.15</v>
      </c>
      <c r="G90" s="19">
        <v>4.4000000000000003E-3</v>
      </c>
      <c r="H90" s="20"/>
    </row>
    <row r="91" spans="1:8" ht="12.9" customHeight="1">
      <c r="A91" s="15" t="s">
        <v>297</v>
      </c>
      <c r="B91" s="16" t="s">
        <v>298</v>
      </c>
      <c r="C91" s="12" t="s">
        <v>299</v>
      </c>
      <c r="D91" s="13" t="s">
        <v>20</v>
      </c>
      <c r="E91" s="17">
        <v>300000</v>
      </c>
      <c r="F91" s="18">
        <v>881.25</v>
      </c>
      <c r="G91" s="19">
        <v>4.0000000000000001E-3</v>
      </c>
      <c r="H91" s="20"/>
    </row>
    <row r="92" spans="1:8" ht="12.9" customHeight="1">
      <c r="A92" s="15" t="s">
        <v>300</v>
      </c>
      <c r="B92" s="16" t="s">
        <v>301</v>
      </c>
      <c r="C92" s="12" t="s">
        <v>302</v>
      </c>
      <c r="D92" s="13" t="s">
        <v>199</v>
      </c>
      <c r="E92" s="17">
        <v>100000</v>
      </c>
      <c r="F92" s="18">
        <v>831.65</v>
      </c>
      <c r="G92" s="19">
        <v>3.7000000000000002E-3</v>
      </c>
      <c r="H92" s="20"/>
    </row>
    <row r="93" spans="1:8" ht="12.9" customHeight="1">
      <c r="A93" s="15" t="s">
        <v>303</v>
      </c>
      <c r="B93" s="16" t="s">
        <v>304</v>
      </c>
      <c r="C93" s="12" t="s">
        <v>305</v>
      </c>
      <c r="D93" s="13" t="s">
        <v>306</v>
      </c>
      <c r="E93" s="17">
        <v>223558</v>
      </c>
      <c r="F93" s="18">
        <v>827.95</v>
      </c>
      <c r="G93" s="19">
        <v>3.7000000000000002E-3</v>
      </c>
      <c r="H93" s="20"/>
    </row>
    <row r="94" spans="1:8" ht="12.9" customHeight="1">
      <c r="A94" s="15" t="s">
        <v>307</v>
      </c>
      <c r="B94" s="16" t="s">
        <v>308</v>
      </c>
      <c r="C94" s="12" t="s">
        <v>309</v>
      </c>
      <c r="D94" s="13" t="s">
        <v>156</v>
      </c>
      <c r="E94" s="17">
        <v>70000</v>
      </c>
      <c r="F94" s="18">
        <v>782.01</v>
      </c>
      <c r="G94" s="19">
        <v>3.5000000000000001E-3</v>
      </c>
      <c r="H94" s="20"/>
    </row>
    <row r="95" spans="1:8" ht="12.9" customHeight="1">
      <c r="A95" s="15" t="s">
        <v>310</v>
      </c>
      <c r="B95" s="16" t="s">
        <v>311</v>
      </c>
      <c r="C95" s="12" t="s">
        <v>312</v>
      </c>
      <c r="D95" s="13" t="s">
        <v>199</v>
      </c>
      <c r="E95" s="17">
        <v>75000</v>
      </c>
      <c r="F95" s="18">
        <v>749.59</v>
      </c>
      <c r="G95" s="19">
        <v>3.3999999999999998E-3</v>
      </c>
      <c r="H95" s="20"/>
    </row>
    <row r="96" spans="1:8" ht="12.9" customHeight="1">
      <c r="A96" s="15" t="s">
        <v>313</v>
      </c>
      <c r="B96" s="16" t="s">
        <v>314</v>
      </c>
      <c r="C96" s="12" t="s">
        <v>315</v>
      </c>
      <c r="D96" s="13" t="s">
        <v>16</v>
      </c>
      <c r="E96" s="17">
        <v>3000000</v>
      </c>
      <c r="F96" s="18">
        <v>714</v>
      </c>
      <c r="G96" s="19">
        <v>3.2000000000000002E-3</v>
      </c>
      <c r="H96" s="20"/>
    </row>
    <row r="97" spans="1:8" ht="12.9" customHeight="1">
      <c r="A97" s="15" t="s">
        <v>316</v>
      </c>
      <c r="B97" s="16" t="s">
        <v>317</v>
      </c>
      <c r="C97" s="12" t="s">
        <v>318</v>
      </c>
      <c r="D97" s="13" t="s">
        <v>89</v>
      </c>
      <c r="E97" s="17">
        <v>40000</v>
      </c>
      <c r="F97" s="18">
        <v>655.48</v>
      </c>
      <c r="G97" s="19">
        <v>3.0000000000000001E-3</v>
      </c>
      <c r="H97" s="20"/>
    </row>
    <row r="98" spans="1:8" ht="12.9" customHeight="1">
      <c r="A98" s="15" t="s">
        <v>319</v>
      </c>
      <c r="B98" s="16" t="s">
        <v>320</v>
      </c>
      <c r="C98" s="12" t="s">
        <v>321</v>
      </c>
      <c r="D98" s="13" t="s">
        <v>322</v>
      </c>
      <c r="E98" s="17">
        <v>2000</v>
      </c>
      <c r="F98" s="18">
        <v>525.95000000000005</v>
      </c>
      <c r="G98" s="19">
        <v>2.3999999999999998E-3</v>
      </c>
      <c r="H98" s="20"/>
    </row>
    <row r="99" spans="1:8" ht="12.9" customHeight="1">
      <c r="A99" s="15" t="s">
        <v>323</v>
      </c>
      <c r="B99" s="16" t="s">
        <v>324</v>
      </c>
      <c r="C99" s="12" t="s">
        <v>325</v>
      </c>
      <c r="D99" s="13" t="s">
        <v>326</v>
      </c>
      <c r="E99" s="17">
        <v>50000</v>
      </c>
      <c r="F99" s="18">
        <v>470.45</v>
      </c>
      <c r="G99" s="19">
        <v>2.0999999999999999E-3</v>
      </c>
      <c r="H99" s="20"/>
    </row>
    <row r="100" spans="1:8" ht="12.9" customHeight="1">
      <c r="A100" s="4"/>
      <c r="B100" s="21" t="s">
        <v>327</v>
      </c>
      <c r="C100" s="22"/>
      <c r="D100" s="21"/>
      <c r="E100" s="21"/>
      <c r="F100" s="23">
        <f>SUM(F8:F99)</f>
        <v>211972.44999999998</v>
      </c>
      <c r="G100" s="24">
        <f>SUM(G8:G99)</f>
        <v>0.95510000000000039</v>
      </c>
      <c r="H100" s="25"/>
    </row>
    <row r="101" spans="1:8" ht="12.9" customHeight="1">
      <c r="A101" s="4"/>
      <c r="B101" s="11" t="s">
        <v>328</v>
      </c>
      <c r="C101" s="26"/>
      <c r="D101" s="27"/>
      <c r="E101" s="27"/>
      <c r="F101" s="28"/>
      <c r="G101" s="28"/>
      <c r="H101" s="25"/>
    </row>
    <row r="102" spans="1:8" ht="12.9" customHeight="1">
      <c r="A102" s="15" t="s">
        <v>329</v>
      </c>
      <c r="B102" s="16" t="s">
        <v>330</v>
      </c>
      <c r="C102" s="12" t="s">
        <v>331</v>
      </c>
      <c r="D102" s="13" t="s">
        <v>85</v>
      </c>
      <c r="E102" s="17">
        <v>34960</v>
      </c>
      <c r="F102" s="18">
        <v>126.89</v>
      </c>
      <c r="G102" s="19">
        <v>5.9999999999999995E-4</v>
      </c>
      <c r="H102" s="20"/>
    </row>
    <row r="103" spans="1:8" ht="12.9" customHeight="1">
      <c r="A103" s="4"/>
      <c r="B103" s="21" t="s">
        <v>327</v>
      </c>
      <c r="C103" s="26"/>
      <c r="D103" s="27"/>
      <c r="E103" s="27"/>
      <c r="F103" s="23">
        <f>SUM(F102)</f>
        <v>126.89</v>
      </c>
      <c r="G103" s="24">
        <f>SUM(G102:G102)</f>
        <v>5.9999999999999995E-4</v>
      </c>
      <c r="H103" s="25"/>
    </row>
    <row r="104" spans="1:8" ht="12.9" customHeight="1">
      <c r="A104" s="4"/>
      <c r="B104" s="21" t="s">
        <v>332</v>
      </c>
      <c r="C104" s="26"/>
      <c r="D104" s="27"/>
      <c r="E104" s="29"/>
      <c r="F104" s="30">
        <v>212099.34</v>
      </c>
      <c r="G104" s="31">
        <v>0.95569999999999999</v>
      </c>
      <c r="H104" s="32"/>
    </row>
    <row r="105" spans="1:8" ht="12.9" customHeight="1">
      <c r="A105" s="4"/>
      <c r="B105" s="11" t="s">
        <v>333</v>
      </c>
      <c r="C105" s="12"/>
      <c r="D105" s="13"/>
      <c r="E105" s="13"/>
      <c r="F105" s="13"/>
      <c r="G105" s="13"/>
      <c r="H105" s="14"/>
    </row>
    <row r="106" spans="1:8" ht="12.9" customHeight="1">
      <c r="A106" s="4"/>
      <c r="B106" s="33" t="s">
        <v>334</v>
      </c>
      <c r="C106" s="12"/>
      <c r="D106" s="13"/>
      <c r="E106" s="13"/>
      <c r="F106" s="13"/>
      <c r="G106" s="13"/>
      <c r="H106" s="14"/>
    </row>
    <row r="107" spans="1:8" ht="12.9" customHeight="1">
      <c r="A107" s="15" t="s">
        <v>335</v>
      </c>
      <c r="B107" s="16" t="s">
        <v>336</v>
      </c>
      <c r="C107" s="12"/>
      <c r="D107" s="13"/>
      <c r="E107" s="34"/>
      <c r="F107" s="18">
        <v>9663.5300000000007</v>
      </c>
      <c r="G107" s="19">
        <v>4.36E-2</v>
      </c>
      <c r="H107" s="20">
        <v>6.2618999999999994E-2</v>
      </c>
    </row>
    <row r="108" spans="1:8" ht="12.9" customHeight="1">
      <c r="A108" s="4"/>
      <c r="B108" s="21" t="s">
        <v>332</v>
      </c>
      <c r="C108" s="26"/>
      <c r="D108" s="27"/>
      <c r="E108" s="29"/>
      <c r="F108" s="30">
        <v>9663.5300000000007</v>
      </c>
      <c r="G108" s="31">
        <v>4.36E-2</v>
      </c>
      <c r="H108" s="32"/>
    </row>
    <row r="109" spans="1:8" ht="12.9" customHeight="1">
      <c r="A109" s="4"/>
      <c r="B109" s="33" t="s">
        <v>337</v>
      </c>
      <c r="C109" s="35"/>
      <c r="D109" s="36"/>
      <c r="E109" s="36"/>
      <c r="F109" s="36"/>
      <c r="G109" s="36"/>
      <c r="H109" s="37"/>
    </row>
    <row r="110" spans="1:8" ht="12.9" customHeight="1">
      <c r="A110" s="4"/>
      <c r="B110" s="27" t="s">
        <v>338</v>
      </c>
      <c r="C110" s="26"/>
      <c r="D110" s="27"/>
      <c r="E110" s="27"/>
      <c r="F110" s="23">
        <v>65.989999999999995</v>
      </c>
      <c r="G110" s="24">
        <v>2.9999999999999997E-4</v>
      </c>
      <c r="H110" s="37"/>
    </row>
    <row r="111" spans="1:8" ht="12.9" customHeight="1">
      <c r="A111" s="4"/>
      <c r="B111" s="21" t="s">
        <v>327</v>
      </c>
      <c r="C111" s="22"/>
      <c r="D111" s="21"/>
      <c r="E111" s="21"/>
      <c r="F111" s="23">
        <v>65.989999999999995</v>
      </c>
      <c r="G111" s="24">
        <v>2.9999999999999997E-4</v>
      </c>
      <c r="H111" s="37"/>
    </row>
    <row r="112" spans="1:8" ht="12.9" customHeight="1">
      <c r="A112" s="4"/>
      <c r="B112" s="27" t="s">
        <v>339</v>
      </c>
      <c r="C112" s="26"/>
      <c r="D112" s="27"/>
      <c r="E112" s="27"/>
      <c r="F112" s="23">
        <v>200</v>
      </c>
      <c r="G112" s="24">
        <v>8.9999999999999998E-4</v>
      </c>
      <c r="H112" s="37"/>
    </row>
    <row r="113" spans="1:8" ht="12.9" customHeight="1">
      <c r="A113" s="4"/>
      <c r="B113" s="36" t="s">
        <v>340</v>
      </c>
      <c r="C113" s="35"/>
      <c r="D113" s="36"/>
      <c r="E113" s="36"/>
      <c r="F113" s="38">
        <v>122.3</v>
      </c>
      <c r="G113" s="39">
        <v>5.9999999999999995E-4</v>
      </c>
      <c r="H113" s="37"/>
    </row>
    <row r="114" spans="1:8" ht="12.9" customHeight="1">
      <c r="A114" s="4"/>
      <c r="B114" s="36" t="s">
        <v>341</v>
      </c>
      <c r="C114" s="35"/>
      <c r="D114" s="36"/>
      <c r="E114" s="36"/>
      <c r="F114" s="40">
        <v>-271.39999999999998</v>
      </c>
      <c r="G114" s="39">
        <v>-1.1000000000000001E-3</v>
      </c>
      <c r="H114" s="37"/>
    </row>
    <row r="115" spans="1:8" ht="12.9" customHeight="1">
      <c r="A115" s="4"/>
      <c r="B115" s="21" t="s">
        <v>342</v>
      </c>
      <c r="C115" s="26"/>
      <c r="D115" s="27"/>
      <c r="E115" s="27"/>
      <c r="F115" s="23">
        <v>50.9</v>
      </c>
      <c r="G115" s="41">
        <v>4.0000000000000002E-4</v>
      </c>
      <c r="H115" s="37"/>
    </row>
    <row r="116" spans="1:8" ht="12.9" customHeight="1" thickBot="1">
      <c r="A116" s="4"/>
      <c r="B116" s="42" t="s">
        <v>343</v>
      </c>
      <c r="C116" s="43"/>
      <c r="D116" s="44"/>
      <c r="E116" s="44"/>
      <c r="F116" s="45">
        <v>221879.75923064307</v>
      </c>
      <c r="G116" s="46">
        <v>1</v>
      </c>
      <c r="H116" s="47"/>
    </row>
    <row r="117" spans="1:8" ht="12.9" customHeight="1">
      <c r="A117" s="4"/>
      <c r="B117" s="48"/>
      <c r="C117" s="4"/>
      <c r="D117" s="4"/>
      <c r="E117" s="4"/>
      <c r="F117" s="4"/>
      <c r="G117" s="4"/>
      <c r="H117" s="4"/>
    </row>
    <row r="118" spans="1:8" ht="12.9" customHeight="1">
      <c r="A118" s="4"/>
      <c r="B118" s="49" t="s">
        <v>344</v>
      </c>
      <c r="C118" s="4"/>
      <c r="D118" s="4"/>
      <c r="E118" s="4"/>
      <c r="F118" s="4"/>
      <c r="G118" s="4"/>
      <c r="H118" s="4"/>
    </row>
    <row r="119" spans="1:8" ht="12.9" customHeight="1">
      <c r="A119" s="4"/>
      <c r="B119" s="48"/>
      <c r="C119" s="4"/>
      <c r="D119" s="4"/>
      <c r="E119" s="4"/>
      <c r="F119" s="4"/>
      <c r="G119" s="4"/>
      <c r="H119" s="4"/>
    </row>
    <row r="120" spans="1:8" ht="12.9" customHeight="1">
      <c r="A120" s="4"/>
      <c r="B120" s="48"/>
      <c r="C120" s="4"/>
      <c r="D120" s="4"/>
      <c r="E120" s="4"/>
      <c r="F120" s="4"/>
      <c r="G120" s="4"/>
      <c r="H120" s="4"/>
    </row>
    <row r="121" spans="1:8">
      <c r="F121" s="50" t="s">
        <v>345</v>
      </c>
    </row>
    <row r="122" spans="1:8">
      <c r="B122" s="50" t="s">
        <v>346</v>
      </c>
      <c r="F122" s="50" t="s">
        <v>347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2025-03-06T13:13:20Z</dcterms:created>
  <dcterms:modified xsi:type="dcterms:W3CDTF">2025-03-06T13:13:21Z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340d0cd2-6d22-471b-9bc0-7000628a7cb3</vt:lpwstr>
  </property>
  <property fmtid="{D5CDD505-2E9C-101B-9397-08002B2CF9AE}" pid="8" name="MSIP_Label_af1741f6-9e47-426e-a683-937c37d4ebc5_ContentBits">
    <vt:lpwstr>3</vt:lpwstr>
  </property>
</Properties>
</file>