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C5BC22E1-3391-4C1F-94A2-3F3F920E7514}" xr6:coauthVersionLast="47" xr6:coauthVersionMax="47" xr10:uidLastSave="{00000000-0000-0000-0000-000000000000}"/>
  <bookViews>
    <workbookView xWindow="-108" yWindow="-108" windowWidth="41496" windowHeight="16896" xr2:uid="{DD8022F1-4A77-4297-8572-73F55636F6DC}"/>
  </bookViews>
  <sheets>
    <sheet name="IDF307" sheetId="1" r:id="rId1"/>
  </sheets>
  <definedNames>
    <definedName name="JR_PAGE_ANCHOR_0_66">'IDF307'!$A$2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</calcChain>
</file>

<file path=xl/sharedStrings.xml><?xml version="1.0" encoding="utf-8"?>
<sst xmlns="http://schemas.openxmlformats.org/spreadsheetml/2006/main" count="277" uniqueCount="239">
  <si>
    <t>IDF307</t>
  </si>
  <si>
    <t>INDEX</t>
  </si>
  <si>
    <t>Portfolio Statement as on March 31,2025</t>
  </si>
  <si>
    <t>Bandhan Nifty 500 Momentum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</si>
  <si>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</si>
  <si>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</si>
  <si>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</si>
  <si>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</si>
  <si>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</si>
  <si>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</si>
  <si>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</si>
  <si>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</si>
  <si>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</si>
  <si>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</si>
  <si>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</si>
  <si>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</si>
  <si>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</si>
  <si>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</si>
  <si>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</si>
  <si>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</si>
  <si>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</si>
  <si>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</si>
  <si>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</si>
  <si>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</si>
  <si>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</si>
  <si>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</si>
  <si>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</si>
  <si>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</si>
  <si>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IT - Software</t>
  </si>
  <si>
    <t>TEMA02</t>
  </si>
  <si>
    <t>Tech Mahindra Limited</t>
  </si>
  <si>
    <t>INE669C01036</t>
  </si>
  <si>
    <t>LAKM02</t>
  </si>
  <si>
    <t>Trent Limited</t>
  </si>
  <si>
    <t>INE849A01020</t>
  </si>
  <si>
    <t>Retailing</t>
  </si>
  <si>
    <t>BSEL02</t>
  </si>
  <si>
    <t>BSE Limited</t>
  </si>
  <si>
    <t>INE118H01025</t>
  </si>
  <si>
    <t>Capital Markets</t>
  </si>
  <si>
    <t>ZMPL01</t>
  </si>
  <si>
    <t>Zomato Limited</t>
  </si>
  <si>
    <t>INE758T01015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</si>
  <si>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</si>
  <si>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</si>
  <si>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</si>
  <si>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</si>
  <si>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</si>
  <si>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</si>
  <si>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</si>
  <si>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</si>
  <si>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</si>
  <si>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</si>
  <si>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</si>
  <si>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</si>
  <si>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</si>
  <si>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</si>
  <si>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</si>
  <si>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</si>
  <si>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</si>
  <si>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</si>
  <si>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</si>
  <si>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</si>
  <si>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</si>
  <si>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</si>
  <si>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</si>
  <si>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</si>
  <si>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</si>
  <si>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FRHL01</t>
  </si>
  <si>
    <t>Fortis Healthcare Limited</t>
  </si>
  <si>
    <t>INE061F01013</t>
  </si>
  <si>
    <t>Healthcare Services</t>
  </si>
  <si>
    <t>VOLT02</t>
  </si>
  <si>
    <t>Voltas Limited</t>
  </si>
  <si>
    <t>INE226A01021</t>
  </si>
  <si>
    <t>MCEX01</t>
  </si>
  <si>
    <t>Multi Commodity Exchange of India Limited</t>
  </si>
  <si>
    <t>INE745G01035</t>
  </si>
  <si>
    <t>KALJ01</t>
  </si>
  <si>
    <t>Kalyan Jewellers India Limited</t>
  </si>
  <si>
    <t>INE303R01014</t>
  </si>
  <si>
    <t>GLPH03</t>
  </si>
  <si>
    <t>Glenmark Pharmaceuticals Limited</t>
  </si>
  <si>
    <t>INE935A01035</t>
  </si>
  <si>
    <t>IFEL01</t>
  </si>
  <si>
    <t>Oracle Financial Services Software Limited</t>
  </si>
  <si>
    <t>INE881D01027</t>
  </si>
  <si>
    <t>SUVP01</t>
  </si>
  <si>
    <t>Suven Pharmaceuticals Limited</t>
  </si>
  <si>
    <t>INE03QK01018</t>
  </si>
  <si>
    <t>COFE03</t>
  </si>
  <si>
    <t>Coromandel International Limited</t>
  </si>
  <si>
    <t>INE169A01031</t>
  </si>
  <si>
    <t>Fertilizers &amp; Agrochemicals</t>
  </si>
  <si>
    <t>RAKH02</t>
  </si>
  <si>
    <t>Radico Khaitan Limited</t>
  </si>
  <si>
    <t>INE944F01028</t>
  </si>
  <si>
    <t>PPHA01</t>
  </si>
  <si>
    <t>Piramal Pharma Limited</t>
  </si>
  <si>
    <t>INE0DK501011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</si>
  <si>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</si>
  <si>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</si>
  <si>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</si>
  <si>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</si>
  <si>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</si>
  <si>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</si>
  <si>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</si>
  <si>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LMEL03</t>
  </si>
  <si>
    <t>Lloyds Metals And Energy Limited</t>
  </si>
  <si>
    <t>INE281B01032</t>
  </si>
  <si>
    <t>Minerals &amp; Mining</t>
  </si>
  <si>
    <t>TINV04</t>
  </si>
  <si>
    <t>Cholamandalam Financial Holdings Limited</t>
  </si>
  <si>
    <t>INE149A01033</t>
  </si>
  <si>
    <t>Finance</t>
  </si>
  <si>
    <t>KAYN01</t>
  </si>
  <si>
    <t>Kaynes Technology India Limited</t>
  </si>
  <si>
    <t>INE918Z01012</t>
  </si>
  <si>
    <t>Industrial Manufacturing</t>
  </si>
  <si>
    <t>NACL03</t>
  </si>
  <si>
    <t>National Aluminium Company Limited</t>
  </si>
  <si>
    <t>INE139A01034</t>
  </si>
  <si>
    <t>Non - Ferrous Metals</t>
  </si>
  <si>
    <t>ICON01</t>
  </si>
  <si>
    <t>Firstsource Solutions Limited</t>
  </si>
  <si>
    <t>INE684F01012</t>
  </si>
  <si>
    <t>Commercial Services &amp; Supplies</t>
  </si>
  <si>
    <t>AMBE01</t>
  </si>
  <si>
    <t>Amber Enterprises India Limited</t>
  </si>
  <si>
    <t>INE371P01015</t>
  </si>
  <si>
    <t>MAZG02</t>
  </si>
  <si>
    <t>Mazagon Dock Shipbuilders Limited</t>
  </si>
  <si>
    <t>INE249Z01020</t>
  </si>
  <si>
    <t>KFIN01</t>
  </si>
  <si>
    <t>KFin Technologies Limited</t>
  </si>
  <si>
    <t>INE138Y01010</t>
  </si>
  <si>
    <t>DEFE01</t>
  </si>
  <si>
    <t>Deepak Fertilizers and Petrochemicals Corporation Limited</t>
  </si>
  <si>
    <t>INE501A01019</t>
  </si>
  <si>
    <t>Chemicals &amp; Petrochemicals</t>
  </si>
  <si>
    <t>MOFS03</t>
  </si>
  <si>
    <t>Motilal Oswal Financial Services Limited</t>
  </si>
  <si>
    <t>INE338I01027</t>
  </si>
  <si>
    <t>ABBP01</t>
  </si>
  <si>
    <t>Hitachi Energy India Limited</t>
  </si>
  <si>
    <t>INE07Y701011</t>
  </si>
  <si>
    <t>VORC03</t>
  </si>
  <si>
    <t>Jubilant Pharmova Limited</t>
  </si>
  <si>
    <t>INE700A01033</t>
  </si>
  <si>
    <t>HIMC02</t>
  </si>
  <si>
    <t>Himadri Speciality Chemical Limited</t>
  </si>
  <si>
    <t>INE019C01026</t>
  </si>
  <si>
    <t>KEIN02</t>
  </si>
  <si>
    <t>KEC International Limited</t>
  </si>
  <si>
    <t>INE389H01022</t>
  </si>
  <si>
    <t>Construction</t>
  </si>
  <si>
    <t>GODF02</t>
  </si>
  <si>
    <t>Godfrey Phillips India Limited</t>
  </si>
  <si>
    <t>INE260B01028</t>
  </si>
  <si>
    <t>Cigarettes &amp; Tobacco Products</t>
  </si>
  <si>
    <t>ANRA02</t>
  </si>
  <si>
    <t>Anant Raj Limited</t>
  </si>
  <si>
    <t>INE242C01024</t>
  </si>
  <si>
    <t>Realty</t>
  </si>
  <si>
    <t>POME02</t>
  </si>
  <si>
    <t>Poly Medicure Limited</t>
  </si>
  <si>
    <t>INE205C01021</t>
  </si>
  <si>
    <t>Healthcare Equipment &amp; Supplies</t>
  </si>
  <si>
    <t>PCBL03</t>
  </si>
  <si>
    <t>PCBL Chemical Limited</t>
  </si>
  <si>
    <t>INE602A01031</t>
  </si>
  <si>
    <t>NAPH02</t>
  </si>
  <si>
    <t>Natco Pharma Limited</t>
  </si>
  <si>
    <t>INE987B01026</t>
  </si>
  <si>
    <t>BSLM02</t>
  </si>
  <si>
    <t>Aditya Birla Sun Life AMC Limited</t>
  </si>
  <si>
    <t>INE404A01024</t>
  </si>
  <si>
    <t>CAPP02</t>
  </si>
  <si>
    <t>Caplin Point Laboratories Limited</t>
  </si>
  <si>
    <t>INE475E01026</t>
  </si>
  <si>
    <t>ICEM01</t>
  </si>
  <si>
    <t>The India Cements Limited</t>
  </si>
  <si>
    <t>INE383A01012</t>
  </si>
  <si>
    <t>Cement &amp; Cement Products</t>
  </si>
  <si>
    <t>NETW01</t>
  </si>
  <si>
    <t>Netweb Technologies India Limited</t>
  </si>
  <si>
    <t>INE0NT901020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</si>
  <si>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</si>
  <si>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</si>
  <si>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</si>
  <si>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</si>
  <si>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</si>
  <si>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</si>
  <si>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</si>
  <si>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</si>
  <si>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</si>
  <si>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</si>
  <si>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</si>
  <si>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</si>
  <si>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</si>
  <si>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</si>
  <si>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</si>
  <si>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</si>
  <si>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</si>
  <si>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Mahindra Group</t>
  </si>
  <si>
    <t>Tata Group</t>
  </si>
  <si>
    <t>Infoedge Group</t>
  </si>
  <si>
    <t>Divi's</t>
  </si>
  <si>
    <t>Persistent Group</t>
  </si>
  <si>
    <t>BSE Group</t>
  </si>
  <si>
    <t>Dixon Technologies Group</t>
  </si>
  <si>
    <t>Name and exposure to top 4 Sectors</t>
  </si>
  <si>
    <t>Name of the Sector</t>
  </si>
  <si>
    <t>Consumer Services</t>
  </si>
  <si>
    <t>Healthcare</t>
  </si>
  <si>
    <t>Information Technology</t>
  </si>
  <si>
    <t>Financial Services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</si>
  <si>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</si>
  <si>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</si>
  <si>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</si>
  <si>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</si>
  <si>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</si>
  <si>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</si>
  <si>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Plan^</t>
  </si>
  <si>
    <t>IDF307-AG</t>
  </si>
  <si>
    <t>Growth</t>
  </si>
  <si>
    <t>NA*</t>
  </si>
  <si>
    <t>Direct Plan^</t>
  </si>
  <si>
    <t>IDF307-ZG</t>
  </si>
  <si>
    <t>* Scheme launched during the current half year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</si>
  <si>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</si>
  <si>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</si>
  <si>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</si>
  <si>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0.77 times and aggregate for all asset category is 0.77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</si>
  <si>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</si>
  <si>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</si>
  <si>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NIFTY500 MOMENTUM 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</si>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</sst>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0" fontId="16" fillId="0" borderId="24" xfId="1" applyFont="1" applyBorder="1"/>
    <xf numFmtId="168" fontId="13" fillId="0" borderId="0" xfId="1" applyNumberFormat="1" applyFont="1"/>
    <xf numFmtId="0" fontId="3" fillId="0" borderId="0" xfId="1" applyFont="1"/>
    <xf numFmtId="166" fontId="14" fillId="0" borderId="25" xfId="1" applyNumberFormat="1" applyFont="1" applyBorder="1"/>
    <xf numFmtId="0" fontId="13" fillId="0" borderId="24" xfId="1" applyFont="1" applyBorder="1"/>
    <xf numFmtId="169" fontId="13" fillId="0" borderId="0" xfId="2" applyNumberFormat="1" applyFont="1"/>
    <xf numFmtId="4" fontId="13" fillId="0" borderId="0" xfId="1" applyNumberFormat="1" applyFont="1" applyAlignment="1">
      <alignment horizontal="right"/>
    </xf>
    <xf numFmtId="169" fontId="13" fillId="0" borderId="0" xfId="3" applyNumberFormat="1" applyFont="1"/>
    <xf numFmtId="168" fontId="13" fillId="0" borderId="27" xfId="1" applyNumberFormat="1" applyFont="1" applyBorder="1"/>
    <xf numFmtId="170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1" fontId="18" fillId="0" borderId="0" xfId="1" applyNumberFormat="1" applyFont="1"/>
    <xf numFmtId="0" fontId="11" fillId="0" borderId="0" xfId="0" applyFont="1"/>
  </cellXfs>
  <cellStyles count="5">
    <cellStyle name="Comma 5" xfId="4" xr:uid="{A8650415-6D7D-4D1B-A95E-BB642AE86B1A}"/>
    <cellStyle name="Normal" xfId="0" builtinId="0"/>
    <cellStyle name="Normal 3 2 2" xfId="2" xr:uid="{40D22908-9641-40C1-9E8F-7CD6788860C9}"/>
    <cellStyle name="Normal 3 2 3" xfId="3" xr:uid="{426ABD3A-7788-4421-A6F6-7D5306AFEB3A}"/>
    <cellStyle name="Normal 7" xfId="1" xr:uid="{095FDFE8-4831-4431-A479-D6FD78D77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1</xdr:col>
      <xdr:colOff>2857500</xdr:colOff>
      <xdr:row>132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B2B82-BF00-4A44-820F-D116A3665B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5663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7</xdr:col>
      <xdr:colOff>571500</xdr:colOff>
      <xdr:row>132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228674-2296-48CF-9A8A-F047F4460D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05663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B999-4430-4C0A-926B-380948584172}">
  <sheetPr codeName="Sheet66">
    <outlinePr summaryBelow="0"/>
  </sheetPr>
  <dimension ref="A1:H121"/>
  <sheetViews>
    <sheetView tabSelected="1" topLeftCell="A96" workbookViewId="0">
      <selection activeCell="E96" sqref="E9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1957</v>
      </c>
      <c r="F8" s="19">
        <v>113.03</v>
      </c>
      <c r="G8" s="20">
        <v>5.7700000000000001E-2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3872</v>
      </c>
      <c r="F9" s="19">
        <v>103.22</v>
      </c>
      <c r="G9" s="20">
        <v>5.2699999999999997E-2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12806</v>
      </c>
      <c r="F10" s="19">
        <v>100.85</v>
      </c>
      <c r="G10" s="20">
        <v>5.1499999999999997E-2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1801</v>
      </c>
      <c r="F11" s="19">
        <v>99.3</v>
      </c>
      <c r="G11" s="20">
        <v>5.0700000000000002E-2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28</v>
      </c>
      <c r="E12" s="18">
        <v>6782</v>
      </c>
      <c r="F12" s="19">
        <v>96.19</v>
      </c>
      <c r="G12" s="20">
        <v>4.9099999999999998E-2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1631</v>
      </c>
      <c r="F13" s="19">
        <v>86.85</v>
      </c>
      <c r="G13" s="20">
        <v>4.4299999999999999E-2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1555</v>
      </c>
      <c r="F14" s="19">
        <v>85.21</v>
      </c>
      <c r="G14" s="20">
        <v>4.3499999999999997E-2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35</v>
      </c>
      <c r="E15" s="18">
        <v>42169</v>
      </c>
      <c r="F15" s="19">
        <v>85.05</v>
      </c>
      <c r="G15" s="20">
        <v>4.3400000000000001E-2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46</v>
      </c>
      <c r="E16" s="18">
        <v>639</v>
      </c>
      <c r="F16" s="19">
        <v>84.22</v>
      </c>
      <c r="G16" s="20">
        <v>4.2999999999999997E-2</v>
      </c>
      <c r="H16" s="21"/>
    </row>
    <row r="17" spans="1:8" ht="12.9" customHeight="1" x14ac:dyDescent="0.25">
      <c r="A17" s="16" t="s">
        <v>47</v>
      </c>
      <c r="B17" s="17" t="s">
        <v>48</v>
      </c>
      <c r="C17" s="13" t="s">
        <v>49</v>
      </c>
      <c r="D17" s="14" t="s">
        <v>28</v>
      </c>
      <c r="E17" s="18">
        <v>1006</v>
      </c>
      <c r="F17" s="19">
        <v>81.58</v>
      </c>
      <c r="G17" s="20">
        <v>4.1599999999999998E-2</v>
      </c>
      <c r="H17" s="21"/>
    </row>
    <row r="18" spans="1:8" ht="12.9" customHeight="1" x14ac:dyDescent="0.25">
      <c r="A18" s="16" t="s">
        <v>50</v>
      </c>
      <c r="B18" s="17" t="s">
        <v>51</v>
      </c>
      <c r="C18" s="13" t="s">
        <v>52</v>
      </c>
      <c r="D18" s="14" t="s">
        <v>35</v>
      </c>
      <c r="E18" s="18">
        <v>1129</v>
      </c>
      <c r="F18" s="19">
        <v>81.08</v>
      </c>
      <c r="G18" s="20">
        <v>4.1399999999999999E-2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56</v>
      </c>
      <c r="E19" s="18">
        <v>4671</v>
      </c>
      <c r="F19" s="19">
        <v>74.260000000000005</v>
      </c>
      <c r="G19" s="20">
        <v>3.7900000000000003E-2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16</v>
      </c>
      <c r="E20" s="18">
        <v>2973</v>
      </c>
      <c r="F20" s="19">
        <v>60.29</v>
      </c>
      <c r="G20" s="20">
        <v>3.0800000000000001E-2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63</v>
      </c>
      <c r="E21" s="18">
        <v>990</v>
      </c>
      <c r="F21" s="19">
        <v>52.23</v>
      </c>
      <c r="G21" s="20">
        <v>2.6700000000000002E-2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67</v>
      </c>
      <c r="E22" s="18">
        <v>3631</v>
      </c>
      <c r="F22" s="19">
        <v>50.88</v>
      </c>
      <c r="G22" s="20">
        <v>2.5999999999999999E-2</v>
      </c>
      <c r="H22" s="21"/>
    </row>
    <row r="23" spans="1:8" ht="12.9" customHeight="1" x14ac:dyDescent="0.25">
      <c r="A23" s="16" t="s">
        <v>68</v>
      </c>
      <c r="B23" s="17" t="s">
        <v>69</v>
      </c>
      <c r="C23" s="13" t="s">
        <v>70</v>
      </c>
      <c r="D23" s="14" t="s">
        <v>71</v>
      </c>
      <c r="E23" s="18">
        <v>6939</v>
      </c>
      <c r="F23" s="19">
        <v>48.46</v>
      </c>
      <c r="G23" s="20">
        <v>2.47E-2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46</v>
      </c>
      <c r="E24" s="18">
        <v>2926</v>
      </c>
      <c r="F24" s="19">
        <v>42.68</v>
      </c>
      <c r="G24" s="20">
        <v>2.18E-2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39</v>
      </c>
      <c r="E25" s="18">
        <v>758</v>
      </c>
      <c r="F25" s="19">
        <v>40.26</v>
      </c>
      <c r="G25" s="20">
        <v>2.06E-2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46</v>
      </c>
      <c r="E26" s="18">
        <v>7519</v>
      </c>
      <c r="F26" s="19">
        <v>35.130000000000003</v>
      </c>
      <c r="G26" s="20">
        <v>1.7899999999999999E-2</v>
      </c>
      <c r="H26" s="21"/>
    </row>
    <row r="27" spans="1:8" ht="12.9" customHeight="1" x14ac:dyDescent="0.25">
      <c r="A27" s="16" t="s">
        <v>81</v>
      </c>
      <c r="B27" s="17" t="s">
        <v>82</v>
      </c>
      <c r="C27" s="13" t="s">
        <v>83</v>
      </c>
      <c r="D27" s="14" t="s">
        <v>16</v>
      </c>
      <c r="E27" s="18">
        <v>2157</v>
      </c>
      <c r="F27" s="19">
        <v>33.24</v>
      </c>
      <c r="G27" s="20">
        <v>1.7000000000000001E-2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28</v>
      </c>
      <c r="E28" s="18">
        <v>423</v>
      </c>
      <c r="F28" s="19">
        <v>33.21</v>
      </c>
      <c r="G28" s="20">
        <v>1.6899999999999998E-2</v>
      </c>
      <c r="H28" s="21"/>
    </row>
    <row r="29" spans="1:8" ht="12.9" customHeight="1" x14ac:dyDescent="0.25">
      <c r="A29" s="16" t="s">
        <v>87</v>
      </c>
      <c r="B29" s="17" t="s">
        <v>88</v>
      </c>
      <c r="C29" s="13" t="s">
        <v>89</v>
      </c>
      <c r="D29" s="14" t="s">
        <v>16</v>
      </c>
      <c r="E29" s="18">
        <v>2736</v>
      </c>
      <c r="F29" s="19">
        <v>31.49</v>
      </c>
      <c r="G29" s="20">
        <v>1.61E-2</v>
      </c>
      <c r="H29" s="21"/>
    </row>
    <row r="30" spans="1:8" ht="12.9" customHeight="1" x14ac:dyDescent="0.25">
      <c r="A30" s="16" t="s">
        <v>90</v>
      </c>
      <c r="B30" s="17" t="s">
        <v>91</v>
      </c>
      <c r="C30" s="13" t="s">
        <v>92</v>
      </c>
      <c r="D30" s="14" t="s">
        <v>93</v>
      </c>
      <c r="E30" s="18">
        <v>1428</v>
      </c>
      <c r="F30" s="19">
        <v>28.3</v>
      </c>
      <c r="G30" s="20">
        <v>1.44E-2</v>
      </c>
      <c r="H30" s="21"/>
    </row>
    <row r="31" spans="1:8" ht="12.9" customHeight="1" x14ac:dyDescent="0.25">
      <c r="A31" s="16" t="s">
        <v>94</v>
      </c>
      <c r="B31" s="17" t="s">
        <v>95</v>
      </c>
      <c r="C31" s="13" t="s">
        <v>96</v>
      </c>
      <c r="D31" s="14" t="s">
        <v>67</v>
      </c>
      <c r="E31" s="18">
        <v>1083</v>
      </c>
      <c r="F31" s="19">
        <v>26.31</v>
      </c>
      <c r="G31" s="20">
        <v>1.34E-2</v>
      </c>
      <c r="H31" s="21"/>
    </row>
    <row r="32" spans="1:8" ht="12.9" customHeight="1" x14ac:dyDescent="0.25">
      <c r="A32" s="16" t="s">
        <v>97</v>
      </c>
      <c r="B32" s="17" t="s">
        <v>98</v>
      </c>
      <c r="C32" s="13" t="s">
        <v>99</v>
      </c>
      <c r="D32" s="14" t="s">
        <v>16</v>
      </c>
      <c r="E32" s="18">
        <v>10386</v>
      </c>
      <c r="F32" s="19">
        <v>23.34</v>
      </c>
      <c r="G32" s="20">
        <v>1.1900000000000001E-2</v>
      </c>
      <c r="H32" s="21"/>
    </row>
    <row r="33" spans="1:8" ht="12.9" customHeight="1" x14ac:dyDescent="0.25">
      <c r="A33" s="16" t="s">
        <v>100</v>
      </c>
      <c r="B33" s="17" t="s">
        <v>101</v>
      </c>
      <c r="C33" s="13" t="s">
        <v>102</v>
      </c>
      <c r="D33" s="14" t="s">
        <v>39</v>
      </c>
      <c r="E33" s="18">
        <v>2456</v>
      </c>
      <c r="F33" s="19">
        <v>23.15</v>
      </c>
      <c r="G33" s="20">
        <v>1.18E-2</v>
      </c>
      <c r="H33" s="21"/>
    </row>
    <row r="34" spans="1:8" ht="12.9" customHeight="1" x14ac:dyDescent="0.25">
      <c r="A34" s="16" t="s">
        <v>103</v>
      </c>
      <c r="B34" s="17" t="s">
        <v>104</v>
      </c>
      <c r="C34" s="13" t="s">
        <v>105</v>
      </c>
      <c r="D34" s="14" t="s">
        <v>106</v>
      </c>
      <c r="E34" s="18">
        <v>5837</v>
      </c>
      <c r="F34" s="19">
        <v>22.57</v>
      </c>
      <c r="G34" s="20">
        <v>1.15E-2</v>
      </c>
      <c r="H34" s="21"/>
    </row>
    <row r="35" spans="1:8" ht="12.9" customHeight="1" x14ac:dyDescent="0.25">
      <c r="A35" s="16" t="s">
        <v>107</v>
      </c>
      <c r="B35" s="17" t="s">
        <v>108</v>
      </c>
      <c r="C35" s="13" t="s">
        <v>109</v>
      </c>
      <c r="D35" s="14" t="s">
        <v>110</v>
      </c>
      <c r="E35" s="18">
        <v>1705</v>
      </c>
      <c r="F35" s="19">
        <v>21.95</v>
      </c>
      <c r="G35" s="20">
        <v>1.12E-2</v>
      </c>
      <c r="H35" s="21"/>
    </row>
    <row r="36" spans="1:8" ht="12.9" customHeight="1" x14ac:dyDescent="0.25">
      <c r="A36" s="16" t="s">
        <v>111</v>
      </c>
      <c r="B36" s="17" t="s">
        <v>112</v>
      </c>
      <c r="C36" s="13" t="s">
        <v>113</v>
      </c>
      <c r="D36" s="14" t="s">
        <v>114</v>
      </c>
      <c r="E36" s="18">
        <v>1230</v>
      </c>
      <c r="F36" s="19">
        <v>21.54</v>
      </c>
      <c r="G36" s="20">
        <v>1.0999999999999999E-2</v>
      </c>
      <c r="H36" s="21"/>
    </row>
    <row r="37" spans="1:8" ht="12.9" customHeight="1" x14ac:dyDescent="0.25">
      <c r="A37" s="16" t="s">
        <v>115</v>
      </c>
      <c r="B37" s="17" t="s">
        <v>116</v>
      </c>
      <c r="C37" s="13" t="s">
        <v>117</v>
      </c>
      <c r="D37" s="14" t="s">
        <v>118</v>
      </c>
      <c r="E37" s="18">
        <v>417</v>
      </c>
      <c r="F37" s="19">
        <v>19.8</v>
      </c>
      <c r="G37" s="20">
        <v>1.01E-2</v>
      </c>
      <c r="H37" s="21"/>
    </row>
    <row r="38" spans="1:8" ht="12.9" customHeight="1" x14ac:dyDescent="0.25">
      <c r="A38" s="16" t="s">
        <v>119</v>
      </c>
      <c r="B38" s="17" t="s">
        <v>120</v>
      </c>
      <c r="C38" s="13" t="s">
        <v>121</v>
      </c>
      <c r="D38" s="14" t="s">
        <v>122</v>
      </c>
      <c r="E38" s="18">
        <v>11043</v>
      </c>
      <c r="F38" s="19">
        <v>19.38</v>
      </c>
      <c r="G38" s="20">
        <v>9.9000000000000008E-3</v>
      </c>
      <c r="H38" s="21"/>
    </row>
    <row r="39" spans="1:8" ht="12.9" customHeight="1" x14ac:dyDescent="0.25">
      <c r="A39" s="16" t="s">
        <v>123</v>
      </c>
      <c r="B39" s="17" t="s">
        <v>124</v>
      </c>
      <c r="C39" s="13" t="s">
        <v>125</v>
      </c>
      <c r="D39" s="14" t="s">
        <v>126</v>
      </c>
      <c r="E39" s="18">
        <v>5384</v>
      </c>
      <c r="F39" s="19">
        <v>18.32</v>
      </c>
      <c r="G39" s="20">
        <v>9.2999999999999992E-3</v>
      </c>
      <c r="H39" s="21"/>
    </row>
    <row r="40" spans="1:8" ht="12.9" customHeight="1" x14ac:dyDescent="0.25">
      <c r="A40" s="16" t="s">
        <v>127</v>
      </c>
      <c r="B40" s="17" t="s">
        <v>128</v>
      </c>
      <c r="C40" s="13" t="s">
        <v>129</v>
      </c>
      <c r="D40" s="14" t="s">
        <v>46</v>
      </c>
      <c r="E40" s="18">
        <v>248</v>
      </c>
      <c r="F40" s="19">
        <v>17.88</v>
      </c>
      <c r="G40" s="20">
        <v>9.1000000000000004E-3</v>
      </c>
      <c r="H40" s="21"/>
    </row>
    <row r="41" spans="1:8" ht="12.9" customHeight="1" x14ac:dyDescent="0.25">
      <c r="A41" s="16" t="s">
        <v>130</v>
      </c>
      <c r="B41" s="17" t="s">
        <v>131</v>
      </c>
      <c r="C41" s="13" t="s">
        <v>132</v>
      </c>
      <c r="D41" s="14" t="s">
        <v>118</v>
      </c>
      <c r="E41" s="18">
        <v>630</v>
      </c>
      <c r="F41" s="19">
        <v>16.66</v>
      </c>
      <c r="G41" s="20">
        <v>8.5000000000000006E-3</v>
      </c>
      <c r="H41" s="21"/>
    </row>
    <row r="42" spans="1:8" ht="12.9" customHeight="1" x14ac:dyDescent="0.25">
      <c r="A42" s="16" t="s">
        <v>133</v>
      </c>
      <c r="B42" s="17" t="s">
        <v>134</v>
      </c>
      <c r="C42" s="13" t="s">
        <v>135</v>
      </c>
      <c r="D42" s="14" t="s">
        <v>39</v>
      </c>
      <c r="E42" s="18">
        <v>1589</v>
      </c>
      <c r="F42" s="19">
        <v>16.36</v>
      </c>
      <c r="G42" s="20">
        <v>8.3999999999999995E-3</v>
      </c>
      <c r="H42" s="21"/>
    </row>
    <row r="43" spans="1:8" ht="12.9" customHeight="1" x14ac:dyDescent="0.25">
      <c r="A43" s="16" t="s">
        <v>136</v>
      </c>
      <c r="B43" s="17" t="s">
        <v>137</v>
      </c>
      <c r="C43" s="13" t="s">
        <v>138</v>
      </c>
      <c r="D43" s="14" t="s">
        <v>139</v>
      </c>
      <c r="E43" s="18">
        <v>1387</v>
      </c>
      <c r="F43" s="19">
        <v>15.48</v>
      </c>
      <c r="G43" s="20">
        <v>7.9000000000000008E-3</v>
      </c>
      <c r="H43" s="21"/>
    </row>
    <row r="44" spans="1:8" ht="12.9" customHeight="1" x14ac:dyDescent="0.25">
      <c r="A44" s="16" t="s">
        <v>140</v>
      </c>
      <c r="B44" s="17" t="s">
        <v>141</v>
      </c>
      <c r="C44" s="13" t="s">
        <v>142</v>
      </c>
      <c r="D44" s="14" t="s">
        <v>39</v>
      </c>
      <c r="E44" s="18">
        <v>2499</v>
      </c>
      <c r="F44" s="19">
        <v>15.38</v>
      </c>
      <c r="G44" s="20">
        <v>7.7999999999999996E-3</v>
      </c>
      <c r="H44" s="21"/>
    </row>
    <row r="45" spans="1:8" ht="12.9" customHeight="1" x14ac:dyDescent="0.25">
      <c r="A45" s="16" t="s">
        <v>143</v>
      </c>
      <c r="B45" s="17" t="s">
        <v>144</v>
      </c>
      <c r="C45" s="13" t="s">
        <v>145</v>
      </c>
      <c r="D45" s="14" t="s">
        <v>63</v>
      </c>
      <c r="E45" s="18">
        <v>113</v>
      </c>
      <c r="F45" s="19">
        <v>14.3</v>
      </c>
      <c r="G45" s="20">
        <v>7.3000000000000001E-3</v>
      </c>
      <c r="H45" s="21"/>
    </row>
    <row r="46" spans="1:8" ht="12.9" customHeight="1" x14ac:dyDescent="0.25">
      <c r="A46" s="16" t="s">
        <v>146</v>
      </c>
      <c r="B46" s="17" t="s">
        <v>147</v>
      </c>
      <c r="C46" s="13" t="s">
        <v>148</v>
      </c>
      <c r="D46" s="14" t="s">
        <v>16</v>
      </c>
      <c r="E46" s="18">
        <v>1560</v>
      </c>
      <c r="F46" s="19">
        <v>13.98</v>
      </c>
      <c r="G46" s="20">
        <v>7.1000000000000004E-3</v>
      </c>
      <c r="H46" s="21"/>
    </row>
    <row r="47" spans="1:8" ht="12.9" customHeight="1" x14ac:dyDescent="0.25">
      <c r="A47" s="16" t="s">
        <v>149</v>
      </c>
      <c r="B47" s="17" t="s">
        <v>150</v>
      </c>
      <c r="C47" s="13" t="s">
        <v>151</v>
      </c>
      <c r="D47" s="14" t="s">
        <v>139</v>
      </c>
      <c r="E47" s="18">
        <v>3118</v>
      </c>
      <c r="F47" s="19">
        <v>13.23</v>
      </c>
      <c r="G47" s="20">
        <v>6.7999999999999996E-3</v>
      </c>
      <c r="H47" s="21"/>
    </row>
    <row r="48" spans="1:8" ht="12.9" customHeight="1" x14ac:dyDescent="0.25">
      <c r="A48" s="16" t="s">
        <v>152</v>
      </c>
      <c r="B48" s="17" t="s">
        <v>153</v>
      </c>
      <c r="C48" s="13" t="s">
        <v>154</v>
      </c>
      <c r="D48" s="14" t="s">
        <v>155</v>
      </c>
      <c r="E48" s="18">
        <v>1576</v>
      </c>
      <c r="F48" s="19">
        <v>12.34</v>
      </c>
      <c r="G48" s="20">
        <v>6.3E-3</v>
      </c>
      <c r="H48" s="21"/>
    </row>
    <row r="49" spans="1:8" ht="12.9" customHeight="1" x14ac:dyDescent="0.25">
      <c r="A49" s="16" t="s">
        <v>156</v>
      </c>
      <c r="B49" s="17" t="s">
        <v>157</v>
      </c>
      <c r="C49" s="13" t="s">
        <v>158</v>
      </c>
      <c r="D49" s="14" t="s">
        <v>159</v>
      </c>
      <c r="E49" s="18">
        <v>181</v>
      </c>
      <c r="F49" s="19">
        <v>12.25</v>
      </c>
      <c r="G49" s="20">
        <v>6.3E-3</v>
      </c>
      <c r="H49" s="21"/>
    </row>
    <row r="50" spans="1:8" ht="12.9" customHeight="1" x14ac:dyDescent="0.25">
      <c r="A50" s="16" t="s">
        <v>160</v>
      </c>
      <c r="B50" s="17" t="s">
        <v>161</v>
      </c>
      <c r="C50" s="13" t="s">
        <v>162</v>
      </c>
      <c r="D50" s="14" t="s">
        <v>163</v>
      </c>
      <c r="E50" s="18">
        <v>2312</v>
      </c>
      <c r="F50" s="19">
        <v>11.37</v>
      </c>
      <c r="G50" s="20">
        <v>5.7999999999999996E-3</v>
      </c>
      <c r="H50" s="21"/>
    </row>
    <row r="51" spans="1:8" ht="12.9" customHeight="1" x14ac:dyDescent="0.25">
      <c r="A51" s="16" t="s">
        <v>164</v>
      </c>
      <c r="B51" s="17" t="s">
        <v>165</v>
      </c>
      <c r="C51" s="13" t="s">
        <v>166</v>
      </c>
      <c r="D51" s="14" t="s">
        <v>167</v>
      </c>
      <c r="E51" s="18">
        <v>484</v>
      </c>
      <c r="F51" s="19">
        <v>10.87</v>
      </c>
      <c r="G51" s="20">
        <v>5.4999999999999997E-3</v>
      </c>
      <c r="H51" s="21"/>
    </row>
    <row r="52" spans="1:8" ht="12.9" customHeight="1" x14ac:dyDescent="0.25">
      <c r="A52" s="16" t="s">
        <v>168</v>
      </c>
      <c r="B52" s="17" t="s">
        <v>169</v>
      </c>
      <c r="C52" s="13" t="s">
        <v>170</v>
      </c>
      <c r="D52" s="14" t="s">
        <v>139</v>
      </c>
      <c r="E52" s="18">
        <v>2156</v>
      </c>
      <c r="F52" s="19">
        <v>9.1300000000000008</v>
      </c>
      <c r="G52" s="20">
        <v>4.7000000000000002E-3</v>
      </c>
      <c r="H52" s="21"/>
    </row>
    <row r="53" spans="1:8" ht="12.9" customHeight="1" x14ac:dyDescent="0.25">
      <c r="A53" s="16" t="s">
        <v>171</v>
      </c>
      <c r="B53" s="17" t="s">
        <v>172</v>
      </c>
      <c r="C53" s="13" t="s">
        <v>173</v>
      </c>
      <c r="D53" s="14" t="s">
        <v>16</v>
      </c>
      <c r="E53" s="18">
        <v>1127</v>
      </c>
      <c r="F53" s="19">
        <v>9</v>
      </c>
      <c r="G53" s="20">
        <v>4.5999999999999999E-3</v>
      </c>
      <c r="H53" s="21"/>
    </row>
    <row r="54" spans="1:8" ht="12.9" customHeight="1" x14ac:dyDescent="0.25">
      <c r="A54" s="16" t="s">
        <v>174</v>
      </c>
      <c r="B54" s="17" t="s">
        <v>175</v>
      </c>
      <c r="C54" s="13" t="s">
        <v>176</v>
      </c>
      <c r="D54" s="14" t="s">
        <v>39</v>
      </c>
      <c r="E54" s="18">
        <v>1159</v>
      </c>
      <c r="F54" s="19">
        <v>7.38</v>
      </c>
      <c r="G54" s="20">
        <v>3.8E-3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16</v>
      </c>
      <c r="E55" s="18">
        <v>270</v>
      </c>
      <c r="F55" s="19">
        <v>5.4</v>
      </c>
      <c r="G55" s="20">
        <v>2.8E-3</v>
      </c>
      <c r="H55" s="21"/>
    </row>
    <row r="56" spans="1:8" ht="12.9" customHeight="1" x14ac:dyDescent="0.25">
      <c r="A56" s="16" t="s">
        <v>180</v>
      </c>
      <c r="B56" s="17" t="s">
        <v>181</v>
      </c>
      <c r="C56" s="13" t="s">
        <v>182</v>
      </c>
      <c r="D56" s="14" t="s">
        <v>183</v>
      </c>
      <c r="E56" s="18">
        <v>1588</v>
      </c>
      <c r="F56" s="19">
        <v>4.4000000000000004</v>
      </c>
      <c r="G56" s="20">
        <v>2.2000000000000001E-3</v>
      </c>
      <c r="H56" s="21"/>
    </row>
    <row r="57" spans="1:8" ht="12.9" customHeight="1" x14ac:dyDescent="0.25">
      <c r="A57" s="16" t="s">
        <v>184</v>
      </c>
      <c r="B57" s="17" t="s">
        <v>185</v>
      </c>
      <c r="C57" s="13" t="s">
        <v>186</v>
      </c>
      <c r="D57" s="14" t="s">
        <v>187</v>
      </c>
      <c r="E57" s="18">
        <v>239</v>
      </c>
      <c r="F57" s="19">
        <v>3.62</v>
      </c>
      <c r="G57" s="20">
        <v>1.8E-3</v>
      </c>
      <c r="H57" s="21"/>
    </row>
    <row r="58" spans="1:8" ht="12.9" customHeight="1" x14ac:dyDescent="0.25">
      <c r="A58" s="5"/>
      <c r="B58" s="22" t="s">
        <v>188</v>
      </c>
      <c r="C58" s="23"/>
      <c r="D58" s="22"/>
      <c r="E58" s="22"/>
      <c r="F58" s="24">
        <v>1952.4</v>
      </c>
      <c r="G58" s="25">
        <v>0.99650000000000005</v>
      </c>
      <c r="H58" s="26"/>
    </row>
    <row r="59" spans="1:8" ht="12.9" customHeight="1" x14ac:dyDescent="0.25">
      <c r="A59" s="5"/>
      <c r="B59" s="12" t="s">
        <v>189</v>
      </c>
      <c r="C59" s="27"/>
      <c r="D59" s="28"/>
      <c r="E59" s="28"/>
      <c r="F59" s="29" t="s">
        <v>190</v>
      </c>
      <c r="G59" s="29" t="s">
        <v>190</v>
      </c>
      <c r="H59" s="26" t="s">
        <v>190</v>
      </c>
    </row>
    <row r="60" spans="1:8" ht="12.9" customHeight="1" x14ac:dyDescent="0.25">
      <c r="A60" s="5"/>
      <c r="B60" s="22" t="s">
        <v>188</v>
      </c>
      <c r="C60" s="27"/>
      <c r="D60" s="28"/>
      <c r="E60" s="28"/>
      <c r="F60" s="29" t="s">
        <v>190</v>
      </c>
      <c r="G60" s="29" t="s">
        <v>190</v>
      </c>
      <c r="H60" s="26" t="s">
        <v>190</v>
      </c>
    </row>
    <row r="61" spans="1:8" ht="12.9" customHeight="1" x14ac:dyDescent="0.25">
      <c r="A61" s="5"/>
      <c r="B61" s="22" t="s">
        <v>191</v>
      </c>
      <c r="C61" s="27"/>
      <c r="D61" s="28"/>
      <c r="E61" s="30"/>
      <c r="F61" s="31">
        <v>1952.4</v>
      </c>
      <c r="G61" s="32">
        <v>0.99650000000000005</v>
      </c>
      <c r="H61" s="33"/>
    </row>
    <row r="62" spans="1:8" ht="12.9" customHeight="1" x14ac:dyDescent="0.25">
      <c r="A62" s="5"/>
      <c r="B62" s="12" t="s">
        <v>192</v>
      </c>
      <c r="C62" s="13"/>
      <c r="D62" s="14"/>
      <c r="E62" s="14"/>
      <c r="F62" s="14"/>
      <c r="G62" s="14"/>
      <c r="H62" s="15"/>
    </row>
    <row r="63" spans="1:8" ht="12.9" customHeight="1" x14ac:dyDescent="0.25">
      <c r="A63" s="5"/>
      <c r="B63" s="34" t="s">
        <v>193</v>
      </c>
      <c r="C63" s="13"/>
      <c r="D63" s="14"/>
      <c r="E63" s="14"/>
      <c r="F63" s="14"/>
      <c r="G63" s="14"/>
      <c r="H63" s="15"/>
    </row>
    <row r="64" spans="1:8" ht="12.9" customHeight="1" x14ac:dyDescent="0.25">
      <c r="A64" s="16" t="s">
        <v>194</v>
      </c>
      <c r="B64" s="17" t="s">
        <v>195</v>
      </c>
      <c r="C64" s="13"/>
      <c r="D64" s="14"/>
      <c r="E64" s="35"/>
      <c r="F64" s="19">
        <v>27.68</v>
      </c>
      <c r="G64" s="20">
        <v>1.41E-2</v>
      </c>
      <c r="H64" s="21">
        <v>6.6807112797621332E-2</v>
      </c>
    </row>
    <row r="65" spans="1:8" ht="12.9" customHeight="1" x14ac:dyDescent="0.25">
      <c r="A65" s="5"/>
      <c r="B65" s="22" t="s">
        <v>191</v>
      </c>
      <c r="C65" s="27"/>
      <c r="D65" s="28"/>
      <c r="E65" s="30"/>
      <c r="F65" s="31">
        <v>27.68</v>
      </c>
      <c r="G65" s="32">
        <v>1.41E-2</v>
      </c>
      <c r="H65" s="33"/>
    </row>
    <row r="66" spans="1:8" ht="12.9" customHeight="1" x14ac:dyDescent="0.25">
      <c r="A66" s="5"/>
      <c r="B66" s="34" t="s">
        <v>196</v>
      </c>
      <c r="C66" s="36"/>
      <c r="D66" s="37"/>
      <c r="E66" s="37"/>
      <c r="F66" s="37"/>
      <c r="G66" s="37"/>
      <c r="H66" s="38"/>
    </row>
    <row r="67" spans="1:8" ht="12.9" customHeight="1" x14ac:dyDescent="0.25">
      <c r="A67" s="5"/>
      <c r="B67" s="28" t="s">
        <v>197</v>
      </c>
      <c r="C67" s="27"/>
      <c r="D67" s="28"/>
      <c r="E67" s="28"/>
      <c r="F67" s="24">
        <v>0.18</v>
      </c>
      <c r="G67" s="25">
        <v>1E-4</v>
      </c>
      <c r="H67" s="38"/>
    </row>
    <row r="68" spans="1:8" ht="12.9" customHeight="1" x14ac:dyDescent="0.25">
      <c r="A68" s="5"/>
      <c r="B68" s="22" t="s">
        <v>188</v>
      </c>
      <c r="C68" s="23"/>
      <c r="D68" s="22"/>
      <c r="E68" s="22"/>
      <c r="F68" s="24">
        <v>0.18</v>
      </c>
      <c r="G68" s="25">
        <v>1E-4</v>
      </c>
      <c r="H68" s="38"/>
    </row>
    <row r="69" spans="1:8" ht="12.9" customHeight="1" x14ac:dyDescent="0.25">
      <c r="A69" s="5"/>
      <c r="B69" s="22" t="s">
        <v>198</v>
      </c>
      <c r="C69" s="27"/>
      <c r="D69" s="28"/>
      <c r="E69" s="28"/>
      <c r="F69" s="24">
        <v>-21</v>
      </c>
      <c r="G69" s="39">
        <v>-1.0699999999999999E-2</v>
      </c>
      <c r="H69" s="38"/>
    </row>
    <row r="70" spans="1:8" ht="12.9" customHeight="1" thickBot="1" x14ac:dyDescent="0.3">
      <c r="A70" s="5"/>
      <c r="B70" s="40" t="s">
        <v>199</v>
      </c>
      <c r="C70" s="41"/>
      <c r="D70" s="42"/>
      <c r="E70" s="42"/>
      <c r="F70" s="43">
        <v>1959.2629617217001</v>
      </c>
      <c r="G70" s="44">
        <v>1</v>
      </c>
      <c r="H70" s="45"/>
    </row>
    <row r="71" spans="1:8" ht="12.9" customHeight="1" x14ac:dyDescent="0.25">
      <c r="A71" s="5"/>
      <c r="B71" s="46"/>
      <c r="C71" s="5"/>
      <c r="D71" s="5"/>
      <c r="E71" s="5"/>
      <c r="F71" s="5"/>
      <c r="G71" s="5"/>
      <c r="H71" s="5"/>
    </row>
    <row r="72" spans="1:8" ht="12.9" customHeight="1" x14ac:dyDescent="0.25">
      <c r="A72" s="5"/>
      <c r="B72" s="46"/>
      <c r="C72" s="5"/>
      <c r="D72" s="5"/>
      <c r="E72" s="5"/>
      <c r="F72" s="5"/>
      <c r="G72" s="5"/>
      <c r="H72" s="5"/>
    </row>
    <row r="73" spans="1:8" x14ac:dyDescent="0.25">
      <c r="B73" s="47" t="s">
        <v>200</v>
      </c>
      <c r="C73" s="5"/>
    </row>
    <row r="74" spans="1:8" x14ac:dyDescent="0.25">
      <c r="B74" s="48" t="s">
        <v>201</v>
      </c>
      <c r="C74" s="48" t="s">
        <v>9</v>
      </c>
    </row>
    <row r="75" spans="1:8" x14ac:dyDescent="0.25">
      <c r="B75" s="49" t="str">
        <f t="shared" ref="B75:B81" si="0">+B8</f>
        <v>Divi's Laboratories Limited</v>
      </c>
      <c r="C75" s="50">
        <f t="shared" ref="C75:C81" si="1">+G8</f>
        <v>5.7700000000000001E-2</v>
      </c>
    </row>
    <row r="76" spans="1:8" x14ac:dyDescent="0.25">
      <c r="B76" s="49" t="str">
        <f t="shared" si="0"/>
        <v>Mahindra &amp; Mahindra Limited</v>
      </c>
      <c r="C76" s="50">
        <f t="shared" si="1"/>
        <v>5.2699999999999997E-2</v>
      </c>
    </row>
    <row r="77" spans="1:8" x14ac:dyDescent="0.25">
      <c r="B77" s="49" t="str">
        <f t="shared" si="0"/>
        <v>The Indian Hotels Company Limited</v>
      </c>
      <c r="C77" s="50">
        <f t="shared" si="1"/>
        <v>5.1499999999999997E-2</v>
      </c>
    </row>
    <row r="78" spans="1:8" x14ac:dyDescent="0.25">
      <c r="B78" s="49" t="str">
        <f t="shared" si="0"/>
        <v>Persistent Systems Limited</v>
      </c>
      <c r="C78" s="50">
        <f t="shared" si="1"/>
        <v>5.0700000000000002E-2</v>
      </c>
    </row>
    <row r="79" spans="1:8" x14ac:dyDescent="0.25">
      <c r="B79" s="49" t="str">
        <f t="shared" si="0"/>
        <v>Tech Mahindra Limited</v>
      </c>
      <c r="C79" s="50">
        <f t="shared" si="1"/>
        <v>4.9099999999999998E-2</v>
      </c>
    </row>
    <row r="80" spans="1:8" x14ac:dyDescent="0.25">
      <c r="B80" s="49" t="str">
        <f t="shared" si="0"/>
        <v>Trent Limited</v>
      </c>
      <c r="C80" s="50">
        <f t="shared" si="1"/>
        <v>4.4299999999999999E-2</v>
      </c>
    </row>
    <row r="81" spans="2:3" x14ac:dyDescent="0.25">
      <c r="B81" s="49" t="str">
        <f t="shared" si="0"/>
        <v>BSE Limited</v>
      </c>
      <c r="C81" s="50">
        <f t="shared" si="1"/>
        <v>4.3499999999999997E-2</v>
      </c>
    </row>
    <row r="83" spans="2:3" x14ac:dyDescent="0.25">
      <c r="B83" s="47" t="s">
        <v>202</v>
      </c>
    </row>
    <row r="84" spans="2:3" x14ac:dyDescent="0.25">
      <c r="B84" s="48" t="s">
        <v>203</v>
      </c>
      <c r="C84" s="48" t="s">
        <v>9</v>
      </c>
    </row>
    <row r="85" spans="2:3" x14ac:dyDescent="0.25">
      <c r="B85" s="49" t="s">
        <v>204</v>
      </c>
      <c r="C85" s="50">
        <v>0.1018</v>
      </c>
    </row>
    <row r="86" spans="2:3" x14ac:dyDescent="0.25">
      <c r="B86" s="49" t="s">
        <v>205</v>
      </c>
      <c r="C86" s="50">
        <v>9.5799999999999996E-2</v>
      </c>
    </row>
    <row r="87" spans="2:3" x14ac:dyDescent="0.25">
      <c r="B87" s="49" t="s">
        <v>206</v>
      </c>
      <c r="C87" s="50">
        <v>8.48E-2</v>
      </c>
    </row>
    <row r="88" spans="2:3" x14ac:dyDescent="0.25">
      <c r="B88" s="49" t="s">
        <v>207</v>
      </c>
      <c r="C88" s="50">
        <v>5.7700000000000001E-2</v>
      </c>
    </row>
    <row r="89" spans="2:3" x14ac:dyDescent="0.25">
      <c r="B89" s="49" t="s">
        <v>208</v>
      </c>
      <c r="C89" s="50">
        <v>5.0700000000000002E-2</v>
      </c>
    </row>
    <row r="90" spans="2:3" x14ac:dyDescent="0.25">
      <c r="B90" s="49" t="s">
        <v>209</v>
      </c>
      <c r="C90" s="50">
        <v>4.3499999999999997E-2</v>
      </c>
    </row>
    <row r="91" spans="2:3" x14ac:dyDescent="0.25">
      <c r="B91" s="49" t="s">
        <v>210</v>
      </c>
      <c r="C91" s="50">
        <v>4.2999999999999997E-2</v>
      </c>
    </row>
    <row r="93" spans="2:3" x14ac:dyDescent="0.25">
      <c r="B93" s="47" t="s">
        <v>211</v>
      </c>
    </row>
    <row r="94" spans="2:3" x14ac:dyDescent="0.25">
      <c r="B94" s="48" t="s">
        <v>212</v>
      </c>
      <c r="C94" s="48" t="s">
        <v>9</v>
      </c>
    </row>
    <row r="95" spans="2:3" x14ac:dyDescent="0.25">
      <c r="B95" s="49" t="s">
        <v>213</v>
      </c>
      <c r="C95" s="50">
        <v>0.18059999999999998</v>
      </c>
    </row>
    <row r="96" spans="2:3" x14ac:dyDescent="0.25">
      <c r="B96" s="49" t="s">
        <v>214</v>
      </c>
      <c r="C96" s="50">
        <v>0.1782</v>
      </c>
    </row>
    <row r="97" spans="1:6" x14ac:dyDescent="0.25">
      <c r="B97" s="49" t="s">
        <v>215</v>
      </c>
      <c r="C97" s="50">
        <v>0.16009999999999999</v>
      </c>
    </row>
    <row r="98" spans="1:6" x14ac:dyDescent="0.25">
      <c r="B98" s="49" t="s">
        <v>216</v>
      </c>
      <c r="C98" s="50">
        <v>0.14479999999999998</v>
      </c>
    </row>
    <row r="99" spans="1:6" ht="14.4" thickBot="1" x14ac:dyDescent="0.3"/>
    <row r="100" spans="1:6" x14ac:dyDescent="0.25">
      <c r="B100" s="51" t="s">
        <v>217</v>
      </c>
      <c r="C100" s="52"/>
      <c r="D100" s="52"/>
      <c r="E100" s="53"/>
      <c r="F100" s="54"/>
    </row>
    <row r="101" spans="1:6" x14ac:dyDescent="0.25">
      <c r="B101" s="55" t="s">
        <v>218</v>
      </c>
      <c r="C101" s="56"/>
      <c r="D101" s="56"/>
      <c r="E101" s="56"/>
      <c r="F101" s="57"/>
    </row>
    <row r="102" spans="1:6" x14ac:dyDescent="0.25">
      <c r="B102" s="58" t="s">
        <v>219</v>
      </c>
      <c r="C102" s="56"/>
      <c r="D102" s="56"/>
      <c r="E102" s="59"/>
      <c r="F102" s="57"/>
    </row>
    <row r="103" spans="1:6" ht="14.4" thickBot="1" x14ac:dyDescent="0.3">
      <c r="B103" s="60" t="s">
        <v>220</v>
      </c>
      <c r="C103" s="61"/>
      <c r="D103" s="61"/>
      <c r="E103" s="61"/>
      <c r="F103" s="62"/>
    </row>
    <row r="104" spans="1:6" x14ac:dyDescent="0.25">
      <c r="B104" s="63" t="s">
        <v>221</v>
      </c>
      <c r="C104" s="64" t="s">
        <v>222</v>
      </c>
      <c r="D104" s="64"/>
      <c r="E104" s="65"/>
      <c r="F104" s="66"/>
    </row>
    <row r="105" spans="1:6" ht="14.4" thickBot="1" x14ac:dyDescent="0.3">
      <c r="B105" s="67"/>
      <c r="C105" s="68">
        <v>45747</v>
      </c>
      <c r="D105" s="68">
        <v>45565</v>
      </c>
      <c r="E105" s="68"/>
      <c r="F105" s="69"/>
    </row>
    <row r="106" spans="1:6" x14ac:dyDescent="0.25">
      <c r="B106" s="70" t="s">
        <v>223</v>
      </c>
      <c r="C106" s="71"/>
      <c r="D106" s="71"/>
      <c r="E106" s="72"/>
      <c r="F106" s="73"/>
    </row>
    <row r="107" spans="1:6" x14ac:dyDescent="0.25">
      <c r="A107" s="1" t="s">
        <v>224</v>
      </c>
      <c r="B107" s="74" t="s">
        <v>225</v>
      </c>
      <c r="C107" s="75">
        <v>8.0051000000000005</v>
      </c>
      <c r="D107" s="76" t="s">
        <v>226</v>
      </c>
      <c r="E107" s="72"/>
      <c r="F107" s="73"/>
    </row>
    <row r="108" spans="1:6" x14ac:dyDescent="0.25">
      <c r="B108" s="74"/>
      <c r="C108" s="77"/>
      <c r="D108" s="77"/>
      <c r="E108" s="72"/>
      <c r="F108" s="73"/>
    </row>
    <row r="109" spans="1:6" x14ac:dyDescent="0.25">
      <c r="B109" s="70" t="s">
        <v>227</v>
      </c>
      <c r="C109" s="75"/>
      <c r="D109" s="75"/>
      <c r="E109" s="72"/>
      <c r="F109" s="73"/>
    </row>
    <row r="110" spans="1:6" x14ac:dyDescent="0.25">
      <c r="A110" s="1" t="s">
        <v>228</v>
      </c>
      <c r="B110" s="74" t="s">
        <v>225</v>
      </c>
      <c r="C110" s="75">
        <v>8.0268999999999995</v>
      </c>
      <c r="D110" s="76" t="s">
        <v>226</v>
      </c>
      <c r="E110" s="72"/>
      <c r="F110" s="73"/>
    </row>
    <row r="111" spans="1:6" x14ac:dyDescent="0.25">
      <c r="B111" s="74"/>
      <c r="C111" s="75"/>
      <c r="D111" s="75"/>
      <c r="E111" s="72"/>
      <c r="F111" s="73"/>
    </row>
    <row r="112" spans="1:6" ht="14.4" thickBot="1" x14ac:dyDescent="0.3">
      <c r="B112" s="60" t="s">
        <v>229</v>
      </c>
      <c r="C112" s="78"/>
      <c r="D112" s="78"/>
      <c r="E112" s="79"/>
      <c r="F112" s="80"/>
    </row>
    <row r="113" spans="2:6" x14ac:dyDescent="0.25">
      <c r="B113" s="74" t="s">
        <v>230</v>
      </c>
      <c r="C113" s="81"/>
      <c r="D113" s="71"/>
      <c r="E113" s="82"/>
      <c r="F113" s="83"/>
    </row>
    <row r="114" spans="2:6" x14ac:dyDescent="0.25">
      <c r="B114" s="74" t="s">
        <v>231</v>
      </c>
      <c r="C114" s="56"/>
      <c r="D114" s="71"/>
      <c r="E114" s="59"/>
      <c r="F114" s="73"/>
    </row>
    <row r="115" spans="2:6" x14ac:dyDescent="0.25">
      <c r="B115" s="74" t="s">
        <v>232</v>
      </c>
      <c r="C115" s="56"/>
      <c r="D115" s="84"/>
      <c r="E115" s="59"/>
      <c r="F115" s="73"/>
    </row>
    <row r="116" spans="2:6" x14ac:dyDescent="0.25">
      <c r="B116" s="74" t="s">
        <v>233</v>
      </c>
      <c r="C116" s="56"/>
      <c r="D116" s="84"/>
      <c r="E116" s="59"/>
      <c r="F116" s="73"/>
    </row>
    <row r="117" spans="2:6" x14ac:dyDescent="0.25">
      <c r="B117" s="74" t="s">
        <v>234</v>
      </c>
      <c r="C117" s="56"/>
      <c r="D117" s="56"/>
      <c r="E117" s="56"/>
      <c r="F117" s="57"/>
    </row>
    <row r="118" spans="2:6" x14ac:dyDescent="0.25">
      <c r="B118" s="74" t="s">
        <v>235</v>
      </c>
      <c r="C118" s="56"/>
      <c r="D118" s="56"/>
      <c r="E118" s="56"/>
      <c r="F118" s="57"/>
    </row>
    <row r="119" spans="2:6" ht="14.4" thickBot="1" x14ac:dyDescent="0.3">
      <c r="B119" s="60"/>
      <c r="C119" s="61"/>
      <c r="D119" s="61"/>
      <c r="E119" s="61"/>
      <c r="F119" s="62"/>
    </row>
    <row r="120" spans="2:6" x14ac:dyDescent="0.25">
      <c r="F120" s="85" t="s">
        <v>236</v>
      </c>
    </row>
    <row r="121" spans="2:6" x14ac:dyDescent="0.25">
      <c r="B121" s="85" t="s">
        <v>237</v>
      </c>
      <c r="F121" s="85" t="s">
        <v>238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IDF307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2025-04-07T18:45:41Z</dcterms:created>
  <dcterms:modified xsi:type="dcterms:W3CDTF">2025-04-07T18:45:41Z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710dcf27-65e1-4020-a056-5c8c86828f84</vt:lpwstr>
  </property>
  <property fmtid="{D5CDD505-2E9C-101B-9397-08002B2CF9AE}" pid="8" name="MSIP_Label_af1741f6-9e47-426e-a683-937c37d4ebc5_ContentBits">
    <vt:lpwstr>3</vt:lpwstr>
  </property>
</Properties>
</file>