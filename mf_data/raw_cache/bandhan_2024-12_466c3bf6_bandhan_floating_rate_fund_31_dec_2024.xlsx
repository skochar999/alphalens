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dbg.ads.db.com\IND-DISPL-G\RestrictedEXTN3\IDFCMF\New folder\FUNDADM\IDFC\Monthly Reports\2024\Dec 24\Portfolios\ROM\"/>
    </mc:Choice>
  </mc:AlternateContent>
  <xr:revisionPtr revIDLastSave="0" documentId="8_{BFD5EC77-4F29-40D7-BE5E-0A399FC59777}" xr6:coauthVersionLast="47" xr6:coauthVersionMax="47" xr10:uidLastSave="{00000000-0000-0000-0000-000000000000}"/>
  <bookViews>
    <workbookView xWindow="-108" yWindow="-108" windowWidth="41496" windowHeight="16896" xr2:uid="{5456CBA6-1B12-4D6E-BEE2-1A01B40076C7}"/>
  </bookViews>
  <sheets>
    <sheet name="IDF272" sheetId="1" r:id="rId1"/>
  </sheets>
  <definedNames>
    <definedName name="JR_PAGE_ANCHOR_0_13">'IDF272'!$A$2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8" i="1" l="1"/>
</calcChain>
</file>

<file path=xl/sharedStrings.xml><?xml version="1.0" encoding="utf-8"?>
<sst xmlns="http://schemas.openxmlformats.org/spreadsheetml/2006/main" count="145" uniqueCount="114">
  <si>
    <t>IDF272</t>
  </si>
  <si>
    <t>INDEX</t>
  </si>
  <si>
    <t>Portfolio Statement as on December 31,2024</t>
  </si>
  <si>
    <t>Bandhan Floating Rate Fund</t>
  </si>
  <si>
    <t>Name of the Instrument</t>
  </si>
  <si>
    <t>ISIN</t>
  </si>
  <si>
    <t>Industry / Rating</t>
  </si>
  <si>
    <t>Quantity</t>
  </si>
  <si>
    <t>Market/Fair Value ( Rs. in Lacs)</t>
  </si>
  <si>
    <t>% to NAV</t>
  </si>
  <si>
    <t>YTM</t>
  </si>
  <si>
    <t>Debt Instruments</t>
  </si>
  <si>
    <t>(a) Listed / awaiting listing on Stock Exchange</t>
  </si>
  <si>
    <t>Government Securities</t>
  </si>
  <si>
    <t>GOI5379</t>
  </si>
  <si>
    <t>7.32% Government of India</t>
  </si>
  <si>
    <t>IN0020230135</t>
  </si>
  <si>
    <t>SOVEREIGN</t>
  </si>
  <si>
    <t>GOI5228</t>
  </si>
  <si>
    <t>7.18% Government of India</t>
  </si>
  <si>
    <t>IN0020230085</t>
  </si>
  <si>
    <t>GOI5713</t>
  </si>
  <si>
    <t>7.1% Government of India</t>
  </si>
  <si>
    <t>IN0020240019</t>
  </si>
  <si>
    <t>GOI5081</t>
  </si>
  <si>
    <t>7.17% Government of India</t>
  </si>
  <si>
    <t>IN0020230036</t>
  </si>
  <si>
    <t>Non Convertible Debentures</t>
  </si>
  <si>
    <t>EXIM669</t>
  </si>
  <si>
    <t>6.35% Export Import Bank of India</t>
  </si>
  <si>
    <t>INE514E08FT8</t>
  </si>
  <si>
    <t>CRISIL AAA</t>
  </si>
  <si>
    <t>NIMA374</t>
  </si>
  <si>
    <t>8.5% Nirma Limited **</t>
  </si>
  <si>
    <t>INE091A07208</t>
  </si>
  <si>
    <t>CRISIL AA</t>
  </si>
  <si>
    <t>AFPL104</t>
  </si>
  <si>
    <t>10.9% AU Small Finance Bank Limited **</t>
  </si>
  <si>
    <t>INE949L08418</t>
  </si>
  <si>
    <t>TATP41</t>
  </si>
  <si>
    <t>8.47% Tata Projects Limited **</t>
  </si>
  <si>
    <t>INE725H08162</t>
  </si>
  <si>
    <t>FITCH AA</t>
  </si>
  <si>
    <t>CENT244</t>
  </si>
  <si>
    <t>8.35% Aditya Birla Real Estate Limited **</t>
  </si>
  <si>
    <t>INE055A08052</t>
  </si>
  <si>
    <t>MUFL429</t>
  </si>
  <si>
    <t>8.97% Muthoot Finance Limited **</t>
  </si>
  <si>
    <t>INE414G07JH5</t>
  </si>
  <si>
    <t>CRISIL AA+</t>
  </si>
  <si>
    <t>GOSL357</t>
  </si>
  <si>
    <t>8.4% Godrej Industries Limited **</t>
  </si>
  <si>
    <t>INE233A08113</t>
  </si>
  <si>
    <t>AAHF88</t>
  </si>
  <si>
    <t>8.5% Aadhar Housing Finance Limited **</t>
  </si>
  <si>
    <t>INE883F07306</t>
  </si>
  <si>
    <t>BAFL842</t>
  </si>
  <si>
    <t>8% Bajaj Finance Limited **</t>
  </si>
  <si>
    <t>INE296A07SJ6</t>
  </si>
  <si>
    <t>CHOL1013</t>
  </si>
  <si>
    <t>8.25% Cholamandalam Investment and Finance Company Ltd **</t>
  </si>
  <si>
    <t>INE121A07RC3</t>
  </si>
  <si>
    <t>ICRA AA+</t>
  </si>
  <si>
    <t>TCHF374</t>
  </si>
  <si>
    <t>7.55% Tata Capital Housing Finance Limited **</t>
  </si>
  <si>
    <t>INE033L07HT2</t>
  </si>
  <si>
    <t>TCHF351</t>
  </si>
  <si>
    <t>6.5% Tata Capital Housing Finance Limited **</t>
  </si>
  <si>
    <t>INE033L07HF1</t>
  </si>
  <si>
    <t>GODP219</t>
  </si>
  <si>
    <t>8.15% Godrej Properties Limited **</t>
  </si>
  <si>
    <t>INE484J08048</t>
  </si>
  <si>
    <t>Subtotal</t>
  </si>
  <si>
    <t>(b) Privately placed / Unlisted</t>
  </si>
  <si>
    <t>NIL</t>
  </si>
  <si>
    <t>Total</t>
  </si>
  <si>
    <t>Money Market Instruments</t>
  </si>
  <si>
    <t>Certificate of Deposit</t>
  </si>
  <si>
    <t>UTIB1320</t>
  </si>
  <si>
    <t>Axis Bank Limited</t>
  </si>
  <si>
    <t>INE238AD6827</t>
  </si>
  <si>
    <t>CRISIL A1+</t>
  </si>
  <si>
    <t>TREPS / Reverse Repo Instrument</t>
  </si>
  <si>
    <t>TRP_010125</t>
  </si>
  <si>
    <t>Triparty Repo TRP_010125</t>
  </si>
  <si>
    <t>Derivatives</t>
  </si>
  <si>
    <t>Interest Rate Swaps</t>
  </si>
  <si>
    <t>IRS1021FL</t>
  </si>
  <si>
    <t>Interest Rate Swaps (09/01/2025) Receive Floating</t>
  </si>
  <si>
    <t>IRS1020FL</t>
  </si>
  <si>
    <t>IRS1023FL</t>
  </si>
  <si>
    <t>IRS1018FL</t>
  </si>
  <si>
    <t>IRS1019FL</t>
  </si>
  <si>
    <t>IRS1022FL</t>
  </si>
  <si>
    <t>IRS1018FX</t>
  </si>
  <si>
    <t>Interest Rate Swaps (09/01/2025) Pay Fixed</t>
  </si>
  <si>
    <t>IRS1019FX</t>
  </si>
  <si>
    <t>IRS1022FX</t>
  </si>
  <si>
    <t>IRS1020FX</t>
  </si>
  <si>
    <t>IRS1023FX</t>
  </si>
  <si>
    <t>IRS1021FX</t>
  </si>
  <si>
    <t>Corporate Debt Market Development Fund</t>
  </si>
  <si>
    <t>CDMD50ME</t>
  </si>
  <si>
    <t>Corporate Debt Market Development Fund Class A2</t>
  </si>
  <si>
    <t>INF0RQ622028</t>
  </si>
  <si>
    <t>OTHERS</t>
  </si>
  <si>
    <t>Cash Margin - CCIL</t>
  </si>
  <si>
    <t>Net Current Assets</t>
  </si>
  <si>
    <t>GRAND TOTAL</t>
  </si>
  <si>
    <t>** Thinly Traded/Non Traded Securities/Illiquid Securities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</si>
  <si>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</si>
  <si>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BENCHMARK NAME - NIFTY SHORT DURATION DEBT INDEX A-II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</si>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</sst>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
    <numFmt numFmtId="166" formatCode="#,##0.000"/>
    <numFmt numFmtId="167" formatCode="#,##0.000;\(#,##0.000\)"/>
  </numFmts>
  <fonts count="9">
    <font>
      <sz val="11"/>
      <color theme="1"/>
      <name val="Calibri"/>
      <family val="2"/>
      <scheme val="minor"/>
    </font>
    <font>
      <b/>
      <sz val="11"/>
      <color theme="1"/>
      <name val="Calibri"/>
      <family val="2"/>
      <scheme val="minor"/>
    </font>
    <font>
      <sz val="11"/>
      <color theme="0"/>
      <name val="Calibri"/>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s>
  <fills count="2">
    <fill>
      <patternFill patternType="none"/>
    </fill>
    <fill>
      <patternFill patternType="gray125"/>
    </fill>
  </fills>
  <borders count="20">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50">
    <xf numFmtId="0" fontId="0" fillId="0" borderId="0" xfId="0"/>
    <xf numFmtId="0" fontId="2" fillId="0" borderId="0" xfId="0" applyFont="1"/>
    <xf numFmtId="0" fontId="3" fillId="0" borderId="0" xfId="0" applyFont="1" applyAlignment="1">
      <alignment horizontal="left" vertical="top" wrapText="1"/>
    </xf>
    <xf numFmtId="0" fontId="4" fillId="0" borderId="0" xfId="0" applyFont="1" applyAlignment="1">
      <alignment horizontal="center"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0" xfId="0" applyFont="1" applyAlignment="1">
      <alignment horizontal="left" vertical="top" wrapText="1"/>
    </xf>
    <xf numFmtId="0" fontId="5" fillId="0" borderId="5" xfId="0" applyFont="1" applyBorder="1" applyAlignment="1">
      <alignment horizontal="left" vertical="top" wrapText="1"/>
    </xf>
    <xf numFmtId="3" fontId="5" fillId="0" borderId="7" xfId="0" applyNumberFormat="1" applyFont="1" applyBorder="1" applyAlignment="1">
      <alignment horizontal="right" vertical="top" wrapText="1"/>
    </xf>
    <xf numFmtId="164" fontId="5" fillId="0" borderId="7" xfId="0" applyNumberFormat="1" applyFont="1" applyBorder="1" applyAlignment="1">
      <alignment horizontal="right" vertical="top" wrapText="1"/>
    </xf>
    <xf numFmtId="165" fontId="5" fillId="0" borderId="7" xfId="0" applyNumberFormat="1" applyFont="1" applyBorder="1" applyAlignment="1">
      <alignment horizontal="right" vertical="top" wrapText="1"/>
    </xf>
    <xf numFmtId="165" fontId="5" fillId="0" borderId="8" xfId="0" applyNumberFormat="1" applyFont="1" applyBorder="1" applyAlignment="1">
      <alignment horizontal="righ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164" fontId="4" fillId="0" borderId="9"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11" xfId="0" applyFont="1" applyBorder="1" applyAlignment="1">
      <alignment horizontal="right" vertical="top" wrapText="1"/>
    </xf>
    <xf numFmtId="0" fontId="5" fillId="0" borderId="9" xfId="0" applyFont="1" applyBorder="1" applyAlignment="1">
      <alignment horizontal="left" vertical="top" wrapText="1"/>
    </xf>
    <xf numFmtId="0" fontId="4" fillId="0" borderId="9" xfId="0" applyFont="1" applyBorder="1" applyAlignment="1">
      <alignment horizontal="right" vertical="top" wrapText="1"/>
    </xf>
    <xf numFmtId="0" fontId="5" fillId="0" borderId="10" xfId="0" applyFont="1" applyBorder="1" applyAlignment="1">
      <alignment horizontal="left" vertical="top" wrapText="1"/>
    </xf>
    <xf numFmtId="0" fontId="5" fillId="0" borderId="12" xfId="0" applyFont="1" applyBorder="1" applyAlignment="1">
      <alignment horizontal="left" vertical="top" wrapText="1"/>
    </xf>
    <xf numFmtId="164" fontId="4" fillId="0" borderId="12" xfId="0" applyNumberFormat="1" applyFont="1" applyBorder="1" applyAlignment="1">
      <alignment horizontal="right" vertical="top" wrapText="1"/>
    </xf>
    <xf numFmtId="165" fontId="7" fillId="0" borderId="12" xfId="0" applyNumberFormat="1" applyFont="1" applyBorder="1" applyAlignment="1">
      <alignment horizontal="right" vertical="top" wrapText="1"/>
    </xf>
    <xf numFmtId="0" fontId="7" fillId="0" borderId="13" xfId="0" applyFont="1" applyBorder="1" applyAlignment="1">
      <alignment horizontal="right" vertical="top" wrapText="1"/>
    </xf>
    <xf numFmtId="0" fontId="7" fillId="0" borderId="9" xfId="0" applyFont="1" applyBorder="1" applyAlignment="1">
      <alignment horizontal="left" vertical="top" wrapText="1"/>
    </xf>
    <xf numFmtId="0" fontId="5" fillId="0" borderId="7" xfId="0" applyFont="1" applyBorder="1" applyAlignment="1">
      <alignment horizontal="right" vertical="top" wrapText="1"/>
    </xf>
    <xf numFmtId="166" fontId="5" fillId="0" borderId="7" xfId="0" applyNumberFormat="1" applyFont="1" applyBorder="1" applyAlignment="1">
      <alignment horizontal="right" vertical="top" wrapText="1"/>
    </xf>
    <xf numFmtId="167" fontId="5" fillId="0" borderId="7" xfId="0" applyNumberFormat="1" applyFont="1" applyBorder="1" applyAlignment="1">
      <alignment horizontal="right" vertical="top" wrapText="1"/>
    </xf>
    <xf numFmtId="0" fontId="8" fillId="0" borderId="10" xfId="0" applyFont="1" applyBorder="1" applyAlignment="1">
      <alignment horizontal="left" vertical="top" wrapText="1"/>
    </xf>
    <xf numFmtId="0" fontId="8" fillId="0" borderId="9" xfId="0" applyFont="1" applyBorder="1" applyAlignment="1">
      <alignment horizontal="left" vertical="top" wrapText="1"/>
    </xf>
    <xf numFmtId="0" fontId="8" fillId="0" borderId="11" xfId="0" applyFont="1" applyBorder="1" applyAlignment="1">
      <alignment horizontal="left" vertical="top" wrapText="1"/>
    </xf>
    <xf numFmtId="165" fontId="5" fillId="0" borderId="9" xfId="0" applyNumberFormat="1" applyFont="1" applyBorder="1" applyAlignment="1">
      <alignment horizontal="right" vertical="top" wrapText="1"/>
    </xf>
    <xf numFmtId="0" fontId="4"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164" fontId="4" fillId="0" borderId="17" xfId="0" applyNumberFormat="1" applyFont="1" applyBorder="1" applyAlignment="1">
      <alignment horizontal="right" vertical="top" wrapText="1"/>
    </xf>
    <xf numFmtId="165" fontId="4" fillId="0" borderId="18" xfId="0" applyNumberFormat="1" applyFont="1" applyBorder="1" applyAlignment="1">
      <alignment horizontal="right" vertical="top" wrapText="1"/>
    </xf>
    <xf numFmtId="0" fontId="8" fillId="0" borderId="19" xfId="0" applyFont="1" applyBorder="1"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dbg.ads.db.com\IND-DISPL-G\RestrictedEXTN3\IDFCMF\New%20folder\FUNDADM\IDFC\Daily%20Reports\Mails%20for%20the%20Day\RiskoMeter\Moderate.png" TargetMode="External"/><Relationship Id="rId1" Type="http://schemas.openxmlformats.org/officeDocument/2006/relationships/image" Target="../media/image1.jpeg"/><Relationship Id="rId4" Type="http://schemas.openxmlformats.org/officeDocument/2006/relationships/image" Target="file:///\\dbg.ads.db.com\IND-DISPL-G\RestrictedEXTN3\IDFCMF\New%20folder\FUNDADM\IDFC\Daily%20Reports\Mails%20for%20the%20Day\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67</xdr:row>
      <xdr:rowOff>0</xdr:rowOff>
    </xdr:from>
    <xdr:to>
      <xdr:col>1</xdr:col>
      <xdr:colOff>2857500</xdr:colOff>
      <xdr:row>77</xdr:row>
      <xdr:rowOff>76200</xdr:rowOff>
    </xdr:to>
    <xdr:pic>
      <xdr:nvPicPr>
        <xdr:cNvPr id="2" name="Picture 1">
          <a:extLst>
            <a:ext uri="{FF2B5EF4-FFF2-40B4-BE49-F238E27FC236}">
              <a16:creationId xmlns:a16="http://schemas.microsoft.com/office/drawing/2014/main" id="{FCDF1042-8A2C-45AB-BD49-D9846D8A938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20980" y="11590020"/>
          <a:ext cx="2857500" cy="1905000"/>
        </a:xfrm>
        <a:prstGeom prst="rect">
          <a:avLst/>
        </a:prstGeom>
      </xdr:spPr>
    </xdr:pic>
    <xdr:clientData/>
  </xdr:twoCellAnchor>
  <xdr:twoCellAnchor editAs="oneCell">
    <xdr:from>
      <xdr:col>5</xdr:col>
      <xdr:colOff>0</xdr:colOff>
      <xdr:row>67</xdr:row>
      <xdr:rowOff>0</xdr:rowOff>
    </xdr:from>
    <xdr:to>
      <xdr:col>7</xdr:col>
      <xdr:colOff>556260</xdr:colOff>
      <xdr:row>77</xdr:row>
      <xdr:rowOff>76200</xdr:rowOff>
    </xdr:to>
    <xdr:pic>
      <xdr:nvPicPr>
        <xdr:cNvPr id="3" name="Picture 2">
          <a:extLst>
            <a:ext uri="{FF2B5EF4-FFF2-40B4-BE49-F238E27FC236}">
              <a16:creationId xmlns:a16="http://schemas.microsoft.com/office/drawing/2014/main" id="{D7A03608-8675-4AAA-BB82-9DB63442B5F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7414260" y="11590020"/>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70302-38C4-44B3-B84B-4EECED37D1AB}">
  <sheetPr codeName="Sheet13">
    <outlinePr summaryBelow="0"/>
  </sheetPr>
  <dimension ref="A1:H66"/>
  <sheetViews>
    <sheetView tabSelected="1" topLeftCell="A29" workbookViewId="0">
      <selection activeCell="B7" sqref="B7"/>
    </sheetView>
  </sheetViews>
  <sheetFormatPr defaultRowHeight="14.4"/>
  <cols>
    <col min="1" max="1" width="3.21875" customWidth="1"/>
    <col min="2" max="2" width="47.77734375" customWidth="1"/>
    <col min="3" max="3" width="16.77734375" customWidth="1"/>
    <col min="4" max="4" width="23.5546875" customWidth="1"/>
    <col min="5" max="8" width="16.77734375" customWidth="1"/>
  </cols>
  <sheetData>
    <row r="1" spans="1:8">
      <c r="A1" s="1" t="s">
        <v>0</v>
      </c>
    </row>
    <row r="2" spans="1:8" ht="16.05" customHeight="1">
      <c r="A2" s="2" t="s">
        <v>1</v>
      </c>
      <c r="B2" s="3" t="s">
        <v>2</v>
      </c>
      <c r="C2" s="3"/>
      <c r="D2" s="3"/>
      <c r="E2" s="3"/>
      <c r="F2" s="3"/>
      <c r="G2" s="3"/>
      <c r="H2" s="4"/>
    </row>
    <row r="3" spans="1:8" ht="13.05" customHeight="1">
      <c r="A3" s="4"/>
      <c r="B3" s="3" t="s">
        <v>3</v>
      </c>
      <c r="C3" s="3"/>
      <c r="D3" s="3"/>
      <c r="E3" s="3"/>
      <c r="F3" s="3"/>
      <c r="G3" s="3"/>
      <c r="H3" s="4"/>
    </row>
    <row r="4" spans="1:8" ht="13.05" customHeight="1" thickBot="1">
      <c r="A4" s="5"/>
      <c r="B4" s="4"/>
      <c r="C4" s="4"/>
      <c r="D4" s="4"/>
      <c r="E4" s="4"/>
      <c r="F4" s="4"/>
      <c r="G4" s="4"/>
      <c r="H4" s="4"/>
    </row>
    <row r="5" spans="1:8" ht="28.05" customHeight="1">
      <c r="A5" s="4"/>
      <c r="B5" s="6" t="s">
        <v>4</v>
      </c>
      <c r="C5" s="7" t="s">
        <v>5</v>
      </c>
      <c r="D5" s="8" t="s">
        <v>6</v>
      </c>
      <c r="E5" s="9" t="s">
        <v>7</v>
      </c>
      <c r="F5" s="9" t="s">
        <v>8</v>
      </c>
      <c r="G5" s="9" t="s">
        <v>9</v>
      </c>
      <c r="H5" s="10" t="s">
        <v>10</v>
      </c>
    </row>
    <row r="6" spans="1:8" ht="13.05" customHeight="1">
      <c r="A6" s="4"/>
      <c r="B6" s="11" t="s">
        <v>11</v>
      </c>
      <c r="C6" s="12"/>
      <c r="D6" s="13"/>
      <c r="E6" s="13"/>
      <c r="F6" s="13"/>
      <c r="G6" s="13"/>
      <c r="H6" s="14"/>
    </row>
    <row r="7" spans="1:8" ht="13.05" customHeight="1">
      <c r="A7" s="4"/>
      <c r="B7" s="11" t="s">
        <v>12</v>
      </c>
      <c r="C7" s="12"/>
      <c r="D7" s="13"/>
      <c r="E7" s="13"/>
      <c r="F7" s="13"/>
      <c r="G7" s="13"/>
      <c r="H7" s="14"/>
    </row>
    <row r="8" spans="1:8" ht="13.05" customHeight="1">
      <c r="A8" s="4"/>
      <c r="B8" s="11" t="s">
        <v>13</v>
      </c>
      <c r="C8" s="12"/>
      <c r="D8" s="13"/>
      <c r="E8" s="13"/>
      <c r="F8" s="13"/>
      <c r="G8" s="13"/>
      <c r="H8" s="14"/>
    </row>
    <row r="9" spans="1:8" ht="13.05" customHeight="1">
      <c r="A9" s="15" t="s">
        <v>14</v>
      </c>
      <c r="B9" s="16" t="s">
        <v>15</v>
      </c>
      <c r="C9" s="12" t="s">
        <v>16</v>
      </c>
      <c r="D9" s="13" t="s">
        <v>17</v>
      </c>
      <c r="E9" s="17">
        <v>4000000</v>
      </c>
      <c r="F9" s="18">
        <v>4103.78</v>
      </c>
      <c r="G9" s="19">
        <v>0.14349999999999999</v>
      </c>
      <c r="H9" s="20">
        <v>6.8888999999999992E-2</v>
      </c>
    </row>
    <row r="10" spans="1:8" ht="13.05" customHeight="1">
      <c r="A10" s="15" t="s">
        <v>18</v>
      </c>
      <c r="B10" s="16" t="s">
        <v>19</v>
      </c>
      <c r="C10" s="12" t="s">
        <v>20</v>
      </c>
      <c r="D10" s="13" t="s">
        <v>17</v>
      </c>
      <c r="E10" s="17">
        <v>3000000</v>
      </c>
      <c r="F10" s="18">
        <v>3069.74</v>
      </c>
      <c r="G10" s="19">
        <v>0.10730000000000001</v>
      </c>
      <c r="H10" s="20">
        <v>6.9333999999999993E-2</v>
      </c>
    </row>
    <row r="11" spans="1:8" ht="13.05" customHeight="1">
      <c r="A11" s="15" t="s">
        <v>21</v>
      </c>
      <c r="B11" s="16" t="s">
        <v>22</v>
      </c>
      <c r="C11" s="12" t="s">
        <v>23</v>
      </c>
      <c r="D11" s="13" t="s">
        <v>17</v>
      </c>
      <c r="E11" s="17">
        <v>2500000</v>
      </c>
      <c r="F11" s="18">
        <v>2552.17</v>
      </c>
      <c r="G11" s="19">
        <v>8.9200000000000002E-2</v>
      </c>
      <c r="H11" s="20">
        <v>6.9060999999999997E-2</v>
      </c>
    </row>
    <row r="12" spans="1:8" ht="13.05" customHeight="1">
      <c r="A12" s="15" t="s">
        <v>24</v>
      </c>
      <c r="B12" s="16" t="s">
        <v>25</v>
      </c>
      <c r="C12" s="12" t="s">
        <v>26</v>
      </c>
      <c r="D12" s="13" t="s">
        <v>17</v>
      </c>
      <c r="E12" s="17">
        <v>1000000</v>
      </c>
      <c r="F12" s="18">
        <v>1017.31</v>
      </c>
      <c r="G12" s="19">
        <v>3.56E-2</v>
      </c>
      <c r="H12" s="20">
        <v>6.8870000000000001E-2</v>
      </c>
    </row>
    <row r="13" spans="1:8" ht="13.05" customHeight="1">
      <c r="A13" s="4"/>
      <c r="B13" s="11" t="s">
        <v>27</v>
      </c>
      <c r="C13" s="12"/>
      <c r="D13" s="13"/>
      <c r="E13" s="13"/>
      <c r="F13" s="13"/>
      <c r="G13" s="13"/>
      <c r="H13" s="14"/>
    </row>
    <row r="14" spans="1:8" ht="13.05" customHeight="1">
      <c r="A14" s="15" t="s">
        <v>28</v>
      </c>
      <c r="B14" s="16" t="s">
        <v>29</v>
      </c>
      <c r="C14" s="12" t="s">
        <v>30</v>
      </c>
      <c r="D14" s="13" t="s">
        <v>31</v>
      </c>
      <c r="E14" s="17">
        <v>2500000</v>
      </c>
      <c r="F14" s="18">
        <v>2495.44</v>
      </c>
      <c r="G14" s="19">
        <v>8.72E-2</v>
      </c>
      <c r="H14" s="20">
        <v>7.3499999999999996E-2</v>
      </c>
    </row>
    <row r="15" spans="1:8" ht="13.05" customHeight="1">
      <c r="A15" s="15" t="s">
        <v>32</v>
      </c>
      <c r="B15" s="16" t="s">
        <v>33</v>
      </c>
      <c r="C15" s="12" t="s">
        <v>34</v>
      </c>
      <c r="D15" s="13" t="s">
        <v>35</v>
      </c>
      <c r="E15" s="17">
        <v>1500000</v>
      </c>
      <c r="F15" s="18">
        <v>1512.79</v>
      </c>
      <c r="G15" s="19">
        <v>5.2900000000000003E-2</v>
      </c>
      <c r="H15" s="20">
        <v>8.0297999999999994E-2</v>
      </c>
    </row>
    <row r="16" spans="1:8" ht="13.05" customHeight="1">
      <c r="A16" s="15" t="s">
        <v>36</v>
      </c>
      <c r="B16" s="16" t="s">
        <v>37</v>
      </c>
      <c r="C16" s="12" t="s">
        <v>38</v>
      </c>
      <c r="D16" s="13" t="s">
        <v>35</v>
      </c>
      <c r="E16" s="17">
        <v>1500000</v>
      </c>
      <c r="F16" s="18">
        <v>1511.16</v>
      </c>
      <c r="G16" s="19">
        <v>5.28E-2</v>
      </c>
      <c r="H16" s="20">
        <v>8.9249999999999996E-2</v>
      </c>
    </row>
    <row r="17" spans="1:8" ht="13.05" customHeight="1">
      <c r="A17" s="15" t="s">
        <v>39</v>
      </c>
      <c r="B17" s="16" t="s">
        <v>40</v>
      </c>
      <c r="C17" s="12" t="s">
        <v>41</v>
      </c>
      <c r="D17" s="13" t="s">
        <v>42</v>
      </c>
      <c r="E17" s="17">
        <v>1500000</v>
      </c>
      <c r="F17" s="18">
        <v>1510.01</v>
      </c>
      <c r="G17" s="19">
        <v>5.28E-2</v>
      </c>
      <c r="H17" s="20">
        <v>8.0799999999999997E-2</v>
      </c>
    </row>
    <row r="18" spans="1:8" ht="13.05" customHeight="1">
      <c r="A18" s="15" t="s">
        <v>43</v>
      </c>
      <c r="B18" s="16" t="s">
        <v>44</v>
      </c>
      <c r="C18" s="12" t="s">
        <v>45</v>
      </c>
      <c r="D18" s="13" t="s">
        <v>35</v>
      </c>
      <c r="E18" s="17">
        <v>1500000</v>
      </c>
      <c r="F18" s="18">
        <v>1497.99</v>
      </c>
      <c r="G18" s="19">
        <v>5.2400000000000002E-2</v>
      </c>
      <c r="H18" s="20">
        <v>8.3755999999999997E-2</v>
      </c>
    </row>
    <row r="19" spans="1:8" ht="13.05" customHeight="1">
      <c r="A19" s="15" t="s">
        <v>46</v>
      </c>
      <c r="B19" s="16" t="s">
        <v>47</v>
      </c>
      <c r="C19" s="12" t="s">
        <v>48</v>
      </c>
      <c r="D19" s="13" t="s">
        <v>49</v>
      </c>
      <c r="E19" s="17">
        <v>1000000</v>
      </c>
      <c r="F19" s="18">
        <v>1008.51</v>
      </c>
      <c r="G19" s="19">
        <v>3.5299999999999998E-2</v>
      </c>
      <c r="H19" s="20">
        <v>8.5000000000000006E-2</v>
      </c>
    </row>
    <row r="20" spans="1:8" ht="13.05" customHeight="1">
      <c r="A20" s="15" t="s">
        <v>50</v>
      </c>
      <c r="B20" s="16" t="s">
        <v>51</v>
      </c>
      <c r="C20" s="12" t="s">
        <v>52</v>
      </c>
      <c r="D20" s="13" t="s">
        <v>49</v>
      </c>
      <c r="E20" s="17">
        <v>1000000</v>
      </c>
      <c r="F20" s="18">
        <v>1005.41</v>
      </c>
      <c r="G20" s="19">
        <v>3.5200000000000002E-2</v>
      </c>
      <c r="H20" s="20">
        <v>8.1337000000000007E-2</v>
      </c>
    </row>
    <row r="21" spans="1:8" ht="13.05" customHeight="1">
      <c r="A21" s="15" t="s">
        <v>53</v>
      </c>
      <c r="B21" s="16" t="s">
        <v>54</v>
      </c>
      <c r="C21" s="12" t="s">
        <v>55</v>
      </c>
      <c r="D21" s="13" t="s">
        <v>42</v>
      </c>
      <c r="E21" s="17">
        <v>1000000</v>
      </c>
      <c r="F21" s="18">
        <v>1001.84</v>
      </c>
      <c r="G21" s="19">
        <v>3.5000000000000003E-2</v>
      </c>
      <c r="H21" s="20">
        <v>8.2893999999999995E-2</v>
      </c>
    </row>
    <row r="22" spans="1:8" ht="13.05" customHeight="1">
      <c r="A22" s="15" t="s">
        <v>56</v>
      </c>
      <c r="B22" s="16" t="s">
        <v>57</v>
      </c>
      <c r="C22" s="12" t="s">
        <v>58</v>
      </c>
      <c r="D22" s="13" t="s">
        <v>31</v>
      </c>
      <c r="E22" s="17">
        <v>1000000</v>
      </c>
      <c r="F22" s="18">
        <v>1000.5</v>
      </c>
      <c r="G22" s="19">
        <v>3.5000000000000003E-2</v>
      </c>
      <c r="H22" s="20">
        <v>7.9149999999999998E-2</v>
      </c>
    </row>
    <row r="23" spans="1:8" ht="13.05" customHeight="1">
      <c r="A23" s="15" t="s">
        <v>59</v>
      </c>
      <c r="B23" s="16" t="s">
        <v>60</v>
      </c>
      <c r="C23" s="12" t="s">
        <v>61</v>
      </c>
      <c r="D23" s="13" t="s">
        <v>62</v>
      </c>
      <c r="E23" s="17">
        <v>1000000</v>
      </c>
      <c r="F23" s="18">
        <v>999.93</v>
      </c>
      <c r="G23" s="19">
        <v>3.5000000000000003E-2</v>
      </c>
      <c r="H23" s="20">
        <v>8.1949999999999995E-2</v>
      </c>
    </row>
    <row r="24" spans="1:8" ht="13.05" customHeight="1">
      <c r="A24" s="15" t="s">
        <v>63</v>
      </c>
      <c r="B24" s="16" t="s">
        <v>64</v>
      </c>
      <c r="C24" s="12" t="s">
        <v>65</v>
      </c>
      <c r="D24" s="13" t="s">
        <v>31</v>
      </c>
      <c r="E24" s="17">
        <v>1000000</v>
      </c>
      <c r="F24" s="18">
        <v>997.21</v>
      </c>
      <c r="G24" s="19">
        <v>3.49E-2</v>
      </c>
      <c r="H24" s="20">
        <v>7.8036999999999995E-2</v>
      </c>
    </row>
    <row r="25" spans="1:8" ht="13.05" customHeight="1">
      <c r="A25" s="15" t="s">
        <v>66</v>
      </c>
      <c r="B25" s="16" t="s">
        <v>67</v>
      </c>
      <c r="C25" s="12" t="s">
        <v>68</v>
      </c>
      <c r="D25" s="13" t="s">
        <v>31</v>
      </c>
      <c r="E25" s="17">
        <v>1000000</v>
      </c>
      <c r="F25" s="18">
        <v>982.45</v>
      </c>
      <c r="G25" s="19">
        <v>3.4299999999999997E-2</v>
      </c>
      <c r="H25" s="20">
        <v>7.7786999999999995E-2</v>
      </c>
    </row>
    <row r="26" spans="1:8" ht="13.05" customHeight="1">
      <c r="A26" s="15" t="s">
        <v>69</v>
      </c>
      <c r="B26" s="16" t="s">
        <v>70</v>
      </c>
      <c r="C26" s="12" t="s">
        <v>71</v>
      </c>
      <c r="D26" s="13" t="s">
        <v>62</v>
      </c>
      <c r="E26" s="17">
        <v>500000</v>
      </c>
      <c r="F26" s="18">
        <v>498.78</v>
      </c>
      <c r="G26" s="19">
        <v>1.7399999999999999E-2</v>
      </c>
      <c r="H26" s="20">
        <v>8.2699999999999996E-2</v>
      </c>
    </row>
    <row r="27" spans="1:8" ht="13.05" customHeight="1">
      <c r="A27" s="4"/>
      <c r="B27" s="21" t="s">
        <v>72</v>
      </c>
      <c r="C27" s="22"/>
      <c r="D27" s="21"/>
      <c r="E27" s="21"/>
      <c r="F27" s="23">
        <v>26765.02</v>
      </c>
      <c r="G27" s="24">
        <v>0.93579999999999997</v>
      </c>
      <c r="H27" s="25"/>
    </row>
    <row r="28" spans="1:8" ht="13.05" customHeight="1">
      <c r="A28" s="4"/>
      <c r="B28" s="11" t="s">
        <v>73</v>
      </c>
      <c r="C28" s="12"/>
      <c r="D28" s="26"/>
      <c r="E28" s="26"/>
      <c r="F28" s="27" t="s">
        <v>74</v>
      </c>
      <c r="G28" s="27" t="s">
        <v>74</v>
      </c>
      <c r="H28" s="25" t="s">
        <v>74</v>
      </c>
    </row>
    <row r="29" spans="1:8" ht="13.05" customHeight="1">
      <c r="A29" s="4"/>
      <c r="B29" s="22" t="s">
        <v>72</v>
      </c>
      <c r="C29" s="28"/>
      <c r="D29" s="26"/>
      <c r="E29" s="26"/>
      <c r="F29" s="27" t="s">
        <v>74</v>
      </c>
      <c r="G29" s="27" t="s">
        <v>74</v>
      </c>
      <c r="H29" s="25" t="s">
        <v>74</v>
      </c>
    </row>
    <row r="30" spans="1:8" ht="13.05" customHeight="1">
      <c r="A30" s="4"/>
      <c r="B30" s="21" t="s">
        <v>75</v>
      </c>
      <c r="C30" s="28"/>
      <c r="D30" s="26"/>
      <c r="E30" s="29"/>
      <c r="F30" s="30">
        <v>26765.02</v>
      </c>
      <c r="G30" s="31">
        <v>0.93579999999999997</v>
      </c>
      <c r="H30" s="32"/>
    </row>
    <row r="31" spans="1:8" ht="13.05" customHeight="1">
      <c r="A31" s="4"/>
      <c r="B31" s="11" t="s">
        <v>76</v>
      </c>
      <c r="C31" s="12"/>
      <c r="D31" s="13"/>
      <c r="E31" s="13"/>
      <c r="F31" s="13"/>
      <c r="G31" s="13"/>
      <c r="H31" s="14"/>
    </row>
    <row r="32" spans="1:8" ht="13.05" customHeight="1">
      <c r="A32" s="4"/>
      <c r="B32" s="11" t="s">
        <v>77</v>
      </c>
      <c r="C32" s="12"/>
      <c r="D32" s="13"/>
      <c r="E32" s="13"/>
      <c r="F32" s="13"/>
      <c r="G32" s="13"/>
      <c r="H32" s="14"/>
    </row>
    <row r="33" spans="1:8" ht="13.05" customHeight="1">
      <c r="A33" s="15" t="s">
        <v>78</v>
      </c>
      <c r="B33" s="16" t="s">
        <v>79</v>
      </c>
      <c r="C33" s="12" t="s">
        <v>80</v>
      </c>
      <c r="D33" s="13" t="s">
        <v>81</v>
      </c>
      <c r="E33" s="17">
        <v>800000</v>
      </c>
      <c r="F33" s="18">
        <v>790.75</v>
      </c>
      <c r="G33" s="19">
        <v>2.76E-2</v>
      </c>
      <c r="H33" s="20">
        <v>7.3598999999999998E-2</v>
      </c>
    </row>
    <row r="34" spans="1:8" ht="13.05" customHeight="1">
      <c r="A34" s="4"/>
      <c r="B34" s="33" t="s">
        <v>82</v>
      </c>
      <c r="C34" s="12"/>
      <c r="D34" s="13"/>
      <c r="E34" s="13"/>
      <c r="F34" s="13"/>
      <c r="G34" s="13"/>
      <c r="H34" s="14"/>
    </row>
    <row r="35" spans="1:8" ht="13.05" customHeight="1">
      <c r="A35" s="15" t="s">
        <v>83</v>
      </c>
      <c r="B35" s="16" t="s">
        <v>84</v>
      </c>
      <c r="C35" s="12"/>
      <c r="D35" s="13"/>
      <c r="E35" s="34"/>
      <c r="F35" s="18">
        <v>125.79</v>
      </c>
      <c r="G35" s="19">
        <v>4.4000000000000003E-3</v>
      </c>
      <c r="H35" s="20">
        <v>6.2893653494845631E-2</v>
      </c>
    </row>
    <row r="36" spans="1:8" ht="13.05" customHeight="1">
      <c r="A36" s="4"/>
      <c r="B36" s="21" t="s">
        <v>75</v>
      </c>
      <c r="C36" s="28"/>
      <c r="D36" s="26"/>
      <c r="E36" s="29"/>
      <c r="F36" s="30">
        <v>916.54</v>
      </c>
      <c r="G36" s="31">
        <v>3.2000000000000001E-2</v>
      </c>
      <c r="H36" s="32"/>
    </row>
    <row r="37" spans="1:8" ht="13.05" customHeight="1">
      <c r="A37" s="4"/>
      <c r="B37" s="11" t="s">
        <v>85</v>
      </c>
      <c r="C37" s="12"/>
      <c r="D37" s="13"/>
      <c r="E37" s="13"/>
      <c r="F37" s="13"/>
      <c r="G37" s="13"/>
      <c r="H37" s="14"/>
    </row>
    <row r="38" spans="1:8" ht="13.05" customHeight="1">
      <c r="A38" s="4"/>
      <c r="B38" s="11" t="s">
        <v>86</v>
      </c>
      <c r="C38" s="12"/>
      <c r="D38" s="13"/>
      <c r="E38" s="13"/>
      <c r="F38" s="13"/>
      <c r="G38" s="13"/>
      <c r="H38" s="14"/>
    </row>
    <row r="39" spans="1:8" ht="13.05" customHeight="1">
      <c r="A39" s="15" t="s">
        <v>87</v>
      </c>
      <c r="B39" s="16" t="s">
        <v>88</v>
      </c>
      <c r="C39" s="12"/>
      <c r="D39" s="13"/>
      <c r="E39" s="17">
        <v>5000000</v>
      </c>
      <c r="F39" s="18">
        <v>5000</v>
      </c>
      <c r="G39" s="19">
        <v>0.17480000000000001</v>
      </c>
      <c r="H39" s="20">
        <v>7.1499999999999994E-2</v>
      </c>
    </row>
    <row r="40" spans="1:8" ht="13.05" customHeight="1">
      <c r="A40" s="15" t="s">
        <v>89</v>
      </c>
      <c r="B40" s="16" t="s">
        <v>88</v>
      </c>
      <c r="C40" s="12"/>
      <c r="D40" s="13"/>
      <c r="E40" s="17">
        <v>3000000</v>
      </c>
      <c r="F40" s="18">
        <v>3000</v>
      </c>
      <c r="G40" s="19">
        <v>0.10489999999999999</v>
      </c>
      <c r="H40" s="20">
        <v>7.1499999999999994E-2</v>
      </c>
    </row>
    <row r="41" spans="1:8" ht="13.05" customHeight="1">
      <c r="A41" s="15" t="s">
        <v>90</v>
      </c>
      <c r="B41" s="16" t="s">
        <v>88</v>
      </c>
      <c r="C41" s="12"/>
      <c r="D41" s="13"/>
      <c r="E41" s="17">
        <v>3000000</v>
      </c>
      <c r="F41" s="18">
        <v>3000</v>
      </c>
      <c r="G41" s="19">
        <v>0.10489999999999999</v>
      </c>
      <c r="H41" s="20">
        <v>7.1499999999999994E-2</v>
      </c>
    </row>
    <row r="42" spans="1:8" ht="13.05" customHeight="1">
      <c r="A42" s="15" t="s">
        <v>91</v>
      </c>
      <c r="B42" s="16" t="s">
        <v>88</v>
      </c>
      <c r="C42" s="12"/>
      <c r="D42" s="13"/>
      <c r="E42" s="17">
        <v>2500000</v>
      </c>
      <c r="F42" s="18">
        <v>2500</v>
      </c>
      <c r="G42" s="19">
        <v>8.7400000000000005E-2</v>
      </c>
      <c r="H42" s="20">
        <v>7.1499999999999994E-2</v>
      </c>
    </row>
    <row r="43" spans="1:8" ht="13.05" customHeight="1">
      <c r="A43" s="15" t="s">
        <v>92</v>
      </c>
      <c r="B43" s="16" t="s">
        <v>88</v>
      </c>
      <c r="C43" s="12"/>
      <c r="D43" s="13"/>
      <c r="E43" s="17">
        <v>2500000</v>
      </c>
      <c r="F43" s="18">
        <v>2500</v>
      </c>
      <c r="G43" s="19">
        <v>8.7400000000000005E-2</v>
      </c>
      <c r="H43" s="20">
        <v>7.1499999999999994E-2</v>
      </c>
    </row>
    <row r="44" spans="1:8" ht="13.05" customHeight="1">
      <c r="A44" s="15" t="s">
        <v>93</v>
      </c>
      <c r="B44" s="16" t="s">
        <v>88</v>
      </c>
      <c r="C44" s="12"/>
      <c r="D44" s="13"/>
      <c r="E44" s="17">
        <v>2500000</v>
      </c>
      <c r="F44" s="18">
        <v>2500</v>
      </c>
      <c r="G44" s="19">
        <v>8.7400000000000005E-2</v>
      </c>
      <c r="H44" s="20">
        <v>7.1499999999999994E-2</v>
      </c>
    </row>
    <row r="45" spans="1:8" ht="13.05" customHeight="1">
      <c r="A45" s="15" t="s">
        <v>94</v>
      </c>
      <c r="B45" s="16" t="s">
        <v>95</v>
      </c>
      <c r="C45" s="12"/>
      <c r="D45" s="13"/>
      <c r="E45" s="17">
        <v>-2500000</v>
      </c>
      <c r="F45" s="18">
        <v>-2499.8000000000002</v>
      </c>
      <c r="G45" s="19">
        <v>-8.7400000000000005E-2</v>
      </c>
      <c r="H45" s="20">
        <v>6.8447999999999995E-2</v>
      </c>
    </row>
    <row r="46" spans="1:8" ht="13.05" customHeight="1">
      <c r="A46" s="15" t="s">
        <v>96</v>
      </c>
      <c r="B46" s="16" t="s">
        <v>95</v>
      </c>
      <c r="C46" s="12"/>
      <c r="D46" s="13"/>
      <c r="E46" s="17">
        <v>-2500000</v>
      </c>
      <c r="F46" s="18">
        <v>-2499.8000000000002</v>
      </c>
      <c r="G46" s="19">
        <v>-8.7400000000000005E-2</v>
      </c>
      <c r="H46" s="20">
        <v>6.8447999999999995E-2</v>
      </c>
    </row>
    <row r="47" spans="1:8" ht="13.05" customHeight="1">
      <c r="A47" s="15" t="s">
        <v>97</v>
      </c>
      <c r="B47" s="16" t="s">
        <v>95</v>
      </c>
      <c r="C47" s="12"/>
      <c r="D47" s="13"/>
      <c r="E47" s="17">
        <v>-2500000</v>
      </c>
      <c r="F47" s="18">
        <v>-2499.87</v>
      </c>
      <c r="G47" s="19">
        <v>-8.7400000000000005E-2</v>
      </c>
      <c r="H47" s="20">
        <v>6.8435999999999997E-2</v>
      </c>
    </row>
    <row r="48" spans="1:8" ht="13.05" customHeight="1">
      <c r="A48" s="15" t="s">
        <v>98</v>
      </c>
      <c r="B48" s="16" t="s">
        <v>95</v>
      </c>
      <c r="C48" s="12"/>
      <c r="D48" s="13"/>
      <c r="E48" s="17">
        <v>-3000000</v>
      </c>
      <c r="F48" s="18">
        <v>-2999.78</v>
      </c>
      <c r="G48" s="19">
        <v>-0.10489999999999999</v>
      </c>
      <c r="H48" s="20">
        <v>6.8454000000000001E-2</v>
      </c>
    </row>
    <row r="49" spans="1:8" ht="13.05" customHeight="1">
      <c r="A49" s="15" t="s">
        <v>99</v>
      </c>
      <c r="B49" s="16" t="s">
        <v>95</v>
      </c>
      <c r="C49" s="12"/>
      <c r="D49" s="13"/>
      <c r="E49" s="17">
        <v>-3000000</v>
      </c>
      <c r="F49" s="18">
        <v>-2999.84</v>
      </c>
      <c r="G49" s="19">
        <v>-0.10489999999999999</v>
      </c>
      <c r="H49" s="20">
        <v>6.8435999999999997E-2</v>
      </c>
    </row>
    <row r="50" spans="1:8" ht="13.05" customHeight="1">
      <c r="A50" s="15" t="s">
        <v>100</v>
      </c>
      <c r="B50" s="16" t="s">
        <v>95</v>
      </c>
      <c r="C50" s="12"/>
      <c r="D50" s="13"/>
      <c r="E50" s="17">
        <v>-5000000</v>
      </c>
      <c r="F50" s="18">
        <v>-4999.6899999999996</v>
      </c>
      <c r="G50" s="19">
        <v>-0.17480000000000001</v>
      </c>
      <c r="H50" s="20">
        <v>6.8448999999999996E-2</v>
      </c>
    </row>
    <row r="51" spans="1:8" ht="13.05" customHeight="1">
      <c r="A51" s="4"/>
      <c r="B51" s="21" t="s">
        <v>75</v>
      </c>
      <c r="C51" s="28"/>
      <c r="D51" s="26"/>
      <c r="E51" s="29"/>
      <c r="F51" s="30">
        <v>1.22</v>
      </c>
      <c r="G51" s="31">
        <v>0</v>
      </c>
      <c r="H51" s="32"/>
    </row>
    <row r="52" spans="1:8" ht="13.05" customHeight="1">
      <c r="A52" s="4"/>
      <c r="B52" s="11" t="s">
        <v>101</v>
      </c>
      <c r="C52" s="12"/>
      <c r="D52" s="13"/>
      <c r="E52" s="13"/>
      <c r="F52" s="13"/>
      <c r="G52" s="13"/>
      <c r="H52" s="14"/>
    </row>
    <row r="53" spans="1:8" ht="13.05" customHeight="1">
      <c r="A53" s="15" t="s">
        <v>102</v>
      </c>
      <c r="B53" s="16" t="s">
        <v>103</v>
      </c>
      <c r="C53" s="12" t="s">
        <v>104</v>
      </c>
      <c r="D53" s="13"/>
      <c r="E53" s="35">
        <v>872.45600000000002</v>
      </c>
      <c r="F53" s="36">
        <v>94.62</v>
      </c>
      <c r="G53" s="19">
        <v>3.3E-3</v>
      </c>
      <c r="H53" s="20"/>
    </row>
    <row r="54" spans="1:8" ht="13.05" customHeight="1">
      <c r="A54" s="4"/>
      <c r="B54" s="21" t="s">
        <v>75</v>
      </c>
      <c r="C54" s="28"/>
      <c r="D54" s="26"/>
      <c r="E54" s="29"/>
      <c r="F54" s="30">
        <v>94.62</v>
      </c>
      <c r="G54" s="31">
        <v>3.3E-3</v>
      </c>
      <c r="H54" s="32"/>
    </row>
    <row r="55" spans="1:8" ht="13.05" customHeight="1">
      <c r="A55" s="4"/>
      <c r="B55" s="33" t="s">
        <v>105</v>
      </c>
      <c r="C55" s="37"/>
      <c r="D55" s="38"/>
      <c r="E55" s="38"/>
      <c r="F55" s="38"/>
      <c r="G55" s="38"/>
      <c r="H55" s="39"/>
    </row>
    <row r="56" spans="1:8" ht="13.05" customHeight="1">
      <c r="A56" s="4"/>
      <c r="B56" s="26" t="s">
        <v>106</v>
      </c>
      <c r="C56" s="28"/>
      <c r="D56" s="26"/>
      <c r="E56" s="26"/>
      <c r="F56" s="23">
        <v>6.35</v>
      </c>
      <c r="G56" s="24">
        <v>2.0000000000000001E-4</v>
      </c>
      <c r="H56" s="39"/>
    </row>
    <row r="57" spans="1:8" ht="13.05" customHeight="1">
      <c r="A57" s="4"/>
      <c r="B57" s="21" t="s">
        <v>72</v>
      </c>
      <c r="C57" s="22"/>
      <c r="D57" s="21"/>
      <c r="E57" s="21"/>
      <c r="F57" s="23">
        <v>6.35</v>
      </c>
      <c r="G57" s="24">
        <v>2.0000000000000001E-4</v>
      </c>
      <c r="H57" s="39"/>
    </row>
    <row r="58" spans="1:8" ht="13.05" customHeight="1">
      <c r="A58" s="4"/>
      <c r="B58" s="21" t="s">
        <v>107</v>
      </c>
      <c r="C58" s="28"/>
      <c r="D58" s="26"/>
      <c r="E58" s="26"/>
      <c r="F58" s="23">
        <f>819.39-F51</f>
        <v>818.17</v>
      </c>
      <c r="G58" s="40">
        <v>2.87E-2</v>
      </c>
      <c r="H58" s="39"/>
    </row>
    <row r="59" spans="1:8" ht="13.05" customHeight="1" thickBot="1">
      <c r="A59" s="4"/>
      <c r="B59" s="41" t="s">
        <v>108</v>
      </c>
      <c r="C59" s="42"/>
      <c r="D59" s="43"/>
      <c r="E59" s="43"/>
      <c r="F59" s="44">
        <v>28601.916888100001</v>
      </c>
      <c r="G59" s="45">
        <v>1</v>
      </c>
      <c r="H59" s="46"/>
    </row>
    <row r="60" spans="1:8" ht="13.05" customHeight="1">
      <c r="A60" s="4"/>
      <c r="B60" s="47"/>
      <c r="C60" s="4"/>
      <c r="D60" s="4"/>
      <c r="E60" s="4"/>
      <c r="F60" s="4"/>
      <c r="G60" s="4"/>
      <c r="H60" s="4"/>
    </row>
    <row r="61" spans="1:8" ht="13.05" customHeight="1">
      <c r="A61" s="4"/>
      <c r="B61" s="47" t="s">
        <v>109</v>
      </c>
      <c r="C61" s="4"/>
      <c r="D61" s="4"/>
      <c r="E61" s="4"/>
      <c r="F61" s="4"/>
      <c r="G61" s="4"/>
      <c r="H61" s="4"/>
    </row>
    <row r="62" spans="1:8" ht="13.05" customHeight="1">
      <c r="A62" s="4"/>
      <c r="B62" s="47"/>
      <c r="C62" s="4"/>
      <c r="D62" s="4"/>
      <c r="E62" s="4"/>
      <c r="F62" s="4"/>
      <c r="G62" s="4"/>
      <c r="H62" s="4"/>
    </row>
    <row r="64" spans="1:8" ht="54" customHeight="1">
      <c r="B64" s="48" t="s">
        <v>110</v>
      </c>
      <c r="C64" s="48"/>
      <c r="D64" s="48"/>
      <c r="E64" s="48"/>
      <c r="F64" s="48"/>
      <c r="G64" s="48"/>
      <c r="H64" s="48"/>
    </row>
    <row r="65" spans="2:6">
      <c r="F65" s="49" t="s">
        <v>111</v>
      </c>
    </row>
    <row r="66" spans="2:6">
      <c r="B66" s="49" t="s">
        <v>112</v>
      </c>
      <c r="F66" s="49" t="s">
        <v>113</v>
      </c>
    </row>
  </sheetData>
  <mergeCells count="3">
    <mergeCell ref="B2:G2"/>
    <mergeCell ref="B3:G3"/>
    <mergeCell ref="B64:H64"/>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IDF272</vt:lpstr>
      <vt:lpstr>JR_PAGE_ANCHOR_0_13</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2025-01-08T09:20:47Z</dcterms:created>
  <dcterms:modified xsi:type="dcterms:W3CDTF">2025-01-08T09:20:48Z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7f8449-e5d3-4eba-8da7-ffd6ca5bf3e9_Enabled">
    <vt:lpwstr>true</vt:lpwstr>
  </property>
  <property fmtid="{D5CDD505-2E9C-101B-9397-08002B2CF9AE}" pid="3" name="MSIP_Label_1b7f8449-e5d3-4eba-8da7-ffd6ca5bf3e9_SetDate">
    <vt:lpwstr>2025-01-08T09:20:47Z</vt:lpwstr>
  </property>
  <property fmtid="{D5CDD505-2E9C-101B-9397-08002B2CF9AE}" pid="4" name="MSIP_Label_1b7f8449-e5d3-4eba-8da7-ffd6ca5bf3e9_Method">
    <vt:lpwstr>Privileged</vt:lpwstr>
  </property>
  <property fmtid="{D5CDD505-2E9C-101B-9397-08002B2CF9AE}" pid="5" name="MSIP_Label_1b7f8449-e5d3-4eba-8da7-ffd6ca5bf3e9_Name">
    <vt:lpwstr>1b7f8449-e5d3-4eba-8da7-ffd6ca5bf3e9</vt:lpwstr>
  </property>
  <property fmtid="{D5CDD505-2E9C-101B-9397-08002B2CF9AE}" pid="6" name="MSIP_Label_1b7f8449-e5d3-4eba-8da7-ffd6ca5bf3e9_SiteId">
    <vt:lpwstr>1e9b61e8-e590-4abc-b1af-24125e330d2a</vt:lpwstr>
  </property>
  <property fmtid="{D5CDD505-2E9C-101B-9397-08002B2CF9AE}" pid="7" name="MSIP_Label_1b7f8449-e5d3-4eba-8da7-ffd6ca5bf3e9_ActionId">
    <vt:lpwstr>7274def4-e3a6-47a6-9d38-282952b237f9</vt:lpwstr>
  </property>
  <property fmtid="{D5CDD505-2E9C-101B-9397-08002B2CF9AE}" pid="8" name="MSIP_Label_1b7f8449-e5d3-4eba-8da7-ffd6ca5bf3e9_ContentBits">
    <vt:lpwstr>0</vt:lpwstr>
  </property>
</Properties>
</file>