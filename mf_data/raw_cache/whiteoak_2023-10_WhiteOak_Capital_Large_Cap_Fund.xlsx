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Monthly Portfolio/"/>
    </mc:Choice>
  </mc:AlternateContent>
  <xr:revisionPtr revIDLastSave="0" documentId="8_{F1145694-DB34-4A0B-9DD3-D32A3FCB8843}" xr6:coauthVersionLast="47" xr6:coauthVersionMax="47" xr10:uidLastSave="{00000000-0000-0000-0000-000000000000}"/>
  <bookViews>
    <workbookView xWindow="-120" yWindow="-120" windowWidth="20730" windowHeight="11160" xr2:uid="{402E914E-F76F-42B4-80E4-A25A3EB6C25B}"/>
  </bookViews>
  <sheets>
    <sheet name="WOLCF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3">WOLCF!$A$1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1" l="1"/>
  <c r="H80" i="1"/>
  <c r="G80" i="1"/>
  <c r="G81" i="1" s="1"/>
</calcChain>
</file>

<file path=xl/sharedStrings.xml><?xml version="1.0" encoding="utf-8"?>
<sst xmlns="http://schemas.openxmlformats.org/spreadsheetml/2006/main" count="343" uniqueCount="283">
  <si>
    <t>WhiteOak Capital Large 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</si>
  <si>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</si>
  <si>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</si>
  <si>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</si>
  <si>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</si>
  <si>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</si>
  <si>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</si>
  <si>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</si>
  <si>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</si>
  <si>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</si>
  <si>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</si>
  <si>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</si>
  <si>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</si>
  <si>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</si>
  <si>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</si>
  <si>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</si>
  <si>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</si>
  <si>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</si>
  <si>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</si>
  <si>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</si>
  <si>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</si>
  <si>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</si>
  <si>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</si>
  <si>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</si>
  <si>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</si>
  <si>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</si>
  <si>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</si>
  <si>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</si>
  <si>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</si>
  <si>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</si>
  <si>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</si>
  <si>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</si>
  <si>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</si>
  <si>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</si>
  <si>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</si>
  <si>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Finance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</si>
  <si>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</si>
  <si>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</si>
  <si>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</si>
  <si>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</si>
  <si>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</si>
  <si>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</si>
  <si>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</si>
  <si>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</si>
  <si>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</si>
  <si>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</si>
  <si>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</si>
  <si>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</si>
  <si>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</si>
  <si>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</si>
  <si>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</si>
  <si>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</si>
  <si>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</si>
  <si>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</si>
  <si>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</si>
  <si>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</si>
  <si>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</si>
  <si>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IPLI01</t>
  </si>
  <si>
    <t>ICICI Prudential Life Insurance Company Limited</t>
  </si>
  <si>
    <t>INE726G01019</t>
  </si>
  <si>
    <t>Insurance</t>
  </si>
  <si>
    <t>SBAI02</t>
  </si>
  <si>
    <t>State Bank of India</t>
  </si>
  <si>
    <t>INE062A01020</t>
  </si>
  <si>
    <t>BAFL02</t>
  </si>
  <si>
    <t>Bajaj Finance Limited</t>
  </si>
  <si>
    <t>INE296A01024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</si>
  <si>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</si>
  <si>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</si>
  <si>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</si>
  <si>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</si>
  <si>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</si>
  <si>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</si>
  <si>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</si>
  <si>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</si>
  <si>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VNBL02</t>
  </si>
  <si>
    <t>Varun Beverages Limited</t>
  </si>
  <si>
    <t>INE200M01021</t>
  </si>
  <si>
    <t>Beverages</t>
  </si>
  <si>
    <t>GCPL02</t>
  </si>
  <si>
    <t>Godrej Consumer Products Limited</t>
  </si>
  <si>
    <t>INE102D01028</t>
  </si>
  <si>
    <t>Personal Products</t>
  </si>
  <si>
    <t>RELS01</t>
  </si>
  <si>
    <t>Jio Financial Services Limited</t>
  </si>
  <si>
    <t>INE758E01017</t>
  </si>
  <si>
    <t>LTIL01</t>
  </si>
  <si>
    <t>LTIMindtree Limited</t>
  </si>
  <si>
    <t>INE214T01019</t>
  </si>
  <si>
    <t>BFSL02</t>
  </si>
  <si>
    <t>Bajaj Finserv Limited</t>
  </si>
  <si>
    <t>INE918I01026</t>
  </si>
  <si>
    <t>TOPH02</t>
  </si>
  <si>
    <t>Torrent Pharmaceuticals Limited</t>
  </si>
  <si>
    <t>INE685A01028</t>
  </si>
  <si>
    <t>Pharmaceuticals &amp; Biotechnology</t>
  </si>
  <si>
    <t>PSYL01</t>
  </si>
  <si>
    <t>Persistent Systems Limited</t>
  </si>
  <si>
    <t>INE262H01013</t>
  </si>
  <si>
    <t>TISC03</t>
  </si>
  <si>
    <t>Tata Steel Limited</t>
  </si>
  <si>
    <t>INE081A01020</t>
  </si>
  <si>
    <t>Ferrous Metals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</si>
  <si>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</si>
  <si>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</si>
  <si>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</si>
  <si>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</si>
  <si>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</si>
  <si>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</si>
  <si>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</si>
  <si>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</si>
  <si>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</si>
  <si>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</si>
  <si>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LAKM02</t>
  </si>
  <si>
    <t>Trent Limited</t>
  </si>
  <si>
    <t>INE849A01020</t>
  </si>
  <si>
    <t>Retailing</t>
  </si>
  <si>
    <t>HDLI01</t>
  </si>
  <si>
    <t>HDFC Life Insurance Company Limited</t>
  </si>
  <si>
    <t>INE795G01014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</si>
  <si>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</si>
  <si>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</si>
  <si>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</si>
  <si>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</si>
  <si>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</si>
  <si>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</si>
  <si>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</si>
  <si>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GUAM02</t>
  </si>
  <si>
    <t>Ambuja Cements Limited</t>
  </si>
  <si>
    <t>INE079A01024</t>
  </si>
  <si>
    <t>Cement &amp; Cement Products</t>
  </si>
  <si>
    <t>BOOT01</t>
  </si>
  <si>
    <t>Abbott India Limited</t>
  </si>
  <si>
    <t>INE358A01014</t>
  </si>
  <si>
    <t>UTIB02</t>
  </si>
  <si>
    <t>Axis Bank Limited</t>
  </si>
  <si>
    <t>INE238A01034</t>
  </si>
  <si>
    <t>SYNI01</t>
  </si>
  <si>
    <t>Syngene International Limited</t>
  </si>
  <si>
    <t>INE398R01022</t>
  </si>
  <si>
    <t>Healthcare Services</t>
  </si>
  <si>
    <t>IEIN01</t>
  </si>
  <si>
    <t>Info Edge (India) Limited</t>
  </si>
  <si>
    <t>INE663F01024</t>
  </si>
  <si>
    <t>HLEL02</t>
  </si>
  <si>
    <t>Hindustan Unilever Limited</t>
  </si>
  <si>
    <t>INE030A01027</t>
  </si>
  <si>
    <t>Diversified FMCG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</si>
  <si>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</si>
  <si>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</si>
  <si>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</si>
  <si>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</si>
  <si>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</si>
  <si>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</si>
  <si>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PIIN03</t>
  </si>
  <si>
    <t>PI Industries Limited</t>
  </si>
  <si>
    <t>INE603J01030</t>
  </si>
  <si>
    <t>Fertilizers &amp; Agrochemicals</t>
  </si>
  <si>
    <t>ZMPL01</t>
  </si>
  <si>
    <t>Zomato Limited</t>
  </si>
  <si>
    <t>INE758T01015</t>
  </si>
  <si>
    <t>CIPL03</t>
  </si>
  <si>
    <t>Cipla Limited</t>
  </si>
  <si>
    <t>INE059A01026</t>
  </si>
  <si>
    <t>IINF02</t>
  </si>
  <si>
    <t>IIFL Finance Limited</t>
  </si>
  <si>
    <t>INE530B01024</t>
  </si>
  <si>
    <t>RELC01</t>
  </si>
  <si>
    <t>REC Limited</t>
  </si>
  <si>
    <t>INE020B01018</t>
  </si>
  <si>
    <t>PRRC03</t>
  </si>
  <si>
    <t>Navin Fluorine International Limited</t>
  </si>
  <si>
    <t>INE048G01026</t>
  </si>
  <si>
    <t>Chemicals &amp; Petrochemicals</t>
  </si>
  <si>
    <t>EIML02</t>
  </si>
  <si>
    <t>Eicher Motors Limited</t>
  </si>
  <si>
    <t>INE066A01021</t>
  </si>
  <si>
    <t>MKIP01</t>
  </si>
  <si>
    <t>Mankind Pharma Limited</t>
  </si>
  <si>
    <t>INE634S01028</t>
  </si>
  <si>
    <t>SHTR01</t>
  </si>
  <si>
    <t>Shriram Finance Limited</t>
  </si>
  <si>
    <t>INE721A01013</t>
  </si>
  <si>
    <t>KSPL01</t>
  </si>
  <si>
    <t>KSB Limited</t>
  </si>
  <si>
    <t>INE999A01015</t>
  </si>
  <si>
    <t>Industrial Products</t>
  </si>
  <si>
    <t>BALI02</t>
  </si>
  <si>
    <t>Balkrishna Industries Limited</t>
  </si>
  <si>
    <t>INE787D01026</t>
  </si>
  <si>
    <t>Auto Components</t>
  </si>
  <si>
    <t>NTPC01</t>
  </si>
  <si>
    <t>NTPC Limited</t>
  </si>
  <si>
    <t>INE733E01010</t>
  </si>
  <si>
    <t>Power</t>
  </si>
  <si>
    <t>VEDF01</t>
  </si>
  <si>
    <t>Vedant Fashions Limited</t>
  </si>
  <si>
    <t>INE825V01034</t>
  </si>
  <si>
    <t>GRIN02</t>
  </si>
  <si>
    <t>Grindwell Norton Limited</t>
  </si>
  <si>
    <t>INE536A01023</t>
  </si>
  <si>
    <t>TLFH01</t>
  </si>
  <si>
    <t>Tube Investments of India Limited</t>
  </si>
  <si>
    <t>INE974X01010</t>
  </si>
  <si>
    <t>JLLH01</t>
  </si>
  <si>
    <t>Jupiter Life Line Hospitals Limited</t>
  </si>
  <si>
    <t>INE682M01012</t>
  </si>
  <si>
    <t>AEIL02</t>
  </si>
  <si>
    <t>Aeroflex Industries Limited</t>
  </si>
  <si>
    <t>INE024001021</t>
  </si>
  <si>
    <t>PGCI01</t>
  </si>
  <si>
    <t>Power Grid Corporation of India Limited</t>
  </si>
  <si>
    <t>INE752E01010</t>
  </si>
  <si>
    <t>PHMI02</t>
  </si>
  <si>
    <t>The Phoenix Mills Limited</t>
  </si>
  <si>
    <t>INE211B01039</t>
  </si>
  <si>
    <t>Realty</t>
  </si>
  <si>
    <t>HPEC01</t>
  </si>
  <si>
    <t>Hindustan Petroleum Corporation Limited</t>
  </si>
  <si>
    <t>INE094A01015</t>
  </si>
  <si>
    <t>YATR01</t>
  </si>
  <si>
    <t>Yatra Online Limited</t>
  </si>
  <si>
    <t>INE0JR601024</t>
  </si>
  <si>
    <t>Leisure Services</t>
  </si>
  <si>
    <t>SEGO01</t>
  </si>
  <si>
    <t>Senco Gold Limited</t>
  </si>
  <si>
    <t>INE602W01019</t>
  </si>
  <si>
    <t>NETW01</t>
  </si>
  <si>
    <t>Netweb Technologies India Limited</t>
  </si>
  <si>
    <t>INE0NT901020</t>
  </si>
  <si>
    <t>IT - Hardware</t>
  </si>
  <si>
    <t>ORRE01</t>
  </si>
  <si>
    <t>RHI Magnesita India Limited</t>
  </si>
  <si>
    <t>INE743M01012</t>
  </si>
  <si>
    <t>ASTP04</t>
  </si>
  <si>
    <t>Astral Limited</t>
  </si>
  <si>
    <t>INE006I01046</t>
  </si>
  <si>
    <t>MUFL01</t>
  </si>
  <si>
    <t>Muthoot Finance Limited</t>
  </si>
  <si>
    <t>INE414G01012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</si>
  <si>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</si>
  <si>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</si>
  <si>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</si>
  <si>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</si>
  <si>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</si>
  <si>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</si>
  <si>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</si>
  <si>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</si>
  <si>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</si>
  <si>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</si>
  <si>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</si>
  <si>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</si>
  <si>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</si>
  <si>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TBIL2110</t>
  </si>
  <si>
    <t>364 Days Tbill (MD 12/10/2023)</t>
  </si>
  <si>
    <t>IN002022Z283</t>
  </si>
  <si>
    <t>Sovereign</t>
  </si>
  <si>
    <t>TBIL2201</t>
  </si>
  <si>
    <t>182 Days Tbill (MD 09/11/2023)</t>
  </si>
  <si>
    <t>IN002023Y060</t>
  </si>
  <si>
    <t>TBIL2199</t>
  </si>
  <si>
    <t>182 Days Tbill (MD 02/11/2023)</t>
  </si>
  <si>
    <t>IN002023Y052</t>
  </si>
  <si>
    <t>TBIL2212</t>
  </si>
  <si>
    <t>182 Days Tbill (MD 30/11/2023)</t>
  </si>
  <si>
    <t>IN002023Y094</t>
  </si>
  <si>
    <t>Reverse Repo / TREPS</t>
  </si>
  <si>
    <t>TRP_031023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</si>
  <si>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</si>
  <si>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</si>
  <si>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</si>
  <si>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</si>
  <si>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</si>
  <si>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</si>
  <si>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</si>
  <si>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</si>
  <si>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</si>
  <si>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</si>
  <si>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</si>
  <si>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Astral </t>
  </si>
  <si>
    <t xml:space="preserve">IDFC First Bank </t>
  </si>
  <si>
    <t xml:space="preserve">Muthoot Finance </t>
  </si>
  <si>
    <t>~ YTM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</si>
</sst>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3" fontId="3" fillId="0" borderId="11" xfId="0" applyNumberFormat="1" applyFont="1" applyBorder="1" applyAlignment="1">
      <alignment horizontal="right" vertical="top" wrapText="1"/>
    </xf>
    <xf numFmtId="164" fontId="2" fillId="0" borderId="11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C538417-15D3-4AD8-B2AD-171DB2C83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25</xdr:col>
      <xdr:colOff>304800</xdr:colOff>
      <xdr:row>17</xdr:row>
      <xdr:rowOff>133350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C879994E-65AC-4386-A558-B781DBFB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523875"/>
          <a:ext cx="94488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3-24/Monthly/Sep%202023/Monthly%20Portfolio/MONTHLY_PORTFOLIO_September%202023_FINAL.xls" TargetMode="External"/><Relationship Id="rId1" Type="http://schemas.openxmlformats.org/officeDocument/2006/relationships/externalLinkPath" Target="MONTHLY_PORTFOLIO_September%202023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FLEXI"/>
      <sheetName val="WOLCF"/>
      <sheetName val="WOMID"/>
      <sheetName val="WOTSF"/>
      <sheetName val="WOMLT"/>
      <sheetName val="WOBAF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F187-19A8-4F3C-AC7F-E679409764BD}">
  <sheetPr>
    <outlinePr summaryBelow="0"/>
  </sheetPr>
  <dimension ref="A1:J105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4.5703125" customWidth="1"/>
    <col min="4" max="4" width="15" customWidth="1"/>
    <col min="5" max="5" width="19.5703125" customWidth="1"/>
    <col min="6" max="6" width="12.85546875" customWidth="1"/>
    <col min="7" max="7" width="16.28515625" customWidth="1"/>
    <col min="8" max="8" width="11.140625" customWidth="1"/>
    <col min="9" max="9" width="8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325071</v>
      </c>
      <c r="G7" s="16">
        <v>3094.35</v>
      </c>
      <c r="H7" s="17">
        <v>8.8800000000000004E-2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185769</v>
      </c>
      <c r="G8" s="16">
        <v>2835.39</v>
      </c>
      <c r="H8" s="17">
        <v>8.14E-2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8591</v>
      </c>
      <c r="G9" s="16">
        <v>1933.57</v>
      </c>
      <c r="H9" s="17">
        <v>5.5500000000000001E-2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48486</v>
      </c>
      <c r="G10" s="16">
        <v>1526.73</v>
      </c>
      <c r="H10" s="17">
        <v>4.3799999999999999E-2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53937</v>
      </c>
      <c r="G11" s="16">
        <v>1264.82</v>
      </c>
      <c r="H11" s="17">
        <v>3.6299999999999999E-2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97607</v>
      </c>
      <c r="G12" s="16">
        <v>1188.4100000000001</v>
      </c>
      <c r="H12" s="17">
        <v>3.4099999999999998E-2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62814</v>
      </c>
      <c r="G13" s="16">
        <v>1090.26</v>
      </c>
      <c r="H13" s="17">
        <v>3.1300000000000001E-2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71255</v>
      </c>
      <c r="G14" s="16">
        <v>1022.83</v>
      </c>
      <c r="H14" s="17">
        <v>2.9399999999999999E-2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42</v>
      </c>
      <c r="F15" s="15">
        <v>28804</v>
      </c>
      <c r="G15" s="16">
        <v>1016.38</v>
      </c>
      <c r="H15" s="17">
        <v>2.92E-2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9474</v>
      </c>
      <c r="G16" s="16">
        <v>1005.25</v>
      </c>
      <c r="H16" s="17">
        <v>2.8899999999999999E-2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32803</v>
      </c>
      <c r="G17" s="16">
        <v>991.82</v>
      </c>
      <c r="H17" s="17">
        <v>2.8500000000000001E-2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49</v>
      </c>
      <c r="F18" s="15">
        <v>45412</v>
      </c>
      <c r="G18" s="16">
        <v>705.82</v>
      </c>
      <c r="H18" s="17">
        <v>2.0299999999999999E-2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120236</v>
      </c>
      <c r="G19" s="16">
        <v>680.78</v>
      </c>
      <c r="H19" s="17">
        <v>1.95E-2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16</v>
      </c>
      <c r="F20" s="15">
        <v>107551</v>
      </c>
      <c r="G20" s="16">
        <v>643.75</v>
      </c>
      <c r="H20" s="17">
        <v>1.8499999999999999E-2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35</v>
      </c>
      <c r="F21" s="15">
        <v>7719</v>
      </c>
      <c r="G21" s="16">
        <v>602.91</v>
      </c>
      <c r="H21" s="17">
        <v>1.7299999999999999E-2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391901</v>
      </c>
      <c r="G22" s="16">
        <v>542</v>
      </c>
      <c r="H22" s="17">
        <v>1.5599999999999999E-2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109186</v>
      </c>
      <c r="G23" s="16">
        <v>537.9</v>
      </c>
      <c r="H23" s="17">
        <v>1.54E-2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56242</v>
      </c>
      <c r="G24" s="16">
        <v>531.88</v>
      </c>
      <c r="H24" s="17">
        <v>1.5299999999999999E-2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52587</v>
      </c>
      <c r="G25" s="16">
        <v>521.45000000000005</v>
      </c>
      <c r="H25" s="17">
        <v>1.4999999999999999E-2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35</v>
      </c>
      <c r="F26" s="15">
        <v>221249</v>
      </c>
      <c r="G26" s="16">
        <v>511.53</v>
      </c>
      <c r="H26" s="17">
        <v>1.47E-2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42</v>
      </c>
      <c r="F27" s="15">
        <v>9792</v>
      </c>
      <c r="G27" s="16">
        <v>510.15</v>
      </c>
      <c r="H27" s="17">
        <v>1.46E-2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35</v>
      </c>
      <c r="F28" s="15">
        <v>32812</v>
      </c>
      <c r="G28" s="16">
        <v>505.39</v>
      </c>
      <c r="H28" s="17">
        <v>1.4500000000000001E-2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24499</v>
      </c>
      <c r="G29" s="16">
        <v>472.61</v>
      </c>
      <c r="H29" s="17">
        <v>1.3599999999999999E-2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42</v>
      </c>
      <c r="F30" s="15">
        <v>8050</v>
      </c>
      <c r="G30" s="16">
        <v>466.63</v>
      </c>
      <c r="H30" s="17">
        <v>1.34E-2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330439</v>
      </c>
      <c r="G31" s="16">
        <v>425.94</v>
      </c>
      <c r="H31" s="17">
        <v>1.2200000000000001E-2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42</v>
      </c>
      <c r="F32" s="15">
        <v>8343</v>
      </c>
      <c r="G32" s="16">
        <v>425.86</v>
      </c>
      <c r="H32" s="17">
        <v>1.2200000000000001E-2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94791</v>
      </c>
      <c r="G33" s="16">
        <v>419.17</v>
      </c>
      <c r="H33" s="17">
        <v>1.2E-2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109</v>
      </c>
      <c r="F34" s="15">
        <v>10126</v>
      </c>
      <c r="G34" s="16">
        <v>414.99</v>
      </c>
      <c r="H34" s="17">
        <v>1.1900000000000001E-2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17867</v>
      </c>
      <c r="G35" s="16">
        <v>371.66</v>
      </c>
      <c r="H35" s="17">
        <v>1.0699999999999999E-2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60</v>
      </c>
      <c r="F36" s="15">
        <v>52668</v>
      </c>
      <c r="G36" s="16">
        <v>335.71</v>
      </c>
      <c r="H36" s="17">
        <v>9.5999999999999992E-3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34488</v>
      </c>
      <c r="G37" s="16">
        <v>319.5</v>
      </c>
      <c r="H37" s="17">
        <v>9.1999999999999998E-3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27</v>
      </c>
      <c r="F38" s="15">
        <v>10047</v>
      </c>
      <c r="G38" s="16">
        <v>317.58999999999997</v>
      </c>
      <c r="H38" s="17">
        <v>9.1000000000000004E-3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73598</v>
      </c>
      <c r="G39" s="16">
        <v>312.64</v>
      </c>
      <c r="H39" s="17">
        <v>8.9999999999999993E-3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95</v>
      </c>
      <c r="F40" s="15">
        <v>1206</v>
      </c>
      <c r="G40" s="16">
        <v>279.54000000000002</v>
      </c>
      <c r="H40" s="17">
        <v>8.0000000000000002E-3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16</v>
      </c>
      <c r="F41" s="15">
        <v>26925</v>
      </c>
      <c r="G41" s="16">
        <v>279.13</v>
      </c>
      <c r="H41" s="17">
        <v>8.0000000000000002E-3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140</v>
      </c>
      <c r="F42" s="15">
        <v>34706</v>
      </c>
      <c r="G42" s="16">
        <v>279.08999999999997</v>
      </c>
      <c r="H42" s="17">
        <v>8.0000000000000002E-3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116</v>
      </c>
      <c r="F43" s="15">
        <v>6355</v>
      </c>
      <c r="G43" s="16">
        <v>264.7</v>
      </c>
      <c r="H43" s="17">
        <v>7.6E-3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10334</v>
      </c>
      <c r="G44" s="16">
        <v>254.8</v>
      </c>
      <c r="H44" s="17">
        <v>7.3000000000000001E-3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140</v>
      </c>
      <c r="F45" s="15">
        <v>34745</v>
      </c>
      <c r="G45" s="16">
        <v>248.79</v>
      </c>
      <c r="H45" s="17">
        <v>7.1000000000000004E-3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35</v>
      </c>
      <c r="F46" s="15">
        <v>35135</v>
      </c>
      <c r="G46" s="16">
        <v>244.79</v>
      </c>
      <c r="H46" s="17">
        <v>7.0000000000000001E-3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6570</v>
      </c>
      <c r="G47" s="16">
        <v>226.86</v>
      </c>
      <c r="H47" s="17">
        <v>6.4999999999999997E-3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116</v>
      </c>
      <c r="F48" s="15">
        <v>215336</v>
      </c>
      <c r="G48" s="16">
        <v>218.57</v>
      </c>
      <c r="H48" s="17">
        <v>6.3E-3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95</v>
      </c>
      <c r="F49" s="15">
        <v>18087</v>
      </c>
      <c r="G49" s="16">
        <v>214.54</v>
      </c>
      <c r="H49" s="17">
        <v>6.1999999999999998E-3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35</v>
      </c>
      <c r="F50" s="15">
        <v>35873</v>
      </c>
      <c r="G50" s="16">
        <v>214.36</v>
      </c>
      <c r="H50" s="17">
        <v>6.1999999999999998E-3</v>
      </c>
      <c r="I50" s="18"/>
      <c r="J50" s="1"/>
    </row>
    <row r="51" spans="1:10" ht="12.95" customHeight="1">
      <c r="A51" s="13" t="s">
        <v>167</v>
      </c>
      <c r="B51" s="14" t="s">
        <v>168</v>
      </c>
      <c r="C51" s="14"/>
      <c r="D51" s="11" t="s">
        <v>169</v>
      </c>
      <c r="E51" s="11" t="s">
        <v>35</v>
      </c>
      <c r="F51" s="15">
        <v>74041</v>
      </c>
      <c r="G51" s="16">
        <v>212.79</v>
      </c>
      <c r="H51" s="17">
        <v>6.1000000000000004E-3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5628</v>
      </c>
      <c r="G52" s="16">
        <v>211.99</v>
      </c>
      <c r="H52" s="17">
        <v>6.1000000000000004E-3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49</v>
      </c>
      <c r="F53" s="15">
        <v>6129</v>
      </c>
      <c r="G53" s="16">
        <v>211.26</v>
      </c>
      <c r="H53" s="17">
        <v>6.1000000000000004E-3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95</v>
      </c>
      <c r="F54" s="15">
        <v>11142</v>
      </c>
      <c r="G54" s="16">
        <v>200.03</v>
      </c>
      <c r="H54" s="17">
        <v>5.7000000000000002E-3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35</v>
      </c>
      <c r="F55" s="15">
        <v>9740</v>
      </c>
      <c r="G55" s="16">
        <v>186.94</v>
      </c>
      <c r="H55" s="17">
        <v>5.4000000000000003E-3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6181</v>
      </c>
      <c r="G56" s="16">
        <v>184.79</v>
      </c>
      <c r="H56" s="17">
        <v>5.3E-3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7170</v>
      </c>
      <c r="G57" s="16">
        <v>183.39</v>
      </c>
      <c r="H57" s="17">
        <v>5.3E-3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74198</v>
      </c>
      <c r="G58" s="16">
        <v>182.19</v>
      </c>
      <c r="H58" s="17">
        <v>5.1999999999999998E-3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116</v>
      </c>
      <c r="F59" s="15">
        <v>13312</v>
      </c>
      <c r="G59" s="16">
        <v>178.19</v>
      </c>
      <c r="H59" s="17">
        <v>5.1000000000000004E-3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186</v>
      </c>
      <c r="F60" s="15">
        <v>8461</v>
      </c>
      <c r="G60" s="16">
        <v>175.87</v>
      </c>
      <c r="H60" s="17">
        <v>5.0000000000000001E-3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190</v>
      </c>
      <c r="F61" s="15">
        <v>4938</v>
      </c>
      <c r="G61" s="16">
        <v>147.56</v>
      </c>
      <c r="H61" s="17">
        <v>4.1999999999999997E-3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140</v>
      </c>
      <c r="F62" s="15">
        <v>11820</v>
      </c>
      <c r="G62" s="16">
        <v>127.19</v>
      </c>
      <c r="H62" s="17">
        <v>3.7000000000000002E-3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186</v>
      </c>
      <c r="F63" s="15">
        <v>79560</v>
      </c>
      <c r="G63" s="16">
        <v>121.53</v>
      </c>
      <c r="H63" s="17">
        <v>3.5000000000000001E-3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194</v>
      </c>
      <c r="F64" s="15">
        <v>60070</v>
      </c>
      <c r="G64" s="16">
        <v>119.99</v>
      </c>
      <c r="H64" s="17">
        <v>3.3999999999999998E-3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216</v>
      </c>
      <c r="F65" s="15">
        <v>6389</v>
      </c>
      <c r="G65" s="16">
        <v>115.92</v>
      </c>
      <c r="H65" s="17">
        <v>3.3E-3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31</v>
      </c>
      <c r="F66" s="15">
        <v>35079</v>
      </c>
      <c r="G66" s="16">
        <v>89.43</v>
      </c>
      <c r="H66" s="17">
        <v>2.5999999999999999E-3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62055</v>
      </c>
      <c r="G67" s="16">
        <v>84.92</v>
      </c>
      <c r="H67" s="17">
        <v>2.3999999999999998E-3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27</v>
      </c>
      <c r="F68" s="15">
        <v>13372</v>
      </c>
      <c r="G68" s="16">
        <v>82.45</v>
      </c>
      <c r="H68" s="17">
        <v>2.3999999999999998E-3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230</v>
      </c>
      <c r="F69" s="15">
        <v>8490</v>
      </c>
      <c r="G69" s="16">
        <v>70.27</v>
      </c>
      <c r="H69" s="17">
        <v>2E-3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186</v>
      </c>
      <c r="F70" s="15">
        <v>6908</v>
      </c>
      <c r="G70" s="16">
        <v>51.55</v>
      </c>
      <c r="H70" s="17">
        <v>1.5E-3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186</v>
      </c>
      <c r="F71" s="15">
        <v>455</v>
      </c>
      <c r="G71" s="16">
        <v>8.6999999999999993</v>
      </c>
      <c r="H71" s="17">
        <v>2.0000000000000001E-4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35</v>
      </c>
      <c r="F72" s="15">
        <v>550</v>
      </c>
      <c r="G72" s="16">
        <v>6.89</v>
      </c>
      <c r="H72" s="17">
        <v>2.0000000000000001E-4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16</v>
      </c>
      <c r="F73" s="15">
        <v>5081</v>
      </c>
      <c r="G73" s="16">
        <v>4.8499999999999996</v>
      </c>
      <c r="H73" s="17">
        <v>1E-4</v>
      </c>
      <c r="I73" s="18"/>
      <c r="J73" s="1"/>
    </row>
    <row r="74" spans="1:10" ht="12.95" customHeight="1">
      <c r="A74" s="1"/>
      <c r="B74" s="10" t="s">
        <v>243</v>
      </c>
      <c r="C74" s="10"/>
      <c r="D74" s="11"/>
      <c r="E74" s="11"/>
      <c r="F74" s="11"/>
      <c r="G74" s="19">
        <v>33229.529999999992</v>
      </c>
      <c r="H74" s="20">
        <v>0.95379999999999943</v>
      </c>
      <c r="I74" s="21"/>
      <c r="J74" s="1"/>
    </row>
    <row r="75" spans="1:10" ht="12.95" customHeight="1">
      <c r="A75" s="1"/>
      <c r="B75" s="22" t="s">
        <v>244</v>
      </c>
      <c r="C75" s="22"/>
      <c r="D75" s="23"/>
      <c r="E75" s="23"/>
      <c r="F75" s="23"/>
      <c r="G75" s="21" t="s">
        <v>245</v>
      </c>
      <c r="H75" s="21" t="s">
        <v>245</v>
      </c>
      <c r="I75" s="21"/>
      <c r="J75" s="1"/>
    </row>
    <row r="76" spans="1:10" ht="12.95" customHeight="1">
      <c r="A76" s="1"/>
      <c r="B76" s="22" t="s">
        <v>243</v>
      </c>
      <c r="C76" s="22"/>
      <c r="D76" s="23"/>
      <c r="E76" s="23"/>
      <c r="F76" s="23"/>
      <c r="G76" s="21" t="s">
        <v>245</v>
      </c>
      <c r="H76" s="21" t="s">
        <v>245</v>
      </c>
      <c r="I76" s="21"/>
      <c r="J76" s="1"/>
    </row>
    <row r="77" spans="1:10" ht="12.95" customHeight="1">
      <c r="A77" s="1"/>
      <c r="B77" s="22" t="s">
        <v>246</v>
      </c>
      <c r="C77" s="22"/>
      <c r="D77" s="24"/>
      <c r="E77" s="23"/>
      <c r="F77" s="24"/>
      <c r="G77" s="19">
        <v>33229.529999999992</v>
      </c>
      <c r="H77" s="20">
        <v>0.95379999999999943</v>
      </c>
      <c r="I77" s="21"/>
      <c r="J77" s="1"/>
    </row>
    <row r="78" spans="1:10" ht="12.95" customHeight="1">
      <c r="A78" s="1"/>
      <c r="B78" s="10" t="s">
        <v>247</v>
      </c>
      <c r="C78" s="10"/>
      <c r="D78" s="11"/>
      <c r="E78" s="11"/>
      <c r="F78" s="11"/>
      <c r="G78" s="25"/>
      <c r="H78" s="26"/>
      <c r="I78" s="27"/>
      <c r="J78" s="1"/>
    </row>
    <row r="79" spans="1:10" ht="12.95" customHeight="1">
      <c r="A79" s="13" t="s">
        <v>248</v>
      </c>
      <c r="B79" s="14" t="s">
        <v>249</v>
      </c>
      <c r="C79" s="14"/>
      <c r="D79" s="11" t="s">
        <v>250</v>
      </c>
      <c r="E79" s="11" t="s">
        <v>216</v>
      </c>
      <c r="F79" s="15">
        <v>136495</v>
      </c>
      <c r="G79" s="16">
        <v>328.84</v>
      </c>
      <c r="H79" s="17">
        <v>9.4000000000000004E-3</v>
      </c>
      <c r="I79" s="18"/>
      <c r="J79" s="1"/>
    </row>
    <row r="80" spans="1:10" ht="12.95" customHeight="1">
      <c r="A80" s="13"/>
      <c r="B80" s="10" t="s">
        <v>243</v>
      </c>
      <c r="C80" s="10"/>
      <c r="D80" s="11"/>
      <c r="E80" s="11"/>
      <c r="F80" s="15"/>
      <c r="G80" s="28">
        <f>+G79</f>
        <v>328.84</v>
      </c>
      <c r="H80" s="26">
        <f>+H79</f>
        <v>9.4000000000000004E-3</v>
      </c>
      <c r="I80" s="18"/>
      <c r="J80" s="1"/>
    </row>
    <row r="81" spans="1:10" ht="12.95" customHeight="1">
      <c r="A81" s="13"/>
      <c r="B81" s="22" t="s">
        <v>246</v>
      </c>
      <c r="C81" s="22"/>
      <c r="D81" s="29"/>
      <c r="E81" s="30"/>
      <c r="F81" s="31"/>
      <c r="G81" s="32">
        <f>+G80</f>
        <v>328.84</v>
      </c>
      <c r="H81" s="33">
        <f>+H80</f>
        <v>9.4000000000000004E-3</v>
      </c>
      <c r="I81" s="34"/>
      <c r="J81" s="1"/>
    </row>
    <row r="82" spans="1:10" ht="12.95" customHeight="1">
      <c r="A82" s="1"/>
      <c r="B82" s="10" t="s">
        <v>251</v>
      </c>
      <c r="C82" s="10"/>
      <c r="D82" s="11"/>
      <c r="E82" s="11"/>
      <c r="F82" s="11"/>
      <c r="G82" s="11"/>
      <c r="H82" s="11"/>
      <c r="I82" s="12"/>
      <c r="J82" s="1"/>
    </row>
    <row r="83" spans="1:10" ht="12.95" customHeight="1">
      <c r="A83" s="1"/>
      <c r="B83" s="10" t="s">
        <v>252</v>
      </c>
      <c r="C83" s="10"/>
      <c r="D83" s="11"/>
      <c r="E83" s="11"/>
      <c r="F83" s="11"/>
      <c r="G83" s="1"/>
      <c r="H83" s="12"/>
      <c r="I83" s="12"/>
      <c r="J83" s="1"/>
    </row>
    <row r="84" spans="1:10" ht="12.95" customHeight="1">
      <c r="A84" s="13" t="s">
        <v>253</v>
      </c>
      <c r="B84" s="14" t="s">
        <v>254</v>
      </c>
      <c r="C84" s="14"/>
      <c r="D84" s="11" t="s">
        <v>255</v>
      </c>
      <c r="E84" s="11" t="s">
        <v>256</v>
      </c>
      <c r="F84" s="15">
        <v>300000</v>
      </c>
      <c r="G84" s="16">
        <v>299.39</v>
      </c>
      <c r="H84" s="17">
        <v>8.6E-3</v>
      </c>
      <c r="I84" s="35">
        <v>6.7349999999999993E-2</v>
      </c>
      <c r="J84" s="1"/>
    </row>
    <row r="85" spans="1:10" ht="12.95" customHeight="1">
      <c r="A85" s="13" t="s">
        <v>257</v>
      </c>
      <c r="B85" s="14" t="s">
        <v>258</v>
      </c>
      <c r="C85" s="14"/>
      <c r="D85" s="11" t="s">
        <v>259</v>
      </c>
      <c r="E85" s="11" t="s">
        <v>256</v>
      </c>
      <c r="F85" s="15">
        <v>200000</v>
      </c>
      <c r="G85" s="16">
        <v>198.58</v>
      </c>
      <c r="H85" s="17">
        <v>5.7000000000000002E-3</v>
      </c>
      <c r="I85" s="35">
        <v>6.7000000000000004E-2</v>
      </c>
      <c r="J85" s="1"/>
    </row>
    <row r="86" spans="1:10" ht="12.95" customHeight="1">
      <c r="A86" s="13" t="s">
        <v>260</v>
      </c>
      <c r="B86" s="14" t="s">
        <v>261</v>
      </c>
      <c r="C86" s="14"/>
      <c r="D86" s="11" t="s">
        <v>262</v>
      </c>
      <c r="E86" s="11" t="s">
        <v>256</v>
      </c>
      <c r="F86" s="15">
        <v>100000</v>
      </c>
      <c r="G86" s="16">
        <v>99.42</v>
      </c>
      <c r="H86" s="17">
        <v>2.8999999999999998E-3</v>
      </c>
      <c r="I86" s="35">
        <v>6.7000000000000004E-2</v>
      </c>
      <c r="J86" s="1"/>
    </row>
    <row r="87" spans="1:10" ht="12.95" customHeight="1">
      <c r="A87" s="13" t="s">
        <v>263</v>
      </c>
      <c r="B87" s="14" t="s">
        <v>264</v>
      </c>
      <c r="C87" s="14"/>
      <c r="D87" s="11" t="s">
        <v>265</v>
      </c>
      <c r="E87" s="11" t="s">
        <v>256</v>
      </c>
      <c r="F87" s="15">
        <v>100000</v>
      </c>
      <c r="G87" s="16">
        <v>98.91</v>
      </c>
      <c r="H87" s="17">
        <v>2.8E-3</v>
      </c>
      <c r="I87" s="35">
        <v>6.7000000000000004E-2</v>
      </c>
      <c r="J87" s="1"/>
    </row>
    <row r="88" spans="1:10" ht="12.95" customHeight="1">
      <c r="A88" s="1"/>
      <c r="B88" s="10" t="s">
        <v>243</v>
      </c>
      <c r="C88" s="10"/>
      <c r="D88" s="11"/>
      <c r="E88" s="11"/>
      <c r="F88" s="11"/>
      <c r="G88" s="19">
        <v>696.3</v>
      </c>
      <c r="H88" s="20">
        <v>0.02</v>
      </c>
      <c r="I88" s="21"/>
      <c r="J88" s="1"/>
    </row>
    <row r="89" spans="1:10" ht="12.95" customHeight="1">
      <c r="A89" s="1"/>
      <c r="B89" s="22" t="s">
        <v>246</v>
      </c>
      <c r="C89" s="22"/>
      <c r="D89" s="24"/>
      <c r="E89" s="23"/>
      <c r="F89" s="24"/>
      <c r="G89" s="19">
        <v>696.3</v>
      </c>
      <c r="H89" s="20">
        <v>0.02</v>
      </c>
      <c r="I89" s="21"/>
      <c r="J89" s="1"/>
    </row>
    <row r="90" spans="1:10" ht="12.95" customHeight="1">
      <c r="A90" s="1"/>
      <c r="B90" s="10" t="s">
        <v>266</v>
      </c>
      <c r="C90" s="10"/>
      <c r="D90" s="11"/>
      <c r="E90" s="11"/>
      <c r="F90" s="11"/>
      <c r="G90" s="11"/>
      <c r="H90" s="11"/>
      <c r="I90" s="12"/>
      <c r="J90" s="1"/>
    </row>
    <row r="91" spans="1:10" ht="12.95" customHeight="1">
      <c r="A91" s="13" t="s">
        <v>267</v>
      </c>
      <c r="B91" s="14" t="s">
        <v>268</v>
      </c>
      <c r="C91" s="14"/>
      <c r="D91" s="11"/>
      <c r="E91" s="11"/>
      <c r="F91" s="15"/>
      <c r="G91" s="16">
        <v>557.74</v>
      </c>
      <c r="H91" s="17">
        <v>1.6E-2</v>
      </c>
      <c r="I91" s="35">
        <v>6.7754510366013682E-2</v>
      </c>
      <c r="J91" s="1"/>
    </row>
    <row r="92" spans="1:10" ht="12.95" customHeight="1">
      <c r="A92" s="1"/>
      <c r="B92" s="10" t="s">
        <v>243</v>
      </c>
      <c r="C92" s="10"/>
      <c r="D92" s="11"/>
      <c r="E92" s="11"/>
      <c r="F92" s="11"/>
      <c r="G92" s="19">
        <v>557.74</v>
      </c>
      <c r="H92" s="20">
        <v>1.6E-2</v>
      </c>
      <c r="I92" s="21"/>
      <c r="J92" s="1"/>
    </row>
    <row r="93" spans="1:10" ht="12.95" customHeight="1">
      <c r="A93" s="1"/>
      <c r="B93" s="22" t="s">
        <v>246</v>
      </c>
      <c r="C93" s="22"/>
      <c r="D93" s="24"/>
      <c r="E93" s="23"/>
      <c r="F93" s="24"/>
      <c r="G93" s="19">
        <v>557.74</v>
      </c>
      <c r="H93" s="20">
        <v>1.6E-2</v>
      </c>
      <c r="I93" s="21"/>
      <c r="J93" s="1"/>
    </row>
    <row r="94" spans="1:10" ht="12.95" customHeight="1">
      <c r="A94" s="1"/>
      <c r="B94" s="22" t="s">
        <v>269</v>
      </c>
      <c r="C94" s="22"/>
      <c r="D94" s="11"/>
      <c r="E94" s="23"/>
      <c r="F94" s="11"/>
      <c r="G94" s="36">
        <v>22.95</v>
      </c>
      <c r="H94" s="20">
        <v>8.0000000000000004E-4</v>
      </c>
      <c r="I94" s="21"/>
      <c r="J94" s="1"/>
    </row>
    <row r="95" spans="1:10" ht="12.95" customHeight="1" thickBot="1">
      <c r="A95" s="1"/>
      <c r="B95" s="37" t="s">
        <v>270</v>
      </c>
      <c r="C95" s="37"/>
      <c r="D95" s="38"/>
      <c r="E95" s="38"/>
      <c r="F95" s="38"/>
      <c r="G95" s="39">
        <v>34835.360000000001</v>
      </c>
      <c r="H95" s="40">
        <v>1</v>
      </c>
      <c r="I95" s="41"/>
      <c r="J95" s="1"/>
    </row>
    <row r="96" spans="1:10" ht="12.95" customHeight="1">
      <c r="A96" s="1"/>
      <c r="B96" s="42"/>
      <c r="C96" s="42"/>
      <c r="D96" s="1"/>
      <c r="E96" s="1"/>
      <c r="F96" s="1"/>
      <c r="G96" s="1"/>
      <c r="H96" s="1"/>
      <c r="I96" s="1"/>
      <c r="J96" s="1"/>
    </row>
    <row r="97" spans="1:10" ht="12.95" customHeight="1">
      <c r="A97" s="1"/>
      <c r="B97" s="43" t="s">
        <v>271</v>
      </c>
      <c r="C97" s="1"/>
      <c r="D97" s="1"/>
      <c r="E97" s="1"/>
      <c r="F97" s="1"/>
      <c r="G97" s="1"/>
      <c r="H97" s="1"/>
      <c r="I97" s="1"/>
      <c r="J97" s="1"/>
    </row>
    <row r="98" spans="1:10" ht="39.950000000000003" customHeight="1">
      <c r="A98" s="1"/>
      <c r="B98" s="44" t="s">
        <v>272</v>
      </c>
      <c r="C98" s="44"/>
      <c r="D98" s="45" t="s">
        <v>3</v>
      </c>
      <c r="E98" s="45" t="s">
        <v>5</v>
      </c>
      <c r="F98" s="45" t="s">
        <v>273</v>
      </c>
      <c r="G98" s="45" t="s">
        <v>274</v>
      </c>
      <c r="H98" s="45" t="s">
        <v>275</v>
      </c>
      <c r="I98" s="1"/>
      <c r="J98" s="1"/>
    </row>
    <row r="99" spans="1:10" ht="12.95" customHeight="1">
      <c r="A99" s="1"/>
      <c r="B99" s="46" t="s">
        <v>276</v>
      </c>
      <c r="C99" s="46"/>
      <c r="D99" s="23" t="s">
        <v>277</v>
      </c>
      <c r="E99" s="23" t="s">
        <v>278</v>
      </c>
      <c r="F99" s="47">
        <v>1750</v>
      </c>
      <c r="G99" s="48">
        <v>344.90750000000003</v>
      </c>
      <c r="H99" s="49">
        <v>9.9000000000000008E-3</v>
      </c>
      <c r="I99" s="1"/>
      <c r="J99" s="1"/>
    </row>
    <row r="100" spans="1:10" ht="12.95" customHeight="1">
      <c r="A100" s="1"/>
      <c r="B100" s="46" t="s">
        <v>276</v>
      </c>
      <c r="C100" s="46"/>
      <c r="D100" s="23" t="s">
        <v>279</v>
      </c>
      <c r="E100" s="23" t="s">
        <v>186</v>
      </c>
      <c r="F100" s="47">
        <v>14313</v>
      </c>
      <c r="G100" s="48">
        <v>274.451775</v>
      </c>
      <c r="H100" s="49">
        <v>7.9000000000000008E-3</v>
      </c>
      <c r="I100" s="1"/>
      <c r="J100" s="1"/>
    </row>
    <row r="101" spans="1:10" ht="12.95" customHeight="1">
      <c r="A101" s="1"/>
      <c r="B101" s="46" t="s">
        <v>276</v>
      </c>
      <c r="C101" s="46"/>
      <c r="D101" s="23" t="s">
        <v>280</v>
      </c>
      <c r="E101" s="23" t="s">
        <v>16</v>
      </c>
      <c r="F101" s="47">
        <v>285000</v>
      </c>
      <c r="G101" s="48">
        <v>269.04000000000002</v>
      </c>
      <c r="H101" s="49">
        <v>7.7000000000000002E-3</v>
      </c>
      <c r="I101" s="1"/>
      <c r="J101" s="1"/>
    </row>
    <row r="102" spans="1:10" ht="12.95" customHeight="1">
      <c r="A102" s="1"/>
      <c r="B102" s="46" t="s">
        <v>276</v>
      </c>
      <c r="C102" s="46"/>
      <c r="D102" s="23" t="s">
        <v>281</v>
      </c>
      <c r="E102" s="23" t="s">
        <v>35</v>
      </c>
      <c r="F102" s="47">
        <v>13750</v>
      </c>
      <c r="G102" s="48">
        <v>171.88874999999999</v>
      </c>
      <c r="H102" s="49">
        <v>4.8999999999999998E-3</v>
      </c>
      <c r="I102" s="1"/>
      <c r="J102" s="1"/>
    </row>
    <row r="105" spans="1:10">
      <c r="B105" s="50" t="s">
        <v>282</v>
      </c>
    </row>
  </sheetData>
  <mergeCells count="101"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5E815B4-E52C-4A8B-AFEE-57C4A431A146}"/>
</file>

<file path=customXml/itemProps2.xml><?xml version="1.0" encoding="utf-8"?>
<ds:datastoreItem xmlns:ds="http://schemas.openxmlformats.org/officeDocument/2006/customXml" ds:itemID="{898C8563-EBB9-40A2-B6F9-EA6EB0831281}"/>
</file>

<file path=customXml/itemProps3.xml><?xml version="1.0" encoding="utf-8"?>
<ds:datastoreItem xmlns:ds="http://schemas.openxmlformats.org/officeDocument/2006/customXml" ds:itemID="{24A4BABF-A233-496D-9712-896EC4F26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2023-10-06T10:52:52Z</dcterms:created>
  <dcterms:modified xsi:type="dcterms:W3CDTF">2023-10-06T10:53:21Z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