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575F9473-6D52-45D7-B348-ED7985BB0B62}" xr6:coauthVersionLast="47" xr6:coauthVersionMax="47" xr10:uidLastSave="{00000000-0000-0000-0000-000000000000}"/>
  <bookViews>
    <workbookView xWindow="-108" yWindow="-108" windowWidth="41496" windowHeight="16896" xr2:uid="{8202F3A0-4FFB-44D5-9DCD-F3DD7579A221}"/>
  </bookViews>
  <sheets>
    <sheet name="IDF282" sheetId="1" r:id="rId1"/>
  </sheets>
  <definedNames>
    <definedName name="JR_PAGE_ANCHOR_0_49">'IDF282'!$A$2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</calcChain>
</file>

<file path=xl/sharedStrings.xml><?xml version="1.0" encoding="utf-8"?>
<sst xmlns="http://schemas.openxmlformats.org/spreadsheetml/2006/main" count="176" uniqueCount="151">
  <si>
    <t>IDF282</t>
  </si>
  <si>
    <t>INDEX</t>
  </si>
  <si>
    <t>Portfolio Statement as on February 28,2025</t>
  </si>
  <si>
    <t>Bandhan Nifty200 Momentum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</si>
  <si>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</si>
  <si>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</si>
  <si>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</si>
  <si>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</si>
  <si>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</si>
  <si>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</si>
  <si>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</si>
  <si>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</si>
  <si>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</si>
  <si>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</si>
  <si>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</si>
  <si>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</si>
  <si>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</si>
  <si>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</si>
  <si>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</si>
  <si>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</si>
  <si>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</si>
  <si>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</si>
  <si>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</si>
  <si>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</si>
  <si>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</si>
  <si>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</si>
  <si>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</si>
  <si>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</si>
  <si>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</si>
  <si>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TEMA02</t>
  </si>
  <si>
    <t>Tech Mahindra Limited</t>
  </si>
  <si>
    <t>INE669C01036</t>
  </si>
  <si>
    <t>HCLT02</t>
  </si>
  <si>
    <t>HCL Technologies Limited</t>
  </si>
  <si>
    <t>INE860A01027</t>
  </si>
  <si>
    <t>DIVI02</t>
  </si>
  <si>
    <t>Divi's Laboratories Limited</t>
  </si>
  <si>
    <t>INE361B01024</t>
  </si>
  <si>
    <t>ZMPL01</t>
  </si>
  <si>
    <t>Zomato Limited</t>
  </si>
  <si>
    <t>INE758T01015</t>
  </si>
  <si>
    <t>Retailing</t>
  </si>
  <si>
    <t>DIXO02</t>
  </si>
  <si>
    <t>Dixon Technologies (India) Limited</t>
  </si>
  <si>
    <t>INE935N01020</t>
  </si>
  <si>
    <t>Consumer Durables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</si>
  <si>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</si>
  <si>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</si>
  <si>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</si>
  <si>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</si>
  <si>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</si>
  <si>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</si>
  <si>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</si>
  <si>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</si>
  <si>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</si>
  <si>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</si>
  <si>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</si>
  <si>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</si>
  <si>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</si>
  <si>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</si>
  <si>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IEIN01</t>
  </si>
  <si>
    <t>Info Edge (India) Limited</t>
  </si>
  <si>
    <t>INE663F01024</t>
  </si>
  <si>
    <t>NITL01</t>
  </si>
  <si>
    <t>Coforge Limited</t>
  </si>
  <si>
    <t>INE591G01017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</si>
  <si>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</si>
  <si>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</si>
  <si>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</si>
  <si>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</si>
  <si>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</si>
  <si>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</si>
  <si>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</si>
  <si>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</si>
  <si>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</si>
  <si>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</si>
  <si>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</si>
  <si>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</si>
  <si>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</si>
  <si>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</si>
  <si>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</si>
  <si>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</si>
  <si>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</si>
  <si>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</si>
  <si>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</si>
  <si>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</si>
  <si>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</si>
  <si>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</si>
  <si>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</si>
  <si>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SIEM02</t>
  </si>
  <si>
    <t>Siemens Limited</t>
  </si>
  <si>
    <t>INE003A01024</t>
  </si>
  <si>
    <t>Electrical Equipment</t>
  </si>
  <si>
    <t>VOLT02</t>
  </si>
  <si>
    <t>Voltas Limited</t>
  </si>
  <si>
    <t>INE226A01021</t>
  </si>
  <si>
    <t>KALJ01</t>
  </si>
  <si>
    <t>Kalyan Jewellers India Limited</t>
  </si>
  <si>
    <t>INE303R01014</t>
  </si>
  <si>
    <t>TOPH02</t>
  </si>
  <si>
    <t>Torrent Pharmaceuticals Limited</t>
  </si>
  <si>
    <t>INE685A01028</t>
  </si>
  <si>
    <t>IFEL01</t>
  </si>
  <si>
    <t>Oracle Financial Services Software Limited</t>
  </si>
  <si>
    <t>INE881D01027</t>
  </si>
  <si>
    <t>MOSU03</t>
  </si>
  <si>
    <t>Samvardhana Motherson International Limited</t>
  </si>
  <si>
    <t>INE775A01035</t>
  </si>
  <si>
    <t>Auto Components</t>
  </si>
  <si>
    <t>ONCO02</t>
  </si>
  <si>
    <t>One 97 Communications Limited</t>
  </si>
  <si>
    <t>INE982J01020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</si>
  <si>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</si>
  <si>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</si>
  <si>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</si>
  <si>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</si>
  <si>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</si>
  <si>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</si>
  <si>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</si>
  <si>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</si>
  <si>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</si>
  <si>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</si>
  <si>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</si>
  <si>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</si>
  <si>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</si>
  <si>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</si>
  <si>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</si>
  <si>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</si>
  <si>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</si>
  <si>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</si>
  <si>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</si>
  <si>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</si>
  <si>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</si>
  <si>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</si>
  <si>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</si>
  <si>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</si>
  <si>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Infoedge Group</t>
  </si>
  <si>
    <t>Tata Group</t>
  </si>
  <si>
    <t>Bharti Group</t>
  </si>
  <si>
    <t>Infosys Group</t>
  </si>
  <si>
    <t>Sun Pharma Group</t>
  </si>
  <si>
    <t>HCL Tech Group</t>
  </si>
  <si>
    <t>Name and exposure to top 4 Sectors</t>
  </si>
  <si>
    <t>Name of the Sector</t>
  </si>
  <si>
    <t>Information Technology</t>
  </si>
  <si>
    <t>Consumer Services</t>
  </si>
  <si>
    <t>Healthcare</t>
  </si>
  <si>
    <t>Financial Services</t>
  </si>
  <si>
    <t>BENCHMARK NAME - NIFTY200 MOMENTUM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</si>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</sst>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182879</xdr:rowOff>
    </xdr:from>
    <xdr:to>
      <xdr:col>1</xdr:col>
      <xdr:colOff>2857500</xdr:colOff>
      <xdr:row>92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B61FD4-12A4-4484-AE57-5E480E3574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9217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182879</xdr:rowOff>
    </xdr:from>
    <xdr:to>
      <xdr:col>7</xdr:col>
      <xdr:colOff>571500</xdr:colOff>
      <xdr:row>92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96FC27-45CF-4824-8516-297BB8163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39217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5AA1-6C49-4AC1-BA8A-4E4469EE89E5}">
  <sheetPr codeName="Sheet49">
    <outlinePr summaryBelow="0"/>
  </sheetPr>
  <dimension ref="A1:H81"/>
  <sheetViews>
    <sheetView tabSelected="1" topLeftCell="A80" workbookViewId="0">
      <selection activeCell="B80" sqref="B80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42130</v>
      </c>
      <c r="F8" s="18">
        <v>661.53</v>
      </c>
      <c r="G8" s="19">
        <v>5.9900000000000002E-2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35328</v>
      </c>
      <c r="F9" s="18">
        <v>596.23</v>
      </c>
      <c r="G9" s="19">
        <v>5.3999999999999999E-2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22644</v>
      </c>
      <c r="F10" s="18">
        <v>585.37</v>
      </c>
      <c r="G10" s="19">
        <v>5.2999999999999999E-2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36598</v>
      </c>
      <c r="F11" s="18">
        <v>583.1</v>
      </c>
      <c r="G11" s="19">
        <v>5.28E-2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20</v>
      </c>
      <c r="E12" s="17">
        <v>39190</v>
      </c>
      <c r="F12" s="18">
        <v>583.09</v>
      </c>
      <c r="G12" s="19">
        <v>5.28E-2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20</v>
      </c>
      <c r="E13" s="17">
        <v>35452</v>
      </c>
      <c r="F13" s="18">
        <v>558.39</v>
      </c>
      <c r="G13" s="19">
        <v>5.0599999999999999E-2</v>
      </c>
      <c r="H13" s="20"/>
    </row>
    <row r="14" spans="1:8" ht="12.9" customHeight="1">
      <c r="A14" s="15" t="s">
        <v>35</v>
      </c>
      <c r="B14" s="16" t="s">
        <v>36</v>
      </c>
      <c r="C14" s="12" t="s">
        <v>37</v>
      </c>
      <c r="D14" s="13" t="s">
        <v>28</v>
      </c>
      <c r="E14" s="17">
        <v>10152</v>
      </c>
      <c r="F14" s="18">
        <v>556.35</v>
      </c>
      <c r="G14" s="19">
        <v>5.04E-2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246668</v>
      </c>
      <c r="F15" s="18">
        <v>547.85</v>
      </c>
      <c r="G15" s="19">
        <v>4.9599999999999998E-2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3735</v>
      </c>
      <c r="F16" s="18">
        <v>520.5</v>
      </c>
      <c r="G16" s="19">
        <v>4.7100000000000003E-2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20</v>
      </c>
      <c r="E17" s="17">
        <v>9426</v>
      </c>
      <c r="F17" s="18">
        <v>499.95</v>
      </c>
      <c r="G17" s="19">
        <v>4.53E-2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65010</v>
      </c>
      <c r="F18" s="18">
        <v>465.54</v>
      </c>
      <c r="G18" s="19">
        <v>4.2200000000000001E-2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41</v>
      </c>
      <c r="E19" s="17">
        <v>9539</v>
      </c>
      <c r="F19" s="18">
        <v>462.79</v>
      </c>
      <c r="G19" s="19">
        <v>4.19E-2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174153</v>
      </c>
      <c r="F20" s="18">
        <v>428.85</v>
      </c>
      <c r="G20" s="19">
        <v>3.8800000000000001E-2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41</v>
      </c>
      <c r="E21" s="17">
        <v>5742</v>
      </c>
      <c r="F21" s="18">
        <v>401.52</v>
      </c>
      <c r="G21" s="19">
        <v>3.6400000000000002E-2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20</v>
      </c>
      <c r="E22" s="17">
        <v>5165</v>
      </c>
      <c r="F22" s="18">
        <v>380.26</v>
      </c>
      <c r="G22" s="19">
        <v>3.44E-2</v>
      </c>
      <c r="H22" s="20"/>
    </row>
    <row r="23" spans="1:8" ht="12.9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7973</v>
      </c>
      <c r="F23" s="18">
        <v>369.44</v>
      </c>
      <c r="G23" s="19">
        <v>3.3500000000000002E-2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23651</v>
      </c>
      <c r="F24" s="18">
        <v>346.16</v>
      </c>
      <c r="G24" s="19">
        <v>3.1399999999999997E-2</v>
      </c>
      <c r="H24" s="20"/>
    </row>
    <row r="25" spans="1:8" ht="12.9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76382</v>
      </c>
      <c r="F25" s="18">
        <v>301.52</v>
      </c>
      <c r="G25" s="19">
        <v>2.7300000000000001E-2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28</v>
      </c>
      <c r="E26" s="17">
        <v>15138</v>
      </c>
      <c r="F26" s="18">
        <v>288.33</v>
      </c>
      <c r="G26" s="19">
        <v>2.6100000000000002E-2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18559</v>
      </c>
      <c r="F27" s="18">
        <v>238.38</v>
      </c>
      <c r="G27" s="19">
        <v>2.1600000000000001E-2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132244</v>
      </c>
      <c r="F28" s="18">
        <v>234.89</v>
      </c>
      <c r="G28" s="19">
        <v>2.1299999999999999E-2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4981</v>
      </c>
      <c r="F29" s="18">
        <v>230.3</v>
      </c>
      <c r="G29" s="19">
        <v>2.0899999999999998E-2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45</v>
      </c>
      <c r="E30" s="17">
        <v>14776</v>
      </c>
      <c r="F30" s="18">
        <v>195.06</v>
      </c>
      <c r="G30" s="19">
        <v>1.77E-2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45</v>
      </c>
      <c r="E31" s="17">
        <v>38179</v>
      </c>
      <c r="F31" s="18">
        <v>176.48</v>
      </c>
      <c r="G31" s="19">
        <v>1.6E-2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28</v>
      </c>
      <c r="E32" s="17">
        <v>5671</v>
      </c>
      <c r="F32" s="18">
        <v>167.19</v>
      </c>
      <c r="G32" s="19">
        <v>1.5100000000000001E-2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20</v>
      </c>
      <c r="E33" s="17">
        <v>2130</v>
      </c>
      <c r="F33" s="18">
        <v>165.37</v>
      </c>
      <c r="G33" s="19">
        <v>1.4999999999999999E-2</v>
      </c>
      <c r="H33" s="20"/>
    </row>
    <row r="34" spans="1:8" ht="12.9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131268</v>
      </c>
      <c r="F34" s="18">
        <v>155.66999999999999</v>
      </c>
      <c r="G34" s="19">
        <v>1.41E-2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73</v>
      </c>
      <c r="E35" s="17">
        <v>19047</v>
      </c>
      <c r="F35" s="18">
        <v>136.18</v>
      </c>
      <c r="G35" s="19">
        <v>1.23E-2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108</v>
      </c>
      <c r="E36" s="17">
        <v>472</v>
      </c>
      <c r="F36" s="18">
        <v>125.29</v>
      </c>
      <c r="G36" s="19">
        <v>1.1299999999999999E-2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29451</v>
      </c>
      <c r="F37" s="18">
        <v>100.93</v>
      </c>
      <c r="G37" s="19">
        <v>9.1000000000000004E-3</v>
      </c>
      <c r="H37" s="20"/>
    </row>
    <row r="38" spans="1:8" ht="12.9" customHeight="1">
      <c r="A38" s="4"/>
      <c r="B38" s="21" t="s">
        <v>119</v>
      </c>
      <c r="C38" s="22"/>
      <c r="D38" s="21"/>
      <c r="E38" s="21"/>
      <c r="F38" s="23">
        <v>11062.51</v>
      </c>
      <c r="G38" s="24">
        <v>1.0019</v>
      </c>
      <c r="H38" s="25"/>
    </row>
    <row r="39" spans="1:8" ht="12.9" customHeight="1">
      <c r="A39" s="4"/>
      <c r="B39" s="11" t="s">
        <v>120</v>
      </c>
      <c r="C39" s="26"/>
      <c r="D39" s="27"/>
      <c r="E39" s="27"/>
      <c r="F39" s="28" t="s">
        <v>121</v>
      </c>
      <c r="G39" s="28" t="s">
        <v>121</v>
      </c>
      <c r="H39" s="25" t="s">
        <v>121</v>
      </c>
    </row>
    <row r="40" spans="1:8" ht="12.9" customHeight="1">
      <c r="A40" s="4"/>
      <c r="B40" s="21" t="s">
        <v>119</v>
      </c>
      <c r="C40" s="26"/>
      <c r="D40" s="27"/>
      <c r="E40" s="27"/>
      <c r="F40" s="28" t="s">
        <v>121</v>
      </c>
      <c r="G40" s="28" t="s">
        <v>121</v>
      </c>
      <c r="H40" s="25" t="s">
        <v>121</v>
      </c>
    </row>
    <row r="41" spans="1:8" ht="12.9" customHeight="1">
      <c r="A41" s="4"/>
      <c r="B41" s="21" t="s">
        <v>122</v>
      </c>
      <c r="C41" s="26"/>
      <c r="D41" s="27"/>
      <c r="E41" s="29"/>
      <c r="F41" s="30">
        <v>11062.51</v>
      </c>
      <c r="G41" s="31">
        <v>1.0019</v>
      </c>
      <c r="H41" s="32"/>
    </row>
    <row r="42" spans="1:8" ht="12.9" customHeight="1">
      <c r="A42" s="4"/>
      <c r="B42" s="11" t="s">
        <v>123</v>
      </c>
      <c r="C42" s="12"/>
      <c r="D42" s="13"/>
      <c r="E42" s="13"/>
      <c r="F42" s="13"/>
      <c r="G42" s="13"/>
      <c r="H42" s="14"/>
    </row>
    <row r="43" spans="1:8" ht="12.9" customHeight="1">
      <c r="A43" s="4"/>
      <c r="B43" s="33" t="s">
        <v>124</v>
      </c>
      <c r="C43" s="12"/>
      <c r="D43" s="13"/>
      <c r="E43" s="13"/>
      <c r="F43" s="13"/>
      <c r="G43" s="13"/>
      <c r="H43" s="14"/>
    </row>
    <row r="44" spans="1:8" ht="12.9" customHeight="1">
      <c r="A44" s="15" t="s">
        <v>125</v>
      </c>
      <c r="B44" s="16" t="s">
        <v>126</v>
      </c>
      <c r="C44" s="12"/>
      <c r="D44" s="13"/>
      <c r="E44" s="34"/>
      <c r="F44" s="18">
        <v>97.22</v>
      </c>
      <c r="G44" s="19">
        <v>8.8000000000000005E-3</v>
      </c>
      <c r="H44" s="20">
        <v>6.2618999999999994E-2</v>
      </c>
    </row>
    <row r="45" spans="1:8" ht="12.9" customHeight="1">
      <c r="A45" s="4"/>
      <c r="B45" s="21" t="s">
        <v>122</v>
      </c>
      <c r="C45" s="26"/>
      <c r="D45" s="27"/>
      <c r="E45" s="29"/>
      <c r="F45" s="30">
        <v>97.22</v>
      </c>
      <c r="G45" s="31">
        <v>8.8000000000000005E-3</v>
      </c>
      <c r="H45" s="32"/>
    </row>
    <row r="46" spans="1:8" ht="12.9" customHeight="1">
      <c r="A46" s="4"/>
      <c r="B46" s="33" t="s">
        <v>127</v>
      </c>
      <c r="C46" s="35"/>
      <c r="D46" s="36"/>
      <c r="E46" s="36"/>
      <c r="F46" s="36"/>
      <c r="G46" s="36"/>
      <c r="H46" s="37"/>
    </row>
    <row r="47" spans="1:8" ht="12.9" customHeight="1">
      <c r="A47" s="4"/>
      <c r="B47" s="27" t="s">
        <v>128</v>
      </c>
      <c r="C47" s="26"/>
      <c r="D47" s="27"/>
      <c r="E47" s="27"/>
      <c r="F47" s="23">
        <v>0.67</v>
      </c>
      <c r="G47" s="24">
        <v>1E-4</v>
      </c>
      <c r="H47" s="37"/>
    </row>
    <row r="48" spans="1:8" ht="12.9" customHeight="1">
      <c r="A48" s="4"/>
      <c r="B48" s="21" t="s">
        <v>119</v>
      </c>
      <c r="C48" s="22"/>
      <c r="D48" s="21"/>
      <c r="E48" s="21"/>
      <c r="F48" s="23">
        <v>0.67</v>
      </c>
      <c r="G48" s="24">
        <v>1E-4</v>
      </c>
      <c r="H48" s="37"/>
    </row>
    <row r="49" spans="1:8" ht="12.9" customHeight="1">
      <c r="A49" s="4"/>
      <c r="B49" s="21" t="s">
        <v>129</v>
      </c>
      <c r="C49" s="26"/>
      <c r="D49" s="27"/>
      <c r="E49" s="27"/>
      <c r="F49" s="23">
        <v>-119.29</v>
      </c>
      <c r="G49" s="38">
        <v>-1.0800000000000001E-2</v>
      </c>
      <c r="H49" s="37"/>
    </row>
    <row r="50" spans="1:8" ht="12.9" customHeight="1" thickBot="1">
      <c r="A50" s="4"/>
      <c r="B50" s="39" t="s">
        <v>130</v>
      </c>
      <c r="C50" s="40"/>
      <c r="D50" s="41"/>
      <c r="E50" s="41"/>
      <c r="F50" s="42">
        <v>11041.1107509254</v>
      </c>
      <c r="G50" s="43">
        <v>1</v>
      </c>
      <c r="H50" s="44"/>
    </row>
    <row r="51" spans="1:8" ht="12.9" customHeight="1">
      <c r="A51" s="4"/>
      <c r="B51" s="45"/>
      <c r="C51" s="4"/>
      <c r="D51" s="4"/>
      <c r="E51" s="4"/>
      <c r="F51" s="4"/>
      <c r="G51" s="4"/>
      <c r="H51" s="4"/>
    </row>
    <row r="52" spans="1:8" ht="12.9" customHeight="1">
      <c r="A52" s="4"/>
      <c r="B52" s="45"/>
      <c r="C52" s="4"/>
      <c r="D52" s="4"/>
      <c r="E52" s="4"/>
      <c r="F52" s="4"/>
      <c r="G52" s="4"/>
      <c r="H52" s="4"/>
    </row>
    <row r="53" spans="1:8" ht="12.9" customHeight="1">
      <c r="A53" s="4"/>
      <c r="E53" s="4"/>
      <c r="F53" s="4"/>
      <c r="G53" s="4"/>
      <c r="H53" s="4"/>
    </row>
    <row r="54" spans="1:8">
      <c r="A54" s="4"/>
      <c r="B54" s="46" t="s">
        <v>131</v>
      </c>
      <c r="C54" s="4"/>
      <c r="E54" s="4"/>
      <c r="F54" s="4"/>
      <c r="G54" s="4"/>
      <c r="H54" s="4"/>
    </row>
    <row r="55" spans="1:8" ht="12.9" customHeight="1">
      <c r="A55" s="4"/>
      <c r="B55" s="47" t="s">
        <v>132</v>
      </c>
      <c r="C55" s="47" t="s">
        <v>9</v>
      </c>
      <c r="E55" s="4"/>
      <c r="F55" s="4"/>
      <c r="G55" s="4"/>
      <c r="H55" s="4"/>
    </row>
    <row r="56" spans="1:8" ht="12.9" customHeight="1">
      <c r="A56" s="4"/>
      <c r="B56" s="48" t="str">
        <f>+B8</f>
        <v>Bharti Airtel Limited</v>
      </c>
      <c r="C56" s="49">
        <f>+G8</f>
        <v>5.9900000000000002E-2</v>
      </c>
      <c r="E56" s="4"/>
      <c r="F56" s="4"/>
      <c r="G56" s="4"/>
      <c r="H56" s="4"/>
    </row>
    <row r="57" spans="1:8" ht="12.9" customHeight="1">
      <c r="A57" s="4"/>
      <c r="B57" s="48" t="str">
        <f t="shared" ref="B57:B62" si="0">+B9</f>
        <v>Infosys Limited</v>
      </c>
      <c r="C57" s="49">
        <f t="shared" ref="C57:C62" si="1">+G9</f>
        <v>5.3999999999999999E-2</v>
      </c>
      <c r="E57" s="4"/>
      <c r="F57" s="4"/>
      <c r="G57" s="4"/>
      <c r="H57" s="4"/>
    </row>
    <row r="58" spans="1:8" ht="12.9" customHeight="1">
      <c r="A58" s="4"/>
      <c r="B58" s="48" t="str">
        <f t="shared" si="0"/>
        <v>Mahindra &amp; Mahindra Limited</v>
      </c>
      <c r="C58" s="49">
        <f t="shared" si="1"/>
        <v>5.2999999999999999E-2</v>
      </c>
      <c r="E58" s="4"/>
      <c r="F58" s="4"/>
      <c r="G58" s="4"/>
      <c r="H58" s="4"/>
    </row>
    <row r="59" spans="1:8" ht="12.9" customHeight="1">
      <c r="A59" s="4"/>
      <c r="B59" s="48" t="str">
        <f t="shared" si="0"/>
        <v>Sun Pharmaceutical Industries Limited</v>
      </c>
      <c r="C59" s="49">
        <f t="shared" si="1"/>
        <v>5.28E-2</v>
      </c>
      <c r="E59" s="4"/>
      <c r="F59" s="4"/>
      <c r="G59" s="4"/>
      <c r="H59" s="4"/>
    </row>
    <row r="60" spans="1:8">
      <c r="B60" s="48" t="str">
        <f t="shared" si="0"/>
        <v>Tech Mahindra Limited</v>
      </c>
      <c r="C60" s="49">
        <f t="shared" si="1"/>
        <v>5.28E-2</v>
      </c>
    </row>
    <row r="61" spans="1:8">
      <c r="B61" s="48" t="str">
        <f t="shared" si="0"/>
        <v>HCL Technologies Limited</v>
      </c>
      <c r="C61" s="49">
        <f t="shared" si="1"/>
        <v>5.0599999999999999E-2</v>
      </c>
    </row>
    <row r="62" spans="1:8">
      <c r="B62" s="48" t="str">
        <f t="shared" si="0"/>
        <v>Divi's Laboratories Limited</v>
      </c>
      <c r="C62" s="49">
        <f t="shared" si="1"/>
        <v>5.04E-2</v>
      </c>
    </row>
    <row r="64" spans="1:8">
      <c r="B64" s="46" t="s">
        <v>133</v>
      </c>
    </row>
    <row r="65" spans="2:6">
      <c r="B65" s="47" t="s">
        <v>134</v>
      </c>
      <c r="C65" s="47" t="s">
        <v>9</v>
      </c>
    </row>
    <row r="66" spans="2:6">
      <c r="B66" s="48" t="s">
        <v>135</v>
      </c>
      <c r="C66" s="49">
        <v>0.10580000000000001</v>
      </c>
    </row>
    <row r="67" spans="2:6">
      <c r="B67" s="48" t="s">
        <v>136</v>
      </c>
      <c r="C67" s="49">
        <v>8.5999999999999993E-2</v>
      </c>
    </row>
    <row r="68" spans="2:6">
      <c r="B68" s="48" t="s">
        <v>137</v>
      </c>
      <c r="C68" s="49">
        <v>8.4100000000000008E-2</v>
      </c>
    </row>
    <row r="69" spans="2:6">
      <c r="B69" s="48" t="s">
        <v>138</v>
      </c>
      <c r="C69" s="49">
        <v>5.9900000000000002E-2</v>
      </c>
    </row>
    <row r="70" spans="2:6">
      <c r="B70" s="48" t="s">
        <v>139</v>
      </c>
      <c r="C70" s="49">
        <v>5.3999999999999999E-2</v>
      </c>
    </row>
    <row r="71" spans="2:6">
      <c r="B71" s="48" t="s">
        <v>140</v>
      </c>
      <c r="C71" s="49">
        <v>5.28E-2</v>
      </c>
    </row>
    <row r="72" spans="2:6">
      <c r="B72" s="48" t="s">
        <v>141</v>
      </c>
      <c r="C72" s="49">
        <v>5.0599999999999999E-2</v>
      </c>
    </row>
    <row r="74" spans="2:6">
      <c r="B74" s="46" t="s">
        <v>142</v>
      </c>
    </row>
    <row r="75" spans="2:6">
      <c r="B75" s="47" t="s">
        <v>143</v>
      </c>
      <c r="C75" s="47" t="s">
        <v>9</v>
      </c>
    </row>
    <row r="76" spans="2:6">
      <c r="B76" s="48" t="s">
        <v>144</v>
      </c>
      <c r="C76" s="49">
        <v>0.25209999999999999</v>
      </c>
    </row>
    <row r="77" spans="2:6">
      <c r="B77" s="48" t="s">
        <v>145</v>
      </c>
      <c r="C77" s="49">
        <v>0.17009999999999997</v>
      </c>
    </row>
    <row r="78" spans="2:6">
      <c r="B78" s="48" t="s">
        <v>146</v>
      </c>
      <c r="C78" s="49">
        <v>0.1444</v>
      </c>
    </row>
    <row r="79" spans="2:6">
      <c r="B79" s="48" t="s">
        <v>147</v>
      </c>
      <c r="C79" s="49">
        <v>9.8500000000000004E-2</v>
      </c>
    </row>
    <row r="80" spans="2:6">
      <c r="F80" s="50" t="s">
        <v>148</v>
      </c>
    </row>
    <row r="81" spans="2:6">
      <c r="B81" s="50" t="s">
        <v>149</v>
      </c>
      <c r="F81" s="50" t="s">
        <v>150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IDF282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2025-03-06T13:13:28Z</dcterms:created>
  <dcterms:modified xsi:type="dcterms:W3CDTF">2025-03-06T13:13:29Z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48683006-16e5-4dd9-99da-a116bfe5676d</vt:lpwstr>
  </property>
  <property fmtid="{D5CDD505-2E9C-101B-9397-08002B2CF9AE}" pid="8" name="MSIP_Label_af1741f6-9e47-426e-a683-937c37d4ebc5_ContentBits">
    <vt:lpwstr>3</vt:lpwstr>
  </property>
</Properties>
</file>