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05ED0468-360F-4834-A98F-8A0BAC9F3D0D}" xr6:coauthVersionLast="47" xr6:coauthVersionMax="47" xr10:uidLastSave="{00000000-0000-0000-0000-000000000000}"/>
  <bookViews>
    <workbookView xWindow="-108" yWindow="-108" windowWidth="41496" windowHeight="16896" xr2:uid="{4617907A-56B3-43E0-85D4-5EE907E3DEF3}"/>
  </bookViews>
  <sheets>
    <sheet name="IDF230" sheetId="1" r:id="rId1"/>
  </sheets>
  <definedNames>
    <definedName name="JR_PAGE_ANCHOR_0_42">'IDF230'!$A$2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<sst xmlns="http://schemas.openxmlformats.org/spreadsheetml/2006/main" count="260" uniqueCount="221">
  <si>
    <t>IDF230</t>
  </si>
  <si>
    <t>INDEX</t>
  </si>
  <si>
    <t>Portfolio Statement as on December 31,2024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</si>
  <si>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</si>
  <si>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</si>
  <si>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</si>
  <si>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</si>
  <si>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</si>
  <si>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</si>
  <si>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</si>
  <si>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</si>
  <si>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</si>
  <si>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</si>
  <si>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</si>
  <si>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</si>
  <si>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</si>
  <si>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</si>
  <si>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</si>
  <si>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</si>
  <si>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</si>
  <si>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</si>
  <si>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</si>
  <si>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</si>
  <si>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</si>
  <si>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</si>
  <si>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</si>
  <si>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</si>
  <si>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</si>
  <si>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</si>
  <si>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</si>
  <si>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</si>
  <si>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</si>
  <si>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</si>
  <si>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</si>
  <si>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</si>
  <si>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</si>
  <si>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</si>
  <si>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</si>
  <si>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</si>
  <si>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</si>
  <si>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</si>
  <si>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</si>
  <si>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</si>
  <si>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</si>
  <si>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</si>
  <si>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</si>
  <si>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</si>
  <si>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</si>
  <si>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</si>
  <si>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</si>
  <si>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</si>
  <si>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</si>
  <si>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</si>
  <si>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</si>
  <si>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</si>
  <si>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</si>
  <si>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</si>
  <si>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</si>
  <si>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</si>
  <si>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</si>
  <si>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</si>
  <si>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</si>
  <si>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</si>
  <si>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</si>
  <si>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</si>
  <si>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</si>
  <si>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BAFL02</t>
  </si>
  <si>
    <t>Bajaj Finance Limited</t>
  </si>
  <si>
    <t>INE296A01024</t>
  </si>
  <si>
    <t>Finance</t>
  </si>
  <si>
    <t>LAKM02</t>
  </si>
  <si>
    <t>Trent Limited</t>
  </si>
  <si>
    <t>INE849A01020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</si>
  <si>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</si>
  <si>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</si>
  <si>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</si>
  <si>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</si>
  <si>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</si>
  <si>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</si>
  <si>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</si>
  <si>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</si>
  <si>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</si>
  <si>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</si>
  <si>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</si>
  <si>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</si>
  <si>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</si>
  <si>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</si>
  <si>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</si>
  <si>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</si>
  <si>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</si>
  <si>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</si>
  <si>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</si>
  <si>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</si>
  <si>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</si>
  <si>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</si>
  <si>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</si>
  <si>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</si>
  <si>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</si>
  <si>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</si>
  <si>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</si>
  <si>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</si>
  <si>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</si>
  <si>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</si>
  <si>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</si>
  <si>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</si>
  <si>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</si>
  <si>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</si>
  <si>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</si>
  <si>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</si>
  <si>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</si>
  <si>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</si>
  <si>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</si>
  <si>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</si>
  <si>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</si>
  <si>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</si>
  <si>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</si>
  <si>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</si>
  <si>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</si>
  <si>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</si>
  <si>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</si>
  <si>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</si>
  <si>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</si>
  <si>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</si>
  <si>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</si>
  <si>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</si>
  <si>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</si>
  <si>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</si>
  <si>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</si>
  <si>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</si>
  <si>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</si>
  <si>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</si>
  <si>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</si>
  <si>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</si>
  <si>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</si>
  <si>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BFSL02</t>
  </si>
  <si>
    <t>Bajaj Finserv Limited</t>
  </si>
  <si>
    <t>INE918I01026</t>
  </si>
  <si>
    <t>WIPR02</t>
  </si>
  <si>
    <t>Wipro Limited</t>
  </si>
  <si>
    <t>INE075A01022</t>
  </si>
  <si>
    <t>DRRL03</t>
  </si>
  <si>
    <t>Dr. Reddy's Laboratories Limited</t>
  </si>
  <si>
    <t>INE089A01031</t>
  </si>
  <si>
    <t>CIPL03</t>
  </si>
  <si>
    <t>Cipla Limited</t>
  </si>
  <si>
    <t>INE059A01026</t>
  </si>
  <si>
    <t>SHTR01</t>
  </si>
  <si>
    <t>Shriram Finance Limited</t>
  </si>
  <si>
    <t>INE721A01013</t>
  </si>
  <si>
    <t>NEST02</t>
  </si>
  <si>
    <t>Nestle India Limited</t>
  </si>
  <si>
    <t>INE239A01024</t>
  </si>
  <si>
    <t>Food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</si>
  <si>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</si>
  <si>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</si>
  <si>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</si>
  <si>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</si>
  <si>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</si>
  <si>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</si>
  <si>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</si>
  <si>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</si>
  <si>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</si>
  <si>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</si>
  <si>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</si>
  <si>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</si>
  <si>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</si>
  <si>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</si>
  <si>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</si>
  <si>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</si>
  <si>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</si>
  <si>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</si>
  <si>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</si>
  <si>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</si>
  <si>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</si>
  <si>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</si>
  <si>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</si>
  <si>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</si>
  <si>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</si>
  <si>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</si>
  <si>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</si>
  <si>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</si>
  <si>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</si>
  <si>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</si>
  <si>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</si>
  <si>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</si>
  <si>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</si>
  <si>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</si>
  <si>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</si>
  <si>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</si>
  <si>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</si>
  <si>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</si>
  <si>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</si>
  <si>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</si>
  <si>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</si>
  <si>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</si>
  <si>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$</t>
  </si>
  <si>
    <t>OTHERS</t>
  </si>
  <si>
    <t>Cash Margin - CCIL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</si>
  <si>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</si>
  <si>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</si>
  <si>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</si>
  <si>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</si>
  <si>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</si>
  <si>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</si>
  <si>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</si>
  <si>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</si>
  <si>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</si>
  <si>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ICICI Group</t>
  </si>
  <si>
    <t>Mukesh Ambani Group</t>
  </si>
  <si>
    <t>Government of India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</si>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</sst>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182879</xdr:rowOff>
    </xdr:from>
    <xdr:to>
      <xdr:col>1</xdr:col>
      <xdr:colOff>2857500</xdr:colOff>
      <xdr:row>112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00BDA-77E0-4D29-8F53-F89159054E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72364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182879</xdr:rowOff>
    </xdr:from>
    <xdr:to>
      <xdr:col>7</xdr:col>
      <xdr:colOff>556260</xdr:colOff>
      <xdr:row>112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C462BF-B3C1-474C-BAD3-21A0C82B9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72364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07D8-239B-4260-B3CC-9C7CB2B33618}">
  <sheetPr codeName="Sheet42">
    <outlinePr summaryBelow="0"/>
  </sheetPr>
  <dimension ref="A1:H101"/>
  <sheetViews>
    <sheetView tabSelected="1" topLeftCell="A62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19142</v>
      </c>
      <c r="F8" s="18">
        <v>339.36</v>
      </c>
      <c r="G8" s="19">
        <v>0.12690000000000001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17761</v>
      </c>
      <c r="F9" s="18">
        <v>227.63</v>
      </c>
      <c r="G9" s="19">
        <v>8.5099999999999995E-2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17089</v>
      </c>
      <c r="F10" s="18">
        <v>207.71</v>
      </c>
      <c r="G10" s="19">
        <v>7.7700000000000005E-2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9068</v>
      </c>
      <c r="F11" s="18">
        <v>170.48</v>
      </c>
      <c r="G11" s="19">
        <v>6.3799999999999996E-2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23404</v>
      </c>
      <c r="F12" s="18">
        <v>113.19</v>
      </c>
      <c r="G12" s="19">
        <v>4.2299999999999997E-2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6751</v>
      </c>
      <c r="F13" s="18">
        <v>107.19</v>
      </c>
      <c r="G13" s="19">
        <v>4.0099999999999997E-2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2963</v>
      </c>
      <c r="F14" s="18">
        <v>106.89</v>
      </c>
      <c r="G14" s="19">
        <v>0.04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2573</v>
      </c>
      <c r="F15" s="18">
        <v>105.36</v>
      </c>
      <c r="G15" s="19">
        <v>3.9399999999999998E-2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9687</v>
      </c>
      <c r="F16" s="18">
        <v>77.010000000000005</v>
      </c>
      <c r="G16" s="19">
        <v>2.8799999999999999E-2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7179</v>
      </c>
      <c r="F17" s="18">
        <v>76.430000000000007</v>
      </c>
      <c r="G17" s="19">
        <v>2.86E-2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2229</v>
      </c>
      <c r="F18" s="18">
        <v>67.03</v>
      </c>
      <c r="G18" s="19">
        <v>2.5100000000000001E-2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3696</v>
      </c>
      <c r="F19" s="18">
        <v>66.010000000000005</v>
      </c>
      <c r="G19" s="19">
        <v>2.47E-2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2235</v>
      </c>
      <c r="F20" s="18">
        <v>52.01</v>
      </c>
      <c r="G20" s="19">
        <v>1.95E-2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2717</v>
      </c>
      <c r="F21" s="18">
        <v>51.25</v>
      </c>
      <c r="G21" s="19">
        <v>1.9199999999999998E-2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27</v>
      </c>
      <c r="E22" s="17">
        <v>2665</v>
      </c>
      <c r="F22" s="18">
        <v>51.1</v>
      </c>
      <c r="G22" s="19">
        <v>1.9099999999999999E-2</v>
      </c>
      <c r="H22" s="20"/>
    </row>
    <row r="23" spans="1:8" ht="13.05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705</v>
      </c>
      <c r="F23" s="18">
        <v>48.1</v>
      </c>
      <c r="G23" s="19">
        <v>1.7999999999999999E-2</v>
      </c>
      <c r="H23" s="20"/>
    </row>
    <row r="24" spans="1:8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559</v>
      </c>
      <c r="F24" s="18">
        <v>39.82</v>
      </c>
      <c r="G24" s="19">
        <v>1.49E-2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11919</v>
      </c>
      <c r="F25" s="18">
        <v>39.729999999999997</v>
      </c>
      <c r="G25" s="19">
        <v>1.49E-2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52</v>
      </c>
      <c r="E26" s="17">
        <v>5276</v>
      </c>
      <c r="F26" s="18">
        <v>39.049999999999997</v>
      </c>
      <c r="G26" s="19">
        <v>1.46E-2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52</v>
      </c>
      <c r="E27" s="17">
        <v>331</v>
      </c>
      <c r="F27" s="18">
        <v>35.94</v>
      </c>
      <c r="G27" s="19">
        <v>1.34E-2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77</v>
      </c>
      <c r="E28" s="17">
        <v>11403</v>
      </c>
      <c r="F28" s="18">
        <v>35.200000000000003</v>
      </c>
      <c r="G28" s="19">
        <v>1.32E-2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1041</v>
      </c>
      <c r="F29" s="18">
        <v>33.869999999999997</v>
      </c>
      <c r="G29" s="19">
        <v>1.2699999999999999E-2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287</v>
      </c>
      <c r="F30" s="18">
        <v>32.79</v>
      </c>
      <c r="G30" s="19">
        <v>1.23E-2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20859</v>
      </c>
      <c r="F31" s="18">
        <v>28.8</v>
      </c>
      <c r="G31" s="19">
        <v>1.0800000000000001E-2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27</v>
      </c>
      <c r="E32" s="17">
        <v>1598</v>
      </c>
      <c r="F32" s="18">
        <v>27.27</v>
      </c>
      <c r="G32" s="19">
        <v>1.0200000000000001E-2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9003</v>
      </c>
      <c r="F33" s="18">
        <v>26.39</v>
      </c>
      <c r="G33" s="19">
        <v>9.9000000000000008E-3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90</v>
      </c>
      <c r="E34" s="17">
        <v>1138</v>
      </c>
      <c r="F34" s="18">
        <v>25.96</v>
      </c>
      <c r="G34" s="19">
        <v>9.7000000000000003E-3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52</v>
      </c>
      <c r="E35" s="17">
        <v>279</v>
      </c>
      <c r="F35" s="18">
        <v>24.55</v>
      </c>
      <c r="G35" s="19">
        <v>9.1999999999999998E-3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9764</v>
      </c>
      <c r="F36" s="18">
        <v>23.36</v>
      </c>
      <c r="G36" s="19">
        <v>8.6999999999999994E-3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94</v>
      </c>
      <c r="E37" s="17">
        <v>935</v>
      </c>
      <c r="F37" s="18">
        <v>22.84</v>
      </c>
      <c r="G37" s="19">
        <v>8.5000000000000006E-3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1855</v>
      </c>
      <c r="F38" s="18">
        <v>22.84</v>
      </c>
      <c r="G38" s="19">
        <v>8.5000000000000006E-3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3659</v>
      </c>
      <c r="F39" s="18">
        <v>22.04</v>
      </c>
      <c r="G39" s="19">
        <v>8.2000000000000007E-3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5709</v>
      </c>
      <c r="F40" s="18">
        <v>21.93</v>
      </c>
      <c r="G40" s="19">
        <v>8.2000000000000007E-3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98</v>
      </c>
      <c r="E41" s="17">
        <v>2416</v>
      </c>
      <c r="F41" s="18">
        <v>21.78</v>
      </c>
      <c r="G41" s="19">
        <v>8.0999999999999996E-3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69</v>
      </c>
      <c r="E42" s="17">
        <v>1377</v>
      </c>
      <c r="F42" s="18">
        <v>21.59</v>
      </c>
      <c r="G42" s="19">
        <v>8.0999999999999996E-3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27</v>
      </c>
      <c r="E43" s="17">
        <v>7128</v>
      </c>
      <c r="F43" s="18">
        <v>21.52</v>
      </c>
      <c r="G43" s="19">
        <v>8.0000000000000002E-3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62</v>
      </c>
      <c r="E44" s="17">
        <v>1535</v>
      </c>
      <c r="F44" s="18">
        <v>21.31</v>
      </c>
      <c r="G44" s="19">
        <v>8.0000000000000002E-3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62</v>
      </c>
      <c r="E45" s="17">
        <v>1384</v>
      </c>
      <c r="F45" s="18">
        <v>21.16</v>
      </c>
      <c r="G45" s="19">
        <v>7.9000000000000008E-3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69</v>
      </c>
      <c r="E46" s="17">
        <v>704</v>
      </c>
      <c r="F46" s="18">
        <v>20.34</v>
      </c>
      <c r="G46" s="19">
        <v>7.6E-3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152</v>
      </c>
      <c r="E47" s="17">
        <v>902</v>
      </c>
      <c r="F47" s="18">
        <v>19.57</v>
      </c>
      <c r="G47" s="19">
        <v>7.3000000000000001E-3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255</v>
      </c>
      <c r="F48" s="18">
        <v>18.61</v>
      </c>
      <c r="G48" s="19">
        <v>7.0000000000000001E-3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52</v>
      </c>
      <c r="E49" s="17">
        <v>346</v>
      </c>
      <c r="F49" s="18">
        <v>16.68</v>
      </c>
      <c r="G49" s="19">
        <v>6.1999999999999998E-3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2691</v>
      </c>
      <c r="F50" s="18">
        <v>16.600000000000001</v>
      </c>
      <c r="G50" s="19">
        <v>6.1999999999999998E-3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</v>
      </c>
      <c r="E51" s="17">
        <v>1663</v>
      </c>
      <c r="F51" s="18">
        <v>15.97</v>
      </c>
      <c r="G51" s="19">
        <v>6.0000000000000001E-3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170</v>
      </c>
      <c r="E52" s="17">
        <v>625</v>
      </c>
      <c r="F52" s="18">
        <v>15.8</v>
      </c>
      <c r="G52" s="19">
        <v>5.8999999999999999E-3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163</v>
      </c>
      <c r="E53" s="17">
        <v>1126</v>
      </c>
      <c r="F53" s="18">
        <v>15.66</v>
      </c>
      <c r="G53" s="19">
        <v>5.8999999999999999E-3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1637</v>
      </c>
      <c r="F54" s="18">
        <v>14.97</v>
      </c>
      <c r="G54" s="19">
        <v>5.5999999999999999E-3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23</v>
      </c>
      <c r="E55" s="17">
        <v>4872</v>
      </c>
      <c r="F55" s="18">
        <v>14.25</v>
      </c>
      <c r="G55" s="19">
        <v>5.3E-3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152</v>
      </c>
      <c r="E56" s="17">
        <v>297</v>
      </c>
      <c r="F56" s="18">
        <v>14.15</v>
      </c>
      <c r="G56" s="19">
        <v>5.3E-3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52</v>
      </c>
      <c r="E57" s="17">
        <v>326</v>
      </c>
      <c r="F57" s="18">
        <v>13.56</v>
      </c>
      <c r="G57" s="19">
        <v>5.1000000000000004E-3</v>
      </c>
      <c r="H57" s="20"/>
    </row>
    <row r="58" spans="1:8" ht="13.05" customHeight="1">
      <c r="A58" s="4"/>
      <c r="B58" s="21" t="s">
        <v>187</v>
      </c>
      <c r="C58" s="22"/>
      <c r="D58" s="21"/>
      <c r="E58" s="21"/>
      <c r="F58" s="23">
        <v>2672.65</v>
      </c>
      <c r="G58" s="24">
        <v>0.99970000000000003</v>
      </c>
      <c r="H58" s="25"/>
    </row>
    <row r="59" spans="1:8" ht="13.05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3.05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3.05" customHeight="1">
      <c r="A61" s="4"/>
      <c r="B61" s="21" t="s">
        <v>190</v>
      </c>
      <c r="C61" s="26"/>
      <c r="D61" s="27"/>
      <c r="E61" s="29"/>
      <c r="F61" s="30">
        <v>2672.65</v>
      </c>
      <c r="G61" s="31">
        <v>0.99970000000000003</v>
      </c>
      <c r="H61" s="32"/>
    </row>
    <row r="62" spans="1:8" ht="13.05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193</v>
      </c>
      <c r="B64" s="16" t="s">
        <v>194</v>
      </c>
      <c r="C64" s="12"/>
      <c r="D64" s="13"/>
      <c r="E64" s="34"/>
      <c r="F64" s="18">
        <v>0.94</v>
      </c>
      <c r="G64" s="19">
        <v>4.0000000000000002E-4</v>
      </c>
      <c r="H64" s="20">
        <v>6.2694599474066248E-2</v>
      </c>
    </row>
    <row r="65" spans="1:8" ht="13.05" customHeight="1">
      <c r="A65" s="4"/>
      <c r="B65" s="21" t="s">
        <v>190</v>
      </c>
      <c r="C65" s="26"/>
      <c r="D65" s="27"/>
      <c r="E65" s="29"/>
      <c r="F65" s="30">
        <v>0.94</v>
      </c>
      <c r="G65" s="28" t="s">
        <v>195</v>
      </c>
      <c r="H65" s="32"/>
    </row>
    <row r="66" spans="1:8" ht="13.05" customHeight="1">
      <c r="A66" s="4"/>
      <c r="B66" s="33" t="s">
        <v>196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197</v>
      </c>
      <c r="C67" s="26"/>
      <c r="D67" s="27"/>
      <c r="E67" s="27"/>
      <c r="F67" s="23">
        <v>0.04</v>
      </c>
      <c r="G67" s="38" t="s">
        <v>195</v>
      </c>
      <c r="H67" s="37"/>
    </row>
    <row r="68" spans="1:8" ht="13.05" customHeight="1">
      <c r="A68" s="4"/>
      <c r="B68" s="21" t="s">
        <v>187</v>
      </c>
      <c r="C68" s="22"/>
      <c r="D68" s="21"/>
      <c r="E68" s="21"/>
      <c r="F68" s="23">
        <v>0.04</v>
      </c>
      <c r="G68" s="38" t="s">
        <v>195</v>
      </c>
      <c r="H68" s="37"/>
    </row>
    <row r="69" spans="1:8" ht="13.05" customHeight="1">
      <c r="A69" s="4"/>
      <c r="B69" s="21" t="s">
        <v>198</v>
      </c>
      <c r="C69" s="26"/>
      <c r="D69" s="27"/>
      <c r="E69" s="27"/>
      <c r="F69" s="23">
        <v>-0.13</v>
      </c>
      <c r="G69" s="39">
        <v>-1E-4</v>
      </c>
      <c r="H69" s="37"/>
    </row>
    <row r="70" spans="1:8" ht="13.05" customHeight="1" thickBot="1">
      <c r="A70" s="4"/>
      <c r="B70" s="40" t="s">
        <v>199</v>
      </c>
      <c r="C70" s="41"/>
      <c r="D70" s="42"/>
      <c r="E70" s="42"/>
      <c r="F70" s="43">
        <v>2673.5001449952001</v>
      </c>
      <c r="G70" s="44">
        <v>1</v>
      </c>
      <c r="H70" s="45"/>
    </row>
    <row r="71" spans="1:8" ht="13.05" customHeight="1">
      <c r="A71" s="4"/>
      <c r="B71" s="46"/>
      <c r="C71" s="4"/>
      <c r="D71" s="4"/>
      <c r="E71" s="4"/>
      <c r="F71" s="4"/>
      <c r="G71" s="4"/>
      <c r="H71" s="4"/>
    </row>
    <row r="72" spans="1:8" ht="13.05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3.05" customHeight="1">
      <c r="A73" s="4"/>
      <c r="B73" s="46"/>
      <c r="C73" s="4"/>
      <c r="D73" s="4"/>
      <c r="E73" s="4"/>
      <c r="F73" s="4"/>
      <c r="G73" s="4"/>
      <c r="H73" s="4"/>
    </row>
    <row r="74" spans="1:8">
      <c r="B74" s="47" t="s">
        <v>201</v>
      </c>
      <c r="C74" s="4"/>
    </row>
    <row r="75" spans="1:8">
      <c r="B75" s="48" t="s">
        <v>202</v>
      </c>
      <c r="C75" s="48" t="s">
        <v>9</v>
      </c>
    </row>
    <row r="76" spans="1:8">
      <c r="B76" s="49" t="str">
        <f>+B8</f>
        <v>HDFC Bank Limited</v>
      </c>
      <c r="C76" s="50">
        <f>+G8</f>
        <v>0.12690000000000001</v>
      </c>
    </row>
    <row r="77" spans="1:8">
      <c r="B77" s="49" t="str">
        <f t="shared" ref="B77:B82" si="0">+B9</f>
        <v>ICICI Bank Limited</v>
      </c>
      <c r="C77" s="50">
        <f t="shared" ref="C77:C82" si="1">+G9</f>
        <v>8.5099999999999995E-2</v>
      </c>
    </row>
    <row r="78" spans="1:8">
      <c r="B78" s="49" t="str">
        <f t="shared" si="0"/>
        <v>Reliance Industries Limited</v>
      </c>
      <c r="C78" s="50">
        <f t="shared" si="1"/>
        <v>7.7700000000000005E-2</v>
      </c>
    </row>
    <row r="79" spans="1:8">
      <c r="B79" s="49" t="str">
        <f t="shared" si="0"/>
        <v>Infosys Limited</v>
      </c>
      <c r="C79" s="50">
        <f t="shared" si="1"/>
        <v>6.3799999999999996E-2</v>
      </c>
    </row>
    <row r="80" spans="1:8">
      <c r="B80" s="49" t="str">
        <f t="shared" si="0"/>
        <v>ITC Limited</v>
      </c>
      <c r="C80" s="50">
        <f t="shared" si="1"/>
        <v>4.2299999999999997E-2</v>
      </c>
    </row>
    <row r="81" spans="2:3">
      <c r="B81" s="49" t="str">
        <f t="shared" si="0"/>
        <v>Bharti Airtel Limited</v>
      </c>
      <c r="C81" s="50">
        <f t="shared" si="1"/>
        <v>4.0099999999999997E-2</v>
      </c>
    </row>
    <row r="82" spans="2:3">
      <c r="B82" s="49" t="str">
        <f t="shared" si="0"/>
        <v>Larsen &amp; Toubro Limited</v>
      </c>
      <c r="C82" s="50">
        <f t="shared" si="1"/>
        <v>0.04</v>
      </c>
    </row>
    <row r="84" spans="2:3">
      <c r="B84" s="47" t="s">
        <v>203</v>
      </c>
    </row>
    <row r="85" spans="2:3">
      <c r="B85" s="48" t="s">
        <v>204</v>
      </c>
      <c r="C85" s="48" t="s">
        <v>9</v>
      </c>
    </row>
    <row r="86" spans="2:3">
      <c r="B86" s="49" t="s">
        <v>205</v>
      </c>
      <c r="C86" s="50">
        <v>0.13310000000000002</v>
      </c>
    </row>
    <row r="87" spans="2:3">
      <c r="B87" s="49" t="s">
        <v>206</v>
      </c>
      <c r="C87" s="50">
        <v>9.8000000000000004E-2</v>
      </c>
    </row>
    <row r="88" spans="2:3">
      <c r="B88" s="49" t="s">
        <v>207</v>
      </c>
      <c r="C88" s="50">
        <v>8.5099999999999995E-2</v>
      </c>
    </row>
    <row r="89" spans="2:3">
      <c r="B89" s="49" t="s">
        <v>208</v>
      </c>
      <c r="C89" s="50">
        <v>7.7700000000000005E-2</v>
      </c>
    </row>
    <row r="90" spans="2:3">
      <c r="B90" s="49" t="s">
        <v>209</v>
      </c>
      <c r="C90" s="50">
        <v>6.6100000000000006E-2</v>
      </c>
    </row>
    <row r="91" spans="2:3">
      <c r="B91" s="49" t="s">
        <v>210</v>
      </c>
      <c r="C91" s="50">
        <v>6.3799999999999996E-2</v>
      </c>
    </row>
    <row r="92" spans="2:3">
      <c r="B92" s="49" t="s">
        <v>211</v>
      </c>
      <c r="C92" s="50">
        <v>4.2299999999999997E-2</v>
      </c>
    </row>
    <row r="94" spans="2:3">
      <c r="B94" s="47" t="s">
        <v>212</v>
      </c>
    </row>
    <row r="95" spans="2:3">
      <c r="B95" s="48" t="s">
        <v>213</v>
      </c>
      <c r="C95" s="48" t="s">
        <v>9</v>
      </c>
    </row>
    <row r="96" spans="2:3">
      <c r="B96" s="49" t="s">
        <v>214</v>
      </c>
      <c r="C96" s="50">
        <v>0.34590000000000004</v>
      </c>
    </row>
    <row r="97" spans="2:6">
      <c r="B97" s="49" t="s">
        <v>215</v>
      </c>
      <c r="C97" s="50">
        <v>0.14049999999999999</v>
      </c>
    </row>
    <row r="98" spans="2:6">
      <c r="B98" s="49" t="s">
        <v>216</v>
      </c>
      <c r="C98" s="50">
        <v>9.9900000000000003E-2</v>
      </c>
    </row>
    <row r="99" spans="2:6">
      <c r="B99" s="49" t="s">
        <v>217</v>
      </c>
      <c r="C99" s="50">
        <v>0.08</v>
      </c>
    </row>
    <row r="100" spans="2:6">
      <c r="F100" s="51" t="s">
        <v>218</v>
      </c>
    </row>
    <row r="101" spans="2:6">
      <c r="B101" s="51" t="s">
        <v>219</v>
      </c>
      <c r="F101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2025-01-08T09:22:05Z</dcterms:created>
  <dcterms:modified xsi:type="dcterms:W3CDTF">2025-01-08T09:22:06Z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2025-01-08T09:22:06Z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35dce782-643e-4e3b-9624-4bb29d7c993c</vt:lpwstr>
  </property>
  <property fmtid="{D5CDD505-2E9C-101B-9397-08002B2CF9AE}" pid="8" name="MSIP_Label_1b7f8449-e5d3-4eba-8da7-ffd6ca5bf3e9_ContentBits">
    <vt:lpwstr>0</vt:lpwstr>
  </property>
</Properties>
</file>