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Half Yearly/30 Sep 2022/"/>
    </mc:Choice>
  </mc:AlternateContent>
  <xr:revisionPtr revIDLastSave="32" documentId="8_{7423379A-1B5D-4D7A-96E8-9F77592975F5}" xr6:coauthVersionLast="47" xr6:coauthVersionMax="47" xr10:uidLastSave="{3B39731D-7E5A-460D-AE3A-B18482955548}"/>
  <bookViews>
    <workbookView xWindow="-120" yWindow="-120" windowWidth="20730" windowHeight="11160" xr2:uid="{00000000-000D-0000-FFFF-FFFF00000000}"/>
  </bookViews>
  <sheets>
    <sheet name="WOMID" sheetId="1" r:id="rId1"/>
  </sheets>
  <externalReferences>
    <externalReference r:id="rId2"/>
  </externalReferences>
  <definedNames>
    <definedName name="JR_PAGE_ANCHOR_0_1">WOMID!#REF!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8" i="1" l="1"/>
  <c r="F68" i="1"/>
  <c r="G65" i="1"/>
  <c r="G69" i="1" s="1"/>
  <c r="F65" i="1"/>
  <c r="F69" i="1" s="1"/>
  <c r="G72" i="1" l="1"/>
  <c r="G73" i="1" s="1"/>
  <c r="G75" i="1" s="1"/>
  <c r="F72" i="1"/>
  <c r="F73" i="1" s="1"/>
  <c r="F75" i="1" s="1"/>
</calcChain>
</file>

<file path=xl/sharedStrings.xml><?xml version="1.0" encoding="utf-8"?>
<sst xmlns="http://schemas.openxmlformats.org/spreadsheetml/2006/main" count="375" uniqueCount="310">
  <si>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</si>
  <si>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</si>
  <si>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</si>
  <si>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</si>
  <si>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</si>
  <si>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</si>
  <si>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</si>
  <si>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</si>
  <si>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TREPS / Reverse Repo</t>
  </si>
  <si>
    <t>Net Receivables / (Payables)</t>
  </si>
  <si>
    <t>GRAND TOTAL</t>
  </si>
  <si>
    <t>Half Yearly Portfolio Statement as on September 30, 2022</t>
  </si>
  <si>
    <t>TRP_031022</t>
  </si>
  <si>
    <t>WhiteOak Capital Mid Cap Fund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</si>
  <si>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</si>
  <si>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</si>
  <si>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</si>
  <si>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</si>
  <si>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</si>
  <si>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</si>
  <si>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</si>
  <si>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</si>
  <si>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</si>
  <si>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</si>
  <si>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</si>
  <si>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</si>
  <si>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</si>
  <si>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</si>
  <si>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</si>
  <si>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</si>
  <si>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</si>
  <si>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</si>
  <si>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</si>
  <si>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</si>
  <si>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</si>
  <si>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</si>
  <si>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</si>
  <si>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</si>
  <si>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</si>
  <si>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</si>
  <si>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</si>
  <si>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</si>
  <si>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</si>
  <si>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</si>
  <si>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The Federal Bank  Limited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</si>
  <si>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</si>
  <si>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</si>
  <si>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</si>
  <si>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</si>
  <si>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</si>
  <si>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</si>
  <si>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</si>
  <si>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</si>
  <si>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</si>
  <si>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</si>
  <si>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</si>
  <si>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</si>
  <si>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</si>
  <si>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</si>
  <si>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</si>
  <si>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</si>
  <si>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</si>
  <si>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</si>
  <si>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</si>
  <si>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</si>
  <si>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</si>
  <si>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</si>
  <si>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</si>
  <si>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</si>
  <si>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</si>
  <si>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</si>
  <si>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</si>
  <si>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</si>
  <si>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</si>
  <si>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</si>
  <si>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</si>
  <si>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</si>
  <si>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IIFL Wealth Management Limited</t>
  </si>
  <si>
    <t>INE466L01020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</si>
  <si>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</si>
  <si>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</si>
  <si>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</si>
  <si>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</si>
  <si>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</si>
  <si>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</si>
  <si>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</si>
  <si>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</si>
  <si>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</si>
  <si>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</si>
  <si>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</si>
  <si>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</si>
  <si>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Dr. Lal Path Labs Limited</t>
  </si>
  <si>
    <t>INE600L01024</t>
  </si>
  <si>
    <t>GRIN02</t>
  </si>
  <si>
    <t>Grindwell Norton Limited</t>
  </si>
  <si>
    <t>INE536A01023</t>
  </si>
  <si>
    <t>SSNL02</t>
  </si>
  <si>
    <t>Delhivery Limited</t>
  </si>
  <si>
    <t>INE148O01028</t>
  </si>
  <si>
    <t>Transport Services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</si>
  <si>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</si>
  <si>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</si>
  <si>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</si>
  <si>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</si>
  <si>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</si>
  <si>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</si>
  <si>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</si>
  <si>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</si>
  <si>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</si>
  <si>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</si>
  <si>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</si>
  <si>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</si>
  <si>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</si>
  <si>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</si>
  <si>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</si>
  <si>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</si>
  <si>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SUFA02</t>
  </si>
  <si>
    <t>Sundram Fasteners Limited</t>
  </si>
  <si>
    <t>INE387A01021</t>
  </si>
  <si>
    <t>Auto Components</t>
  </si>
  <si>
    <t>DEVY01</t>
  </si>
  <si>
    <t>Devyani International Limited</t>
  </si>
  <si>
    <t>INE872J01023</t>
  </si>
  <si>
    <t>Leisure Services</t>
  </si>
  <si>
    <t>PIIN03</t>
  </si>
  <si>
    <t>PI Industries Limited</t>
  </si>
  <si>
    <t>INE603J01030</t>
  </si>
  <si>
    <t>TAHO01</t>
  </si>
  <si>
    <t>Honeywell Automation India Limited</t>
  </si>
  <si>
    <t>INE671A01010</t>
  </si>
  <si>
    <t>Industrial Manufacturing</t>
  </si>
  <si>
    <t>AUHF01</t>
  </si>
  <si>
    <t>Aavas Financiers Limited</t>
  </si>
  <si>
    <t>INE216P01012</t>
  </si>
  <si>
    <t>SBAI02</t>
  </si>
  <si>
    <t>State Bank of India</t>
  </si>
  <si>
    <t>INE062A01020</t>
  </si>
  <si>
    <t>LTTS01</t>
  </si>
  <si>
    <t>L&amp;T Technology Services Limited</t>
  </si>
  <si>
    <t>INE010V01017</t>
  </si>
  <si>
    <t>IT - Services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</si>
  <si>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</si>
  <si>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</si>
  <si>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</si>
  <si>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</si>
  <si>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</si>
  <si>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</si>
  <si>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</si>
  <si>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</si>
  <si>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</si>
  <si>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</si>
  <si>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ASEA02</t>
  </si>
  <si>
    <t>ABB India Limited</t>
  </si>
  <si>
    <t>INE117A01022</t>
  </si>
  <si>
    <t>AFPL02</t>
  </si>
  <si>
    <t>AU Small Finance Bank Limited</t>
  </si>
  <si>
    <t>INE949L01017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</si>
  <si>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</si>
  <si>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</si>
  <si>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</si>
  <si>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</si>
  <si>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</si>
  <si>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</si>
  <si>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</si>
  <si>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</si>
  <si>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</si>
  <si>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</si>
  <si>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</si>
  <si>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</si>
  <si>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</si>
  <si>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</si>
  <si>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</si>
  <si>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</si>
  <si>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</si>
  <si>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</si>
  <si>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</si>
  <si>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</si>
  <si>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</si>
  <si>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</si>
  <si>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</si>
  <si>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</si>
  <si>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</si>
  <si>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</si>
  <si>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</si>
  <si>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</si>
  <si>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</si>
  <si>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</si>
  <si>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</si>
  <si>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</si>
  <si>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</si>
  <si>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SHEP01</t>
  </si>
  <si>
    <t>Shaily Engineering Plastics Limited</t>
  </si>
  <si>
    <t>INE151G01010</t>
  </si>
  <si>
    <t>HDFB03</t>
  </si>
  <si>
    <t>HDFC Bank Limited</t>
  </si>
  <si>
    <t>INE040A01034</t>
  </si>
  <si>
    <t>HDLI01</t>
  </si>
  <si>
    <t>HDFC Life Insurance Company Limited</t>
  </si>
  <si>
    <t>INE795G01014</t>
  </si>
  <si>
    <t>Insurance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</si>
  <si>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</si>
  <si>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</si>
  <si>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</si>
  <si>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</si>
  <si>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</si>
  <si>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</si>
  <si>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</si>
  <si>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FOIL01</t>
  </si>
  <si>
    <t>Fine Organic Industries Limited</t>
  </si>
  <si>
    <t>INE686Y01026</t>
  </si>
  <si>
    <t>BAYE02</t>
  </si>
  <si>
    <t>Bayer Cropscience Limited</t>
  </si>
  <si>
    <t>INE462A01022</t>
  </si>
  <si>
    <t>SEQS02</t>
  </si>
  <si>
    <t>Sequent Scientific Limited</t>
  </si>
  <si>
    <t>INE807F01027</t>
  </si>
  <si>
    <t>(b) Unlisted</t>
  </si>
  <si>
    <t>BELA01</t>
  </si>
  <si>
    <t>BEML LAND ASSETS LIMITED ** #</t>
  </si>
  <si>
    <t>Miscellaneous</t>
  </si>
  <si>
    <t>Notes :</t>
  </si>
  <si>
    <t>(1) The provision made for securities classified as below investment grade or default as of September 30, 2022 is Rs.Nil and its percentage to Net Asset Value is Nil.</t>
  </si>
  <si>
    <t>(2)  Aggregate value of illiquid securities of the scheme and their percentage to NAV as on September 30, 2022 is Nil.</t>
  </si>
  <si>
    <t>(3)  Plan/Option wise Net Assets Value per unit (in Rupees) is as follows:</t>
  </si>
  <si>
    <t>Plan/Option</t>
  </si>
  <si>
    <t>As on September 30, 2022</t>
  </si>
  <si>
    <t>Direct Plan - Growth</t>
  </si>
  <si>
    <t>NA</t>
  </si>
  <si>
    <t>Direct Plan - IDCW</t>
  </si>
  <si>
    <t>Regular Plan - Growth</t>
  </si>
  <si>
    <t>Regular Plan - IDCW</t>
  </si>
  <si>
    <t>(4) The Scheme did not declare any Income Distribution cum Capital Withdrawal during the half year ended September 30, 2022.</t>
  </si>
  <si>
    <t>(5) The Scheme did not declare any bonus during the half year ended September 30, 2022.</t>
  </si>
  <si>
    <t>(7) Total investments in Foreign Securities / Overseas ETFs / ADRs / GDRs as on September 30, 2022 is Nil.</t>
  </si>
  <si>
    <t>(9) The scheme had no Repo transaction in Corporate Debt Securities during half year ended September 30, 2022.</t>
  </si>
  <si>
    <t>Place : Mumbai</t>
  </si>
  <si>
    <t xml:space="preserve">Date :  </t>
  </si>
  <si>
    <t>Portfolio disclosure for derivative positions.</t>
  </si>
  <si>
    <t>A .   Hedging Positions through Futures as on September 30, 2022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</si>
  <si>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</si>
  <si>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</si>
  <si>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</si>
  <si>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</si>
  <si>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</si>
  <si>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</si>
  <si>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For the period ended September 30, 2022 details of hedging transactions through futures which have been squared off/expired are as under.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</si>
  <si>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</si>
  <si>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</si>
  <si>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</si>
  <si>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</si>
  <si>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</si>
  <si>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B.   Other than Hedging Positions through Futures as on September 30, 2022</t>
  </si>
  <si>
    <t>Futures Price when purchased (Rs)</t>
  </si>
  <si>
    <t>Current price of the contract (Rs)</t>
  </si>
  <si>
    <t>Margin maintained (Rs. Lakhs)</t>
  </si>
  <si>
    <t>Nil</t>
  </si>
  <si>
    <t>For the period ended September 30, 2022 details of non-hedging transactions through futures which have been squared off/expired are as under.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</si>
  <si>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</si>
  <si>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</si>
  <si>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</si>
  <si>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</si>
  <si>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C.  Hedging Positions through Put Options as on September 30, 2022</t>
  </si>
  <si>
    <t>Number of Contracts</t>
  </si>
  <si>
    <t>Option Price when purchased</t>
  </si>
  <si>
    <t>Current Option Price</t>
  </si>
  <si>
    <t>For the period ended September 30, 2022, details of hedging transactions through options which have already been exercised/expired are as under.</t>
  </si>
  <si>
    <t>Total Number of contracts entered into</t>
  </si>
  <si>
    <t>Gross Notional Value of contracts (in Rs.)</t>
  </si>
  <si>
    <t>Net Profit/(Loss) value on all contracts ( in Rs.)</t>
  </si>
  <si>
    <t>D.  Other than Hedging Positions through Options as on September 30, 2022</t>
  </si>
  <si>
    <t>Call / put</t>
  </si>
  <si>
    <t>Number of contracts</t>
  </si>
  <si>
    <t>Current Price</t>
  </si>
  <si>
    <t>Nifty</t>
  </si>
  <si>
    <t>For the period ended September 30, 2022 details of non-hedging transactions through options which have already been exercised/expired are as under.</t>
  </si>
  <si>
    <t>E.  Hedging Positions through swaps as on September 30, 2022 - Nil</t>
  </si>
  <si>
    <t>F.  Hedging Positions through writing of Covered Call Options as on September 30, 2022</t>
  </si>
  <si>
    <t>% of underlying shares</t>
  </si>
  <si>
    <t>Option Price when sold</t>
  </si>
  <si>
    <t>Margin maintained in Rs. Lakhs</t>
  </si>
  <si>
    <t>For the period ended September 30, 2022 details of covered call options written which have been exercised / expired are as under.</t>
  </si>
  <si>
    <t xml:space="preserve">Total number of contracts entered into </t>
  </si>
  <si>
    <t>Net Profit/(Loss) value on all contracts (in Rs.)</t>
  </si>
  <si>
    <t>(An Open Ended Equity Scheme Predominantly Investing In Mid-Cap Stocks)</t>
  </si>
  <si>
    <t>Cholamandalam Investment and Finance Company Limited</t>
  </si>
  <si>
    <t>(8) Portfolio Turnover ratio is 0.16 times.</t>
  </si>
  <si>
    <t>#  Unlisted Security</t>
  </si>
  <si>
    <t>**  Thinly Traded / Non Traded Security</t>
  </si>
  <si>
    <t>Long</t>
  </si>
  <si>
    <t>Total exposure due to futures (non hedging positions) as a %age of net assets : 1.80%</t>
  </si>
  <si>
    <t>Total Exposure through options as a %age of net assets : Nil</t>
  </si>
  <si>
    <t>TREPS</t>
  </si>
  <si>
    <t>Industry*</t>
  </si>
  <si>
    <t>*  Industry Classification is as recommended by AMFI</t>
  </si>
  <si>
    <t>As on March 31, 2022 $</t>
  </si>
  <si>
    <t>(6) Total outstanding exposure in derivative instruments as on September 30, 2022 is Rs. 649.92 Lacs.</t>
  </si>
  <si>
    <t>$ -The date of allotment of the Scheme is September 07, 2022, therefore the Net Asset Values as on March 31, 2022 are not available.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</si>
  <si>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</si>
  <si>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</si>
  <si>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</si>
  <si>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Scheme Name &amp; Type of the Scheme</t>
  </si>
  <si>
    <t>Product Labelling</t>
  </si>
  <si>
    <t>Scheme Risk-o-meter</t>
  </si>
  <si>
    <t>Benchmark Risk-o-meter</t>
  </si>
  <si>
    <r>
      <rPr>
        <b/>
        <sz val="10"/>
        <color rgb="FF000000"/>
        <rFont val="Calibri"/>
        <family val="2"/>
      </rPr>
      <t>This Product is suitable for investors who are seeking *</t>
    </r>
    <r>
      <rPr>
        <sz val="10"/>
        <color rgb="FF000000"/>
        <rFont val="Calibri"/>
        <family val="2"/>
      </rPr>
      <t xml:space="preserve"> </t>
    </r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</si>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</sst>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#,##0.00;\(#,##0.00\)"/>
    <numFmt numFmtId="166" formatCode="#,##0.00%;\(#,##0.00\)%"/>
    <numFmt numFmtId="167" formatCode="#,##0.00%"/>
    <numFmt numFmtId="168" formatCode="_ * #,##0_ ;_ * \-#,##0_ ;_ * &quot;-&quot;??_ ;_ @_ "/>
    <numFmt numFmtId="169" formatCode="0.0000"/>
  </numFmts>
  <fonts count="21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</cellStyleXfs>
  <cellXfs count="14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4" fillId="2" borderId="2" xfId="0" applyNumberFormat="1" applyFont="1" applyFill="1" applyBorder="1" applyAlignment="1">
      <alignment horizontal="right" vertical="top" wrapText="1"/>
    </xf>
    <xf numFmtId="166" fontId="4" fillId="2" borderId="1" xfId="0" applyNumberFormat="1" applyFont="1" applyFill="1" applyBorder="1" applyAlignment="1">
      <alignment horizontal="righ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/>
    <xf numFmtId="0" fontId="0" fillId="2" borderId="0" xfId="0" applyFill="1" applyAlignment="1">
      <alignment wrapText="1"/>
    </xf>
    <xf numFmtId="0" fontId="0" fillId="2" borderId="0" xfId="0" applyFill="1" applyAlignment="1" applyProtection="1">
      <protection locked="0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vertical="top" wrapText="1"/>
    </xf>
    <xf numFmtId="0" fontId="4" fillId="0" borderId="4" xfId="0" applyNumberFormat="1" applyFont="1" applyFill="1" applyBorder="1" applyAlignment="1" applyProtection="1">
      <alignment vertical="top" wrapText="1"/>
    </xf>
    <xf numFmtId="0" fontId="4" fillId="0" borderId="5" xfId="0" applyNumberFormat="1" applyFont="1" applyFill="1" applyBorder="1" applyAlignment="1" applyProtection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NumberFormat="1" applyFont="1" applyFill="1" applyBorder="1" applyAlignment="1" applyProtection="1">
      <alignment horizontal="left" vertical="top"/>
    </xf>
    <xf numFmtId="0" fontId="2" fillId="0" borderId="0" xfId="0" applyFont="1" applyFill="1"/>
    <xf numFmtId="0" fontId="0" fillId="0" borderId="0" xfId="0" applyNumberFormat="1" applyFont="1" applyFill="1" applyBorder="1" applyAlignment="1" applyProtection="1">
      <protection locked="0"/>
    </xf>
    <xf numFmtId="166" fontId="3" fillId="0" borderId="5" xfId="0" applyNumberFormat="1" applyFont="1" applyFill="1" applyBorder="1" applyAlignment="1" applyProtection="1">
      <alignment horizontal="right" vertical="top" wrapText="1"/>
    </xf>
    <xf numFmtId="0" fontId="3" fillId="0" borderId="5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3" fillId="0" borderId="11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vertical="top" wrapText="1"/>
    </xf>
    <xf numFmtId="165" fontId="3" fillId="2" borderId="15" xfId="0" applyNumberFormat="1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4" fillId="0" borderId="9" xfId="0" applyNumberFormat="1" applyFont="1" applyFill="1" applyBorder="1" applyAlignment="1" applyProtection="1">
      <alignment horizontal="left" vertical="top"/>
    </xf>
    <xf numFmtId="168" fontId="4" fillId="0" borderId="1" xfId="3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4" fillId="0" borderId="11" xfId="0" applyNumberFormat="1" applyFont="1" applyFill="1" applyBorder="1" applyAlignment="1" applyProtection="1">
      <alignment horizontal="right" vertical="top" wrapText="1"/>
    </xf>
    <xf numFmtId="168" fontId="4" fillId="0" borderId="4" xfId="3" applyNumberFormat="1" applyFont="1" applyFill="1" applyBorder="1" applyAlignment="1" applyProtection="1">
      <alignment vertical="top" wrapText="1"/>
    </xf>
    <xf numFmtId="10" fontId="3" fillId="0" borderId="11" xfId="2" applyNumberFormat="1" applyFont="1" applyFill="1" applyBorder="1" applyAlignment="1" applyProtection="1">
      <alignment horizontal="right" vertical="top" wrapText="1"/>
    </xf>
    <xf numFmtId="10" fontId="4" fillId="0" borderId="5" xfId="2" applyNumberFormat="1" applyFont="1" applyFill="1" applyBorder="1" applyAlignment="1" applyProtection="1">
      <alignment horizontal="right" vertical="top" wrapText="1"/>
    </xf>
    <xf numFmtId="9" fontId="3" fillId="2" borderId="15" xfId="2" applyFont="1" applyFill="1" applyBorder="1" applyAlignment="1">
      <alignment horizontal="right" vertical="top" wrapText="1"/>
    </xf>
    <xf numFmtId="0" fontId="3" fillId="0" borderId="18" xfId="0" applyNumberFormat="1" applyFont="1" applyFill="1" applyBorder="1" applyAlignment="1" applyProtection="1">
      <alignment horizontal="left" vertical="top" wrapText="1"/>
    </xf>
    <xf numFmtId="168" fontId="4" fillId="0" borderId="19" xfId="3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10" fillId="0" borderId="21" xfId="0" applyFont="1" applyBorder="1" applyAlignment="1">
      <alignment horizontal="left" vertical="top" wrapText="1"/>
    </xf>
    <xf numFmtId="0" fontId="10" fillId="0" borderId="21" xfId="0" applyFont="1" applyBorder="1" applyAlignment="1">
      <alignment horizontal="center" vertical="top" wrapText="1"/>
    </xf>
    <xf numFmtId="0" fontId="10" fillId="0" borderId="0" xfId="0" applyFont="1" applyBorder="1" applyAlignment="1">
      <alignment horizontal="center" vertical="top" wrapText="1"/>
    </xf>
    <xf numFmtId="169" fontId="9" fillId="0" borderId="21" xfId="0" applyNumberFormat="1" applyFont="1" applyFill="1" applyBorder="1" applyAlignment="1">
      <alignment horizontal="right" vertical="top" wrapText="1"/>
    </xf>
    <xf numFmtId="0" fontId="9" fillId="0" borderId="0" xfId="0" applyFont="1" applyFill="1" applyAlignment="1">
      <alignment vertical="top"/>
    </xf>
    <xf numFmtId="0" fontId="0" fillId="0" borderId="0" xfId="0" applyFill="1"/>
    <xf numFmtId="0" fontId="11" fillId="0" borderId="0" xfId="0" applyFont="1"/>
    <xf numFmtId="0" fontId="9" fillId="0" borderId="21" xfId="0" applyFont="1" applyFill="1" applyBorder="1" applyAlignment="1">
      <alignment horizontal="left" vertical="top" wrapText="1"/>
    </xf>
    <xf numFmtId="0" fontId="9" fillId="0" borderId="21" xfId="0" applyFont="1" applyFill="1" applyBorder="1" applyAlignment="1">
      <alignment horizontal="left" wrapText="1"/>
    </xf>
    <xf numFmtId="0" fontId="0" fillId="0" borderId="0" xfId="0" applyFill="1" applyAlignment="1"/>
    <xf numFmtId="0" fontId="9" fillId="0" borderId="0" xfId="4" applyFont="1" applyFill="1" applyAlignment="1">
      <alignment vertical="top"/>
    </xf>
    <xf numFmtId="0" fontId="0" fillId="0" borderId="0" xfId="0" applyFill="1" applyAlignment="1" applyProtection="1">
      <protection locked="0"/>
    </xf>
    <xf numFmtId="0" fontId="3" fillId="0" borderId="0" xfId="0" applyFont="1" applyFill="1" applyAlignment="1">
      <alignment horizontal="right" vertical="top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top" wrapText="1"/>
    </xf>
    <xf numFmtId="165" fontId="3" fillId="2" borderId="0" xfId="0" applyNumberFormat="1" applyFont="1" applyFill="1" applyBorder="1" applyAlignment="1">
      <alignment horizontal="right" vertical="top" wrapText="1"/>
    </xf>
    <xf numFmtId="9" fontId="3" fillId="2" borderId="0" xfId="2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righ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3" fillId="0" borderId="21" xfId="0" applyFont="1" applyBorder="1"/>
    <xf numFmtId="43" fontId="13" fillId="0" borderId="21" xfId="5" applyFont="1" applyBorder="1" applyAlignment="1"/>
    <xf numFmtId="0" fontId="14" fillId="0" borderId="0" xfId="0" applyFont="1" applyAlignment="1">
      <alignment horizontal="left" vertical="top"/>
    </xf>
    <xf numFmtId="164" fontId="9" fillId="0" borderId="6" xfId="3" applyFont="1" applyFill="1" applyBorder="1" applyAlignment="1" applyProtection="1">
      <alignment wrapText="1"/>
      <protection locked="0"/>
    </xf>
    <xf numFmtId="0" fontId="4" fillId="0" borderId="17" xfId="0" applyNumberFormat="1" applyFont="1" applyFill="1" applyBorder="1" applyAlignment="1" applyProtection="1">
      <alignment horizontal="right" vertical="top" wrapText="1"/>
    </xf>
    <xf numFmtId="164" fontId="9" fillId="0" borderId="20" xfId="3" applyFont="1" applyFill="1" applyBorder="1" applyAlignment="1" applyProtection="1">
      <alignment wrapText="1"/>
      <protection locked="0"/>
    </xf>
    <xf numFmtId="10" fontId="4" fillId="0" borderId="19" xfId="2" applyNumberFormat="1" applyFont="1" applyFill="1" applyBorder="1" applyAlignment="1" applyProtection="1">
      <alignment horizontal="right" vertical="top" wrapText="1"/>
    </xf>
    <xf numFmtId="10" fontId="4" fillId="0" borderId="1" xfId="2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0" fontId="9" fillId="2" borderId="0" xfId="0" applyFont="1" applyFill="1" applyBorder="1" applyAlignment="1" applyProtection="1">
      <alignment wrapText="1"/>
      <protection locked="0"/>
    </xf>
    <xf numFmtId="0" fontId="4" fillId="2" borderId="2" xfId="0" applyFont="1" applyFill="1" applyBorder="1" applyAlignment="1">
      <alignment horizontal="right" vertical="top" wrapText="1"/>
    </xf>
    <xf numFmtId="167" fontId="4" fillId="2" borderId="10" xfId="0" applyNumberFormat="1" applyFont="1" applyFill="1" applyBorder="1" applyAlignment="1">
      <alignment horizontal="right" vertical="top" wrapText="1"/>
    </xf>
    <xf numFmtId="0" fontId="9" fillId="0" borderId="0" xfId="0" applyFont="1" applyFill="1"/>
    <xf numFmtId="0" fontId="15" fillId="0" borderId="0" xfId="0" applyFont="1" applyFill="1"/>
    <xf numFmtId="0" fontId="9" fillId="0" borderId="0" xfId="0" applyFont="1"/>
    <xf numFmtId="0" fontId="15" fillId="0" borderId="0" xfId="0" applyFont="1"/>
    <xf numFmtId="169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21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43" fontId="16" fillId="0" borderId="0" xfId="0" applyNumberFormat="1" applyFont="1"/>
    <xf numFmtId="0" fontId="12" fillId="0" borderId="21" xfId="0" applyFont="1" applyBorder="1" applyAlignment="1">
      <alignment wrapText="1"/>
    </xf>
    <xf numFmtId="0" fontId="12" fillId="0" borderId="21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 wrapText="1"/>
    </xf>
    <xf numFmtId="0" fontId="12" fillId="0" borderId="21" xfId="0" applyFont="1" applyBorder="1" applyAlignment="1">
      <alignment vertical="top" wrapText="1"/>
    </xf>
    <xf numFmtId="43" fontId="13" fillId="0" borderId="21" xfId="5" applyFont="1" applyFill="1" applyBorder="1" applyAlignment="1"/>
    <xf numFmtId="0" fontId="17" fillId="0" borderId="21" xfId="0" applyFont="1" applyBorder="1"/>
    <xf numFmtId="0" fontId="1" fillId="0" borderId="0" xfId="0" applyFont="1" applyFill="1" applyAlignment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4" applyFont="1" applyFill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13" fillId="0" borderId="23" xfId="0" applyFont="1" applyBorder="1" applyAlignment="1">
      <alignment horizontal="center" wrapText="1"/>
    </xf>
    <xf numFmtId="0" fontId="13" fillId="0" borderId="24" xfId="0" applyFont="1" applyBorder="1" applyAlignment="1">
      <alignment horizontal="center" wrapText="1"/>
    </xf>
    <xf numFmtId="0" fontId="13" fillId="0" borderId="25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0" xfId="0" applyFont="1" applyAlignment="1"/>
    <xf numFmtId="0" fontId="16" fillId="0" borderId="22" xfId="0" applyFont="1" applyBorder="1" applyAlignment="1">
      <alignment horizontal="left"/>
    </xf>
    <xf numFmtId="0" fontId="11" fillId="0" borderId="22" xfId="0" applyFont="1" applyBorder="1" applyAlignment="1">
      <alignment horizontal="left"/>
    </xf>
    <xf numFmtId="0" fontId="18" fillId="0" borderId="21" xfId="0" applyFont="1" applyBorder="1" applyAlignment="1">
      <alignment horizontal="center" wrapText="1" readingOrder="1"/>
    </xf>
    <xf numFmtId="0" fontId="18" fillId="0" borderId="21" xfId="0" applyFont="1" applyBorder="1" applyAlignment="1">
      <alignment horizontal="justify" wrapText="1" readingOrder="1"/>
    </xf>
    <xf numFmtId="0" fontId="19" fillId="0" borderId="21" xfId="0" applyFont="1" applyBorder="1" applyAlignment="1">
      <alignment horizontal="justify" wrapText="1" readingOrder="1"/>
    </xf>
    <xf numFmtId="0" fontId="19" fillId="0" borderId="21" xfId="0" applyFont="1" applyBorder="1" applyAlignment="1">
      <alignment horizontal="justify" vertical="center" wrapText="1" readingOrder="1"/>
    </xf>
    <xf numFmtId="0" fontId="19" fillId="0" borderId="21" xfId="0" applyFont="1" applyBorder="1" applyAlignment="1">
      <alignment horizontal="justify" wrapText="1" readingOrder="1"/>
    </xf>
    <xf numFmtId="0" fontId="20" fillId="0" borderId="21" xfId="0" applyFont="1" applyBorder="1" applyAlignment="1">
      <alignment horizontal="justify" wrapText="1" readingOrder="1"/>
    </xf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95332</xdr:colOff>
      <xdr:row>159</xdr:row>
      <xdr:rowOff>263613</xdr:rowOff>
    </xdr:from>
    <xdr:to>
      <xdr:col>9</xdr:col>
      <xdr:colOff>1866899</xdr:colOff>
      <xdr:row>160</xdr:row>
      <xdr:rowOff>497166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587694-598A-4D08-8C09-E0C4A612A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82" y="36849138"/>
          <a:ext cx="1771567" cy="1376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125484</xdr:colOff>
      <xdr:row>159</xdr:row>
      <xdr:rowOff>257177</xdr:rowOff>
    </xdr:from>
    <xdr:to>
      <xdr:col>10</xdr:col>
      <xdr:colOff>1758548</xdr:colOff>
      <xdr:row>160</xdr:row>
      <xdr:rowOff>495301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0F36B60-AA16-4081-B043-AF1C8052D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56009" y="36842702"/>
          <a:ext cx="1633064" cy="1381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63"/>
  <sheetViews>
    <sheetView tabSelected="1" topLeftCell="D158" zoomScaleNormal="100" workbookViewId="0">
      <selection activeCell="I162" sqref="I162"/>
    </sheetView>
  </sheetViews>
  <sheetFormatPr defaultColWidth="8.85546875" defaultRowHeight="15" x14ac:dyDescent="0.25"/>
  <cols>
    <col min="1" max="1" width="3.42578125" style="15" customWidth="1"/>
    <col min="2" max="2" width="48.85546875" style="1" customWidth="1"/>
    <col min="3" max="3" width="12.85546875" style="1" customWidth="1"/>
    <col min="4" max="4" width="25.5703125" style="1" customWidth="1"/>
    <col min="5" max="5" width="15.5703125" style="1" customWidth="1"/>
    <col min="6" max="6" width="27.42578125" style="1" customWidth="1"/>
    <col min="7" max="7" width="27.5703125" style="1" customWidth="1"/>
    <col min="8" max="8" width="21.140625" style="1" customWidth="1"/>
    <col min="9" max="9" width="30.28515625" style="1" customWidth="1"/>
    <col min="10" max="10" width="29" style="1" customWidth="1"/>
    <col min="11" max="11" width="28.710937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 x14ac:dyDescent="0.25">
      <c r="B1" s="125" t="s">
        <v>13</v>
      </c>
      <c r="C1" s="125"/>
      <c r="D1" s="125"/>
      <c r="E1" s="125"/>
      <c r="F1" s="125"/>
      <c r="G1" s="125"/>
      <c r="H1" s="125"/>
    </row>
    <row r="2" spans="1:8" ht="15.75" x14ac:dyDescent="0.25">
      <c r="B2" s="125" t="s">
        <v>283</v>
      </c>
      <c r="C2" s="125"/>
      <c r="D2" s="125"/>
      <c r="E2" s="125"/>
      <c r="F2" s="125"/>
      <c r="G2" s="125"/>
      <c r="H2" s="125"/>
    </row>
    <row r="3" spans="1:8" ht="15.75" x14ac:dyDescent="0.25">
      <c r="B3" s="125" t="s">
        <v>11</v>
      </c>
      <c r="C3" s="125"/>
      <c r="D3" s="125"/>
      <c r="E3" s="125"/>
      <c r="F3" s="125"/>
      <c r="G3" s="125"/>
      <c r="H3" s="125"/>
    </row>
    <row r="4" spans="1:8" ht="15.75" thickBot="1" x14ac:dyDescent="0.3">
      <c r="B4" s="31"/>
      <c r="C4" s="31"/>
      <c r="D4" s="31"/>
      <c r="E4" s="31"/>
      <c r="F4" s="31"/>
      <c r="G4" s="31"/>
      <c r="H4" s="31"/>
    </row>
    <row r="5" spans="1:8" x14ac:dyDescent="0.25">
      <c r="A5" s="17"/>
      <c r="B5" s="37" t="s">
        <v>0</v>
      </c>
      <c r="C5" s="77" t="s">
        <v>1</v>
      </c>
      <c r="D5" s="77" t="s">
        <v>292</v>
      </c>
      <c r="E5" s="77" t="s">
        <v>2</v>
      </c>
      <c r="F5" s="77" t="s">
        <v>3</v>
      </c>
      <c r="G5" s="77" t="s">
        <v>4</v>
      </c>
      <c r="H5" s="78" t="s">
        <v>5</v>
      </c>
    </row>
    <row r="6" spans="1:8" x14ac:dyDescent="0.25">
      <c r="A6" s="18"/>
      <c r="B6" s="60" t="s">
        <v>14</v>
      </c>
      <c r="C6" s="93"/>
      <c r="D6" s="93"/>
      <c r="E6" s="93"/>
      <c r="F6" s="93"/>
      <c r="G6" s="93"/>
      <c r="H6" s="94"/>
    </row>
    <row r="7" spans="1:8" x14ac:dyDescent="0.25">
      <c r="A7" s="18"/>
      <c r="B7" s="60" t="s">
        <v>15</v>
      </c>
      <c r="C7" s="93"/>
      <c r="D7" s="93"/>
      <c r="E7" s="93"/>
      <c r="F7" s="93"/>
      <c r="G7" s="93"/>
      <c r="H7" s="94"/>
    </row>
    <row r="8" spans="1:8" ht="24" x14ac:dyDescent="0.25">
      <c r="A8" s="30" t="s">
        <v>16</v>
      </c>
      <c r="B8" s="51" t="s">
        <v>17</v>
      </c>
      <c r="C8" s="19" t="s">
        <v>18</v>
      </c>
      <c r="D8" s="62" t="s">
        <v>19</v>
      </c>
      <c r="E8" s="61">
        <v>3438</v>
      </c>
      <c r="F8" s="95">
        <v>1741.9</v>
      </c>
      <c r="G8" s="96">
        <v>4.8099999999999997E-2</v>
      </c>
      <c r="H8" s="94"/>
    </row>
    <row r="9" spans="1:8" ht="24" x14ac:dyDescent="0.25">
      <c r="A9" s="30" t="s">
        <v>20</v>
      </c>
      <c r="B9" s="51" t="s">
        <v>21</v>
      </c>
      <c r="C9" s="19" t="s">
        <v>22</v>
      </c>
      <c r="D9" s="19" t="s">
        <v>23</v>
      </c>
      <c r="E9" s="52">
        <v>44923</v>
      </c>
      <c r="F9" s="93">
        <v>1456.04</v>
      </c>
      <c r="G9" s="97">
        <v>4.02E-2</v>
      </c>
      <c r="H9" s="98"/>
    </row>
    <row r="10" spans="1:8" ht="24" x14ac:dyDescent="0.25">
      <c r="A10" s="30" t="s">
        <v>24</v>
      </c>
      <c r="B10" s="51" t="s">
        <v>25</v>
      </c>
      <c r="C10" s="19" t="s">
        <v>26</v>
      </c>
      <c r="D10" s="19" t="s">
        <v>27</v>
      </c>
      <c r="E10" s="52">
        <v>31078</v>
      </c>
      <c r="F10" s="93">
        <v>1395.67</v>
      </c>
      <c r="G10" s="97">
        <v>3.8600000000000002E-2</v>
      </c>
      <c r="H10" s="98"/>
    </row>
    <row r="11" spans="1:8" x14ac:dyDescent="0.25">
      <c r="A11" s="30" t="s">
        <v>28</v>
      </c>
      <c r="B11" s="51" t="s">
        <v>29</v>
      </c>
      <c r="C11" s="19" t="s">
        <v>30</v>
      </c>
      <c r="D11" s="19" t="s">
        <v>31</v>
      </c>
      <c r="E11" s="52">
        <v>83806</v>
      </c>
      <c r="F11" s="93">
        <v>1180.6600000000001</v>
      </c>
      <c r="G11" s="97">
        <v>3.2599999999999997E-2</v>
      </c>
      <c r="H11" s="98"/>
    </row>
    <row r="12" spans="1:8" ht="24" x14ac:dyDescent="0.25">
      <c r="A12" s="30" t="s">
        <v>32</v>
      </c>
      <c r="B12" s="51" t="s">
        <v>33</v>
      </c>
      <c r="C12" s="19" t="s">
        <v>34</v>
      </c>
      <c r="D12" s="19" t="s">
        <v>23</v>
      </c>
      <c r="E12" s="52">
        <v>34082</v>
      </c>
      <c r="F12" s="93">
        <v>1145.82</v>
      </c>
      <c r="G12" s="97">
        <v>3.1699999999999999E-2</v>
      </c>
      <c r="H12" s="98"/>
    </row>
    <row r="13" spans="1:8" ht="24" x14ac:dyDescent="0.25">
      <c r="A13" s="30" t="s">
        <v>35</v>
      </c>
      <c r="B13" s="51" t="s">
        <v>36</v>
      </c>
      <c r="C13" s="19" t="s">
        <v>37</v>
      </c>
      <c r="D13" s="19" t="s">
        <v>38</v>
      </c>
      <c r="E13" s="52">
        <v>25303</v>
      </c>
      <c r="F13" s="93">
        <v>1106.1500000000001</v>
      </c>
      <c r="G13" s="97">
        <v>3.0599999999999999E-2</v>
      </c>
      <c r="H13" s="98"/>
    </row>
    <row r="14" spans="1:8" ht="24" x14ac:dyDescent="0.25">
      <c r="A14" s="30" t="s">
        <v>39</v>
      </c>
      <c r="B14" s="51" t="s">
        <v>40</v>
      </c>
      <c r="C14" s="19" t="s">
        <v>41</v>
      </c>
      <c r="D14" s="19" t="s">
        <v>42</v>
      </c>
      <c r="E14" s="52">
        <v>78824</v>
      </c>
      <c r="F14" s="93">
        <v>1102.83</v>
      </c>
      <c r="G14" s="97">
        <v>3.0499999999999999E-2</v>
      </c>
      <c r="H14" s="98"/>
    </row>
    <row r="15" spans="1:8" x14ac:dyDescent="0.25">
      <c r="A15" s="30" t="s">
        <v>43</v>
      </c>
      <c r="B15" s="51" t="s">
        <v>44</v>
      </c>
      <c r="C15" s="19" t="s">
        <v>45</v>
      </c>
      <c r="D15" s="19" t="s">
        <v>46</v>
      </c>
      <c r="E15" s="52">
        <v>920906</v>
      </c>
      <c r="F15" s="93">
        <v>1093.58</v>
      </c>
      <c r="G15" s="97">
        <v>3.0200000000000001E-2</v>
      </c>
      <c r="H15" s="98"/>
    </row>
    <row r="16" spans="1:8" x14ac:dyDescent="0.25">
      <c r="A16" s="30" t="s">
        <v>47</v>
      </c>
      <c r="B16" s="51" t="s">
        <v>48</v>
      </c>
      <c r="C16" s="19" t="s">
        <v>49</v>
      </c>
      <c r="D16" s="19" t="s">
        <v>50</v>
      </c>
      <c r="E16" s="52">
        <v>6280</v>
      </c>
      <c r="F16" s="93">
        <v>871.99</v>
      </c>
      <c r="G16" s="97">
        <v>2.41E-2</v>
      </c>
      <c r="H16" s="98"/>
    </row>
    <row r="17" spans="1:8" x14ac:dyDescent="0.25">
      <c r="A17" s="30" t="s">
        <v>51</v>
      </c>
      <c r="B17" s="51" t="s">
        <v>52</v>
      </c>
      <c r="C17" s="19" t="s">
        <v>53</v>
      </c>
      <c r="D17" s="19" t="s">
        <v>54</v>
      </c>
      <c r="E17" s="52">
        <v>360446</v>
      </c>
      <c r="F17" s="93">
        <v>849.57</v>
      </c>
      <c r="G17" s="97">
        <v>2.35E-2</v>
      </c>
      <c r="H17" s="98"/>
    </row>
    <row r="18" spans="1:8" ht="24" x14ac:dyDescent="0.25">
      <c r="A18" s="30" t="s">
        <v>55</v>
      </c>
      <c r="B18" s="51" t="s">
        <v>56</v>
      </c>
      <c r="C18" s="19" t="s">
        <v>57</v>
      </c>
      <c r="D18" s="19" t="s">
        <v>58</v>
      </c>
      <c r="E18" s="52">
        <v>180908</v>
      </c>
      <c r="F18" s="93">
        <v>835.34</v>
      </c>
      <c r="G18" s="97">
        <v>2.3099999999999999E-2</v>
      </c>
      <c r="H18" s="98"/>
    </row>
    <row r="19" spans="1:8" ht="24" x14ac:dyDescent="0.25">
      <c r="A19" s="30" t="s">
        <v>59</v>
      </c>
      <c r="B19" s="51" t="s">
        <v>60</v>
      </c>
      <c r="C19" s="19" t="s">
        <v>61</v>
      </c>
      <c r="D19" s="19" t="s">
        <v>62</v>
      </c>
      <c r="E19" s="52">
        <v>165136</v>
      </c>
      <c r="F19" s="93">
        <v>830.55</v>
      </c>
      <c r="G19" s="97">
        <v>2.29E-2</v>
      </c>
      <c r="H19" s="98"/>
    </row>
    <row r="20" spans="1:8" x14ac:dyDescent="0.25">
      <c r="A20" s="30" t="s">
        <v>63</v>
      </c>
      <c r="B20" s="51" t="s">
        <v>64</v>
      </c>
      <c r="C20" s="19" t="s">
        <v>65</v>
      </c>
      <c r="D20" s="19" t="s">
        <v>54</v>
      </c>
      <c r="E20" s="52">
        <v>37579</v>
      </c>
      <c r="F20" s="93">
        <v>815.28</v>
      </c>
      <c r="G20" s="97">
        <v>2.2499999999999999E-2</v>
      </c>
      <c r="H20" s="98"/>
    </row>
    <row r="21" spans="1:8" x14ac:dyDescent="0.25">
      <c r="A21" s="30" t="s">
        <v>66</v>
      </c>
      <c r="B21" s="51" t="s">
        <v>284</v>
      </c>
      <c r="C21" s="19" t="s">
        <v>67</v>
      </c>
      <c r="D21" s="19" t="s">
        <v>68</v>
      </c>
      <c r="E21" s="52">
        <v>110666</v>
      </c>
      <c r="F21" s="93">
        <v>810.3</v>
      </c>
      <c r="G21" s="97">
        <v>2.24E-2</v>
      </c>
      <c r="H21" s="98"/>
    </row>
    <row r="22" spans="1:8" x14ac:dyDescent="0.25">
      <c r="A22" s="30" t="s">
        <v>69</v>
      </c>
      <c r="B22" s="51" t="s">
        <v>70</v>
      </c>
      <c r="C22" s="19" t="s">
        <v>71</v>
      </c>
      <c r="D22" s="19" t="s">
        <v>58</v>
      </c>
      <c r="E22" s="52">
        <v>35477</v>
      </c>
      <c r="F22" s="93">
        <v>792.01</v>
      </c>
      <c r="G22" s="97">
        <v>2.1899999999999999E-2</v>
      </c>
      <c r="H22" s="98"/>
    </row>
    <row r="23" spans="1:8" x14ac:dyDescent="0.25">
      <c r="A23" s="30" t="s">
        <v>72</v>
      </c>
      <c r="B23" s="51" t="s">
        <v>73</v>
      </c>
      <c r="C23" s="19" t="s">
        <v>74</v>
      </c>
      <c r="D23" s="19" t="s">
        <v>75</v>
      </c>
      <c r="E23" s="52">
        <v>152119</v>
      </c>
      <c r="F23" s="93">
        <v>784.33</v>
      </c>
      <c r="G23" s="97">
        <v>2.1700000000000001E-2</v>
      </c>
      <c r="H23" s="98"/>
    </row>
    <row r="24" spans="1:8" x14ac:dyDescent="0.25">
      <c r="A24" s="30" t="s">
        <v>76</v>
      </c>
      <c r="B24" s="51" t="s">
        <v>77</v>
      </c>
      <c r="C24" s="19" t="s">
        <v>78</v>
      </c>
      <c r="D24" s="19" t="s">
        <v>68</v>
      </c>
      <c r="E24" s="52">
        <v>41728</v>
      </c>
      <c r="F24" s="93">
        <v>767.92</v>
      </c>
      <c r="G24" s="97">
        <v>2.12E-2</v>
      </c>
      <c r="H24" s="98"/>
    </row>
    <row r="25" spans="1:8" ht="24" x14ac:dyDescent="0.25">
      <c r="A25" s="30" t="s">
        <v>79</v>
      </c>
      <c r="B25" s="51" t="s">
        <v>80</v>
      </c>
      <c r="C25" s="19" t="s">
        <v>81</v>
      </c>
      <c r="D25" s="19" t="s">
        <v>82</v>
      </c>
      <c r="E25" s="52">
        <v>136929</v>
      </c>
      <c r="F25" s="93">
        <v>767.62</v>
      </c>
      <c r="G25" s="97">
        <v>2.12E-2</v>
      </c>
      <c r="H25" s="98"/>
    </row>
    <row r="26" spans="1:8" ht="24" x14ac:dyDescent="0.25">
      <c r="A26" s="30" t="s">
        <v>83</v>
      </c>
      <c r="B26" s="51" t="s">
        <v>84</v>
      </c>
      <c r="C26" s="19" t="s">
        <v>85</v>
      </c>
      <c r="D26" s="19" t="s">
        <v>86</v>
      </c>
      <c r="E26" s="52">
        <v>4003</v>
      </c>
      <c r="F26" s="93">
        <v>766.14</v>
      </c>
      <c r="G26" s="97">
        <v>2.12E-2</v>
      </c>
      <c r="H26" s="98"/>
    </row>
    <row r="27" spans="1:8" x14ac:dyDescent="0.25">
      <c r="A27" s="30" t="s">
        <v>87</v>
      </c>
      <c r="B27" s="51" t="s">
        <v>88</v>
      </c>
      <c r="C27" s="19" t="s">
        <v>89</v>
      </c>
      <c r="D27" s="19" t="s">
        <v>31</v>
      </c>
      <c r="E27" s="52">
        <v>50504</v>
      </c>
      <c r="F27" s="93">
        <v>717.16</v>
      </c>
      <c r="G27" s="97">
        <v>1.9800000000000002E-2</v>
      </c>
      <c r="H27" s="98"/>
    </row>
    <row r="28" spans="1:8" x14ac:dyDescent="0.25">
      <c r="A28" s="30" t="s">
        <v>90</v>
      </c>
      <c r="B28" s="39" t="s">
        <v>91</v>
      </c>
      <c r="C28" s="19" t="s">
        <v>92</v>
      </c>
      <c r="D28" s="19" t="s">
        <v>82</v>
      </c>
      <c r="E28" s="52">
        <v>27723</v>
      </c>
      <c r="F28" s="93">
        <v>698.27</v>
      </c>
      <c r="G28" s="97">
        <v>1.9300000000000001E-2</v>
      </c>
      <c r="H28" s="98"/>
    </row>
    <row r="29" spans="1:8" x14ac:dyDescent="0.25">
      <c r="A29" s="30" t="s">
        <v>93</v>
      </c>
      <c r="B29" s="39" t="s">
        <v>94</v>
      </c>
      <c r="C29" s="19" t="s">
        <v>95</v>
      </c>
      <c r="D29" s="19" t="s">
        <v>58</v>
      </c>
      <c r="E29" s="52">
        <v>33820</v>
      </c>
      <c r="F29" s="93">
        <v>698.1</v>
      </c>
      <c r="G29" s="97">
        <v>1.9300000000000001E-2</v>
      </c>
      <c r="H29" s="98"/>
    </row>
    <row r="30" spans="1:8" ht="24" x14ac:dyDescent="0.25">
      <c r="A30" s="30" t="s">
        <v>96</v>
      </c>
      <c r="B30" s="39" t="s">
        <v>97</v>
      </c>
      <c r="C30" s="19" t="s">
        <v>98</v>
      </c>
      <c r="D30" s="19" t="s">
        <v>99</v>
      </c>
      <c r="E30" s="52">
        <v>116134</v>
      </c>
      <c r="F30" s="93">
        <v>676.95</v>
      </c>
      <c r="G30" s="97">
        <v>1.8700000000000001E-2</v>
      </c>
      <c r="H30" s="98"/>
    </row>
    <row r="31" spans="1:8" ht="24" x14ac:dyDescent="0.25">
      <c r="A31" s="30" t="s">
        <v>100</v>
      </c>
      <c r="B31" s="39" t="s">
        <v>101</v>
      </c>
      <c r="C31" s="19" t="s">
        <v>102</v>
      </c>
      <c r="D31" s="19" t="s">
        <v>86</v>
      </c>
      <c r="E31" s="52">
        <v>52630</v>
      </c>
      <c r="F31" s="93">
        <v>669.69</v>
      </c>
      <c r="G31" s="97">
        <v>1.8499999999999999E-2</v>
      </c>
      <c r="H31" s="98"/>
    </row>
    <row r="32" spans="1:8" x14ac:dyDescent="0.25">
      <c r="A32" s="30" t="s">
        <v>103</v>
      </c>
      <c r="B32" s="39" t="s">
        <v>104</v>
      </c>
      <c r="C32" s="19" t="s">
        <v>105</v>
      </c>
      <c r="D32" s="19" t="s">
        <v>106</v>
      </c>
      <c r="E32" s="52">
        <v>174130</v>
      </c>
      <c r="F32" s="93">
        <v>626.87</v>
      </c>
      <c r="G32" s="97">
        <v>1.7299999999999999E-2</v>
      </c>
      <c r="H32" s="98"/>
    </row>
    <row r="33" spans="1:8" x14ac:dyDescent="0.25">
      <c r="A33" s="30" t="s">
        <v>107</v>
      </c>
      <c r="B33" s="39" t="s">
        <v>108</v>
      </c>
      <c r="C33" s="19" t="s">
        <v>109</v>
      </c>
      <c r="D33" s="19" t="s">
        <v>19</v>
      </c>
      <c r="E33" s="52">
        <v>17535</v>
      </c>
      <c r="F33" s="93">
        <v>603.65</v>
      </c>
      <c r="G33" s="97">
        <v>1.67E-2</v>
      </c>
      <c r="H33" s="98"/>
    </row>
    <row r="34" spans="1:8" x14ac:dyDescent="0.25">
      <c r="A34" s="30" t="s">
        <v>110</v>
      </c>
      <c r="B34" s="39" t="s">
        <v>111</v>
      </c>
      <c r="C34" s="19" t="s">
        <v>112</v>
      </c>
      <c r="D34" s="19" t="s">
        <v>38</v>
      </c>
      <c r="E34" s="52">
        <v>104380</v>
      </c>
      <c r="F34" s="93">
        <v>596.53</v>
      </c>
      <c r="G34" s="97">
        <v>1.6500000000000001E-2</v>
      </c>
      <c r="H34" s="98"/>
    </row>
    <row r="35" spans="1:8" ht="24" x14ac:dyDescent="0.25">
      <c r="A35" s="30" t="s">
        <v>113</v>
      </c>
      <c r="B35" s="39" t="s">
        <v>114</v>
      </c>
      <c r="C35" s="19" t="s">
        <v>115</v>
      </c>
      <c r="D35" s="19" t="s">
        <v>68</v>
      </c>
      <c r="E35" s="52">
        <v>159435</v>
      </c>
      <c r="F35" s="93">
        <v>560.73</v>
      </c>
      <c r="G35" s="97">
        <v>1.55E-2</v>
      </c>
      <c r="H35" s="98"/>
    </row>
    <row r="36" spans="1:8" x14ac:dyDescent="0.25">
      <c r="A36" s="30" t="s">
        <v>116</v>
      </c>
      <c r="B36" s="39" t="s">
        <v>117</v>
      </c>
      <c r="C36" s="19" t="s">
        <v>118</v>
      </c>
      <c r="D36" s="19" t="s">
        <v>119</v>
      </c>
      <c r="E36" s="52">
        <v>60151</v>
      </c>
      <c r="F36" s="93">
        <v>546.77</v>
      </c>
      <c r="G36" s="97">
        <v>1.5100000000000001E-2</v>
      </c>
      <c r="H36" s="98"/>
    </row>
    <row r="37" spans="1:8" x14ac:dyDescent="0.25">
      <c r="A37" s="30" t="s">
        <v>120</v>
      </c>
      <c r="B37" s="39" t="s">
        <v>121</v>
      </c>
      <c r="C37" s="19" t="s">
        <v>122</v>
      </c>
      <c r="D37" s="19" t="s">
        <v>123</v>
      </c>
      <c r="E37" s="52">
        <v>256918</v>
      </c>
      <c r="F37" s="93">
        <v>500.22</v>
      </c>
      <c r="G37" s="97">
        <v>1.38E-2</v>
      </c>
      <c r="H37" s="98"/>
    </row>
    <row r="38" spans="1:8" x14ac:dyDescent="0.25">
      <c r="A38" s="30" t="s">
        <v>124</v>
      </c>
      <c r="B38" s="39" t="s">
        <v>125</v>
      </c>
      <c r="C38" s="19" t="s">
        <v>126</v>
      </c>
      <c r="D38" s="19" t="s">
        <v>62</v>
      </c>
      <c r="E38" s="52">
        <v>16476</v>
      </c>
      <c r="F38" s="93">
        <v>494.01</v>
      </c>
      <c r="G38" s="97">
        <v>1.3599999999999999E-2</v>
      </c>
      <c r="H38" s="98"/>
    </row>
    <row r="39" spans="1:8" x14ac:dyDescent="0.25">
      <c r="A39" s="30" t="s">
        <v>127</v>
      </c>
      <c r="B39" s="39" t="s">
        <v>128</v>
      </c>
      <c r="C39" s="19" t="s">
        <v>129</v>
      </c>
      <c r="D39" s="19" t="s">
        <v>130</v>
      </c>
      <c r="E39" s="52">
        <v>1190</v>
      </c>
      <c r="F39" s="93">
        <v>476.05</v>
      </c>
      <c r="G39" s="97">
        <v>1.32E-2</v>
      </c>
      <c r="H39" s="98"/>
    </row>
    <row r="40" spans="1:8" ht="24" x14ac:dyDescent="0.25">
      <c r="A40" s="30" t="s">
        <v>131</v>
      </c>
      <c r="B40" s="39" t="s">
        <v>132</v>
      </c>
      <c r="C40" s="19" t="s">
        <v>133</v>
      </c>
      <c r="D40" s="19" t="s">
        <v>68</v>
      </c>
      <c r="E40" s="52">
        <v>20589</v>
      </c>
      <c r="F40" s="93">
        <v>461.54</v>
      </c>
      <c r="G40" s="97">
        <v>1.2699999999999999E-2</v>
      </c>
      <c r="H40" s="98"/>
    </row>
    <row r="41" spans="1:8" x14ac:dyDescent="0.25">
      <c r="A41" s="30" t="s">
        <v>134</v>
      </c>
      <c r="B41" s="39" t="s">
        <v>135</v>
      </c>
      <c r="C41" s="19" t="s">
        <v>136</v>
      </c>
      <c r="D41" s="19" t="s">
        <v>46</v>
      </c>
      <c r="E41" s="52">
        <v>83699</v>
      </c>
      <c r="F41" s="93">
        <v>444.11</v>
      </c>
      <c r="G41" s="97">
        <v>1.23E-2</v>
      </c>
      <c r="H41" s="98"/>
    </row>
    <row r="42" spans="1:8" x14ac:dyDescent="0.25">
      <c r="A42" s="30" t="s">
        <v>137</v>
      </c>
      <c r="B42" s="39" t="s">
        <v>138</v>
      </c>
      <c r="C42" s="19" t="s">
        <v>139</v>
      </c>
      <c r="D42" s="19" t="s">
        <v>140</v>
      </c>
      <c r="E42" s="52">
        <v>12358</v>
      </c>
      <c r="F42" s="93">
        <v>443.85</v>
      </c>
      <c r="G42" s="97">
        <v>1.23E-2</v>
      </c>
      <c r="H42" s="98"/>
    </row>
    <row r="43" spans="1:8" ht="24" x14ac:dyDescent="0.25">
      <c r="A43" s="30" t="s">
        <v>141</v>
      </c>
      <c r="B43" s="39" t="s">
        <v>142</v>
      </c>
      <c r="C43" s="19" t="s">
        <v>143</v>
      </c>
      <c r="D43" s="19" t="s">
        <v>119</v>
      </c>
      <c r="E43" s="52">
        <v>23321</v>
      </c>
      <c r="F43" s="93">
        <v>439.29</v>
      </c>
      <c r="G43" s="97">
        <v>1.21E-2</v>
      </c>
      <c r="H43" s="98"/>
    </row>
    <row r="44" spans="1:8" ht="24" x14ac:dyDescent="0.25">
      <c r="A44" s="30" t="s">
        <v>144</v>
      </c>
      <c r="B44" s="39" t="s">
        <v>145</v>
      </c>
      <c r="C44" s="19" t="s">
        <v>146</v>
      </c>
      <c r="D44" s="19" t="s">
        <v>147</v>
      </c>
      <c r="E44" s="52">
        <v>86974</v>
      </c>
      <c r="F44" s="93">
        <v>437.7</v>
      </c>
      <c r="G44" s="97">
        <v>1.21E-2</v>
      </c>
      <c r="H44" s="98"/>
    </row>
    <row r="45" spans="1:8" ht="24" x14ac:dyDescent="0.25">
      <c r="A45" s="30" t="s">
        <v>148</v>
      </c>
      <c r="B45" s="39" t="s">
        <v>149</v>
      </c>
      <c r="C45" s="19" t="s">
        <v>150</v>
      </c>
      <c r="D45" s="19" t="s">
        <v>38</v>
      </c>
      <c r="E45" s="52">
        <v>25979</v>
      </c>
      <c r="F45" s="93">
        <v>428.51</v>
      </c>
      <c r="G45" s="97">
        <v>1.18E-2</v>
      </c>
      <c r="H45" s="98"/>
    </row>
    <row r="46" spans="1:8" x14ac:dyDescent="0.25">
      <c r="A46" s="30" t="s">
        <v>151</v>
      </c>
      <c r="B46" s="39" t="s">
        <v>152</v>
      </c>
      <c r="C46" s="19" t="s">
        <v>153</v>
      </c>
      <c r="D46" s="19" t="s">
        <v>54</v>
      </c>
      <c r="E46" s="52">
        <v>13749</v>
      </c>
      <c r="F46" s="93">
        <v>424.62</v>
      </c>
      <c r="G46" s="97">
        <v>1.17E-2</v>
      </c>
      <c r="H46" s="98"/>
    </row>
    <row r="47" spans="1:8" x14ac:dyDescent="0.25">
      <c r="A47" s="30" t="s">
        <v>154</v>
      </c>
      <c r="B47" s="39" t="s">
        <v>155</v>
      </c>
      <c r="C47" s="19" t="s">
        <v>156</v>
      </c>
      <c r="D47" s="19" t="s">
        <v>46</v>
      </c>
      <c r="E47" s="52">
        <v>66075</v>
      </c>
      <c r="F47" s="93">
        <v>409.14</v>
      </c>
      <c r="G47" s="97">
        <v>1.1299999999999999E-2</v>
      </c>
      <c r="H47" s="98"/>
    </row>
    <row r="48" spans="1:8" x14ac:dyDescent="0.25">
      <c r="A48" s="30" t="s">
        <v>157</v>
      </c>
      <c r="B48" s="39" t="s">
        <v>158</v>
      </c>
      <c r="C48" s="19" t="s">
        <v>159</v>
      </c>
      <c r="D48" s="19" t="s">
        <v>46</v>
      </c>
      <c r="E48" s="52">
        <v>46964</v>
      </c>
      <c r="F48" s="93">
        <v>404.83</v>
      </c>
      <c r="G48" s="97">
        <v>1.12E-2</v>
      </c>
      <c r="H48" s="98"/>
    </row>
    <row r="49" spans="1:8" ht="24" x14ac:dyDescent="0.25">
      <c r="A49" s="30" t="s">
        <v>160</v>
      </c>
      <c r="B49" s="39" t="s">
        <v>161</v>
      </c>
      <c r="C49" s="19" t="s">
        <v>162</v>
      </c>
      <c r="D49" s="19" t="s">
        <v>163</v>
      </c>
      <c r="E49" s="52">
        <v>78586</v>
      </c>
      <c r="F49" s="93">
        <v>403.46</v>
      </c>
      <c r="G49" s="97">
        <v>1.11E-2</v>
      </c>
      <c r="H49" s="98"/>
    </row>
    <row r="50" spans="1:8" ht="24" x14ac:dyDescent="0.25">
      <c r="A50" s="30" t="s">
        <v>164</v>
      </c>
      <c r="B50" s="39" t="s">
        <v>165</v>
      </c>
      <c r="C50" s="19" t="s">
        <v>166</v>
      </c>
      <c r="D50" s="19" t="s">
        <v>167</v>
      </c>
      <c r="E50" s="52">
        <v>25017</v>
      </c>
      <c r="F50" s="93">
        <v>370.95</v>
      </c>
      <c r="G50" s="97">
        <v>1.0200000000000001E-2</v>
      </c>
      <c r="H50" s="98"/>
    </row>
    <row r="51" spans="1:8" ht="24" x14ac:dyDescent="0.25">
      <c r="A51" s="30" t="s">
        <v>168</v>
      </c>
      <c r="B51" s="39" t="s">
        <v>169</v>
      </c>
      <c r="C51" s="19" t="s">
        <v>170</v>
      </c>
      <c r="D51" s="19" t="s">
        <v>58</v>
      </c>
      <c r="E51" s="52">
        <v>54466</v>
      </c>
      <c r="F51" s="93">
        <v>364.89</v>
      </c>
      <c r="G51" s="97">
        <v>1.01E-2</v>
      </c>
      <c r="H51" s="98"/>
    </row>
    <row r="52" spans="1:8" x14ac:dyDescent="0.25">
      <c r="A52" s="30" t="s">
        <v>171</v>
      </c>
      <c r="B52" s="39" t="s">
        <v>172</v>
      </c>
      <c r="C52" s="19" t="s">
        <v>173</v>
      </c>
      <c r="D52" s="19" t="s">
        <v>174</v>
      </c>
      <c r="E52" s="52">
        <v>1439</v>
      </c>
      <c r="F52" s="93">
        <v>354.08</v>
      </c>
      <c r="G52" s="97">
        <v>9.7999999999999997E-3</v>
      </c>
      <c r="H52" s="98"/>
    </row>
    <row r="53" spans="1:8" x14ac:dyDescent="0.25">
      <c r="A53" s="30" t="s">
        <v>175</v>
      </c>
      <c r="B53" s="39" t="s">
        <v>176</v>
      </c>
      <c r="C53" s="19" t="s">
        <v>177</v>
      </c>
      <c r="D53" s="19" t="s">
        <v>178</v>
      </c>
      <c r="E53" s="52">
        <v>30998</v>
      </c>
      <c r="F53" s="93">
        <v>350.15</v>
      </c>
      <c r="G53" s="97">
        <v>9.7000000000000003E-3</v>
      </c>
      <c r="H53" s="98"/>
    </row>
    <row r="54" spans="1:8" x14ac:dyDescent="0.25">
      <c r="A54" s="30" t="s">
        <v>179</v>
      </c>
      <c r="B54" s="39" t="s">
        <v>180</v>
      </c>
      <c r="C54" s="19" t="s">
        <v>181</v>
      </c>
      <c r="D54" s="19" t="s">
        <v>31</v>
      </c>
      <c r="E54" s="52">
        <v>8843</v>
      </c>
      <c r="F54" s="93">
        <v>341.39</v>
      </c>
      <c r="G54" s="97">
        <v>9.4000000000000004E-3</v>
      </c>
      <c r="H54" s="98"/>
    </row>
    <row r="55" spans="1:8" x14ac:dyDescent="0.25">
      <c r="A55" s="30" t="s">
        <v>182</v>
      </c>
      <c r="B55" s="39" t="s">
        <v>183</v>
      </c>
      <c r="C55" s="19" t="s">
        <v>184</v>
      </c>
      <c r="D55" s="19" t="s">
        <v>185</v>
      </c>
      <c r="E55" s="52">
        <v>77039</v>
      </c>
      <c r="F55" s="93">
        <v>300.88</v>
      </c>
      <c r="G55" s="97">
        <v>8.3000000000000001E-3</v>
      </c>
      <c r="H55" s="98"/>
    </row>
    <row r="56" spans="1:8" x14ac:dyDescent="0.25">
      <c r="A56" s="30" t="s">
        <v>186</v>
      </c>
      <c r="B56" s="39" t="s">
        <v>187</v>
      </c>
      <c r="C56" s="19" t="s">
        <v>188</v>
      </c>
      <c r="D56" s="19" t="s">
        <v>189</v>
      </c>
      <c r="E56" s="52">
        <v>120615</v>
      </c>
      <c r="F56" s="93">
        <v>275.91000000000003</v>
      </c>
      <c r="G56" s="97">
        <v>7.6E-3</v>
      </c>
      <c r="H56" s="98"/>
    </row>
    <row r="57" spans="1:8" ht="24" x14ac:dyDescent="0.25">
      <c r="A57" s="30" t="s">
        <v>190</v>
      </c>
      <c r="B57" s="39" t="s">
        <v>191</v>
      </c>
      <c r="C57" s="19" t="s">
        <v>192</v>
      </c>
      <c r="D57" s="19" t="s">
        <v>58</v>
      </c>
      <c r="E57" s="52">
        <v>12702</v>
      </c>
      <c r="F57" s="93">
        <v>246.65</v>
      </c>
      <c r="G57" s="97">
        <v>6.7999999999999996E-3</v>
      </c>
      <c r="H57" s="98"/>
    </row>
    <row r="58" spans="1:8" x14ac:dyDescent="0.25">
      <c r="A58" s="30" t="s">
        <v>193</v>
      </c>
      <c r="B58" s="39" t="s">
        <v>194</v>
      </c>
      <c r="C58" s="19" t="s">
        <v>195</v>
      </c>
      <c r="D58" s="19" t="s">
        <v>46</v>
      </c>
      <c r="E58" s="52">
        <v>16719</v>
      </c>
      <c r="F58" s="93">
        <v>237.64</v>
      </c>
      <c r="G58" s="97">
        <v>6.6E-3</v>
      </c>
      <c r="H58" s="98"/>
    </row>
    <row r="59" spans="1:8" ht="24" x14ac:dyDescent="0.25">
      <c r="A59" s="30" t="s">
        <v>196</v>
      </c>
      <c r="B59" s="39" t="s">
        <v>197</v>
      </c>
      <c r="C59" s="19" t="s">
        <v>198</v>
      </c>
      <c r="D59" s="19" t="s">
        <v>199</v>
      </c>
      <c r="E59" s="52">
        <v>43418</v>
      </c>
      <c r="F59" s="93">
        <v>230.31</v>
      </c>
      <c r="G59" s="97">
        <v>6.4000000000000003E-3</v>
      </c>
      <c r="H59" s="98"/>
    </row>
    <row r="60" spans="1:8" ht="24" x14ac:dyDescent="0.25">
      <c r="A60" s="30" t="s">
        <v>200</v>
      </c>
      <c r="B60" s="39" t="s">
        <v>201</v>
      </c>
      <c r="C60" s="19" t="s">
        <v>202</v>
      </c>
      <c r="D60" s="19" t="s">
        <v>203</v>
      </c>
      <c r="E60" s="52">
        <v>26183</v>
      </c>
      <c r="F60" s="93">
        <v>226.54</v>
      </c>
      <c r="G60" s="97">
        <v>6.3E-3</v>
      </c>
      <c r="H60" s="98"/>
    </row>
    <row r="61" spans="1:8" ht="24" x14ac:dyDescent="0.25">
      <c r="A61" s="30" t="s">
        <v>204</v>
      </c>
      <c r="B61" s="39" t="s">
        <v>205</v>
      </c>
      <c r="C61" s="19" t="s">
        <v>206</v>
      </c>
      <c r="D61" s="19" t="s">
        <v>31</v>
      </c>
      <c r="E61" s="52">
        <v>16447</v>
      </c>
      <c r="F61" s="93">
        <v>216.8</v>
      </c>
      <c r="G61" s="97">
        <v>6.0000000000000001E-3</v>
      </c>
      <c r="H61" s="98"/>
    </row>
    <row r="62" spans="1:8" x14ac:dyDescent="0.25">
      <c r="A62" s="30" t="s">
        <v>207</v>
      </c>
      <c r="B62" s="39" t="s">
        <v>208</v>
      </c>
      <c r="C62" s="19" t="s">
        <v>209</v>
      </c>
      <c r="D62" s="19" t="s">
        <v>27</v>
      </c>
      <c r="E62" s="52">
        <v>2649</v>
      </c>
      <c r="F62" s="93">
        <v>184.84</v>
      </c>
      <c r="G62" s="97">
        <v>5.1000000000000004E-3</v>
      </c>
      <c r="H62" s="98"/>
    </row>
    <row r="63" spans="1:8" x14ac:dyDescent="0.25">
      <c r="A63" s="30" t="s">
        <v>210</v>
      </c>
      <c r="B63" s="39" t="s">
        <v>211</v>
      </c>
      <c r="C63" s="19" t="s">
        <v>212</v>
      </c>
      <c r="D63" s="19" t="s">
        <v>62</v>
      </c>
      <c r="E63" s="52">
        <v>3136</v>
      </c>
      <c r="F63" s="93">
        <v>153.13</v>
      </c>
      <c r="G63" s="97">
        <v>4.1999999999999997E-3</v>
      </c>
      <c r="H63" s="98"/>
    </row>
    <row r="64" spans="1:8" ht="24" x14ac:dyDescent="0.25">
      <c r="A64" s="30" t="s">
        <v>213</v>
      </c>
      <c r="B64" s="39" t="s">
        <v>214</v>
      </c>
      <c r="C64" s="19" t="s">
        <v>215</v>
      </c>
      <c r="D64" s="19" t="s">
        <v>86</v>
      </c>
      <c r="E64" s="52">
        <v>140084</v>
      </c>
      <c r="F64" s="93">
        <v>144.91999999999999</v>
      </c>
      <c r="G64" s="97">
        <v>4.0000000000000001E-3</v>
      </c>
      <c r="H64" s="98"/>
    </row>
    <row r="65" spans="1:8" x14ac:dyDescent="0.25">
      <c r="A65" s="18"/>
      <c r="B65" s="38" t="s">
        <v>6</v>
      </c>
      <c r="C65" s="19"/>
      <c r="D65" s="19"/>
      <c r="E65" s="23"/>
      <c r="F65" s="35">
        <f>SUM(F8:F64)</f>
        <v>35274.829999999994</v>
      </c>
      <c r="G65" s="33">
        <f>SUM(G8:G64)</f>
        <v>0.97460000000000002</v>
      </c>
      <c r="H65" s="57"/>
    </row>
    <row r="66" spans="1:8" x14ac:dyDescent="0.25">
      <c r="A66" s="32"/>
      <c r="B66" s="41" t="s">
        <v>216</v>
      </c>
      <c r="C66" s="21"/>
      <c r="D66" s="21"/>
      <c r="E66" s="24"/>
      <c r="F66" s="36"/>
      <c r="G66" s="34"/>
      <c r="H66" s="40"/>
    </row>
    <row r="67" spans="1:8" x14ac:dyDescent="0.25">
      <c r="A67" s="30" t="s">
        <v>217</v>
      </c>
      <c r="B67" s="53" t="s">
        <v>218</v>
      </c>
      <c r="C67" s="21"/>
      <c r="D67" s="21" t="s">
        <v>219</v>
      </c>
      <c r="E67" s="56">
        <v>22732</v>
      </c>
      <c r="F67" s="54">
        <v>68.59</v>
      </c>
      <c r="G67" s="58">
        <v>1.9E-3</v>
      </c>
      <c r="H67" s="55"/>
    </row>
    <row r="68" spans="1:8" x14ac:dyDescent="0.25">
      <c r="A68" s="32"/>
      <c r="B68" s="41" t="s">
        <v>6</v>
      </c>
      <c r="C68" s="22"/>
      <c r="D68" s="21"/>
      <c r="E68" s="25"/>
      <c r="F68" s="35">
        <f>SUM(F67)</f>
        <v>68.59</v>
      </c>
      <c r="G68" s="33">
        <f>SUM(G67)</f>
        <v>1.9E-3</v>
      </c>
      <c r="H68" s="40"/>
    </row>
    <row r="69" spans="1:8" x14ac:dyDescent="0.25">
      <c r="A69" s="17"/>
      <c r="B69" s="42" t="s">
        <v>7</v>
      </c>
      <c r="C69" s="2"/>
      <c r="D69" s="2"/>
      <c r="E69" s="26"/>
      <c r="F69" s="99">
        <f>F68+F65</f>
        <v>35343.419999999991</v>
      </c>
      <c r="G69" s="100">
        <f>G68+G65</f>
        <v>0.97650000000000003</v>
      </c>
      <c r="H69" s="101"/>
    </row>
    <row r="70" spans="1:8" x14ac:dyDescent="0.25">
      <c r="A70" s="30"/>
      <c r="B70" s="42" t="s">
        <v>8</v>
      </c>
      <c r="C70" s="2"/>
      <c r="D70" s="2"/>
      <c r="E70" s="26"/>
      <c r="F70" s="102"/>
      <c r="G70" s="103"/>
      <c r="H70" s="101"/>
    </row>
    <row r="71" spans="1:8" s="16" customFormat="1" x14ac:dyDescent="0.25">
      <c r="A71" s="30" t="s">
        <v>12</v>
      </c>
      <c r="B71" s="43" t="s">
        <v>291</v>
      </c>
      <c r="C71" s="2"/>
      <c r="D71" s="2"/>
      <c r="E71" s="27"/>
      <c r="F71" s="3">
        <v>864.61</v>
      </c>
      <c r="G71" s="4">
        <v>2.3900000000000001E-2</v>
      </c>
      <c r="H71" s="104">
        <v>6.0192178373002336E-2</v>
      </c>
    </row>
    <row r="72" spans="1:8" x14ac:dyDescent="0.25">
      <c r="A72" s="20"/>
      <c r="B72" s="42" t="s">
        <v>6</v>
      </c>
      <c r="C72" s="2"/>
      <c r="D72" s="2"/>
      <c r="E72" s="26"/>
      <c r="F72" s="5">
        <f>F71</f>
        <v>864.61</v>
      </c>
      <c r="G72" s="6">
        <f>G71</f>
        <v>2.3900000000000001E-2</v>
      </c>
      <c r="H72" s="44"/>
    </row>
    <row r="73" spans="1:8" x14ac:dyDescent="0.25">
      <c r="A73" s="20"/>
      <c r="B73" s="45" t="s">
        <v>7</v>
      </c>
      <c r="C73" s="7"/>
      <c r="D73" s="8"/>
      <c r="E73" s="28"/>
      <c r="F73" s="5">
        <f>F72</f>
        <v>864.61</v>
      </c>
      <c r="G73" s="6">
        <f>G72</f>
        <v>2.3900000000000001E-2</v>
      </c>
      <c r="H73" s="44"/>
    </row>
    <row r="74" spans="1:8" x14ac:dyDescent="0.25">
      <c r="A74" s="20"/>
      <c r="B74" s="45" t="s">
        <v>9</v>
      </c>
      <c r="C74" s="2"/>
      <c r="D74" s="8"/>
      <c r="E74" s="26"/>
      <c r="F74" s="9">
        <v>-7.29</v>
      </c>
      <c r="G74" s="6">
        <v>-4.0000000000000002E-4</v>
      </c>
      <c r="H74" s="44"/>
    </row>
    <row r="75" spans="1:8" ht="15.75" thickBot="1" x14ac:dyDescent="0.3">
      <c r="A75" s="20"/>
      <c r="B75" s="46" t="s">
        <v>10</v>
      </c>
      <c r="C75" s="47"/>
      <c r="D75" s="47"/>
      <c r="E75" s="48"/>
      <c r="F75" s="49">
        <f>+F74+F73+F69</f>
        <v>36200.739999999991</v>
      </c>
      <c r="G75" s="59">
        <f>+G74+G73+G69</f>
        <v>1</v>
      </c>
      <c r="H75" s="50"/>
    </row>
    <row r="76" spans="1:8" x14ac:dyDescent="0.25">
      <c r="A76" s="20"/>
      <c r="B76" s="79"/>
      <c r="C76" s="80"/>
      <c r="D76" s="80"/>
      <c r="E76" s="81"/>
      <c r="F76" s="82"/>
      <c r="G76" s="83"/>
      <c r="H76" s="84"/>
    </row>
    <row r="77" spans="1:8" x14ac:dyDescent="0.25">
      <c r="A77" s="20"/>
      <c r="B77" s="79" t="s">
        <v>293</v>
      </c>
      <c r="C77" s="80"/>
      <c r="D77" s="80"/>
      <c r="E77" s="81"/>
      <c r="F77" s="82"/>
      <c r="G77" s="83"/>
      <c r="H77" s="84"/>
    </row>
    <row r="78" spans="1:8" x14ac:dyDescent="0.25">
      <c r="A78" s="20"/>
      <c r="B78" s="79" t="s">
        <v>287</v>
      </c>
      <c r="C78" s="80"/>
      <c r="D78" s="80"/>
      <c r="E78" s="81"/>
      <c r="F78" s="82"/>
      <c r="G78" s="83"/>
      <c r="H78" s="84"/>
    </row>
    <row r="79" spans="1:8" x14ac:dyDescent="0.25">
      <c r="A79" s="20"/>
      <c r="B79" s="79" t="s">
        <v>286</v>
      </c>
      <c r="C79" s="80"/>
      <c r="D79" s="80"/>
      <c r="E79" s="81"/>
      <c r="F79" s="82"/>
      <c r="G79" s="83"/>
      <c r="H79" s="84"/>
    </row>
    <row r="80" spans="1:8" x14ac:dyDescent="0.25">
      <c r="A80" s="17"/>
      <c r="B80" s="10"/>
      <c r="C80" s="11"/>
      <c r="D80" s="11"/>
      <c r="E80" s="29"/>
      <c r="F80" s="12"/>
      <c r="G80" s="13"/>
      <c r="H80" s="14"/>
    </row>
    <row r="81" spans="1:8" x14ac:dyDescent="0.25">
      <c r="A81" s="17"/>
      <c r="B81" s="63" t="s">
        <v>220</v>
      </c>
      <c r="C81" s="11"/>
      <c r="D81" s="11"/>
      <c r="E81" s="29"/>
      <c r="F81" s="12"/>
      <c r="G81" s="13"/>
      <c r="H81" s="14"/>
    </row>
    <row r="82" spans="1:8" x14ac:dyDescent="0.25">
      <c r="A82" s="17"/>
      <c r="B82" s="10"/>
      <c r="C82" s="11"/>
      <c r="D82" s="11"/>
      <c r="E82" s="29"/>
      <c r="F82" s="12"/>
      <c r="G82" s="13"/>
      <c r="H82" s="14"/>
    </row>
    <row r="83" spans="1:8" s="69" customFormat="1" x14ac:dyDescent="0.25">
      <c r="A83" s="75"/>
      <c r="B83" s="126" t="s">
        <v>221</v>
      </c>
      <c r="C83" s="126"/>
      <c r="D83" s="126"/>
      <c r="E83" s="126"/>
      <c r="F83" s="126"/>
      <c r="G83" s="126"/>
      <c r="H83" s="76"/>
    </row>
    <row r="84" spans="1:8" s="69" customFormat="1" x14ac:dyDescent="0.25">
      <c r="A84" s="75"/>
      <c r="B84" s="126" t="s">
        <v>222</v>
      </c>
      <c r="C84" s="126"/>
      <c r="D84" s="126"/>
      <c r="E84" s="126"/>
      <c r="F84" s="105"/>
      <c r="G84" s="106"/>
      <c r="H84" s="76"/>
    </row>
    <row r="85" spans="1:8" x14ac:dyDescent="0.25">
      <c r="A85" s="17"/>
      <c r="B85" s="127" t="s">
        <v>223</v>
      </c>
      <c r="C85" s="127"/>
      <c r="D85" s="127"/>
      <c r="E85" s="127"/>
      <c r="F85" s="107"/>
      <c r="G85" s="108"/>
      <c r="H85" s="14"/>
    </row>
    <row r="86" spans="1:8" x14ac:dyDescent="0.25">
      <c r="A86" s="17"/>
      <c r="B86" s="86"/>
      <c r="C86" s="107"/>
      <c r="D86" s="107"/>
      <c r="E86" s="107"/>
      <c r="F86" s="107"/>
      <c r="G86" s="108"/>
      <c r="H86" s="14"/>
    </row>
    <row r="87" spans="1:8" ht="36" x14ac:dyDescent="0.25">
      <c r="A87" s="17"/>
      <c r="B87" s="64" t="s">
        <v>224</v>
      </c>
      <c r="C87" s="65" t="s">
        <v>225</v>
      </c>
      <c r="D87" s="65" t="s">
        <v>294</v>
      </c>
      <c r="E87" s="86"/>
      <c r="F87" s="66"/>
      <c r="G87" s="108"/>
      <c r="H87" s="14"/>
    </row>
    <row r="88" spans="1:8" x14ac:dyDescent="0.25">
      <c r="A88" s="17"/>
      <c r="B88" s="71" t="s">
        <v>226</v>
      </c>
      <c r="C88" s="67">
        <v>9.9849999999999994</v>
      </c>
      <c r="D88" s="67" t="s">
        <v>227</v>
      </c>
      <c r="E88" s="109"/>
      <c r="F88" s="107"/>
      <c r="G88" s="110"/>
      <c r="H88" s="14"/>
    </row>
    <row r="89" spans="1:8" x14ac:dyDescent="0.25">
      <c r="A89" s="17"/>
      <c r="B89" s="72" t="s">
        <v>228</v>
      </c>
      <c r="C89" s="67">
        <v>9.9849999999999994</v>
      </c>
      <c r="D89" s="67" t="s">
        <v>227</v>
      </c>
      <c r="E89" s="86"/>
      <c r="F89" s="107"/>
      <c r="G89" s="110"/>
      <c r="H89" s="14"/>
    </row>
    <row r="90" spans="1:8" x14ac:dyDescent="0.25">
      <c r="A90" s="17"/>
      <c r="B90" s="71" t="s">
        <v>229</v>
      </c>
      <c r="C90" s="67">
        <v>9.9749999999999996</v>
      </c>
      <c r="D90" s="67" t="s">
        <v>227</v>
      </c>
      <c r="E90" s="86"/>
      <c r="F90" s="107"/>
      <c r="G90" s="107"/>
      <c r="H90" s="14"/>
    </row>
    <row r="91" spans="1:8" x14ac:dyDescent="0.25">
      <c r="A91" s="17"/>
      <c r="B91" s="71" t="s">
        <v>230</v>
      </c>
      <c r="C91" s="67">
        <v>9.9749999999999996</v>
      </c>
      <c r="D91" s="67" t="s">
        <v>227</v>
      </c>
      <c r="E91" s="109"/>
      <c r="F91" s="107"/>
      <c r="G91" s="107"/>
      <c r="H91" s="14"/>
    </row>
    <row r="92" spans="1:8" x14ac:dyDescent="0.25">
      <c r="A92" s="17"/>
      <c r="B92" s="129" t="s">
        <v>296</v>
      </c>
      <c r="C92" s="129"/>
      <c r="D92" s="129"/>
      <c r="E92" s="129"/>
      <c r="F92" s="129"/>
      <c r="G92" s="107"/>
      <c r="H92" s="14"/>
    </row>
    <row r="93" spans="1:8" x14ac:dyDescent="0.25">
      <c r="A93" s="17"/>
      <c r="B93" s="86"/>
      <c r="C93" s="107"/>
      <c r="D93" s="107"/>
      <c r="E93" s="107"/>
      <c r="F93" s="107"/>
      <c r="G93" s="108"/>
      <c r="H93" s="111"/>
    </row>
    <row r="94" spans="1:8" s="69" customFormat="1" x14ac:dyDescent="0.25">
      <c r="A94" s="73"/>
      <c r="B94" s="74" t="s">
        <v>231</v>
      </c>
      <c r="C94" s="105"/>
      <c r="D94" s="105"/>
      <c r="E94" s="105"/>
      <c r="F94" s="105"/>
      <c r="G94" s="106"/>
      <c r="H94" s="105"/>
    </row>
    <row r="95" spans="1:8" x14ac:dyDescent="0.25">
      <c r="B95" s="126" t="s">
        <v>232</v>
      </c>
      <c r="C95" s="126"/>
      <c r="D95" s="126"/>
      <c r="E95" s="85"/>
      <c r="F95" s="105"/>
      <c r="G95" s="106"/>
      <c r="H95" s="112"/>
    </row>
    <row r="96" spans="1:8" x14ac:dyDescent="0.25">
      <c r="B96" s="128" t="s">
        <v>295</v>
      </c>
      <c r="C96" s="128"/>
      <c r="D96" s="128"/>
      <c r="E96" s="85"/>
      <c r="F96" s="85"/>
      <c r="G96" s="85"/>
      <c r="H96" s="112"/>
    </row>
    <row r="97" spans="2:8" x14ac:dyDescent="0.25">
      <c r="B97" s="126" t="s">
        <v>233</v>
      </c>
      <c r="C97" s="126"/>
      <c r="D97" s="126"/>
      <c r="E97" s="85"/>
      <c r="F97" s="105"/>
      <c r="G97" s="106"/>
      <c r="H97" s="112"/>
    </row>
    <row r="98" spans="2:8" x14ac:dyDescent="0.25">
      <c r="B98" s="68" t="s">
        <v>285</v>
      </c>
      <c r="C98" s="68"/>
      <c r="D98" s="68"/>
      <c r="E98" s="85"/>
      <c r="F98" s="105"/>
      <c r="G98" s="106"/>
      <c r="H98" s="112"/>
    </row>
    <row r="99" spans="2:8" x14ac:dyDescent="0.25">
      <c r="B99" s="126" t="s">
        <v>234</v>
      </c>
      <c r="C99" s="126"/>
      <c r="D99" s="126"/>
      <c r="E99" s="85"/>
      <c r="F99" s="105"/>
      <c r="G99" s="106"/>
      <c r="H99" s="112"/>
    </row>
    <row r="100" spans="2:8" x14ac:dyDescent="0.25">
      <c r="B100" s="105"/>
      <c r="C100" s="105"/>
      <c r="D100" s="105"/>
      <c r="E100" s="105"/>
      <c r="F100" s="105"/>
      <c r="G100" s="105"/>
      <c r="H100" s="112"/>
    </row>
    <row r="101" spans="2:8" x14ac:dyDescent="0.25">
      <c r="B101" s="70" t="s">
        <v>235</v>
      </c>
      <c r="C101" s="107"/>
      <c r="D101" s="107"/>
      <c r="E101" s="107"/>
      <c r="F101" s="107"/>
      <c r="G101" s="107"/>
      <c r="H101" s="112"/>
    </row>
    <row r="102" spans="2:8" x14ac:dyDescent="0.25">
      <c r="B102" s="70" t="s">
        <v>236</v>
      </c>
      <c r="C102" s="107"/>
      <c r="D102" s="107"/>
      <c r="E102" s="107"/>
      <c r="F102" s="107"/>
      <c r="G102" s="107"/>
      <c r="H102" s="112"/>
    </row>
    <row r="103" spans="2:8" x14ac:dyDescent="0.25">
      <c r="B103" s="107"/>
      <c r="C103" s="107"/>
      <c r="D103" s="107"/>
      <c r="E103" s="107"/>
      <c r="F103" s="107"/>
      <c r="G103" s="107"/>
      <c r="H103" s="112"/>
    </row>
    <row r="104" spans="2:8" x14ac:dyDescent="0.25">
      <c r="B104" s="137" t="s">
        <v>237</v>
      </c>
      <c r="C104" s="137"/>
      <c r="D104" s="137"/>
      <c r="E104" s="137"/>
      <c r="F104" s="137"/>
      <c r="G104" s="137"/>
      <c r="H104" s="112"/>
    </row>
    <row r="105" spans="2:8" x14ac:dyDescent="0.25">
      <c r="B105" s="107"/>
      <c r="C105" s="107"/>
      <c r="D105" s="107"/>
      <c r="E105" s="107"/>
      <c r="F105" s="107"/>
      <c r="G105" s="107"/>
      <c r="H105" s="112"/>
    </row>
    <row r="106" spans="2:8" x14ac:dyDescent="0.25">
      <c r="B106" s="87" t="s">
        <v>238</v>
      </c>
      <c r="C106" s="107"/>
      <c r="D106" s="107"/>
      <c r="E106" s="107"/>
      <c r="F106" s="107"/>
      <c r="G106" s="107"/>
      <c r="H106" s="112"/>
    </row>
    <row r="107" spans="2:8" x14ac:dyDescent="0.25">
      <c r="B107" s="87"/>
      <c r="C107" s="107"/>
      <c r="D107" s="107"/>
      <c r="E107" s="107"/>
      <c r="F107" s="107"/>
      <c r="G107" s="107"/>
      <c r="H107" s="112"/>
    </row>
    <row r="108" spans="2:8" ht="36" x14ac:dyDescent="0.25">
      <c r="B108" s="113" t="s">
        <v>239</v>
      </c>
      <c r="C108" s="113" t="s">
        <v>240</v>
      </c>
      <c r="D108" s="113" t="s">
        <v>241</v>
      </c>
      <c r="E108" s="113" t="s">
        <v>242</v>
      </c>
      <c r="F108" s="113" t="s">
        <v>243</v>
      </c>
      <c r="G108" s="113" t="s">
        <v>244</v>
      </c>
      <c r="H108" s="112"/>
    </row>
    <row r="109" spans="2:8" x14ac:dyDescent="0.25">
      <c r="B109" s="133" t="s">
        <v>255</v>
      </c>
      <c r="C109" s="134"/>
      <c r="D109" s="134"/>
      <c r="E109" s="134"/>
      <c r="F109" s="134"/>
      <c r="G109" s="135"/>
      <c r="H109" s="112"/>
    </row>
    <row r="110" spans="2:8" x14ac:dyDescent="0.25">
      <c r="B110" s="107"/>
      <c r="C110" s="88"/>
      <c r="D110" s="107"/>
      <c r="E110" s="107"/>
      <c r="F110" s="107"/>
      <c r="G110" s="107"/>
      <c r="H110" s="112"/>
    </row>
    <row r="111" spans="2:8" x14ac:dyDescent="0.25">
      <c r="B111" s="89" t="s">
        <v>297</v>
      </c>
      <c r="C111" s="88"/>
      <c r="D111" s="107"/>
      <c r="E111" s="107"/>
      <c r="F111" s="107"/>
      <c r="G111" s="107"/>
      <c r="H111" s="112"/>
    </row>
    <row r="112" spans="2:8" x14ac:dyDescent="0.25">
      <c r="B112" s="89"/>
      <c r="C112" s="107"/>
      <c r="D112" s="107"/>
      <c r="E112" s="107"/>
      <c r="F112" s="107"/>
      <c r="G112" s="107"/>
      <c r="H112" s="112"/>
    </row>
    <row r="113" spans="2:8" x14ac:dyDescent="0.25">
      <c r="B113" s="138" t="s">
        <v>245</v>
      </c>
      <c r="C113" s="138"/>
      <c r="D113" s="138"/>
      <c r="E113" s="138"/>
      <c r="F113" s="138"/>
      <c r="G113" s="138"/>
      <c r="H113" s="112"/>
    </row>
    <row r="114" spans="2:8" ht="60" x14ac:dyDescent="0.25">
      <c r="B114" s="113" t="s">
        <v>239</v>
      </c>
      <c r="C114" s="113" t="s">
        <v>246</v>
      </c>
      <c r="D114" s="113" t="s">
        <v>247</v>
      </c>
      <c r="E114" s="113" t="s">
        <v>248</v>
      </c>
      <c r="F114" s="113" t="s">
        <v>249</v>
      </c>
      <c r="G114" s="113" t="s">
        <v>250</v>
      </c>
      <c r="H114" s="112"/>
    </row>
    <row r="115" spans="2:8" x14ac:dyDescent="0.25">
      <c r="B115" s="133" t="s">
        <v>255</v>
      </c>
      <c r="C115" s="134"/>
      <c r="D115" s="134"/>
      <c r="E115" s="134"/>
      <c r="F115" s="134"/>
      <c r="G115" s="135"/>
      <c r="H115" s="112"/>
    </row>
    <row r="116" spans="2:8" x14ac:dyDescent="0.25">
      <c r="B116" s="107"/>
      <c r="C116" s="107"/>
      <c r="D116" s="107"/>
      <c r="E116" s="107"/>
      <c r="F116" s="107"/>
      <c r="G116" s="107"/>
      <c r="H116" s="112"/>
    </row>
    <row r="117" spans="2:8" x14ac:dyDescent="0.25">
      <c r="B117" s="139" t="s">
        <v>251</v>
      </c>
      <c r="C117" s="139"/>
      <c r="D117" s="139"/>
      <c r="E117" s="139"/>
      <c r="F117" s="139"/>
      <c r="G117" s="139"/>
      <c r="H117" s="112"/>
    </row>
    <row r="118" spans="2:8" ht="36" x14ac:dyDescent="0.25">
      <c r="B118" s="113" t="s">
        <v>239</v>
      </c>
      <c r="C118" s="113" t="s">
        <v>240</v>
      </c>
      <c r="D118" s="113" t="s">
        <v>241</v>
      </c>
      <c r="E118" s="113" t="s">
        <v>252</v>
      </c>
      <c r="F118" s="113" t="s">
        <v>253</v>
      </c>
      <c r="G118" s="113" t="s">
        <v>254</v>
      </c>
      <c r="H118" s="112"/>
    </row>
    <row r="119" spans="2:8" x14ac:dyDescent="0.25">
      <c r="B119" s="90" t="s">
        <v>13</v>
      </c>
      <c r="C119" s="90" t="s">
        <v>273</v>
      </c>
      <c r="D119" s="90" t="s">
        <v>288</v>
      </c>
      <c r="E119" s="91">
        <v>16918.8838</v>
      </c>
      <c r="F119" s="91">
        <v>17103.2</v>
      </c>
      <c r="G119" s="123">
        <v>300</v>
      </c>
      <c r="H119" s="112"/>
    </row>
    <row r="120" spans="2:8" x14ac:dyDescent="0.25">
      <c r="B120" s="89" t="s">
        <v>289</v>
      </c>
      <c r="C120" s="107"/>
      <c r="D120" s="107"/>
      <c r="E120" s="107"/>
      <c r="F120" s="107"/>
      <c r="G120" s="107"/>
      <c r="H120" s="112"/>
    </row>
    <row r="121" spans="2:8" x14ac:dyDescent="0.25">
      <c r="B121" s="110"/>
      <c r="C121" s="110"/>
      <c r="D121" s="110"/>
      <c r="E121" s="110"/>
      <c r="F121" s="110"/>
      <c r="G121" s="110"/>
      <c r="H121" s="112"/>
    </row>
    <row r="122" spans="2:8" x14ac:dyDescent="0.25">
      <c r="B122" s="138" t="s">
        <v>256</v>
      </c>
      <c r="C122" s="138"/>
      <c r="D122" s="138"/>
      <c r="E122" s="138"/>
      <c r="F122" s="138"/>
      <c r="G122" s="138"/>
      <c r="H122" s="112"/>
    </row>
    <row r="123" spans="2:8" ht="60" x14ac:dyDescent="0.25">
      <c r="B123" s="113" t="s">
        <v>239</v>
      </c>
      <c r="C123" s="113" t="s">
        <v>257</v>
      </c>
      <c r="D123" s="113" t="s">
        <v>258</v>
      </c>
      <c r="E123" s="113" t="s">
        <v>248</v>
      </c>
      <c r="F123" s="113" t="s">
        <v>249</v>
      </c>
      <c r="G123" s="113" t="s">
        <v>259</v>
      </c>
      <c r="H123" s="112"/>
    </row>
    <row r="124" spans="2:8" x14ac:dyDescent="0.25">
      <c r="B124" s="124" t="s">
        <v>13</v>
      </c>
      <c r="C124" s="90">
        <v>585</v>
      </c>
      <c r="D124" s="90">
        <v>585</v>
      </c>
      <c r="E124" s="91">
        <v>516299397.89999998</v>
      </c>
      <c r="F124" s="91">
        <v>516958667.98000002</v>
      </c>
      <c r="G124" s="91">
        <v>400922.70000000019</v>
      </c>
      <c r="H124" s="112"/>
    </row>
    <row r="125" spans="2:8" x14ac:dyDescent="0.25">
      <c r="B125" s="114"/>
      <c r="C125" s="114"/>
      <c r="D125" s="114"/>
      <c r="E125" s="114"/>
      <c r="F125" s="114"/>
      <c r="G125" s="114"/>
      <c r="H125" s="112"/>
    </row>
    <row r="126" spans="2:8" x14ac:dyDescent="0.25">
      <c r="B126" s="110"/>
      <c r="C126" s="110" t="s">
        <v>260</v>
      </c>
      <c r="D126" s="110"/>
      <c r="E126" s="110"/>
      <c r="F126" s="110"/>
      <c r="G126" s="110"/>
      <c r="H126" s="112"/>
    </row>
    <row r="127" spans="2:8" x14ac:dyDescent="0.25">
      <c r="B127" s="87" t="s">
        <v>261</v>
      </c>
      <c r="C127" s="87"/>
      <c r="D127" s="87"/>
      <c r="E127" s="87"/>
      <c r="F127" s="110"/>
      <c r="G127" s="115"/>
      <c r="H127" s="112"/>
    </row>
    <row r="128" spans="2:8" ht="24" x14ac:dyDescent="0.25">
      <c r="B128" s="116" t="s">
        <v>239</v>
      </c>
      <c r="C128" s="117" t="s">
        <v>240</v>
      </c>
      <c r="D128" s="117" t="s">
        <v>262</v>
      </c>
      <c r="E128" s="117" t="s">
        <v>263</v>
      </c>
      <c r="F128" s="117" t="s">
        <v>264</v>
      </c>
      <c r="G128" s="118"/>
      <c r="H128" s="112"/>
    </row>
    <row r="129" spans="2:8" x14ac:dyDescent="0.25">
      <c r="B129" s="133" t="s">
        <v>255</v>
      </c>
      <c r="C129" s="134"/>
      <c r="D129" s="134"/>
      <c r="E129" s="134"/>
      <c r="F129" s="135"/>
      <c r="G129" s="110"/>
      <c r="H129" s="112"/>
    </row>
    <row r="130" spans="2:8" x14ac:dyDescent="0.25">
      <c r="B130" s="89" t="s">
        <v>298</v>
      </c>
      <c r="C130" s="107"/>
      <c r="D130" s="107"/>
      <c r="E130" s="107"/>
      <c r="F130" s="107"/>
      <c r="G130" s="107"/>
      <c r="H130" s="112"/>
    </row>
    <row r="131" spans="2:8" x14ac:dyDescent="0.25">
      <c r="B131" s="110"/>
      <c r="C131" s="110"/>
      <c r="D131" s="110"/>
      <c r="E131" s="110"/>
      <c r="F131" s="110"/>
      <c r="G131" s="110"/>
      <c r="H131" s="112"/>
    </row>
    <row r="132" spans="2:8" x14ac:dyDescent="0.25">
      <c r="B132" s="136" t="s">
        <v>265</v>
      </c>
      <c r="C132" s="136"/>
      <c r="D132" s="136"/>
      <c r="E132" s="136"/>
      <c r="F132" s="136"/>
      <c r="G132" s="110"/>
      <c r="H132" s="112"/>
    </row>
    <row r="133" spans="2:8" ht="36" x14ac:dyDescent="0.25">
      <c r="B133" s="117" t="s">
        <v>239</v>
      </c>
      <c r="C133" s="117" t="s">
        <v>266</v>
      </c>
      <c r="D133" s="117" t="s">
        <v>267</v>
      </c>
      <c r="E133" s="117" t="s">
        <v>268</v>
      </c>
      <c r="F133" s="119"/>
      <c r="G133" s="110"/>
      <c r="H133" s="112"/>
    </row>
    <row r="134" spans="2:8" x14ac:dyDescent="0.25">
      <c r="B134" s="133" t="s">
        <v>255</v>
      </c>
      <c r="C134" s="134"/>
      <c r="D134" s="134"/>
      <c r="E134" s="135"/>
      <c r="F134" s="110"/>
      <c r="G134" s="110"/>
      <c r="H134" s="112"/>
    </row>
    <row r="135" spans="2:8" x14ac:dyDescent="0.25">
      <c r="B135" s="110"/>
      <c r="C135" s="110"/>
      <c r="D135" s="110"/>
      <c r="E135" s="110"/>
      <c r="F135" s="110"/>
      <c r="G135" s="110"/>
      <c r="H135" s="112"/>
    </row>
    <row r="136" spans="2:8" x14ac:dyDescent="0.25">
      <c r="B136" s="110"/>
      <c r="C136" s="110"/>
      <c r="D136" s="110"/>
      <c r="E136" s="110"/>
      <c r="F136" s="110"/>
      <c r="G136" s="110"/>
      <c r="H136" s="112"/>
    </row>
    <row r="137" spans="2:8" x14ac:dyDescent="0.25">
      <c r="B137" s="87" t="s">
        <v>269</v>
      </c>
      <c r="C137" s="87"/>
      <c r="D137" s="87"/>
      <c r="E137" s="87"/>
      <c r="F137" s="87"/>
      <c r="G137" s="110"/>
      <c r="H137" s="112"/>
    </row>
    <row r="138" spans="2:8" ht="24" x14ac:dyDescent="0.25">
      <c r="B138" s="116" t="s">
        <v>239</v>
      </c>
      <c r="C138" s="117" t="s">
        <v>240</v>
      </c>
      <c r="D138" s="117" t="s">
        <v>270</v>
      </c>
      <c r="E138" s="117" t="s">
        <v>271</v>
      </c>
      <c r="F138" s="117" t="s">
        <v>263</v>
      </c>
      <c r="G138" s="117" t="s">
        <v>272</v>
      </c>
      <c r="H138" s="112"/>
    </row>
    <row r="139" spans="2:8" x14ac:dyDescent="0.25">
      <c r="B139" s="133" t="s">
        <v>255</v>
      </c>
      <c r="C139" s="134"/>
      <c r="D139" s="134"/>
      <c r="E139" s="134"/>
      <c r="F139" s="134"/>
      <c r="G139" s="135"/>
      <c r="H139" s="112"/>
    </row>
    <row r="140" spans="2:8" x14ac:dyDescent="0.25">
      <c r="B140" s="110" t="s">
        <v>290</v>
      </c>
      <c r="C140" s="110"/>
      <c r="D140" s="110"/>
      <c r="E140" s="110"/>
      <c r="F140" s="110"/>
      <c r="G140" s="110"/>
      <c r="H140" s="112"/>
    </row>
    <row r="141" spans="2:8" x14ac:dyDescent="0.25">
      <c r="B141" s="110"/>
      <c r="C141" s="110"/>
      <c r="D141" s="110"/>
      <c r="E141" s="110"/>
      <c r="F141" s="110"/>
      <c r="G141" s="110"/>
      <c r="H141" s="112"/>
    </row>
    <row r="142" spans="2:8" x14ac:dyDescent="0.25">
      <c r="B142" s="136" t="s">
        <v>274</v>
      </c>
      <c r="C142" s="136"/>
      <c r="D142" s="136"/>
      <c r="E142" s="136"/>
      <c r="F142" s="136"/>
      <c r="G142" s="110"/>
      <c r="H142" s="112"/>
    </row>
    <row r="143" spans="2:8" ht="36.75" x14ac:dyDescent="0.25">
      <c r="B143" s="120" t="s">
        <v>239</v>
      </c>
      <c r="C143" s="121" t="s">
        <v>266</v>
      </c>
      <c r="D143" s="121" t="s">
        <v>267</v>
      </c>
      <c r="E143" s="121" t="s">
        <v>268</v>
      </c>
      <c r="F143" s="110"/>
      <c r="G143" s="110"/>
      <c r="H143" s="112"/>
    </row>
    <row r="144" spans="2:8" x14ac:dyDescent="0.25">
      <c r="B144" s="130" t="s">
        <v>255</v>
      </c>
      <c r="C144" s="131"/>
      <c r="D144" s="131"/>
      <c r="E144" s="132"/>
      <c r="F144" s="110"/>
      <c r="G144" s="110"/>
      <c r="H144" s="112"/>
    </row>
    <row r="145" spans="2:11" x14ac:dyDescent="0.25">
      <c r="B145" s="110"/>
      <c r="C145" s="110"/>
      <c r="D145" s="110"/>
      <c r="E145" s="110"/>
      <c r="F145" s="110"/>
      <c r="G145" s="110"/>
      <c r="H145" s="112"/>
    </row>
    <row r="146" spans="2:11" x14ac:dyDescent="0.25">
      <c r="B146" s="110"/>
      <c r="C146" s="110"/>
      <c r="D146" s="110"/>
      <c r="E146" s="110"/>
      <c r="F146" s="110"/>
      <c r="G146" s="110"/>
      <c r="H146" s="112"/>
    </row>
    <row r="147" spans="2:11" x14ac:dyDescent="0.25">
      <c r="B147" s="87" t="s">
        <v>275</v>
      </c>
      <c r="C147" s="87"/>
      <c r="D147" s="87"/>
      <c r="E147" s="110"/>
      <c r="F147" s="110"/>
      <c r="G147" s="110"/>
      <c r="H147" s="112"/>
    </row>
    <row r="148" spans="2:11" x14ac:dyDescent="0.25">
      <c r="B148" s="92"/>
      <c r="C148" s="92"/>
      <c r="D148" s="92"/>
      <c r="E148" s="107"/>
      <c r="F148" s="107"/>
      <c r="G148" s="107"/>
      <c r="H148" s="112"/>
    </row>
    <row r="149" spans="2:11" x14ac:dyDescent="0.25">
      <c r="B149" s="87" t="s">
        <v>276</v>
      </c>
      <c r="C149" s="87"/>
      <c r="D149" s="87"/>
      <c r="E149" s="87"/>
      <c r="F149" s="110"/>
      <c r="G149" s="107"/>
      <c r="H149" s="112"/>
    </row>
    <row r="150" spans="2:11" ht="24" x14ac:dyDescent="0.25">
      <c r="B150" s="122" t="s">
        <v>239</v>
      </c>
      <c r="C150" s="113" t="s">
        <v>240</v>
      </c>
      <c r="D150" s="113" t="s">
        <v>262</v>
      </c>
      <c r="E150" s="113" t="s">
        <v>277</v>
      </c>
      <c r="F150" s="113" t="s">
        <v>278</v>
      </c>
      <c r="G150" s="113" t="s">
        <v>279</v>
      </c>
      <c r="H150" s="112"/>
    </row>
    <row r="151" spans="2:11" x14ac:dyDescent="0.25">
      <c r="B151" s="133" t="s">
        <v>255</v>
      </c>
      <c r="C151" s="134"/>
      <c r="D151" s="134"/>
      <c r="E151" s="134"/>
      <c r="F151" s="134"/>
      <c r="G151" s="135"/>
      <c r="H151" s="112"/>
    </row>
    <row r="152" spans="2:11" x14ac:dyDescent="0.25">
      <c r="B152" s="89" t="s">
        <v>299</v>
      </c>
      <c r="C152" s="107"/>
      <c r="D152" s="107"/>
      <c r="E152" s="107"/>
      <c r="F152" s="107"/>
      <c r="G152" s="107"/>
      <c r="H152" s="112"/>
    </row>
    <row r="153" spans="2:11" x14ac:dyDescent="0.25">
      <c r="B153" s="107"/>
      <c r="C153" s="107"/>
      <c r="D153" s="107"/>
      <c r="E153" s="107"/>
      <c r="F153" s="107"/>
      <c r="G153" s="107"/>
      <c r="H153" s="112"/>
    </row>
    <row r="154" spans="2:11" x14ac:dyDescent="0.25">
      <c r="B154" s="136" t="s">
        <v>280</v>
      </c>
      <c r="C154" s="136"/>
      <c r="D154" s="136"/>
      <c r="E154" s="136"/>
      <c r="F154" s="136"/>
      <c r="G154" s="136"/>
      <c r="H154" s="112"/>
    </row>
    <row r="155" spans="2:11" ht="36" x14ac:dyDescent="0.25">
      <c r="B155" s="122" t="s">
        <v>239</v>
      </c>
      <c r="C155" s="122" t="s">
        <v>281</v>
      </c>
      <c r="D155" s="122" t="s">
        <v>267</v>
      </c>
      <c r="E155" s="122" t="s">
        <v>282</v>
      </c>
      <c r="F155" s="107"/>
      <c r="G155" s="107"/>
      <c r="H155" s="112"/>
    </row>
    <row r="156" spans="2:11" x14ac:dyDescent="0.25">
      <c r="B156" s="133" t="s">
        <v>255</v>
      </c>
      <c r="C156" s="134"/>
      <c r="D156" s="134"/>
      <c r="E156" s="135"/>
      <c r="F156" s="107"/>
      <c r="G156" s="107"/>
      <c r="H156" s="112"/>
    </row>
    <row r="157" spans="2:11" x14ac:dyDescent="0.25">
      <c r="B157" s="107"/>
      <c r="C157" s="107"/>
      <c r="D157" s="107"/>
      <c r="E157" s="107"/>
      <c r="F157" s="107"/>
      <c r="G157" s="107"/>
      <c r="H157" s="112"/>
    </row>
    <row r="158" spans="2:11" ht="26.25" x14ac:dyDescent="0.25">
      <c r="B158" s="112"/>
      <c r="C158" s="112"/>
      <c r="D158" s="112"/>
      <c r="E158" s="112"/>
      <c r="F158" s="112"/>
      <c r="G158" s="112"/>
      <c r="H158" s="140" t="s">
        <v>300</v>
      </c>
      <c r="I158" s="140" t="s">
        <v>301</v>
      </c>
      <c r="J158" s="140" t="s">
        <v>302</v>
      </c>
      <c r="K158" s="140" t="s">
        <v>303</v>
      </c>
    </row>
    <row r="159" spans="2:11" ht="26.25" x14ac:dyDescent="0.25">
      <c r="H159" s="141" t="s">
        <v>13</v>
      </c>
      <c r="I159" s="142" t="s">
        <v>304</v>
      </c>
      <c r="J159" s="142"/>
      <c r="K159" s="142"/>
    </row>
    <row r="160" spans="2:11" ht="90" x14ac:dyDescent="0.25">
      <c r="H160" s="143" t="s">
        <v>305</v>
      </c>
      <c r="I160" s="142" t="s">
        <v>306</v>
      </c>
      <c r="J160" s="144"/>
      <c r="K160" s="144"/>
    </row>
    <row r="161" spans="8:11" ht="51.75" x14ac:dyDescent="0.25">
      <c r="H161" s="142"/>
      <c r="I161" s="141" t="s">
        <v>307</v>
      </c>
      <c r="J161" s="145"/>
      <c r="K161" s="145"/>
    </row>
    <row r="162" spans="8:11" x14ac:dyDescent="0.25">
      <c r="H162" s="142"/>
      <c r="I162" s="142"/>
      <c r="J162" s="142"/>
      <c r="K162" s="141" t="s">
        <v>308</v>
      </c>
    </row>
    <row r="163" spans="8:11" x14ac:dyDescent="0.25">
      <c r="H163" s="142"/>
      <c r="I163" s="142"/>
      <c r="J163" s="142"/>
      <c r="K163" s="142" t="s">
        <v>309</v>
      </c>
    </row>
  </sheetData>
  <mergeCells count="28">
    <mergeCell ref="J160:J161"/>
    <mergeCell ref="K160:K161"/>
    <mergeCell ref="B144:E144"/>
    <mergeCell ref="B151:G151"/>
    <mergeCell ref="B154:G154"/>
    <mergeCell ref="B156:E156"/>
    <mergeCell ref="B104:G104"/>
    <mergeCell ref="B109:G109"/>
    <mergeCell ref="B113:G113"/>
    <mergeCell ref="B115:G115"/>
    <mergeCell ref="B117:G117"/>
    <mergeCell ref="B142:F142"/>
    <mergeCell ref="B122:G122"/>
    <mergeCell ref="B129:F129"/>
    <mergeCell ref="B132:F132"/>
    <mergeCell ref="B134:E134"/>
    <mergeCell ref="B139:G139"/>
    <mergeCell ref="B85:E85"/>
    <mergeCell ref="B95:D95"/>
    <mergeCell ref="B97:D97"/>
    <mergeCell ref="B99:D99"/>
    <mergeCell ref="B96:D96"/>
    <mergeCell ref="B92:F92"/>
    <mergeCell ref="B1:H1"/>
    <mergeCell ref="B2:H2"/>
    <mergeCell ref="B3:H3"/>
    <mergeCell ref="B83:G83"/>
    <mergeCell ref="B84:E84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39041C-65E4-4B01-B0D8-A2549244BB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cp:lastPrinted>2022-10-06T16:32:42Z</cp:lastPrinted>
  <dcterms:created xsi:type="dcterms:W3CDTF">2022-04-08T12:18:39Z</dcterms:created>
  <dcterms:modified xsi:type="dcterms:W3CDTF">2022-10-08T15:35:29Z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2022-10-08T10:09:44Z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1a17fb5f-b286-41dc-8f57-0f8c391d78f8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