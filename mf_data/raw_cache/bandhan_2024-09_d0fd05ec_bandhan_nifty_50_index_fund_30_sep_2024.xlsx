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858A37BA-6A59-449C-BC0C-2FEC345E7581}" xr6:coauthVersionLast="47" xr6:coauthVersionMax="47" xr10:uidLastSave="{00000000-0000-0000-0000-000000000000}"/>
  <bookViews>
    <workbookView xWindow="-108" yWindow="-108" windowWidth="41496" windowHeight="16896" xr2:uid="{120203D1-BF29-4255-8830-FDD88E351BAB}"/>
  </bookViews>
  <sheets>
    <sheet name="IDF029" sheetId="1" r:id="rId1"/>
  </sheets>
  <definedNames>
    <definedName name="JR_PAGE_ANCHOR_0_7">'IDF029'!$A$2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5" i="1" l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</calcChain>
</file>

<file path=xl/sharedStrings.xml><?xml version="1.0" encoding="utf-8"?>
<sst xmlns="http://schemas.openxmlformats.org/spreadsheetml/2006/main" count="282" uniqueCount="242">
  <si>
    <t>IDF029</t>
  </si>
  <si>
    <t>INDEX</t>
  </si>
  <si>
    <t>Portfolio Statement as on September 30, 2024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</si>
  <si>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</si>
  <si>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</si>
  <si>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</si>
  <si>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</si>
  <si>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</si>
  <si>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</si>
  <si>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</si>
  <si>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</si>
  <si>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</si>
  <si>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</si>
  <si>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</si>
  <si>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</si>
  <si>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</si>
  <si>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</si>
  <si>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</si>
  <si>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</si>
  <si>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</si>
  <si>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</si>
  <si>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</si>
  <si>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</si>
  <si>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</si>
  <si>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</si>
  <si>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</si>
  <si>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</si>
  <si>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</si>
  <si>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</si>
  <si>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</si>
  <si>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</si>
  <si>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</si>
  <si>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</si>
  <si>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</si>
  <si>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</si>
  <si>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</si>
  <si>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</si>
  <si>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</si>
  <si>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</si>
  <si>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</si>
  <si>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</si>
  <si>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</si>
  <si>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</si>
  <si>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</si>
  <si>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</si>
  <si>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</si>
  <si>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</si>
  <si>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</si>
  <si>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</si>
  <si>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</si>
  <si>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</si>
  <si>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</si>
  <si>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</si>
  <si>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</si>
  <si>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</si>
  <si>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</si>
  <si>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</si>
  <si>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</si>
  <si>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</si>
  <si>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</si>
  <si>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</si>
  <si>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</si>
  <si>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</si>
  <si>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</si>
  <si>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</si>
  <si>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</si>
  <si>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</si>
  <si>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</si>
  <si>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</si>
  <si>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</si>
  <si>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</si>
  <si>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</si>
  <si>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</si>
  <si>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</si>
  <si>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HCLT02</t>
  </si>
  <si>
    <t>HCL Technologies Limited</t>
  </si>
  <si>
    <t>INE860A01027</t>
  </si>
  <si>
    <t>MAUD01</t>
  </si>
  <si>
    <t>Maruti Suzuki India Limited</t>
  </si>
  <si>
    <t>INE585B01010</t>
  </si>
  <si>
    <t>LAKM02</t>
  </si>
  <si>
    <t>Trent Limited</t>
  </si>
  <si>
    <t>INE849A01020</t>
  </si>
  <si>
    <t>Retailing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</si>
  <si>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</si>
  <si>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</si>
  <si>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</si>
  <si>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</si>
  <si>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</si>
  <si>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</si>
  <si>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</si>
  <si>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</si>
  <si>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</si>
  <si>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</si>
  <si>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</si>
  <si>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</si>
  <si>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</si>
  <si>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</si>
  <si>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</si>
  <si>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</si>
  <si>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</si>
  <si>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ULCC01</t>
  </si>
  <si>
    <t>UltraTech Cement Limited</t>
  </si>
  <si>
    <t>INE481G01011</t>
  </si>
  <si>
    <t>Cement &amp; Cement Products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</si>
  <si>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</si>
  <si>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</si>
  <si>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</si>
  <si>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</si>
  <si>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</si>
  <si>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</si>
  <si>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</si>
  <si>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</si>
  <si>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</si>
  <si>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</si>
  <si>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</si>
  <si>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</si>
  <si>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</si>
  <si>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</si>
  <si>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</si>
  <si>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</si>
  <si>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</si>
  <si>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</si>
  <si>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</si>
  <si>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</si>
  <si>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</si>
  <si>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</si>
  <si>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</si>
  <si>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</si>
  <si>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</si>
  <si>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</si>
  <si>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</si>
  <si>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</si>
  <si>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</si>
  <si>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SHTR01</t>
  </si>
  <si>
    <t>Shriram Finance Limited</t>
  </si>
  <si>
    <t>INE721A01013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</si>
  <si>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</si>
  <si>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</si>
  <si>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</si>
  <si>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</si>
  <si>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</si>
  <si>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</si>
  <si>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</si>
  <si>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</si>
  <si>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</si>
  <si>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</si>
  <si>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</si>
  <si>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</si>
  <si>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</si>
  <si>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</si>
  <si>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</si>
  <si>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</si>
  <si>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</si>
  <si>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DRRL02</t>
  </si>
  <si>
    <t>Dr. Reddy's Laboratories Limited</t>
  </si>
  <si>
    <t>INE089A01023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</si>
  <si>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</si>
  <si>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</si>
  <si>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</si>
  <si>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</si>
  <si>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</si>
  <si>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</si>
  <si>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</si>
  <si>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WIPR02</t>
  </si>
  <si>
    <t>Wipro Limited</t>
  </si>
  <si>
    <t>INE075A01022</t>
  </si>
  <si>
    <t>BRIT03</t>
  </si>
  <si>
    <t>Britannia Industries Limited</t>
  </si>
  <si>
    <t>INE216A01030</t>
  </si>
  <si>
    <t>HERO02</t>
  </si>
  <si>
    <t>Hero MotoCorp Limited</t>
  </si>
  <si>
    <t>INE158A01026</t>
  </si>
  <si>
    <t>ADAN02</t>
  </si>
  <si>
    <t>Adani Enterprises Limited</t>
  </si>
  <si>
    <t>INE423A01024</t>
  </si>
  <si>
    <t>Metals &amp; Minerals Trading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</si>
  <si>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</si>
  <si>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</si>
  <si>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</si>
  <si>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</si>
  <si>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</si>
  <si>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</si>
  <si>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</si>
  <si>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EIML02</t>
  </si>
  <si>
    <t>Eicher Motors Limited</t>
  </si>
  <si>
    <t>INE066A01021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</si>
  <si>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</si>
  <si>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</si>
  <si>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</si>
  <si>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</si>
  <si>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</si>
  <si>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</si>
  <si>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</si>
  <si>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</si>
  <si>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</si>
  <si>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</si>
  <si>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$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</si>
  <si>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</si>
  <si>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</si>
  <si>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</si>
  <si>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</si>
  <si>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</si>
  <si>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</si>
  <si>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</si>
  <si>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</si>
  <si>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</si>
  <si>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</si>
  <si>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IDF029-AG</t>
  </si>
  <si>
    <t>Growth</t>
  </si>
  <si>
    <t>IDF029-AD</t>
  </si>
  <si>
    <t>IDCW #</t>
  </si>
  <si>
    <t>Direct Plan</t>
  </si>
  <si>
    <t>IDF029-ZG</t>
  </si>
  <si>
    <t>IDF029-ZD</t>
  </si>
  <si>
    <t># Income Distribution cum capital withdrawal option</t>
  </si>
  <si>
    <t>(4) No Dividend declared during the period ended September 30, 2024.</t>
  </si>
  <si>
    <t xml:space="preserve">(5) Total outstanding exposure in derivative instruments as on September 30, 2024 is Rs. Nil. </t>
  </si>
  <si>
    <t>(6) Total Market value of investments in foreign securities/ADRs/GDRs as at September 30, 2024 is Rs. Nil.</t>
  </si>
  <si>
    <t>(7) During the period, the portfolio turnover ratio - For Equity Securities is 0.1 times and aggregate for all asset category is 0.1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</si>
  <si>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</si>
  <si>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</si>
  <si>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</si>
  <si>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</si>
  <si>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</si>
  <si>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</si>
  <si>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</si>
  <si>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</si>
  <si>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Mukesh Ambani Group</t>
  </si>
  <si>
    <t>ICICI Group</t>
  </si>
  <si>
    <t>Government of India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</si>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</sst>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1" fillId="0" borderId="20" xfId="1" applyNumberFormat="1" applyFont="1" applyBorder="1"/>
    <xf numFmtId="0" fontId="12" fillId="0" borderId="21" xfId="1" applyFont="1" applyBorder="1"/>
    <xf numFmtId="166" fontId="12" fillId="0" borderId="22" xfId="2" applyFont="1" applyFill="1" applyBorder="1" applyAlignment="1"/>
    <xf numFmtId="0" fontId="12" fillId="0" borderId="23" xfId="1" applyFont="1" applyBorder="1"/>
    <xf numFmtId="0" fontId="12" fillId="0" borderId="0" xfId="1" applyFont="1"/>
    <xf numFmtId="166" fontId="12" fillId="0" borderId="24" xfId="2" applyFont="1" applyFill="1" applyBorder="1" applyAlignment="1"/>
    <xf numFmtId="15" fontId="12" fillId="0" borderId="23" xfId="1" applyNumberFormat="1" applyFont="1" applyBorder="1"/>
    <xf numFmtId="166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6" fontId="12" fillId="0" borderId="27" xfId="2" applyFont="1" applyFill="1" applyBorder="1" applyAlignment="1"/>
    <xf numFmtId="0" fontId="11" fillId="0" borderId="20" xfId="1" applyFont="1" applyBorder="1"/>
    <xf numFmtId="0" fontId="11" fillId="0" borderId="21" xfId="1" applyFont="1" applyBorder="1"/>
    <xf numFmtId="167" fontId="14" fillId="0" borderId="21" xfId="2" applyNumberFormat="1" applyFont="1" applyFill="1" applyBorder="1" applyAlignment="1"/>
    <xf numFmtId="10" fontId="14" fillId="0" borderId="22" xfId="3" applyNumberFormat="1" applyFont="1" applyFill="1" applyBorder="1" applyAlignment="1"/>
    <xf numFmtId="0" fontId="11" fillId="0" borderId="25" xfId="1" applyFont="1" applyBorder="1"/>
    <xf numFmtId="15" fontId="11" fillId="0" borderId="26" xfId="2" applyNumberFormat="1" applyFont="1" applyFill="1" applyBorder="1" applyAlignment="1"/>
    <xf numFmtId="167" fontId="12" fillId="0" borderId="27" xfId="2" applyNumberFormat="1" applyFont="1" applyFill="1" applyBorder="1" applyAlignment="1"/>
    <xf numFmtId="2" fontId="11" fillId="0" borderId="23" xfId="1" applyNumberFormat="1" applyFont="1" applyBorder="1"/>
    <xf numFmtId="168" fontId="11" fillId="0" borderId="0" xfId="2" applyNumberFormat="1" applyFont="1" applyFill="1" applyBorder="1" applyAlignment="1"/>
    <xf numFmtId="0" fontId="1" fillId="0" borderId="0" xfId="1"/>
    <xf numFmtId="4" fontId="13" fillId="0" borderId="24" xfId="3" applyNumberFormat="1" applyFont="1" applyFill="1" applyBorder="1" applyAlignment="1"/>
    <xf numFmtId="2" fontId="12" fillId="0" borderId="23" xfId="1" applyNumberFormat="1" applyFont="1" applyBorder="1"/>
    <xf numFmtId="168" fontId="12" fillId="0" borderId="0" xfId="1" applyNumberFormat="1" applyFont="1"/>
    <xf numFmtId="166" fontId="13" fillId="0" borderId="24" xfId="2" applyFont="1" applyFill="1" applyBorder="1" applyAlignment="1"/>
    <xf numFmtId="169" fontId="12" fillId="0" borderId="0" xfId="3" applyNumberFormat="1" applyFont="1" applyFill="1" applyBorder="1" applyAlignment="1"/>
    <xf numFmtId="168" fontId="12" fillId="0" borderId="0" xfId="3" applyNumberFormat="1" applyFont="1" applyFill="1" applyBorder="1" applyAlignment="1"/>
    <xf numFmtId="169" fontId="12" fillId="0" borderId="0" xfId="0" applyNumberFormat="1" applyFont="1"/>
    <xf numFmtId="168" fontId="12" fillId="0" borderId="0" xfId="0" applyNumberFormat="1" applyFont="1"/>
    <xf numFmtId="2" fontId="12" fillId="0" borderId="0" xfId="1" applyNumberFormat="1" applyFont="1"/>
    <xf numFmtId="170" fontId="13" fillId="0" borderId="0" xfId="2" applyNumberFormat="1" applyFont="1" applyFill="1" applyBorder="1" applyAlignment="1"/>
    <xf numFmtId="2" fontId="12" fillId="0" borderId="25" xfId="1" applyNumberFormat="1" applyFont="1" applyBorder="1"/>
    <xf numFmtId="168" fontId="12" fillId="0" borderId="26" xfId="1" applyNumberFormat="1" applyFont="1" applyBorder="1"/>
    <xf numFmtId="10" fontId="12" fillId="0" borderId="26" xfId="3" applyNumberFormat="1" applyFont="1" applyFill="1" applyBorder="1" applyAlignment="1"/>
    <xf numFmtId="168" fontId="12" fillId="0" borderId="0" xfId="2" applyNumberFormat="1" applyFont="1" applyFill="1" applyBorder="1" applyAlignment="1"/>
    <xf numFmtId="167" fontId="12" fillId="0" borderId="0" xfId="2" applyNumberFormat="1" applyFont="1" applyFill="1" applyBorder="1" applyAlignment="1"/>
    <xf numFmtId="0" fontId="12" fillId="0" borderId="24" xfId="1" applyFont="1" applyBorder="1"/>
    <xf numFmtId="166" fontId="13" fillId="0" borderId="0" xfId="2" applyFont="1" applyFill="1" applyBorder="1" applyAlignment="1"/>
    <xf numFmtId="171" fontId="12" fillId="0" borderId="0" xfId="2" applyNumberFormat="1" applyFont="1" applyFill="1" applyBorder="1" applyAlignment="1"/>
    <xf numFmtId="166" fontId="12" fillId="0" borderId="0" xfId="2" applyFont="1" applyFill="1" applyBorder="1" applyAlignment="1"/>
    <xf numFmtId="0" fontId="15" fillId="0" borderId="0" xfId="0" applyFont="1" applyAlignment="1">
      <alignment horizontal="left" vertical="top" wrapText="1"/>
    </xf>
    <xf numFmtId="0" fontId="2" fillId="0" borderId="28" xfId="0" applyFont="1" applyBorder="1"/>
    <xf numFmtId="0" fontId="0" fillId="0" borderId="28" xfId="0" applyBorder="1"/>
    <xf numFmtId="165" fontId="0" fillId="0" borderId="28" xfId="0" applyNumberFormat="1" applyBorder="1"/>
    <xf numFmtId="0" fontId="2" fillId="0" borderId="0" xfId="0" applyFont="1"/>
  </cellXfs>
  <cellStyles count="4">
    <cellStyle name="Comma 3" xfId="2" xr:uid="{182A7FBF-A14C-4BBB-B357-E052C6FC0D4A}"/>
    <cellStyle name="Normal" xfId="0" builtinId="0"/>
    <cellStyle name="Normal 3 2 2" xfId="1" xr:uid="{1E61F789-05C8-4B84-AA6B-E77458EE816C}"/>
    <cellStyle name="Percent 2" xfId="3" xr:uid="{03AD4F84-FC73-4D75-87B9-D4581AFF1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1</xdr:col>
      <xdr:colOff>2857500</xdr:colOff>
      <xdr:row>135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506CC-CA12-46A7-A264-2B0906A4EB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450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7</xdr:col>
      <xdr:colOff>571500</xdr:colOff>
      <xdr:row>135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7105C-F23B-4549-9553-0B87AFBD4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21450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6812-C894-4CE4-9E31-0A1A7A2FED1B}">
  <sheetPr codeName="Sheet23">
    <outlinePr summaryBelow="0"/>
  </sheetPr>
  <dimension ref="A1:H124"/>
  <sheetViews>
    <sheetView tabSelected="1" topLeftCell="A92" workbookViewId="0">
      <selection activeCell="C120" sqref="C120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1068002</v>
      </c>
      <c r="F8" s="18">
        <v>18498.330000000002</v>
      </c>
      <c r="G8" s="19">
        <v>0.1135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477445</v>
      </c>
      <c r="F9" s="18">
        <v>14099.67</v>
      </c>
      <c r="G9" s="19">
        <v>8.6499999999999994E-2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991953</v>
      </c>
      <c r="F10" s="18">
        <v>12627.56</v>
      </c>
      <c r="G10" s="19">
        <v>7.7499999999999999E-2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506728</v>
      </c>
      <c r="F11" s="18">
        <v>9504.19</v>
      </c>
      <c r="G11" s="19">
        <v>5.8299999999999998E-2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1309682</v>
      </c>
      <c r="F12" s="18">
        <v>6786.12</v>
      </c>
      <c r="G12" s="19">
        <v>4.1700000000000001E-2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377384</v>
      </c>
      <c r="F13" s="18">
        <v>6451.57</v>
      </c>
      <c r="G13" s="19">
        <v>3.9600000000000003E-2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27</v>
      </c>
      <c r="E14" s="17">
        <v>143904</v>
      </c>
      <c r="F14" s="18">
        <v>6142.54</v>
      </c>
      <c r="G14" s="19">
        <v>3.7699999999999997E-2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165744</v>
      </c>
      <c r="F15" s="18">
        <v>6092</v>
      </c>
      <c r="G15" s="19">
        <v>3.7400000000000003E-2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401299</v>
      </c>
      <c r="F16" s="18">
        <v>4944.8100000000004</v>
      </c>
      <c r="G16" s="19">
        <v>3.0300000000000001E-2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541693</v>
      </c>
      <c r="F17" s="18">
        <v>4268</v>
      </c>
      <c r="G17" s="19">
        <v>2.6200000000000001E-2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125451</v>
      </c>
      <c r="F18" s="18">
        <v>3882.58</v>
      </c>
      <c r="G18" s="19">
        <v>2.3800000000000002E-2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206737</v>
      </c>
      <c r="F19" s="18">
        <v>3832.8</v>
      </c>
      <c r="G19" s="19">
        <v>2.35E-2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125363</v>
      </c>
      <c r="F20" s="18">
        <v>3708.61</v>
      </c>
      <c r="G20" s="19">
        <v>2.2800000000000001E-2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39387</v>
      </c>
      <c r="F21" s="18">
        <v>3033.98</v>
      </c>
      <c r="G21" s="19">
        <v>1.8599999999999998E-2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666710</v>
      </c>
      <c r="F22" s="18">
        <v>2954.86</v>
      </c>
      <c r="G22" s="19">
        <v>1.8100000000000002E-2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151989</v>
      </c>
      <c r="F23" s="18">
        <v>2928.37</v>
      </c>
      <c r="G23" s="19">
        <v>1.7999999999999999E-2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52</v>
      </c>
      <c r="E24" s="17">
        <v>298840</v>
      </c>
      <c r="F24" s="18">
        <v>2912.64</v>
      </c>
      <c r="G24" s="19">
        <v>1.7899999999999999E-2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27</v>
      </c>
      <c r="E25" s="17">
        <v>148702</v>
      </c>
      <c r="F25" s="18">
        <v>2670.84</v>
      </c>
      <c r="G25" s="19">
        <v>1.6400000000000001E-2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52</v>
      </c>
      <c r="E26" s="17">
        <v>18530</v>
      </c>
      <c r="F26" s="18">
        <v>2453</v>
      </c>
      <c r="G26" s="19">
        <v>1.5100000000000001E-2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31395</v>
      </c>
      <c r="F27" s="18">
        <v>2378.06</v>
      </c>
      <c r="G27" s="19">
        <v>1.46E-2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66</v>
      </c>
      <c r="E28" s="17">
        <v>637827</v>
      </c>
      <c r="F28" s="18">
        <v>2250.5700000000002</v>
      </c>
      <c r="G28" s="19">
        <v>1.38E-2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58255</v>
      </c>
      <c r="F29" s="18">
        <v>2227.64</v>
      </c>
      <c r="G29" s="19">
        <v>1.37E-2</v>
      </c>
      <c r="H29" s="20"/>
    </row>
    <row r="30" spans="1:8" ht="13.05" customHeight="1">
      <c r="A30" s="15" t="s">
        <v>91</v>
      </c>
      <c r="B30" s="16" t="s">
        <v>92</v>
      </c>
      <c r="C30" s="12" t="s">
        <v>93</v>
      </c>
      <c r="D30" s="13" t="s">
        <v>90</v>
      </c>
      <c r="E30" s="17">
        <v>63690</v>
      </c>
      <c r="F30" s="18">
        <v>2120.3000000000002</v>
      </c>
      <c r="G30" s="19">
        <v>1.2999999999999999E-2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1166738</v>
      </c>
      <c r="F31" s="18">
        <v>1966.54</v>
      </c>
      <c r="G31" s="19">
        <v>1.21E-2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52</v>
      </c>
      <c r="E32" s="17">
        <v>15619</v>
      </c>
      <c r="F32" s="18">
        <v>1928.31</v>
      </c>
      <c r="G32" s="19">
        <v>1.18E-2</v>
      </c>
      <c r="H32" s="20"/>
    </row>
    <row r="33" spans="1:8" ht="13.0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16070</v>
      </c>
      <c r="F33" s="18">
        <v>1896.58</v>
      </c>
      <c r="G33" s="19">
        <v>1.1599999999999999E-2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319360</v>
      </c>
      <c r="F34" s="18">
        <v>1629.22</v>
      </c>
      <c r="G34" s="19">
        <v>0.01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546193</v>
      </c>
      <c r="F35" s="18">
        <v>1625.47</v>
      </c>
      <c r="G35" s="19">
        <v>0.01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204863</v>
      </c>
      <c r="F36" s="18">
        <v>1549.17</v>
      </c>
      <c r="G36" s="19">
        <v>9.4999999999999998E-3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62</v>
      </c>
      <c r="E37" s="17">
        <v>76891</v>
      </c>
      <c r="F37" s="18">
        <v>1517.37</v>
      </c>
      <c r="G37" s="19">
        <v>9.2999999999999992E-3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103784</v>
      </c>
      <c r="F38" s="18">
        <v>1503</v>
      </c>
      <c r="G38" s="19">
        <v>9.1999999999999998E-3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104</v>
      </c>
      <c r="E39" s="17">
        <v>52383</v>
      </c>
      <c r="F39" s="18">
        <v>1464.39</v>
      </c>
      <c r="G39" s="19">
        <v>8.9999999999999993E-3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503639</v>
      </c>
      <c r="F40" s="18">
        <v>1435.87</v>
      </c>
      <c r="G40" s="19">
        <v>8.8000000000000005E-3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27</v>
      </c>
      <c r="E41" s="17">
        <v>89344</v>
      </c>
      <c r="F41" s="18">
        <v>1409.13</v>
      </c>
      <c r="G41" s="19">
        <v>8.6E-3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62</v>
      </c>
      <c r="E42" s="17">
        <v>39350</v>
      </c>
      <c r="F42" s="18">
        <v>1407.53</v>
      </c>
      <c r="G42" s="19">
        <v>8.6E-3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97</v>
      </c>
      <c r="E43" s="17">
        <v>135028</v>
      </c>
      <c r="F43" s="18">
        <v>1390.86</v>
      </c>
      <c r="G43" s="19">
        <v>8.5000000000000006E-3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143</v>
      </c>
      <c r="E44" s="17">
        <v>50438</v>
      </c>
      <c r="F44" s="18">
        <v>1356.76</v>
      </c>
      <c r="G44" s="19">
        <v>8.3000000000000001E-3</v>
      </c>
      <c r="H44" s="20"/>
    </row>
    <row r="45" spans="1:8" ht="13.05" customHeight="1">
      <c r="A45" s="15" t="s">
        <v>144</v>
      </c>
      <c r="B45" s="16" t="s">
        <v>145</v>
      </c>
      <c r="C45" s="12" t="s">
        <v>146</v>
      </c>
      <c r="D45" s="13" t="s">
        <v>16</v>
      </c>
      <c r="E45" s="17">
        <v>92997</v>
      </c>
      <c r="F45" s="18">
        <v>1346.22</v>
      </c>
      <c r="G45" s="19">
        <v>8.3000000000000001E-3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70</v>
      </c>
      <c r="E46" s="17">
        <v>77369</v>
      </c>
      <c r="F46" s="18">
        <v>1279.76</v>
      </c>
      <c r="G46" s="19">
        <v>7.9000000000000008E-3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62976</v>
      </c>
      <c r="F47" s="18">
        <v>1161.28</v>
      </c>
      <c r="G47" s="19">
        <v>7.1000000000000004E-3</v>
      </c>
      <c r="H47" s="20"/>
    </row>
    <row r="48" spans="1:8" ht="13.05" customHeight="1">
      <c r="A48" s="15" t="s">
        <v>154</v>
      </c>
      <c r="B48" s="16" t="s">
        <v>155</v>
      </c>
      <c r="C48" s="12" t="s">
        <v>156</v>
      </c>
      <c r="D48" s="13" t="s">
        <v>70</v>
      </c>
      <c r="E48" s="17">
        <v>17170</v>
      </c>
      <c r="F48" s="18">
        <v>1159.25</v>
      </c>
      <c r="G48" s="19">
        <v>7.1000000000000004E-3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91584</v>
      </c>
      <c r="F49" s="18">
        <v>1096.21</v>
      </c>
      <c r="G49" s="19">
        <v>6.7000000000000002E-3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153</v>
      </c>
      <c r="E50" s="17">
        <v>150256</v>
      </c>
      <c r="F50" s="18">
        <v>1078.8399999999999</v>
      </c>
      <c r="G50" s="19">
        <v>6.6E-3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27</v>
      </c>
      <c r="E51" s="17">
        <v>199061</v>
      </c>
      <c r="F51" s="18">
        <v>1077.82</v>
      </c>
      <c r="G51" s="19">
        <v>6.6E-3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143</v>
      </c>
      <c r="E52" s="17">
        <v>16594</v>
      </c>
      <c r="F52" s="18">
        <v>1051.75</v>
      </c>
      <c r="G52" s="19">
        <v>6.4999999999999997E-3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52</v>
      </c>
      <c r="E53" s="17">
        <v>18251</v>
      </c>
      <c r="F53" s="18">
        <v>1042.57</v>
      </c>
      <c r="G53" s="19">
        <v>6.4000000000000003E-3</v>
      </c>
      <c r="H53" s="20"/>
    </row>
    <row r="54" spans="1:8" ht="13.05" customHeight="1">
      <c r="A54" s="15" t="s">
        <v>173</v>
      </c>
      <c r="B54" s="16" t="s">
        <v>174</v>
      </c>
      <c r="C54" s="12" t="s">
        <v>175</v>
      </c>
      <c r="D54" s="13" t="s">
        <v>176</v>
      </c>
      <c r="E54" s="17">
        <v>33133</v>
      </c>
      <c r="F54" s="18">
        <v>1039</v>
      </c>
      <c r="G54" s="19">
        <v>6.4000000000000003E-3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14255</v>
      </c>
      <c r="F55" s="18">
        <v>1026.24</v>
      </c>
      <c r="G55" s="19">
        <v>6.3E-3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20</v>
      </c>
      <c r="E56" s="17">
        <v>272525</v>
      </c>
      <c r="F56" s="18">
        <v>1008.21</v>
      </c>
      <c r="G56" s="19">
        <v>6.1999999999999998E-3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52</v>
      </c>
      <c r="E57" s="17">
        <v>19365</v>
      </c>
      <c r="F57" s="18">
        <v>973.33</v>
      </c>
      <c r="G57" s="19">
        <v>6.0000000000000001E-3</v>
      </c>
      <c r="H57" s="20"/>
    </row>
    <row r="58" spans="1:8" ht="13.05" customHeight="1">
      <c r="A58" s="4"/>
      <c r="B58" s="21" t="s">
        <v>187</v>
      </c>
      <c r="C58" s="22"/>
      <c r="D58" s="21"/>
      <c r="E58" s="21"/>
      <c r="F58" s="23">
        <v>163189.72</v>
      </c>
      <c r="G58" s="24">
        <v>1.0014000000000001</v>
      </c>
      <c r="H58" s="25"/>
    </row>
    <row r="59" spans="1:8" ht="13.05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3.05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3.05" customHeight="1">
      <c r="A61" s="4"/>
      <c r="B61" s="21" t="s">
        <v>190</v>
      </c>
      <c r="C61" s="26"/>
      <c r="D61" s="27"/>
      <c r="E61" s="29"/>
      <c r="F61" s="30">
        <v>163189.72</v>
      </c>
      <c r="G61" s="31">
        <v>1.0014000000000001</v>
      </c>
      <c r="H61" s="32"/>
    </row>
    <row r="62" spans="1:8" ht="13.05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193</v>
      </c>
      <c r="B64" s="16" t="s">
        <v>194</v>
      </c>
      <c r="C64" s="12"/>
      <c r="D64" s="13"/>
      <c r="E64" s="34"/>
      <c r="F64" s="18">
        <v>200.55</v>
      </c>
      <c r="G64" s="19">
        <v>1.1999999999999999E-3</v>
      </c>
      <c r="H64" s="20">
        <v>6.6321131126046415E-2</v>
      </c>
    </row>
    <row r="65" spans="1:8" ht="13.05" customHeight="1">
      <c r="A65" s="4"/>
      <c r="B65" s="21" t="s">
        <v>190</v>
      </c>
      <c r="C65" s="26"/>
      <c r="D65" s="27"/>
      <c r="E65" s="29"/>
      <c r="F65" s="30">
        <v>200.55</v>
      </c>
      <c r="G65" s="31">
        <v>1.1999999999999999E-3</v>
      </c>
      <c r="H65" s="32"/>
    </row>
    <row r="66" spans="1:8" ht="13.05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196</v>
      </c>
      <c r="C67" s="26"/>
      <c r="D67" s="27"/>
      <c r="E67" s="27"/>
      <c r="F67" s="23">
        <v>1.0900000000000001</v>
      </c>
      <c r="G67" s="38" t="s">
        <v>197</v>
      </c>
      <c r="H67" s="37"/>
    </row>
    <row r="68" spans="1:8" ht="13.05" customHeight="1">
      <c r="A68" s="4"/>
      <c r="B68" s="21" t="s">
        <v>187</v>
      </c>
      <c r="C68" s="22"/>
      <c r="D68" s="21"/>
      <c r="E68" s="21"/>
      <c r="F68" s="23">
        <v>1.0900000000000001</v>
      </c>
      <c r="G68" s="38" t="s">
        <v>197</v>
      </c>
      <c r="H68" s="37"/>
    </row>
    <row r="69" spans="1:8" ht="13.05" customHeight="1">
      <c r="A69" s="4"/>
      <c r="B69" s="21" t="s">
        <v>198</v>
      </c>
      <c r="C69" s="26"/>
      <c r="D69" s="27"/>
      <c r="E69" s="27"/>
      <c r="F69" s="23">
        <v>-464.08</v>
      </c>
      <c r="G69" s="39">
        <v>-2.5999999999999999E-3</v>
      </c>
      <c r="H69" s="37"/>
    </row>
    <row r="70" spans="1:8" ht="13.05" customHeight="1" thickBot="1">
      <c r="A70" s="4"/>
      <c r="B70" s="40" t="s">
        <v>199</v>
      </c>
      <c r="C70" s="41"/>
      <c r="D70" s="42"/>
      <c r="E70" s="42"/>
      <c r="F70" s="43">
        <v>162927.28419514481</v>
      </c>
      <c r="G70" s="44">
        <v>1</v>
      </c>
      <c r="H70" s="45"/>
    </row>
    <row r="71" spans="1:8" ht="13.05" customHeight="1">
      <c r="A71" s="4"/>
      <c r="B71" s="46"/>
      <c r="C71" s="4"/>
      <c r="D71" s="4"/>
      <c r="E71" s="4"/>
      <c r="F71" s="4"/>
      <c r="G71" s="4"/>
      <c r="H71" s="4"/>
    </row>
    <row r="72" spans="1:8" ht="13.05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3.05" customHeight="1" thickBot="1">
      <c r="A73" s="4"/>
      <c r="B73" s="46"/>
      <c r="C73" s="4"/>
      <c r="D73" s="4"/>
      <c r="E73" s="4"/>
      <c r="F73" s="4"/>
      <c r="G73" s="4"/>
      <c r="H73" s="4"/>
    </row>
    <row r="74" spans="1:8">
      <c r="B74" s="47" t="s">
        <v>201</v>
      </c>
      <c r="C74" s="48"/>
      <c r="D74" s="48"/>
      <c r="E74" s="48"/>
      <c r="F74" s="49"/>
    </row>
    <row r="75" spans="1:8">
      <c r="B75" s="50" t="s">
        <v>202</v>
      </c>
      <c r="C75" s="51"/>
      <c r="D75" s="51"/>
      <c r="E75" s="51"/>
      <c r="F75" s="52"/>
    </row>
    <row r="76" spans="1:8">
      <c r="B76" s="53" t="s">
        <v>203</v>
      </c>
      <c r="C76" s="51"/>
      <c r="D76" s="51"/>
      <c r="E76" s="54"/>
      <c r="F76" s="52"/>
    </row>
    <row r="77" spans="1:8" ht="15" thickBot="1">
      <c r="B77" s="55" t="s">
        <v>204</v>
      </c>
      <c r="C77" s="56"/>
      <c r="D77" s="56"/>
      <c r="E77" s="56"/>
      <c r="F77" s="57"/>
    </row>
    <row r="78" spans="1:8">
      <c r="B78" s="58" t="s">
        <v>205</v>
      </c>
      <c r="C78" s="59" t="s">
        <v>206</v>
      </c>
      <c r="D78" s="59"/>
      <c r="E78" s="60"/>
      <c r="F78" s="61"/>
    </row>
    <row r="79" spans="1:8" ht="15" thickBot="1">
      <c r="B79" s="62"/>
      <c r="C79" s="63">
        <v>45565</v>
      </c>
      <c r="D79" s="63">
        <v>45382</v>
      </c>
      <c r="E79" s="63"/>
      <c r="F79" s="64"/>
    </row>
    <row r="80" spans="1:8">
      <c r="B80" s="65" t="s">
        <v>207</v>
      </c>
      <c r="C80" s="66"/>
      <c r="D80" s="66"/>
      <c r="E80" s="67"/>
      <c r="F80" s="68"/>
    </row>
    <row r="81" spans="1:6">
      <c r="A81" s="1" t="s">
        <v>208</v>
      </c>
      <c r="B81" s="69" t="s">
        <v>209</v>
      </c>
      <c r="C81" s="70">
        <v>55.279699999999998</v>
      </c>
      <c r="D81" s="70">
        <v>47.6372</v>
      </c>
      <c r="E81" s="67"/>
      <c r="F81" s="71"/>
    </row>
    <row r="82" spans="1:6">
      <c r="A82" s="1" t="s">
        <v>210</v>
      </c>
      <c r="B82" s="69" t="s">
        <v>211</v>
      </c>
      <c r="C82" s="70">
        <v>50.172899999999998</v>
      </c>
      <c r="D82" s="70">
        <v>43.236499999999999</v>
      </c>
      <c r="E82" s="67"/>
      <c r="F82" s="71"/>
    </row>
    <row r="83" spans="1:6">
      <c r="A83" s="1"/>
      <c r="B83" s="65"/>
      <c r="C83" s="72"/>
      <c r="D83" s="73"/>
      <c r="E83" s="67"/>
      <c r="F83" s="68"/>
    </row>
    <row r="84" spans="1:6">
      <c r="A84" s="1"/>
      <c r="B84" s="65" t="s">
        <v>212</v>
      </c>
      <c r="C84" s="74"/>
      <c r="D84" s="75"/>
      <c r="E84" s="67"/>
      <c r="F84" s="68"/>
    </row>
    <row r="85" spans="1:6">
      <c r="A85" s="1" t="s">
        <v>213</v>
      </c>
      <c r="B85" s="69" t="s">
        <v>209</v>
      </c>
      <c r="C85" s="70">
        <v>56.6905</v>
      </c>
      <c r="D85" s="70">
        <v>48.730699999999999</v>
      </c>
      <c r="E85" s="67"/>
      <c r="F85" s="71"/>
    </row>
    <row r="86" spans="1:6">
      <c r="A86" s="1" t="s">
        <v>214</v>
      </c>
      <c r="B86" s="69" t="s">
        <v>211</v>
      </c>
      <c r="C86" s="70">
        <v>51.525500000000001</v>
      </c>
      <c r="D86" s="70">
        <v>44.290999999999997</v>
      </c>
      <c r="E86" s="67"/>
      <c r="F86" s="71"/>
    </row>
    <row r="87" spans="1:6">
      <c r="B87" s="69"/>
      <c r="C87" s="76"/>
      <c r="D87" s="76"/>
      <c r="E87" s="77"/>
      <c r="F87" s="71"/>
    </row>
    <row r="88" spans="1:6" ht="15" thickBot="1">
      <c r="B88" s="78" t="s">
        <v>215</v>
      </c>
      <c r="C88" s="79"/>
      <c r="D88" s="79"/>
      <c r="E88" s="80"/>
      <c r="F88" s="64"/>
    </row>
    <row r="89" spans="1:6">
      <c r="B89" s="50" t="s">
        <v>216</v>
      </c>
      <c r="C89" s="81"/>
      <c r="D89" s="70"/>
      <c r="E89" s="82"/>
      <c r="F89" s="83"/>
    </row>
    <row r="90" spans="1:6">
      <c r="B90" s="50" t="s">
        <v>217</v>
      </c>
      <c r="C90" s="70"/>
      <c r="D90" s="73"/>
      <c r="E90" s="84"/>
      <c r="F90" s="68"/>
    </row>
    <row r="91" spans="1:6">
      <c r="B91" s="50" t="s">
        <v>218</v>
      </c>
      <c r="C91" s="82"/>
      <c r="D91" s="51"/>
      <c r="E91" s="84"/>
      <c r="F91" s="68"/>
    </row>
    <row r="92" spans="1:6">
      <c r="B92" s="50" t="s">
        <v>219</v>
      </c>
      <c r="C92" s="51"/>
      <c r="D92" s="85"/>
      <c r="E92" s="86"/>
      <c r="F92" s="68"/>
    </row>
    <row r="93" spans="1:6">
      <c r="B93" s="50" t="s">
        <v>220</v>
      </c>
      <c r="C93" s="51"/>
      <c r="D93" s="51"/>
      <c r="E93" s="51"/>
      <c r="F93" s="52"/>
    </row>
    <row r="94" spans="1:6">
      <c r="B94" s="50" t="s">
        <v>221</v>
      </c>
      <c r="C94" s="51"/>
      <c r="D94" s="51"/>
      <c r="E94" s="51"/>
      <c r="F94" s="52"/>
    </row>
    <row r="95" spans="1:6" ht="15" thickBot="1">
      <c r="B95" s="55"/>
      <c r="C95" s="56"/>
      <c r="D95" s="56"/>
      <c r="E95" s="56"/>
      <c r="F95" s="57"/>
    </row>
    <row r="96" spans="1:6">
      <c r="B96" s="51"/>
      <c r="C96" s="51"/>
      <c r="D96" s="51"/>
      <c r="E96" s="51"/>
      <c r="F96" s="86"/>
    </row>
    <row r="97" spans="1:8" ht="13.05" customHeight="1">
      <c r="A97" s="4"/>
      <c r="B97" s="87" t="s">
        <v>222</v>
      </c>
      <c r="C97" s="4"/>
      <c r="D97" s="4"/>
      <c r="E97" s="4"/>
      <c r="F97" s="4"/>
      <c r="G97" s="4"/>
      <c r="H97" s="4"/>
    </row>
    <row r="98" spans="1:8">
      <c r="B98" s="88" t="s">
        <v>223</v>
      </c>
      <c r="C98" s="88" t="s">
        <v>9</v>
      </c>
    </row>
    <row r="99" spans="1:8">
      <c r="B99" s="89" t="str">
        <f>+B8</f>
        <v>HDFC Bank Limited</v>
      </c>
      <c r="C99" s="90">
        <f>+G8</f>
        <v>0.1135</v>
      </c>
    </row>
    <row r="100" spans="1:8">
      <c r="B100" s="89" t="str">
        <f t="shared" ref="B100:B105" si="0">+B9</f>
        <v>Reliance Industries Limited</v>
      </c>
      <c r="C100" s="90">
        <f t="shared" ref="C100:C105" si="1">+G9</f>
        <v>8.6499999999999994E-2</v>
      </c>
    </row>
    <row r="101" spans="1:8">
      <c r="B101" s="89" t="str">
        <f t="shared" si="0"/>
        <v>ICICI Bank Limited</v>
      </c>
      <c r="C101" s="90">
        <f t="shared" si="1"/>
        <v>7.7499999999999999E-2</v>
      </c>
    </row>
    <row r="102" spans="1:8">
      <c r="B102" s="89" t="str">
        <f t="shared" si="0"/>
        <v>Infosys Limited</v>
      </c>
      <c r="C102" s="90">
        <f t="shared" si="1"/>
        <v>5.8299999999999998E-2</v>
      </c>
    </row>
    <row r="103" spans="1:8">
      <c r="B103" s="89" t="str">
        <f t="shared" si="0"/>
        <v>ITC Limited</v>
      </c>
      <c r="C103" s="90">
        <f t="shared" si="1"/>
        <v>4.1700000000000001E-2</v>
      </c>
    </row>
    <row r="104" spans="1:8">
      <c r="B104" s="89" t="str">
        <f t="shared" si="0"/>
        <v>Bharti Airtel Limited</v>
      </c>
      <c r="C104" s="90">
        <f t="shared" si="1"/>
        <v>3.9600000000000003E-2</v>
      </c>
    </row>
    <row r="105" spans="1:8">
      <c r="B105" s="89" t="str">
        <f t="shared" si="0"/>
        <v>Tata Consultancy Services Limited</v>
      </c>
      <c r="C105" s="90">
        <f t="shared" si="1"/>
        <v>3.7699999999999997E-2</v>
      </c>
    </row>
    <row r="107" spans="1:8">
      <c r="B107" s="87" t="s">
        <v>224</v>
      </c>
    </row>
    <row r="108" spans="1:8">
      <c r="B108" s="88" t="s">
        <v>225</v>
      </c>
      <c r="C108" s="88" t="s">
        <v>9</v>
      </c>
    </row>
    <row r="109" spans="1:8">
      <c r="B109" s="89" t="s">
        <v>226</v>
      </c>
      <c r="C109" s="90">
        <v>0.1201</v>
      </c>
    </row>
    <row r="110" spans="1:8">
      <c r="B110" s="89" t="s">
        <v>227</v>
      </c>
      <c r="C110" s="90">
        <v>0.1027</v>
      </c>
    </row>
    <row r="111" spans="1:8">
      <c r="B111" s="89" t="s">
        <v>228</v>
      </c>
      <c r="C111" s="90">
        <v>8.6499999999999994E-2</v>
      </c>
    </row>
    <row r="112" spans="1:8">
      <c r="B112" s="89" t="s">
        <v>229</v>
      </c>
      <c r="C112" s="90">
        <v>7.7499999999999999E-2</v>
      </c>
    </row>
    <row r="113" spans="2:6">
      <c r="B113" s="89" t="s">
        <v>230</v>
      </c>
      <c r="C113" s="90">
        <v>7.3999999999999996E-2</v>
      </c>
    </row>
    <row r="114" spans="2:6">
      <c r="B114" s="89" t="s">
        <v>231</v>
      </c>
      <c r="C114" s="90">
        <v>5.8299999999999998E-2</v>
      </c>
    </row>
    <row r="115" spans="2:6">
      <c r="B115" s="89" t="s">
        <v>232</v>
      </c>
      <c r="C115" s="90">
        <v>4.1700000000000001E-2</v>
      </c>
    </row>
    <row r="117" spans="2:6">
      <c r="B117" s="87" t="s">
        <v>233</v>
      </c>
    </row>
    <row r="118" spans="2:6">
      <c r="B118" s="88" t="s">
        <v>234</v>
      </c>
      <c r="C118" s="88" t="s">
        <v>9</v>
      </c>
    </row>
    <row r="119" spans="2:6">
      <c r="B119" s="89" t="s">
        <v>235</v>
      </c>
      <c r="C119" s="90">
        <v>0.32949999999999996</v>
      </c>
    </row>
    <row r="120" spans="2:6">
      <c r="B120" s="89" t="s">
        <v>236</v>
      </c>
      <c r="C120" s="90">
        <v>0.12759999999999999</v>
      </c>
    </row>
    <row r="121" spans="2:6">
      <c r="B121" s="89" t="s">
        <v>237</v>
      </c>
      <c r="C121" s="90">
        <v>0.11269999999999999</v>
      </c>
    </row>
    <row r="122" spans="2:6">
      <c r="B122" s="89" t="s">
        <v>238</v>
      </c>
      <c r="C122" s="90">
        <v>8.6000000000000007E-2</v>
      </c>
    </row>
    <row r="123" spans="2:6">
      <c r="F123" s="91" t="s">
        <v>239</v>
      </c>
    </row>
    <row r="124" spans="2:6">
      <c r="B124" s="91" t="s">
        <v>240</v>
      </c>
      <c r="F124" s="91" t="s">
        <v>241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2024-10-09T13:09:16Z</dcterms:created>
  <dcterms:modified xsi:type="dcterms:W3CDTF">2024-10-09T13:09:18Z</dcterms:modified>
</cp:coreProperties>
</file>