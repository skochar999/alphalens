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BAE13BB1-B922-4869-87B6-68AE564FD234}" xr6:coauthVersionLast="47" xr6:coauthVersionMax="47" xr10:uidLastSave="{00000000-0000-0000-0000-000000000000}"/>
  <bookViews>
    <workbookView xWindow="-108" yWindow="-108" windowWidth="41496" windowHeight="16896" xr2:uid="{709F8507-CFC6-4AA8-8ADE-5681A2F91430}"/>
  </bookViews>
  <sheets>
    <sheet name="IDF022" sheetId="1" r:id="rId1"/>
  </sheets>
  <definedNames>
    <definedName name="JR_PAGE_ANCHOR_0_33">'IDF022'!$A$2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1" l="1"/>
  <c r="F76" i="1"/>
  <c r="G73" i="1"/>
  <c r="F73" i="1"/>
</calcChain>
</file>

<file path=xl/sharedStrings.xml><?xml version="1.0" encoding="utf-8"?>
<sst xmlns="http://schemas.openxmlformats.org/spreadsheetml/2006/main" count="295" uniqueCount="256">
  <si>
    <t>IDF022</t>
  </si>
  <si>
    <t>INDEX</t>
  </si>
  <si>
    <t>Portfolio Statement as on December 31,2024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</si>
  <si>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</si>
  <si>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</si>
  <si>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</si>
  <si>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</si>
  <si>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</si>
  <si>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</si>
  <si>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</si>
  <si>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</si>
  <si>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</si>
  <si>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</si>
  <si>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</si>
  <si>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</si>
  <si>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</si>
  <si>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</si>
  <si>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</si>
  <si>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</si>
  <si>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</si>
  <si>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</si>
  <si>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</si>
  <si>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</si>
  <si>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</si>
  <si>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</si>
  <si>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</si>
  <si>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</si>
  <si>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</si>
  <si>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</si>
  <si>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</si>
  <si>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</si>
  <si>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</si>
  <si>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</si>
  <si>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</si>
  <si>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</si>
  <si>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</si>
  <si>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</si>
  <si>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</si>
  <si>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JSPL03</t>
  </si>
  <si>
    <t>Jindal Steel &amp; Power Limited</t>
  </si>
  <si>
    <t>INE749A01030</t>
  </si>
  <si>
    <t>Ferrous Metals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</si>
  <si>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</si>
  <si>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</si>
  <si>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</si>
  <si>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</si>
  <si>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</si>
  <si>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</si>
  <si>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</si>
  <si>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</si>
  <si>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</si>
  <si>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</si>
  <si>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</si>
  <si>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</si>
  <si>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</si>
  <si>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</si>
  <si>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</si>
  <si>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</si>
  <si>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MOTI02</t>
  </si>
  <si>
    <t>Bosch Limited</t>
  </si>
  <si>
    <t>INE323A01026</t>
  </si>
  <si>
    <t>Auto Components</t>
  </si>
  <si>
    <t>MCSP02</t>
  </si>
  <si>
    <t>United Spirits Limited</t>
  </si>
  <si>
    <t>INE854D01024</t>
  </si>
  <si>
    <t>Beverages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</si>
  <si>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</si>
  <si>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</si>
  <si>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</si>
  <si>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</si>
  <si>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</si>
  <si>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</si>
  <si>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</si>
  <si>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KEIN02</t>
  </si>
  <si>
    <t>KEC International Limited</t>
  </si>
  <si>
    <t>INE389H01022</t>
  </si>
  <si>
    <t>ILOM01</t>
  </si>
  <si>
    <t>ICICI Lombard General Insurance Company Limited</t>
  </si>
  <si>
    <t>INE765G01017</t>
  </si>
  <si>
    <t>Insurance</t>
  </si>
  <si>
    <t>HCLT02</t>
  </si>
  <si>
    <t>HCL Technologies Limited</t>
  </si>
  <si>
    <t>INE860A01027</t>
  </si>
  <si>
    <t>TEMA02</t>
  </si>
  <si>
    <t>Tech Mahindra Limited</t>
  </si>
  <si>
    <t>INE669C01036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</si>
  <si>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</si>
  <si>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</si>
  <si>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</si>
  <si>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</si>
  <si>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</si>
  <si>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</si>
  <si>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</si>
  <si>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</si>
  <si>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</si>
  <si>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</si>
  <si>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AVSP01</t>
  </si>
  <si>
    <t>Avenue Supermarts Limited</t>
  </si>
  <si>
    <t>INE192R01011</t>
  </si>
  <si>
    <t>Retailing</t>
  </si>
  <si>
    <t>AUPH03</t>
  </si>
  <si>
    <t>Aurobindo Pharma Limited</t>
  </si>
  <si>
    <t>INE406A01037</t>
  </si>
  <si>
    <t>HERO02</t>
  </si>
  <si>
    <t>Hero MotoCorp Limited</t>
  </si>
  <si>
    <t>INE158A01026</t>
  </si>
  <si>
    <t>LUPL02</t>
  </si>
  <si>
    <t>Lupin Limited</t>
  </si>
  <si>
    <t>INE326A01037</t>
  </si>
  <si>
    <t>GRPA01</t>
  </si>
  <si>
    <t>Greenpanel Industries Limited</t>
  </si>
  <si>
    <t>INE08ZM01014</t>
  </si>
  <si>
    <t>Consumer Durables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</si>
  <si>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</si>
  <si>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</si>
  <si>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</si>
  <si>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</si>
  <si>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</si>
  <si>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</si>
  <si>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</si>
  <si>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HDLI01</t>
  </si>
  <si>
    <t>HDFC Life Insurance Company Limited</t>
  </si>
  <si>
    <t>INE795G01014</t>
  </si>
  <si>
    <t>GRAS02</t>
  </si>
  <si>
    <t>Grasim Industries Limited</t>
  </si>
  <si>
    <t>INE047A01021</t>
  </si>
  <si>
    <t>Cement &amp; Cement Products</t>
  </si>
  <si>
    <t>GESC01</t>
  </si>
  <si>
    <t>Mahindra Lifespace Developers Limited</t>
  </si>
  <si>
    <t>INE813A01018</t>
  </si>
  <si>
    <t>Realty</t>
  </si>
  <si>
    <t>MAFS02</t>
  </si>
  <si>
    <t>Mahindra &amp; Mahindra Financial Services Limited</t>
  </si>
  <si>
    <t>INE774D01024</t>
  </si>
  <si>
    <t>Finance</t>
  </si>
  <si>
    <t>UBBL02</t>
  </si>
  <si>
    <t>United Breweries Limited</t>
  </si>
  <si>
    <t>INE686F01025</t>
  </si>
  <si>
    <t>DABU02</t>
  </si>
  <si>
    <t>Dabur India Limited</t>
  </si>
  <si>
    <t>INE016A01026</t>
  </si>
  <si>
    <t>Personal Products</t>
  </si>
  <si>
    <t>DRRL03</t>
  </si>
  <si>
    <t>Dr. Reddy's Laboratories Limited</t>
  </si>
  <si>
    <t>INE089A01031</t>
  </si>
  <si>
    <t>MIIL02</t>
  </si>
  <si>
    <t>UNO Minda Limited</t>
  </si>
  <si>
    <t>INE405E01023</t>
  </si>
  <si>
    <t>BAYE02</t>
  </si>
  <si>
    <t>Bayer Cropscience Limited</t>
  </si>
  <si>
    <t>INE462A01022</t>
  </si>
  <si>
    <t>Fertilizers &amp; Agrochemicals</t>
  </si>
  <si>
    <t>NEST02</t>
  </si>
  <si>
    <t>Nestle India Limited</t>
  </si>
  <si>
    <t>INE239A01024</t>
  </si>
  <si>
    <t>Food Products</t>
  </si>
  <si>
    <t>VRLO01</t>
  </si>
  <si>
    <t>VRL Logistics Limited</t>
  </si>
  <si>
    <t>INE366I01010</t>
  </si>
  <si>
    <t>Transport Services</t>
  </si>
  <si>
    <t>AVAF03</t>
  </si>
  <si>
    <t>Avanti Feeds Limited</t>
  </si>
  <si>
    <t>INE871C01038</t>
  </si>
  <si>
    <t>GLAX01</t>
  </si>
  <si>
    <t>GlaxoSmithKline Pharmaceuticals Limited</t>
  </si>
  <si>
    <t>INE159A01016</t>
  </si>
  <si>
    <t>EASI02</t>
  </si>
  <si>
    <t>EIH Limited</t>
  </si>
  <si>
    <t>INE230A01023</t>
  </si>
  <si>
    <t>Leisure Services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</si>
  <si>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</si>
  <si>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</si>
  <si>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</si>
  <si>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</si>
  <si>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</si>
  <si>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</si>
  <si>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</si>
  <si>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MALE02</t>
  </si>
  <si>
    <t>Poonawalla Fincorp Limited</t>
  </si>
  <si>
    <t>INE511C01022</t>
  </si>
  <si>
    <t>SOTL02</t>
  </si>
  <si>
    <t>Sterlite Technologies Limited</t>
  </si>
  <si>
    <t>INE089C01029</t>
  </si>
  <si>
    <t>Telecom - Equipment &amp; Accessories</t>
  </si>
  <si>
    <t>MCEL03</t>
  </si>
  <si>
    <t>The Ramco Cements Limited</t>
  </si>
  <si>
    <t>INE331A01037</t>
  </si>
  <si>
    <t>MFSL01</t>
  </si>
  <si>
    <t>Mas Financial Services Limited</t>
  </si>
  <si>
    <t>INE348L01012</t>
  </si>
  <si>
    <t>SLIF01</t>
  </si>
  <si>
    <t>SBI Life Insurance Company Limited</t>
  </si>
  <si>
    <t>INE123W01016</t>
  </si>
  <si>
    <t>KIFE02</t>
  </si>
  <si>
    <t>Kirloskar Ferrous Industries Limited</t>
  </si>
  <si>
    <t>INE884B01025</t>
  </si>
  <si>
    <t>ONGC02</t>
  </si>
  <si>
    <t>Oil &amp; Natural Gas Corporation Limited</t>
  </si>
  <si>
    <t>INE213A01029</t>
  </si>
  <si>
    <t>Oil</t>
  </si>
  <si>
    <t>TPOW02</t>
  </si>
  <si>
    <t>Tata Power Company Limited</t>
  </si>
  <si>
    <t>INE245A01021</t>
  </si>
  <si>
    <t>NAGF02</t>
  </si>
  <si>
    <t>NCC Limited</t>
  </si>
  <si>
    <t>INE868B01028</t>
  </si>
  <si>
    <t>SANH01</t>
  </si>
  <si>
    <t>Sandhar Technologies Limited</t>
  </si>
  <si>
    <t>INE278H01035</t>
  </si>
  <si>
    <t>IHOT02</t>
  </si>
  <si>
    <t>The Indian Hotels Company Limited</t>
  </si>
  <si>
    <t>INE053A01029</t>
  </si>
  <si>
    <t>GLAN02</t>
  </si>
  <si>
    <t>Gland Pharma Limited</t>
  </si>
  <si>
    <t>INE068V01023</t>
  </si>
  <si>
    <t>DENI02</t>
  </si>
  <si>
    <t>Deepak Nitrite Limited</t>
  </si>
  <si>
    <t>INE288B01029</t>
  </si>
  <si>
    <t>Chemicals &amp; Petrochemicals</t>
  </si>
  <si>
    <t>SODL01</t>
  </si>
  <si>
    <t>Sobha Limited</t>
  </si>
  <si>
    <t>INE671H01015</t>
  </si>
  <si>
    <t>YATR01</t>
  </si>
  <si>
    <t>Yatra Online Limited</t>
  </si>
  <si>
    <t>INE0JR601024</t>
  </si>
  <si>
    <t>SAWL01</t>
  </si>
  <si>
    <t>Sterling And Wilson Renewable Energy Limited</t>
  </si>
  <si>
    <t>INE00M201021</t>
  </si>
  <si>
    <t>KHAD01</t>
  </si>
  <si>
    <t>Khadim India Limited</t>
  </si>
  <si>
    <t>INE834I01025</t>
  </si>
  <si>
    <t>AMUL01</t>
  </si>
  <si>
    <t>Apollo Pipes Limited</t>
  </si>
  <si>
    <t>INE126J01016</t>
  </si>
  <si>
    <t>Industrial Products</t>
  </si>
  <si>
    <t>TELC03</t>
  </si>
  <si>
    <t>Tata Motors Limited</t>
  </si>
  <si>
    <t>INE155A01022</t>
  </si>
  <si>
    <t>Subtotal</t>
  </si>
  <si>
    <t>(b) UNLISTED</t>
  </si>
  <si>
    <t>Grasim Industries Limited #</t>
  </si>
  <si>
    <t>IN9047A01029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</si>
  <si>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</si>
  <si>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</si>
  <si>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</si>
  <si>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</si>
  <si>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</si>
  <si>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</si>
  <si>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</si>
  <si>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</si>
  <si>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Net Current Assets</t>
  </si>
  <si>
    <t>GRAND TOTAL</t>
  </si>
  <si>
    <t># Grasim Industries Limited Partly Paid have been suspended from trading on the exchange for the payment of 2nd Call.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</si>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</sst>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1</xdr:rowOff>
    </xdr:from>
    <xdr:to>
      <xdr:col>1</xdr:col>
      <xdr:colOff>2857500</xdr:colOff>
      <xdr:row>101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9FE03-CE2A-4825-BA94-C8A211290A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48818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1</xdr:rowOff>
    </xdr:from>
    <xdr:to>
      <xdr:col>7</xdr:col>
      <xdr:colOff>556260</xdr:colOff>
      <xdr:row>101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7F96AE-534D-4853-92B7-24EB89926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48818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3E9B-A8B6-498D-A4D1-9285C02E4587}">
  <sheetPr codeName="Sheet33">
    <outlinePr summaryBelow="0"/>
  </sheetPr>
  <dimension ref="A1:H90"/>
  <sheetViews>
    <sheetView tabSelected="1" topLeftCell="A55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2700000</v>
      </c>
      <c r="F8" s="18">
        <v>47866.95</v>
      </c>
      <c r="G8" s="19">
        <v>7.0199999999999999E-2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3000000</v>
      </c>
      <c r="F9" s="18">
        <v>38449.5</v>
      </c>
      <c r="G9" s="19">
        <v>5.6399999999999999E-2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2700000</v>
      </c>
      <c r="F10" s="18">
        <v>32817.15</v>
      </c>
      <c r="G10" s="19">
        <v>4.8099999999999997E-2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2600000</v>
      </c>
      <c r="F11" s="18">
        <v>27682.2</v>
      </c>
      <c r="G11" s="19">
        <v>4.0599999999999997E-2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1400000</v>
      </c>
      <c r="F12" s="18">
        <v>26320</v>
      </c>
      <c r="G12" s="19">
        <v>3.8600000000000002E-2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30</v>
      </c>
      <c r="E13" s="17">
        <v>500000</v>
      </c>
      <c r="F13" s="18">
        <v>20474</v>
      </c>
      <c r="G13" s="19">
        <v>0.03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37</v>
      </c>
      <c r="E14" s="17">
        <v>1000000</v>
      </c>
      <c r="F14" s="18">
        <v>15877.5</v>
      </c>
      <c r="G14" s="19">
        <v>2.3300000000000001E-2</v>
      </c>
      <c r="H14" s="20"/>
    </row>
    <row r="15" spans="1:8" ht="13.05" customHeight="1">
      <c r="A15" s="15" t="s">
        <v>38</v>
      </c>
      <c r="B15" s="16" t="s">
        <v>39</v>
      </c>
      <c r="C15" s="12" t="s">
        <v>40</v>
      </c>
      <c r="D15" s="13" t="s">
        <v>41</v>
      </c>
      <c r="E15" s="17">
        <v>1500000</v>
      </c>
      <c r="F15" s="18">
        <v>13960.5</v>
      </c>
      <c r="G15" s="19">
        <v>2.0500000000000001E-2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1900000</v>
      </c>
      <c r="F16" s="18">
        <v>13832</v>
      </c>
      <c r="G16" s="19">
        <v>2.0299999999999999E-2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350000</v>
      </c>
      <c r="F17" s="18">
        <v>12626.78</v>
      </c>
      <c r="G17" s="19">
        <v>1.8499999999999999E-2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2500000</v>
      </c>
      <c r="F18" s="18">
        <v>12091.25</v>
      </c>
      <c r="G18" s="19">
        <v>1.77E-2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625000</v>
      </c>
      <c r="F19" s="18">
        <v>11789.69</v>
      </c>
      <c r="G19" s="19">
        <v>1.7299999999999999E-2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34500</v>
      </c>
      <c r="F20" s="18">
        <v>11764.57</v>
      </c>
      <c r="G20" s="19">
        <v>1.72E-2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700000</v>
      </c>
      <c r="F21" s="18">
        <v>11378.15</v>
      </c>
      <c r="G21" s="19">
        <v>1.67E-2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16</v>
      </c>
      <c r="E22" s="17">
        <v>1400000</v>
      </c>
      <c r="F22" s="18">
        <v>11129.3</v>
      </c>
      <c r="G22" s="19">
        <v>1.6299999999999999E-2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100000</v>
      </c>
      <c r="F23" s="18">
        <v>10858.4</v>
      </c>
      <c r="G23" s="19">
        <v>1.5900000000000001E-2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49</v>
      </c>
      <c r="E24" s="17">
        <v>900000</v>
      </c>
      <c r="F24" s="18">
        <v>10789.2</v>
      </c>
      <c r="G24" s="19">
        <v>1.5800000000000002E-2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600000</v>
      </c>
      <c r="F25" s="18">
        <v>10726.5</v>
      </c>
      <c r="G25" s="19">
        <v>1.5699999999999999E-2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30</v>
      </c>
      <c r="E26" s="17">
        <v>550000</v>
      </c>
      <c r="F26" s="18">
        <v>10545.7</v>
      </c>
      <c r="G26" s="19">
        <v>1.55E-2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30</v>
      </c>
      <c r="E27" s="17">
        <v>600000</v>
      </c>
      <c r="F27" s="18">
        <v>10237.200000000001</v>
      </c>
      <c r="G27" s="19">
        <v>1.4999999999999999E-2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16</v>
      </c>
      <c r="E28" s="17">
        <v>1050000</v>
      </c>
      <c r="F28" s="18">
        <v>10081.58</v>
      </c>
      <c r="G28" s="19">
        <v>1.4800000000000001E-2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3000000</v>
      </c>
      <c r="F29" s="18">
        <v>10000.5</v>
      </c>
      <c r="G29" s="19">
        <v>1.47E-2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16</v>
      </c>
      <c r="E30" s="17">
        <v>550000</v>
      </c>
      <c r="F30" s="18">
        <v>9823.2800000000007</v>
      </c>
      <c r="G30" s="19">
        <v>1.44E-2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275000</v>
      </c>
      <c r="F31" s="18">
        <v>9795.09</v>
      </c>
      <c r="G31" s="19">
        <v>1.44E-2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57</v>
      </c>
      <c r="E32" s="17">
        <v>725000</v>
      </c>
      <c r="F32" s="18">
        <v>9675.1299999999992</v>
      </c>
      <c r="G32" s="19">
        <v>1.4200000000000001E-2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72</v>
      </c>
      <c r="E33" s="17">
        <v>220000</v>
      </c>
      <c r="F33" s="18">
        <v>9153.32</v>
      </c>
      <c r="G33" s="19">
        <v>1.34E-2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57</v>
      </c>
      <c r="E34" s="17">
        <v>375000</v>
      </c>
      <c r="F34" s="18">
        <v>8833.8799999999992</v>
      </c>
      <c r="G34" s="19">
        <v>1.29E-2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2300000</v>
      </c>
      <c r="F35" s="18">
        <v>8698.6</v>
      </c>
      <c r="G35" s="19">
        <v>1.2800000000000001E-2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57</v>
      </c>
      <c r="E36" s="17">
        <v>500000</v>
      </c>
      <c r="F36" s="18">
        <v>7645</v>
      </c>
      <c r="G36" s="19">
        <v>1.12E-2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1700000</v>
      </c>
      <c r="F37" s="18">
        <v>7555.65</v>
      </c>
      <c r="G37" s="19">
        <v>1.11E-2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79</v>
      </c>
      <c r="E38" s="17">
        <v>1200000</v>
      </c>
      <c r="F38" s="18">
        <v>7404.6</v>
      </c>
      <c r="G38" s="19">
        <v>1.09E-2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300000</v>
      </c>
      <c r="F39" s="18">
        <v>7328.1</v>
      </c>
      <c r="G39" s="19">
        <v>1.0699999999999999E-2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130</v>
      </c>
      <c r="E40" s="17">
        <v>1575000</v>
      </c>
      <c r="F40" s="18">
        <v>7300.13</v>
      </c>
      <c r="G40" s="19">
        <v>1.0699999999999999E-2</v>
      </c>
      <c r="H40" s="20"/>
    </row>
    <row r="41" spans="1:8" ht="13.05" customHeight="1">
      <c r="A41" s="15" t="s">
        <v>131</v>
      </c>
      <c r="B41" s="16" t="s">
        <v>132</v>
      </c>
      <c r="C41" s="12" t="s">
        <v>133</v>
      </c>
      <c r="D41" s="13" t="s">
        <v>134</v>
      </c>
      <c r="E41" s="17">
        <v>2750000</v>
      </c>
      <c r="F41" s="18">
        <v>7286.13</v>
      </c>
      <c r="G41" s="19">
        <v>1.0699999999999999E-2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65</v>
      </c>
      <c r="E42" s="17">
        <v>350000</v>
      </c>
      <c r="F42" s="18">
        <v>7129.5</v>
      </c>
      <c r="G42" s="19">
        <v>1.0500000000000001E-2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1400000</v>
      </c>
      <c r="F43" s="18">
        <v>7098</v>
      </c>
      <c r="G43" s="19">
        <v>1.04E-2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57</v>
      </c>
      <c r="E44" s="17">
        <v>500000</v>
      </c>
      <c r="F44" s="18">
        <v>6942.5</v>
      </c>
      <c r="G44" s="19">
        <v>1.0200000000000001E-2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61</v>
      </c>
      <c r="E45" s="17">
        <v>650000</v>
      </c>
      <c r="F45" s="18">
        <v>6845.8</v>
      </c>
      <c r="G45" s="19">
        <v>0.01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151</v>
      </c>
      <c r="E46" s="17">
        <v>120000</v>
      </c>
      <c r="F46" s="18">
        <v>6661.14</v>
      </c>
      <c r="G46" s="19">
        <v>9.7999999999999997E-3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300000</v>
      </c>
      <c r="F47" s="18">
        <v>6510.15</v>
      </c>
      <c r="G47" s="19">
        <v>9.4999999999999998E-3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1230000</v>
      </c>
      <c r="F48" s="18">
        <v>6213.35</v>
      </c>
      <c r="G48" s="19">
        <v>9.1000000000000004E-3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155</v>
      </c>
      <c r="E49" s="17">
        <v>900000</v>
      </c>
      <c r="F49" s="18">
        <v>6135.75</v>
      </c>
      <c r="G49" s="19">
        <v>8.9999999999999993E-3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57</v>
      </c>
      <c r="E50" s="17">
        <v>272269</v>
      </c>
      <c r="F50" s="18">
        <v>6131.09</v>
      </c>
      <c r="G50" s="19">
        <v>8.9999999999999993E-3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169</v>
      </c>
      <c r="E51" s="17">
        <v>1450000</v>
      </c>
      <c r="F51" s="18">
        <v>6087.83</v>
      </c>
      <c r="G51" s="19">
        <v>8.8999999999999999E-3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99</v>
      </c>
      <c r="E52" s="17">
        <v>70000</v>
      </c>
      <c r="F52" s="18">
        <v>6074.08</v>
      </c>
      <c r="G52" s="19">
        <v>8.8999999999999999E-3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176</v>
      </c>
      <c r="E53" s="17">
        <v>1000000</v>
      </c>
      <c r="F53" s="18">
        <v>6024.5</v>
      </c>
      <c r="G53" s="19">
        <v>8.8000000000000005E-3</v>
      </c>
      <c r="H53" s="20"/>
    </row>
    <row r="54" spans="1:8" ht="13.05" customHeight="1">
      <c r="A54" s="15" t="s">
        <v>177</v>
      </c>
      <c r="B54" s="16" t="s">
        <v>178</v>
      </c>
      <c r="C54" s="12" t="s">
        <v>179</v>
      </c>
      <c r="D54" s="13" t="s">
        <v>134</v>
      </c>
      <c r="E54" s="17">
        <v>1900000</v>
      </c>
      <c r="F54" s="18">
        <v>5972.65</v>
      </c>
      <c r="G54" s="19">
        <v>8.8000000000000005E-3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183</v>
      </c>
      <c r="E55" s="17">
        <v>4900000</v>
      </c>
      <c r="F55" s="18">
        <v>5613.93</v>
      </c>
      <c r="G55" s="19">
        <v>8.2000000000000007E-3</v>
      </c>
      <c r="H55" s="20"/>
    </row>
    <row r="56" spans="1:8" ht="13.05" customHeight="1">
      <c r="A56" s="15" t="s">
        <v>184</v>
      </c>
      <c r="B56" s="16" t="s">
        <v>185</v>
      </c>
      <c r="C56" s="12" t="s">
        <v>186</v>
      </c>
      <c r="D56" s="13" t="s">
        <v>126</v>
      </c>
      <c r="E56" s="17">
        <v>575000</v>
      </c>
      <c r="F56" s="18">
        <v>5552.49</v>
      </c>
      <c r="G56" s="19">
        <v>8.0999999999999996E-3</v>
      </c>
      <c r="H56" s="20"/>
    </row>
    <row r="57" spans="1:8" ht="13.05" customHeight="1">
      <c r="A57" s="15" t="s">
        <v>187</v>
      </c>
      <c r="B57" s="16" t="s">
        <v>188</v>
      </c>
      <c r="C57" s="12" t="s">
        <v>189</v>
      </c>
      <c r="D57" s="13" t="s">
        <v>134</v>
      </c>
      <c r="E57" s="17">
        <v>1980000</v>
      </c>
      <c r="F57" s="18">
        <v>5450.94</v>
      </c>
      <c r="G57" s="19">
        <v>8.0000000000000002E-3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79</v>
      </c>
      <c r="E58" s="17">
        <v>350000</v>
      </c>
      <c r="F58" s="18">
        <v>4866.3999999999996</v>
      </c>
      <c r="G58" s="19">
        <v>7.1000000000000004E-3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41</v>
      </c>
      <c r="E59" s="17">
        <v>752192</v>
      </c>
      <c r="F59" s="18">
        <v>4809.8900000000003</v>
      </c>
      <c r="G59" s="19">
        <v>7.1000000000000004E-3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2000000</v>
      </c>
      <c r="F60" s="18">
        <v>4785</v>
      </c>
      <c r="G60" s="19">
        <v>7.0000000000000001E-3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92</v>
      </c>
      <c r="E61" s="17">
        <v>1200000</v>
      </c>
      <c r="F61" s="18">
        <v>4708.8</v>
      </c>
      <c r="G61" s="19">
        <v>6.8999999999999999E-3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49</v>
      </c>
      <c r="E62" s="17">
        <v>1676708</v>
      </c>
      <c r="F62" s="18">
        <v>4592.5</v>
      </c>
      <c r="G62" s="19">
        <v>6.7000000000000002E-3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61</v>
      </c>
      <c r="E63" s="17">
        <v>900000</v>
      </c>
      <c r="F63" s="18">
        <v>4574.7</v>
      </c>
      <c r="G63" s="19">
        <v>6.7000000000000002E-3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169</v>
      </c>
      <c r="E64" s="17">
        <v>450000</v>
      </c>
      <c r="F64" s="18">
        <v>3948.98</v>
      </c>
      <c r="G64" s="19">
        <v>5.7999999999999996E-3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57</v>
      </c>
      <c r="E65" s="17">
        <v>200000</v>
      </c>
      <c r="F65" s="18">
        <v>3558.7</v>
      </c>
      <c r="G65" s="19">
        <v>5.1999999999999998E-3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218</v>
      </c>
      <c r="E66" s="17">
        <v>140000</v>
      </c>
      <c r="F66" s="18">
        <v>3492.02</v>
      </c>
      <c r="G66" s="19">
        <v>5.1000000000000004E-3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130</v>
      </c>
      <c r="E67" s="17">
        <v>220000</v>
      </c>
      <c r="F67" s="18">
        <v>3468.74</v>
      </c>
      <c r="G67" s="19">
        <v>5.1000000000000004E-3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169</v>
      </c>
      <c r="E68" s="17">
        <v>2700000</v>
      </c>
      <c r="F68" s="18">
        <v>3124.98</v>
      </c>
      <c r="G68" s="19">
        <v>4.5999999999999999E-3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49</v>
      </c>
      <c r="E69" s="17">
        <v>600000</v>
      </c>
      <c r="F69" s="18">
        <v>2753.4</v>
      </c>
      <c r="G69" s="19">
        <v>4.0000000000000001E-3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112</v>
      </c>
      <c r="E70" s="17">
        <v>650000</v>
      </c>
      <c r="F70" s="18">
        <v>2361.7800000000002</v>
      </c>
      <c r="G70" s="19">
        <v>3.5000000000000001E-3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234</v>
      </c>
      <c r="E71" s="17">
        <v>500000</v>
      </c>
      <c r="F71" s="18">
        <v>2319.5</v>
      </c>
      <c r="G71" s="19">
        <v>3.3999999999999998E-3</v>
      </c>
      <c r="H71" s="20"/>
    </row>
    <row r="72" spans="1:8" ht="13.05" customHeight="1">
      <c r="A72" s="15" t="s">
        <v>235</v>
      </c>
      <c r="B72" s="16" t="s">
        <v>236</v>
      </c>
      <c r="C72" s="12" t="s">
        <v>237</v>
      </c>
      <c r="D72" s="13" t="s">
        <v>72</v>
      </c>
      <c r="E72" s="17">
        <v>300000</v>
      </c>
      <c r="F72" s="18">
        <v>2220.4499999999998</v>
      </c>
      <c r="G72" s="19">
        <v>3.3E-3</v>
      </c>
      <c r="H72" s="20"/>
    </row>
    <row r="73" spans="1:8" ht="13.05" customHeight="1">
      <c r="A73" s="4"/>
      <c r="B73" s="21" t="s">
        <v>238</v>
      </c>
      <c r="C73" s="22"/>
      <c r="D73" s="21"/>
      <c r="E73" s="21"/>
      <c r="F73" s="23">
        <f>SUM(F8:F72)</f>
        <v>637827.07000000007</v>
      </c>
      <c r="G73" s="24">
        <f>SUM(G8:G72)</f>
        <v>0.93520000000000014</v>
      </c>
      <c r="H73" s="25"/>
    </row>
    <row r="74" spans="1:8" ht="13.05" customHeight="1">
      <c r="A74" s="4"/>
      <c r="B74" s="11" t="s">
        <v>239</v>
      </c>
      <c r="C74" s="26"/>
      <c r="D74" s="27"/>
      <c r="E74" s="27"/>
      <c r="F74" s="28"/>
      <c r="G74" s="28"/>
      <c r="H74" s="25"/>
    </row>
    <row r="75" spans="1:8" ht="13.05" customHeight="1">
      <c r="A75" s="4"/>
      <c r="B75" s="16" t="s">
        <v>240</v>
      </c>
      <c r="C75" s="12" t="s">
        <v>241</v>
      </c>
      <c r="D75" s="13" t="s">
        <v>126</v>
      </c>
      <c r="E75" s="17">
        <v>11926</v>
      </c>
      <c r="F75" s="18">
        <v>183.27</v>
      </c>
      <c r="G75" s="19">
        <v>2.9999999999999997E-4</v>
      </c>
      <c r="H75" s="25"/>
    </row>
    <row r="76" spans="1:8" ht="13.05" customHeight="1">
      <c r="A76" s="4"/>
      <c r="B76" s="21" t="s">
        <v>238</v>
      </c>
      <c r="C76" s="26"/>
      <c r="D76" s="27"/>
      <c r="E76" s="27"/>
      <c r="F76" s="23">
        <f>+F75</f>
        <v>183.27</v>
      </c>
      <c r="G76" s="24">
        <f>+G75</f>
        <v>2.9999999999999997E-4</v>
      </c>
      <c r="H76" s="25" t="s">
        <v>242</v>
      </c>
    </row>
    <row r="77" spans="1:8" ht="13.05" customHeight="1">
      <c r="A77" s="4"/>
      <c r="B77" s="21" t="s">
        <v>243</v>
      </c>
      <c r="C77" s="26"/>
      <c r="D77" s="27"/>
      <c r="E77" s="29"/>
      <c r="F77" s="30">
        <v>638010.34</v>
      </c>
      <c r="G77" s="31">
        <v>0.9355</v>
      </c>
      <c r="H77" s="32"/>
    </row>
    <row r="78" spans="1:8" ht="13.05" customHeight="1">
      <c r="A78" s="4"/>
      <c r="B78" s="11" t="s">
        <v>244</v>
      </c>
      <c r="C78" s="12"/>
      <c r="D78" s="13"/>
      <c r="E78" s="13"/>
      <c r="F78" s="13"/>
      <c r="G78" s="13"/>
      <c r="H78" s="14"/>
    </row>
    <row r="79" spans="1:8" ht="13.05" customHeight="1">
      <c r="A79" s="4"/>
      <c r="B79" s="33" t="s">
        <v>245</v>
      </c>
      <c r="C79" s="12"/>
      <c r="D79" s="13"/>
      <c r="E79" s="13"/>
      <c r="F79" s="13"/>
      <c r="G79" s="13"/>
      <c r="H79" s="14"/>
    </row>
    <row r="80" spans="1:8" ht="13.05" customHeight="1">
      <c r="A80" s="15" t="s">
        <v>246</v>
      </c>
      <c r="B80" s="16" t="s">
        <v>247</v>
      </c>
      <c r="C80" s="12"/>
      <c r="D80" s="13"/>
      <c r="E80" s="34"/>
      <c r="F80" s="18">
        <v>45274.51</v>
      </c>
      <c r="G80" s="19">
        <v>6.6400000000000001E-2</v>
      </c>
      <c r="H80" s="20">
        <v>6.2893040881035284E-2</v>
      </c>
    </row>
    <row r="81" spans="1:8" ht="13.05" customHeight="1">
      <c r="A81" s="4"/>
      <c r="B81" s="21" t="s">
        <v>243</v>
      </c>
      <c r="C81" s="26"/>
      <c r="D81" s="27"/>
      <c r="E81" s="29"/>
      <c r="F81" s="30">
        <v>45274.51</v>
      </c>
      <c r="G81" s="31">
        <v>6.6400000000000001E-2</v>
      </c>
      <c r="H81" s="32"/>
    </row>
    <row r="82" spans="1:8" ht="13.05" customHeight="1">
      <c r="A82" s="4"/>
      <c r="B82" s="33" t="s">
        <v>248</v>
      </c>
      <c r="C82" s="35"/>
      <c r="D82" s="36"/>
      <c r="E82" s="36"/>
      <c r="F82" s="36"/>
      <c r="G82" s="36"/>
      <c r="H82" s="37"/>
    </row>
    <row r="83" spans="1:8" ht="13.05" customHeight="1">
      <c r="A83" s="4"/>
      <c r="B83" s="27" t="s">
        <v>249</v>
      </c>
      <c r="C83" s="26"/>
      <c r="D83" s="27"/>
      <c r="E83" s="27"/>
      <c r="F83" s="23">
        <v>246.22</v>
      </c>
      <c r="G83" s="24">
        <v>4.0000000000000002E-4</v>
      </c>
      <c r="H83" s="37"/>
    </row>
    <row r="84" spans="1:8" ht="13.05" customHeight="1">
      <c r="A84" s="4"/>
      <c r="B84" s="21" t="s">
        <v>238</v>
      </c>
      <c r="C84" s="22"/>
      <c r="D84" s="21"/>
      <c r="E84" s="21"/>
      <c r="F84" s="23">
        <v>246.22</v>
      </c>
      <c r="G84" s="24">
        <v>4.0000000000000002E-4</v>
      </c>
      <c r="H84" s="37"/>
    </row>
    <row r="85" spans="1:8" ht="13.05" customHeight="1">
      <c r="A85" s="4"/>
      <c r="B85" s="21" t="s">
        <v>250</v>
      </c>
      <c r="C85" s="26"/>
      <c r="D85" s="27"/>
      <c r="E85" s="27"/>
      <c r="F85" s="23">
        <v>-1320.79</v>
      </c>
      <c r="G85" s="38">
        <v>-2.3E-3</v>
      </c>
      <c r="H85" s="37"/>
    </row>
    <row r="86" spans="1:8" ht="13.05" customHeight="1" thickBot="1">
      <c r="A86" s="4"/>
      <c r="B86" s="39" t="s">
        <v>251</v>
      </c>
      <c r="C86" s="40"/>
      <c r="D86" s="41"/>
      <c r="E86" s="41"/>
      <c r="F86" s="42">
        <v>682210.28329254792</v>
      </c>
      <c r="G86" s="43">
        <v>1</v>
      </c>
      <c r="H86" s="44"/>
    </row>
    <row r="87" spans="1:8" ht="13.05" customHeight="1">
      <c r="A87" s="4"/>
      <c r="B87" s="45"/>
      <c r="C87" s="4"/>
      <c r="D87" s="4"/>
      <c r="E87" s="4"/>
      <c r="F87" s="4"/>
      <c r="G87" s="4"/>
      <c r="H87" s="4"/>
    </row>
    <row r="88" spans="1:8" ht="13.05" customHeight="1">
      <c r="A88" s="4"/>
      <c r="B88" s="46" t="s">
        <v>252</v>
      </c>
      <c r="C88" s="4"/>
      <c r="D88" s="4"/>
      <c r="E88" s="4"/>
      <c r="F88" s="4"/>
      <c r="G88" s="4"/>
      <c r="H88" s="4"/>
    </row>
    <row r="89" spans="1:8">
      <c r="F89" s="47" t="s">
        <v>253</v>
      </c>
    </row>
    <row r="90" spans="1:8">
      <c r="B90" s="47" t="s">
        <v>254</v>
      </c>
      <c r="F90" s="47" t="s">
        <v>255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2025-01-08T09:21:39Z</dcterms:created>
  <dcterms:modified xsi:type="dcterms:W3CDTF">2025-01-08T09:21:40Z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2025-01-08T09:21:40Z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862d27ca-af77-485e-80c0-186af0bde408</vt:lpwstr>
  </property>
  <property fmtid="{D5CDD505-2E9C-101B-9397-08002B2CF9AE}" pid="8" name="MSIP_Label_1b7f8449-e5d3-4eba-8da7-ffd6ca5bf3e9_ContentBits">
    <vt:lpwstr>0</vt:lpwstr>
  </property>
</Properties>
</file>