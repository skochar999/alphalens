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B655F445-7546-478D-9781-001D95CB43CB}" xr6:coauthVersionLast="47" xr6:coauthVersionMax="47" xr10:uidLastSave="{00000000-0000-0000-0000-000000000000}"/>
  <bookViews>
    <workbookView xWindow="-120" yWindow="-120" windowWidth="29040" windowHeight="15840" tabRatio="902" xr2:uid="{CC9F6827-C1F3-46D9-88D4-6AFB1C474DD9}"/>
  </bookViews>
  <sheets>
    <sheet name="Index" sheetId="29" r:id="rId1"/>
    <sheet name="CAPEXG" sheetId="1" r:id="rId2"/>
    <sheet name="GLOB" sheetId="30"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Annexure-A" sheetId="31" r:id="rId31"/>
  </sheets>
  <definedNames>
    <definedName name="_xlnm._FilterDatabase" localSheetId="30" hidden="1">'Annexure-A'!$B$8:$G$148</definedName>
    <definedName name="_xlnm._FilterDatabase" localSheetId="0" hidden="1">Index!$A$1:$C$27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1" i="22" l="1"/>
  <c r="F215" i="12"/>
  <c r="F124" i="12"/>
  <c r="F73" i="12"/>
  <c r="D92" i="30" l="1"/>
  <c r="F93" i="27" l="1"/>
  <c r="F92" i="27"/>
  <c r="F138" i="11"/>
  <c r="F137" i="11"/>
  <c r="G112" i="28" l="1"/>
  <c r="F112" i="28"/>
  <c r="F110" i="28"/>
  <c r="F169" i="28" s="1"/>
  <c r="G169" i="28" s="1"/>
  <c r="G109" i="28"/>
  <c r="G108" i="28"/>
  <c r="G107" i="28"/>
  <c r="G106" i="28"/>
  <c r="G105" i="28"/>
  <c r="G104" i="28"/>
  <c r="G103" i="28"/>
  <c r="G102" i="28"/>
  <c r="G101" i="28"/>
  <c r="G100" i="28"/>
  <c r="G99" i="28"/>
  <c r="G98" i="28"/>
  <c r="G97" i="28"/>
  <c r="G96" i="28"/>
  <c r="G95" i="28"/>
  <c r="G94" i="28"/>
  <c r="G93" i="28"/>
  <c r="G92" i="28"/>
  <c r="G91" i="28"/>
  <c r="G90" i="28"/>
  <c r="G89" i="28"/>
  <c r="G88" i="28"/>
  <c r="G110" i="28" s="1"/>
  <c r="G79" i="20"/>
  <c r="G71" i="20"/>
  <c r="F71" i="20"/>
  <c r="F79" i="20"/>
  <c r="D146" i="20" s="1"/>
  <c r="G66" i="18"/>
  <c r="F66" i="18"/>
  <c r="G80" i="18"/>
  <c r="F80" i="18"/>
  <c r="F174" i="16"/>
  <c r="G174" i="16" s="1"/>
  <c r="G116" i="16"/>
  <c r="F116"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G82" i="16"/>
  <c r="F37" i="15"/>
  <c r="F14" i="15"/>
  <c r="F59" i="15" s="1"/>
  <c r="F80" i="15" s="1"/>
  <c r="F125" i="15" s="1"/>
  <c r="G37" i="15" l="1"/>
  <c r="G14" i="15"/>
  <c r="G59" i="15" s="1"/>
  <c r="G80" i="15" s="1"/>
  <c r="G125" i="15" s="1"/>
  <c r="F110" i="14" l="1"/>
  <c r="F174" i="14" s="1"/>
  <c r="H5" i="17"/>
  <c r="H5" i="22"/>
  <c r="F86" i="14"/>
  <c r="F87" i="14"/>
  <c r="F53" i="14"/>
  <c r="F15" i="14"/>
  <c r="F71" i="14" l="1"/>
  <c r="F112" i="14" s="1"/>
  <c r="F175" i="14" s="1"/>
  <c r="G101" i="14" l="1"/>
  <c r="G100" i="14"/>
  <c r="G99" i="14"/>
  <c r="G98" i="14"/>
  <c r="G109" i="14"/>
  <c r="G97" i="14"/>
  <c r="G108" i="14"/>
  <c r="G96" i="14"/>
  <c r="G107" i="14"/>
  <c r="G95" i="14"/>
  <c r="G106" i="14"/>
  <c r="G94" i="14"/>
  <c r="G105" i="14"/>
  <c r="G104" i="14"/>
  <c r="G92" i="14"/>
  <c r="G103" i="14"/>
  <c r="G91" i="14"/>
  <c r="G102" i="14"/>
  <c r="G90" i="14"/>
  <c r="G93" i="14"/>
  <c r="G86" i="14"/>
  <c r="G87" i="14" s="1"/>
  <c r="G15" i="14"/>
  <c r="G53" i="14"/>
  <c r="G174" i="14"/>
  <c r="G110" i="14" l="1"/>
  <c r="G71" i="14"/>
  <c r="G112" i="14"/>
  <c r="G175" i="14" s="1"/>
  <c r="I181" i="13" l="1"/>
  <c r="F181" i="13"/>
  <c r="F150" i="13"/>
  <c r="G99" i="13"/>
  <c r="F99" i="13"/>
  <c r="I249" i="12"/>
  <c r="F249" i="12"/>
  <c r="F151" i="13" l="1"/>
  <c r="G150" i="13" s="1"/>
  <c r="G151" i="13" s="1"/>
  <c r="G87" i="13"/>
  <c r="G63" i="13"/>
  <c r="G75" i="13"/>
  <c r="G77" i="13"/>
  <c r="G66" i="13"/>
  <c r="G79" i="13"/>
  <c r="G68" i="13"/>
  <c r="G70" i="13"/>
  <c r="G94" i="13"/>
  <c r="G72" i="13"/>
  <c r="G61" i="13"/>
  <c r="G76" i="13"/>
  <c r="G89" i="13"/>
  <c r="G80" i="13"/>
  <c r="G69" i="13"/>
  <c r="G71" i="13"/>
  <c r="G60" i="13"/>
  <c r="G74" i="13"/>
  <c r="G86" i="13"/>
  <c r="F89" i="12"/>
  <c r="G62" i="13" l="1"/>
  <c r="G82" i="13"/>
  <c r="G91" i="13"/>
  <c r="G85" i="13"/>
  <c r="G95" i="13"/>
  <c r="G81" i="13"/>
  <c r="G67" i="13"/>
  <c r="G88" i="13"/>
  <c r="G96" i="13"/>
  <c r="G84" i="13"/>
  <c r="G93" i="13"/>
  <c r="G78" i="13"/>
  <c r="G73" i="13"/>
  <c r="G83" i="13"/>
  <c r="G92" i="13"/>
  <c r="G90" i="13"/>
  <c r="G64" i="13"/>
  <c r="G65" i="13"/>
  <c r="F90" i="12"/>
  <c r="F80" i="12"/>
  <c r="D226" i="12" s="1"/>
  <c r="F216" i="12" l="1"/>
  <c r="G259" i="12" s="1"/>
  <c r="G114" i="12" l="1"/>
  <c r="G102" i="12"/>
  <c r="G113" i="12"/>
  <c r="G101" i="12"/>
  <c r="G112" i="12"/>
  <c r="G100" i="12"/>
  <c r="G111" i="12"/>
  <c r="G99" i="12"/>
  <c r="G110" i="12"/>
  <c r="G98" i="12"/>
  <c r="G121" i="12"/>
  <c r="G109" i="12"/>
  <c r="G97" i="12"/>
  <c r="G120" i="12"/>
  <c r="G108" i="12"/>
  <c r="G96" i="12"/>
  <c r="G119" i="12"/>
  <c r="G107" i="12"/>
  <c r="G95" i="12"/>
  <c r="G118" i="12"/>
  <c r="G106" i="12"/>
  <c r="G94" i="12"/>
  <c r="G117" i="12"/>
  <c r="G105" i="12"/>
  <c r="G93" i="12"/>
  <c r="G116" i="12"/>
  <c r="G104" i="12"/>
  <c r="G115" i="12"/>
  <c r="G103" i="12"/>
  <c r="G215" i="12"/>
  <c r="G89" i="12"/>
  <c r="G90" i="12" s="1"/>
  <c r="G124" i="12" s="1"/>
  <c r="G216" i="12" l="1"/>
  <c r="D134" i="1" l="1"/>
  <c r="D135" i="15"/>
  <c r="H92" i="17"/>
  <c r="H91" i="17"/>
  <c r="H90" i="17"/>
  <c r="H89" i="17"/>
  <c r="H88" i="17"/>
  <c r="H87" i="17"/>
  <c r="H86" i="17"/>
  <c r="H85" i="17"/>
  <c r="H84" i="17"/>
  <c r="H83" i="17"/>
  <c r="H82" i="17"/>
  <c r="H81" i="17"/>
  <c r="H80" i="17"/>
  <c r="H79" i="17"/>
  <c r="H78" i="17"/>
  <c r="H77" i="17"/>
  <c r="H76" i="17"/>
  <c r="H74" i="17"/>
  <c r="H73" i="17"/>
  <c r="H72" i="17"/>
  <c r="H71" i="17"/>
  <c r="H70" i="17"/>
  <c r="H69" i="17"/>
  <c r="H68" i="17"/>
  <c r="H67" i="17"/>
  <c r="H66" i="17"/>
  <c r="H65" i="17"/>
  <c r="H64" i="17"/>
  <c r="H63" i="17"/>
  <c r="H119" i="22"/>
  <c r="H118" i="22"/>
  <c r="H117" i="22"/>
  <c r="H116" i="22"/>
  <c r="H115" i="22"/>
  <c r="H114" i="22"/>
  <c r="H113" i="22"/>
  <c r="H112" i="22"/>
  <c r="H111" i="22"/>
  <c r="H110" i="22"/>
  <c r="H109" i="22"/>
  <c r="H108" i="22"/>
  <c r="H107" i="22"/>
  <c r="H106" i="22"/>
  <c r="H105" i="22"/>
  <c r="H104" i="22"/>
  <c r="H103" i="22"/>
  <c r="H102" i="22"/>
  <c r="H100" i="22"/>
  <c r="H99" i="22"/>
  <c r="H98" i="22"/>
  <c r="H97" i="22"/>
  <c r="H96" i="22"/>
  <c r="H95" i="22"/>
  <c r="H94" i="22"/>
  <c r="H93" i="22"/>
  <c r="H92" i="22"/>
  <c r="H91" i="22"/>
  <c r="H90" i="22"/>
  <c r="H89" i="22"/>
  <c r="H88" i="22"/>
  <c r="H87" i="22"/>
  <c r="H86" i="22"/>
  <c r="H85" i="22"/>
  <c r="H84" i="22"/>
  <c r="H83" i="22"/>
  <c r="H82" i="22"/>
  <c r="H81" i="22"/>
  <c r="H80" i="22"/>
  <c r="H79" i="22"/>
  <c r="H78" i="22"/>
  <c r="H77" i="22"/>
  <c r="H76" i="22"/>
  <c r="H75" i="22"/>
  <c r="H74" i="22"/>
  <c r="H73" i="22"/>
  <c r="H72" i="22"/>
  <c r="H71" i="22"/>
  <c r="H70" i="22"/>
  <c r="H69" i="22"/>
  <c r="H68" i="22"/>
  <c r="H67" i="22"/>
  <c r="H66" i="22"/>
  <c r="H65" i="22"/>
  <c r="H64" i="22"/>
  <c r="H63" i="22"/>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10" i="17"/>
  <c r="H9" i="17"/>
  <c r="H8" i="17"/>
  <c r="H7" i="17"/>
  <c r="H6" i="17"/>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10" i="22"/>
  <c r="H9" i="22"/>
  <c r="H8" i="22"/>
  <c r="H7" i="22"/>
  <c r="H6" i="22"/>
</calcChain>
</file>

<file path=xl/sharedStrings.xml><?xml version="1.0" encoding="utf-8"?>
<sst xmlns="http://schemas.openxmlformats.org/spreadsheetml/2006/main" count="12406" uniqueCount="1225">
  <si>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</si>
  <si>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</si>
  <si>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</si>
  <si>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</si>
  <si>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</si>
  <si>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</si>
  <si>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</si>
  <si>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</si>
  <si>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</si>
  <si>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</si>
  <si>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</si>
  <si>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</si>
  <si>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</si>
  <si>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</si>
  <si>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INE002A01018</t>
  </si>
  <si>
    <t>Reliance Industries Ltd</t>
  </si>
  <si>
    <t>Petroleum Products</t>
  </si>
  <si>
    <t>INE018A01030</t>
  </si>
  <si>
    <t>Larsen &amp; Toubro Ltd</t>
  </si>
  <si>
    <t>Construction</t>
  </si>
  <si>
    <t>INE733E01010</t>
  </si>
  <si>
    <t>NTPC LTD</t>
  </si>
  <si>
    <t>Power</t>
  </si>
  <si>
    <t>INE481G01011</t>
  </si>
  <si>
    <t>Ultratech Cement Ltd</t>
  </si>
  <si>
    <t>Cement &amp; Cement Products</t>
  </si>
  <si>
    <t>INE090A01021</t>
  </si>
  <si>
    <t>ICICI Bank Ltd</t>
  </si>
  <si>
    <t>Banks</t>
  </si>
  <si>
    <t>INE263A01024</t>
  </si>
  <si>
    <t>Bharat Electronics Ltd</t>
  </si>
  <si>
    <t>Aerospace &amp; Defense</t>
  </si>
  <si>
    <t>INE752E01010</t>
  </si>
  <si>
    <t>Power Grid Corporation of India Ltd</t>
  </si>
  <si>
    <t>INE200A01026</t>
  </si>
  <si>
    <t>GE Vernova T and D India Ltd</t>
  </si>
  <si>
    <t>Electrical Equipment</t>
  </si>
  <si>
    <t>INE029A01011</t>
  </si>
  <si>
    <t>Bharat Petroleum Corporation Ltd</t>
  </si>
  <si>
    <t>INE823G01014</t>
  </si>
  <si>
    <t>JK Cement Ltd</t>
  </si>
  <si>
    <t>INE245A01021</t>
  </si>
  <si>
    <t>TATA Power Company Ltd</t>
  </si>
  <si>
    <t>INE742F01042</t>
  </si>
  <si>
    <t>Adani Ports and Special Economic Zone Ltd</t>
  </si>
  <si>
    <t>Transport Infrastructure</t>
  </si>
  <si>
    <t>INE062A01020</t>
  </si>
  <si>
    <t>State Bank of India</t>
  </si>
  <si>
    <t>INE220B01022</t>
  </si>
  <si>
    <t>Kalpataru Projects International Ltd</t>
  </si>
  <si>
    <t>INE040H01021</t>
  </si>
  <si>
    <t>Suzlon Energy Ltd</t>
  </si>
  <si>
    <t>INE343G01021</t>
  </si>
  <si>
    <t>Bharti Hexacom Ltd</t>
  </si>
  <si>
    <t>INE419M01027</t>
  </si>
  <si>
    <t>TD Power Systems Ltd</t>
  </si>
  <si>
    <t>INE791I01019</t>
  </si>
  <si>
    <t>Brigade Enterprises Ltd</t>
  </si>
  <si>
    <t>Realty</t>
  </si>
  <si>
    <t>INE371P01015</t>
  </si>
  <si>
    <t>Amber Enterprises India Ltd</t>
  </si>
  <si>
    <t>Consumer Durables</t>
  </si>
  <si>
    <t>INE284S01014</t>
  </si>
  <si>
    <t>S.J.S. Enterprises Ltd</t>
  </si>
  <si>
    <t>Auto Components</t>
  </si>
  <si>
    <t>INE646L01027</t>
  </si>
  <si>
    <t>Interglobe Aviation Ltd</t>
  </si>
  <si>
    <t>Transport Services</t>
  </si>
  <si>
    <t>INE213A01029</t>
  </si>
  <si>
    <t>Oil &amp; Natural Gas Corporation Ltd</t>
  </si>
  <si>
    <t>Oil</t>
  </si>
  <si>
    <t>INE999A01023</t>
  </si>
  <si>
    <t>KSB LTD</t>
  </si>
  <si>
    <t>Industrial Products</t>
  </si>
  <si>
    <t>INE00LO01017</t>
  </si>
  <si>
    <t>Craftsman Automation Ltd</t>
  </si>
  <si>
    <t>INE284A01012</t>
  </si>
  <si>
    <t>ESAB India Ltd</t>
  </si>
  <si>
    <t>INE121J01017</t>
  </si>
  <si>
    <t>Indus Towers Ltd (Prev Bharti Infratel Ltd)</t>
  </si>
  <si>
    <t>INE205B01031</t>
  </si>
  <si>
    <t>Elecon Engineering Company Ltd</t>
  </si>
  <si>
    <t>INE07Y701011</t>
  </si>
  <si>
    <t>Hitachi Energy India Ltd</t>
  </si>
  <si>
    <t>INE129A01019</t>
  </si>
  <si>
    <t>GAIL (India) Ltd</t>
  </si>
  <si>
    <t>Gas</t>
  </si>
  <si>
    <t>INE811A01020</t>
  </si>
  <si>
    <t>Kirlosakar Pneumatic Company Ltd</t>
  </si>
  <si>
    <t>INE003A01024</t>
  </si>
  <si>
    <t>Siemens Ltd</t>
  </si>
  <si>
    <t>INE671H01015</t>
  </si>
  <si>
    <t>Sobha Ltd</t>
  </si>
  <si>
    <t>INE702C01027</t>
  </si>
  <si>
    <t>APL Apollo Tubes Ltd</t>
  </si>
  <si>
    <t>INE513A01022</t>
  </si>
  <si>
    <t>Schaeffler India Ltd</t>
  </si>
  <si>
    <t>INE298A01020</t>
  </si>
  <si>
    <t>Cummins India Ltd</t>
  </si>
  <si>
    <t>INE079A01024</t>
  </si>
  <si>
    <t>Ambuja Cements Ltd</t>
  </si>
  <si>
    <t>INE117A01022</t>
  </si>
  <si>
    <t>ABB India Ltd</t>
  </si>
  <si>
    <t>INE926X01010</t>
  </si>
  <si>
    <t>H.G. Infra Engineering Ltd</t>
  </si>
  <si>
    <t>INE146L01010</t>
  </si>
  <si>
    <t>Kirloskar Oil Engines Ltd</t>
  </si>
  <si>
    <t>INE868B01028</t>
  </si>
  <si>
    <t>NCC Ltd</t>
  </si>
  <si>
    <t>INE878B01027</t>
  </si>
  <si>
    <t>KEI Industries Ltd</t>
  </si>
  <si>
    <t>INE257A01026</t>
  </si>
  <si>
    <t>Bharat Heavy Electricals Ltd</t>
  </si>
  <si>
    <t>INE148O01028</t>
  </si>
  <si>
    <t>Delhivery Ltd</t>
  </si>
  <si>
    <t>INE813H01021</t>
  </si>
  <si>
    <t>Torrent Power Ltd</t>
  </si>
  <si>
    <t>INE152M01016</t>
  </si>
  <si>
    <t>Triveni Turbine Ltd</t>
  </si>
  <si>
    <t>INE465A01025</t>
  </si>
  <si>
    <t>Bharat Forge Ltd</t>
  </si>
  <si>
    <t>INE074A01025</t>
  </si>
  <si>
    <t>Praj Industries Ltd</t>
  </si>
  <si>
    <t>Industrial Manufacturing</t>
  </si>
  <si>
    <t>INE111A01025</t>
  </si>
  <si>
    <t>Container Corporation of India Ltd</t>
  </si>
  <si>
    <t>INE152A01029</t>
  </si>
  <si>
    <t>Thermax Ltd</t>
  </si>
  <si>
    <t>INE536A01023</t>
  </si>
  <si>
    <t>Grindwell Norton Ltd</t>
  </si>
  <si>
    <t>INE020B01018</t>
  </si>
  <si>
    <t>REC Ltd</t>
  </si>
  <si>
    <t>Finance</t>
  </si>
  <si>
    <t>INE1NPP01017</t>
  </si>
  <si>
    <t>Siemens Energy India Limited</t>
  </si>
  <si>
    <t>INE749A01030</t>
  </si>
  <si>
    <t>Jindal Steel &amp; Power Ltd</t>
  </si>
  <si>
    <t>Ferrous Metals</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</si>
  <si>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</si>
  <si>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</si>
  <si>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</si>
  <si>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</si>
  <si>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</si>
  <si>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</si>
  <si>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</si>
  <si>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</si>
  <si>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</si>
  <si>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</si>
  <si>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</si>
  <si>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</si>
  <si>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</si>
  <si>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</si>
  <si>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</si>
  <si>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</si>
  <si>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</si>
  <si>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</si>
  <si>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</si>
  <si>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</si>
  <si>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</si>
  <si>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</si>
  <si>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</si>
  <si>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</si>
  <si>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</si>
  <si>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</si>
  <si>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</si>
  <si>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</si>
  <si>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</si>
  <si>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</si>
  <si>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</si>
  <si>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</si>
  <si>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</si>
  <si>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</si>
  <si>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</si>
  <si>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</si>
  <si>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</si>
  <si>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</si>
  <si>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Direct Plan - Dividend</t>
  </si>
  <si>
    <t>Regular Plan - Growth</t>
  </si>
  <si>
    <t>Regular Plan - Dividend</t>
  </si>
  <si>
    <t>d) Dividend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</si>
  <si>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</si>
  <si>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</si>
  <si>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</si>
  <si>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</si>
  <si>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</si>
  <si>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INE169A01031</t>
  </si>
  <si>
    <t>Coromandel International Ltd</t>
  </si>
  <si>
    <t>Fertilizers &amp; Agrochemicals</t>
  </si>
  <si>
    <t>INE171A01029</t>
  </si>
  <si>
    <t>The Federal Bank Ltd</t>
  </si>
  <si>
    <t>INE303R01014</t>
  </si>
  <si>
    <t>Kalyan Jewellers India Ltd</t>
  </si>
  <si>
    <t>INE326A01037</t>
  </si>
  <si>
    <t>Lupin Ltd</t>
  </si>
  <si>
    <t>Pharmaceuticals &amp; Biotechnology</t>
  </si>
  <si>
    <t>INE061F01013</t>
  </si>
  <si>
    <t>Fortis Health Care Ltd</t>
  </si>
  <si>
    <t>Healthcare Services</t>
  </si>
  <si>
    <t>INE262H01021</t>
  </si>
  <si>
    <t>Persistent Systems Ltd</t>
  </si>
  <si>
    <t>It - Software</t>
  </si>
  <si>
    <t>INE196A01026</t>
  </si>
  <si>
    <t>Marico Ltd</t>
  </si>
  <si>
    <t>Agricultural Food &amp; Other Products</t>
  </si>
  <si>
    <t>INE094A01015</t>
  </si>
  <si>
    <t>Hindustan Petroleum Corporation Ltd</t>
  </si>
  <si>
    <t>INE562A01011</t>
  </si>
  <si>
    <t>Indian Bank</t>
  </si>
  <si>
    <t>INE774D01024</t>
  </si>
  <si>
    <t>Mahindra &amp; Mahindra Financial Services Ltd</t>
  </si>
  <si>
    <t>INE118H01025</t>
  </si>
  <si>
    <t>BSE Ltd</t>
  </si>
  <si>
    <t>Capital Markets</t>
  </si>
  <si>
    <t>INE211B01039</t>
  </si>
  <si>
    <t>The Phoenix Mills Ltd</t>
  </si>
  <si>
    <t>INE417T01026</t>
  </si>
  <si>
    <t>PB Fintech Ltd</t>
  </si>
  <si>
    <t>Financial Technology (Fintech)</t>
  </si>
  <si>
    <t>INE591G01017</t>
  </si>
  <si>
    <t>Coforge Ltd</t>
  </si>
  <si>
    <t>INE540L01014</t>
  </si>
  <si>
    <t>Alkem Laboratories Ltd</t>
  </si>
  <si>
    <t>INE438A01022</t>
  </si>
  <si>
    <t>Apollo Tyres Ltd</t>
  </si>
  <si>
    <t>INE686F01025</t>
  </si>
  <si>
    <t>United Breweries Ltd</t>
  </si>
  <si>
    <t>Beverages</t>
  </si>
  <si>
    <t>INE797F01020</t>
  </si>
  <si>
    <t>Jubilant Foodworks Ltd</t>
  </si>
  <si>
    <t>Leisure Services</t>
  </si>
  <si>
    <t>INE105A01035</t>
  </si>
  <si>
    <t>TVS Holdings Ltd</t>
  </si>
  <si>
    <t>INE027H01010</t>
  </si>
  <si>
    <t>Max Healthcare Institute Ltd</t>
  </si>
  <si>
    <t>INE427F01016</t>
  </si>
  <si>
    <t>Chalet Hotels Ltd</t>
  </si>
  <si>
    <t>INE692A01016</t>
  </si>
  <si>
    <t>Union Bank of India</t>
  </si>
  <si>
    <t>INE195A01028</t>
  </si>
  <si>
    <t>Supreme Industries Ltd</t>
  </si>
  <si>
    <t>INE115A01026</t>
  </si>
  <si>
    <t>LIC Housing Finance Ltd</t>
  </si>
  <si>
    <t>INE012A01025</t>
  </si>
  <si>
    <t>ACC Ltd</t>
  </si>
  <si>
    <t>INE600L01024</t>
  </si>
  <si>
    <t>Dr Lal Path Labs Ltd</t>
  </si>
  <si>
    <t>INE455K01017</t>
  </si>
  <si>
    <t>Polycab India Ltd</t>
  </si>
  <si>
    <t>INE949L01017</t>
  </si>
  <si>
    <t>AU Small Finance Bank Ltd</t>
  </si>
  <si>
    <t>INE006I01046</t>
  </si>
  <si>
    <t>Astral Ltd</t>
  </si>
  <si>
    <t>INE494B01023</t>
  </si>
  <si>
    <t>TVS Motor Company Ltd</t>
  </si>
  <si>
    <t>Automobiles</t>
  </si>
  <si>
    <t>INE342J01019</t>
  </si>
  <si>
    <t>ZF Commercial Vehicle Control Systems I Ltd</t>
  </si>
  <si>
    <t>INE093I01010</t>
  </si>
  <si>
    <t>Oberoi Realty Ltd</t>
  </si>
  <si>
    <t>INE299U01018</t>
  </si>
  <si>
    <t>Crompton Greaves Consumer Electricals Ltd</t>
  </si>
  <si>
    <t>INE010V01017</t>
  </si>
  <si>
    <t>L&amp;T Technology Services Ltd</t>
  </si>
  <si>
    <t>It - Services</t>
  </si>
  <si>
    <t>INE811K01011</t>
  </si>
  <si>
    <t>Prestige Estates Projects Ltd</t>
  </si>
  <si>
    <t>INE872J01023</t>
  </si>
  <si>
    <t>Devyani international limited</t>
  </si>
  <si>
    <t>INE726G01019</t>
  </si>
  <si>
    <t>ICICI Prudential Life Insurance Company Ltd</t>
  </si>
  <si>
    <t>Insurance</t>
  </si>
  <si>
    <t>INE288B01029</t>
  </si>
  <si>
    <t>Deepak Nitrite Ltd</t>
  </si>
  <si>
    <t>Chemicals &amp; Petrochemicals</t>
  </si>
  <si>
    <t>INE180A01020</t>
  </si>
  <si>
    <t>Max Financial Services Ltd</t>
  </si>
  <si>
    <t>INE634S01028</t>
  </si>
  <si>
    <t>Mankind Pharma Ltd</t>
  </si>
  <si>
    <t>INE596I01012</t>
  </si>
  <si>
    <t>Computer Age Management Services Ltd</t>
  </si>
  <si>
    <t>INE405E01023</t>
  </si>
  <si>
    <t>UNO Minda Ltd</t>
  </si>
  <si>
    <t>INE721A01047</t>
  </si>
  <si>
    <t>Shriram Finance Ltd</t>
  </si>
  <si>
    <t>INE010B01027</t>
  </si>
  <si>
    <t>Zydus Lifesciences Ltd</t>
  </si>
  <si>
    <t>INE603J01030</t>
  </si>
  <si>
    <t>PI Industries Ltd</t>
  </si>
  <si>
    <t>INE388Y01029</t>
  </si>
  <si>
    <t>FSN E–Commerce Ventures Ltd(NYKAA)</t>
  </si>
  <si>
    <t>Retailing</t>
  </si>
  <si>
    <t>INE073K01018</t>
  </si>
  <si>
    <t>Sona BLW Precision Forgings Ltd</t>
  </si>
  <si>
    <t>INE849A01020</t>
  </si>
  <si>
    <t>Trent Ltd</t>
  </si>
  <si>
    <t>INE246F01010</t>
  </si>
  <si>
    <t>Gujarat State Petronet Ltd</t>
  </si>
  <si>
    <t>INE226A01021</t>
  </si>
  <si>
    <t>Voltas Ltd</t>
  </si>
  <si>
    <t>INE935N01020</t>
  </si>
  <si>
    <t>Dixon Technologies (India) Ltd</t>
  </si>
  <si>
    <t>INE0LXG01040</t>
  </si>
  <si>
    <t>Ola Electric Mobility Ltd</t>
  </si>
  <si>
    <t>INE548C01032</t>
  </si>
  <si>
    <t>Emami Ltd</t>
  </si>
  <si>
    <t>Personal Products</t>
  </si>
  <si>
    <t>INE974X01010</t>
  </si>
  <si>
    <t>Tube Investments of India Ltd</t>
  </si>
  <si>
    <t>INE053A01029</t>
  </si>
  <si>
    <t>The Indian Hotels Company Ltd</t>
  </si>
  <si>
    <t>INE356A01018</t>
  </si>
  <si>
    <t>MphasiS Ltd</t>
  </si>
  <si>
    <t>INE844O01030</t>
  </si>
  <si>
    <t>Gujarat Gas Co Ltd</t>
  </si>
  <si>
    <t>INE774D20024</t>
  </si>
  <si>
    <t>INF173K01GU0</t>
  </si>
  <si>
    <t>Sundaram Large and Mid Cap Fund</t>
  </si>
  <si>
    <t>INE040A01034</t>
  </si>
  <si>
    <t>HDFC Bank Ltd</t>
  </si>
  <si>
    <t>INE238A01034</t>
  </si>
  <si>
    <t>Axis Bank Ltd</t>
  </si>
  <si>
    <t>INE237A01028</t>
  </si>
  <si>
    <t>Kotak Mahindra Bank Ltd</t>
  </si>
  <si>
    <t>INE009A01021</t>
  </si>
  <si>
    <t>Infosys Ltd</t>
  </si>
  <si>
    <t>INE028A01039</t>
  </si>
  <si>
    <t>Bank of Baroda</t>
  </si>
  <si>
    <t>INE296A01024</t>
  </si>
  <si>
    <t>Bajaj Finance Ltd</t>
  </si>
  <si>
    <t>INE745G01035</t>
  </si>
  <si>
    <t>Multi Commodity Exchange of India Ltd</t>
  </si>
  <si>
    <t>INE044A01036</t>
  </si>
  <si>
    <t>Sun Pharmaceutical Industries Ltd</t>
  </si>
  <si>
    <t>INE066F01020</t>
  </si>
  <si>
    <t>Hindustan Aeronautics Ltd</t>
  </si>
  <si>
    <t>INE663F01032</t>
  </si>
  <si>
    <t>Info Edge (India) Ltd</t>
  </si>
  <si>
    <t>INE00WC01027</t>
  </si>
  <si>
    <t>Affle (India) Ltd</t>
  </si>
  <si>
    <t>INE047A01021</t>
  </si>
  <si>
    <t>Grasim Industries Ltd</t>
  </si>
  <si>
    <t>INE121A01024</t>
  </si>
  <si>
    <t>Cholamandalam Investment and Finance Company Ltd</t>
  </si>
  <si>
    <t>INE154A01025</t>
  </si>
  <si>
    <t>ITC Ltd</t>
  </si>
  <si>
    <t>Diversified Fmcg</t>
  </si>
  <si>
    <t>INE317I01021</t>
  </si>
  <si>
    <t>Metro Brands Ltd</t>
  </si>
  <si>
    <t>INE758T01015</t>
  </si>
  <si>
    <t>Zomato Ltd</t>
  </si>
  <si>
    <t>INE200M01039</t>
  </si>
  <si>
    <t>Varun Beverages Ltd</t>
  </si>
  <si>
    <t>INE155A01022</t>
  </si>
  <si>
    <t>Tata Motors Ltd</t>
  </si>
  <si>
    <t>INE280A01028</t>
  </si>
  <si>
    <t>Titan Company Ltd</t>
  </si>
  <si>
    <t>INE880J01026</t>
  </si>
  <si>
    <t>JSW Infrastructure Ltd</t>
  </si>
  <si>
    <t>INE467B01029</t>
  </si>
  <si>
    <t>Tata Consultancy Services Ltd</t>
  </si>
  <si>
    <t>Sundaram Long Term Tax Advantage Fund Series III</t>
  </si>
  <si>
    <t>INE914M01019</t>
  </si>
  <si>
    <t>Aster DM Healthcare Ltd</t>
  </si>
  <si>
    <t>INE806T01020</t>
  </si>
  <si>
    <t>Sapphire Foods India Ltd</t>
  </si>
  <si>
    <t>INE429E01023</t>
  </si>
  <si>
    <t>Safari Industries (India) Ltd</t>
  </si>
  <si>
    <t>INE679A01013</t>
  </si>
  <si>
    <t>CSB Bank Ltd</t>
  </si>
  <si>
    <t>INE551W01018</t>
  </si>
  <si>
    <t>Ujjivan Small Finance Bank Ltd</t>
  </si>
  <si>
    <t>INE732I01013</t>
  </si>
  <si>
    <t>Angel One Ltd</t>
  </si>
  <si>
    <t>INE08ZM01014</t>
  </si>
  <si>
    <t>Green Panel Industries Ltd</t>
  </si>
  <si>
    <t>INE199A01012</t>
  </si>
  <si>
    <t>Procter &amp; Gamble Health Ltd</t>
  </si>
  <si>
    <t>INE063P01018</t>
  </si>
  <si>
    <t>Equitas Small Finance Bank Limited</t>
  </si>
  <si>
    <t>INE572A01036</t>
  </si>
  <si>
    <t>JB Chemicals &amp; Pharmaceuticals Ltd</t>
  </si>
  <si>
    <t>INE048G01026</t>
  </si>
  <si>
    <t>Navin Fluorine International Ltd</t>
  </si>
  <si>
    <t>INE285J01028</t>
  </si>
  <si>
    <t>SIS Ltd</t>
  </si>
  <si>
    <t>Other Consumer Services</t>
  </si>
  <si>
    <t>INE477A01020</t>
  </si>
  <si>
    <t>Can Fin Homes Ltd</t>
  </si>
  <si>
    <t>INE149A01033</t>
  </si>
  <si>
    <t>Cholamandalam Financial Holdings Ltd</t>
  </si>
  <si>
    <t>INE191H01014</t>
  </si>
  <si>
    <t>PVR INOX Ltd</t>
  </si>
  <si>
    <t>Entertainment</t>
  </si>
  <si>
    <t>INE0CLI01024</t>
  </si>
  <si>
    <t>Rate Gain Travel Technologies Ltd</t>
  </si>
  <si>
    <t>INE572E01012</t>
  </si>
  <si>
    <t>PNB Housing Finance Ltd</t>
  </si>
  <si>
    <t>INE743M01012</t>
  </si>
  <si>
    <t>RHI Magnesita India Ltd</t>
  </si>
  <si>
    <t>INE947Q01028</t>
  </si>
  <si>
    <t>Laurus Labs Ltd</t>
  </si>
  <si>
    <t>INE274F01020</t>
  </si>
  <si>
    <t>Westlife Foodworld Ltd</t>
  </si>
  <si>
    <t>INE741K01010</t>
  </si>
  <si>
    <t>Creditaccess Grameen Ltd</t>
  </si>
  <si>
    <t>INE836A01035</t>
  </si>
  <si>
    <t>Birlasoft Ltd</t>
  </si>
  <si>
    <t>INE081A01020</t>
  </si>
  <si>
    <t>Tata Steel Ltd</t>
  </si>
  <si>
    <t>INE411H01032</t>
  </si>
  <si>
    <t>R Systems International Ltd</t>
  </si>
  <si>
    <t>INE348B01021</t>
  </si>
  <si>
    <t>Century Plyboards (India) Ltd</t>
  </si>
  <si>
    <t>INE295F01017</t>
  </si>
  <si>
    <t>Butterfly Gandhimathi Appliances Ltd</t>
  </si>
  <si>
    <t>INE120A01034</t>
  </si>
  <si>
    <t>Carborundum Universal Ltd</t>
  </si>
  <si>
    <t>INE227C01017</t>
  </si>
  <si>
    <t>MM Forgings Ltd</t>
  </si>
  <si>
    <t>Sundaram Long Term Tax Advantage Fund Series IV</t>
  </si>
  <si>
    <t>Sundaram Long Term Tax Advantage Fund Series-II</t>
  </si>
  <si>
    <t>INE860A01027</t>
  </si>
  <si>
    <t>HCL Technologies Ltd</t>
  </si>
  <si>
    <t>INE123W01016</t>
  </si>
  <si>
    <t>SBI Life Insurance Company Ltd</t>
  </si>
  <si>
    <t>INE192A01025</t>
  </si>
  <si>
    <t>TATA Consumer Products Ltd</t>
  </si>
  <si>
    <t>INE038A01020</t>
  </si>
  <si>
    <t>Hindalco Industries Ltd</t>
  </si>
  <si>
    <t>Non - Ferrous Metals</t>
  </si>
  <si>
    <t>INE059A01026</t>
  </si>
  <si>
    <t>Cipla Ltd</t>
  </si>
  <si>
    <t>INE340A01012</t>
  </si>
  <si>
    <t>Birla Corporation Ltd</t>
  </si>
  <si>
    <t>INE030A01027</t>
  </si>
  <si>
    <t>Hindustan UniLever Ltd</t>
  </si>
  <si>
    <t>INE095A01012</t>
  </si>
  <si>
    <t>IndusInd Bank Ltd</t>
  </si>
  <si>
    <t>INE075A01022</t>
  </si>
  <si>
    <t>Wipro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</si>
  <si>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</si>
  <si>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</si>
  <si>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</si>
  <si>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</si>
  <si>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</si>
  <si>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</si>
  <si>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</si>
  <si>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INE126A01031</t>
  </si>
  <si>
    <t>EID Parry India Ltd</t>
  </si>
  <si>
    <t>Food Products</t>
  </si>
  <si>
    <t>INE119A01028</t>
  </si>
  <si>
    <t>Balrampur Chini Mills Ltd</t>
  </si>
  <si>
    <t>INE864I01014</t>
  </si>
  <si>
    <t>MTAR Technologies Ltd</t>
  </si>
  <si>
    <t>INE0UOS01011</t>
  </si>
  <si>
    <t>Sanofi Consumer Healthcare India Ltd</t>
  </si>
  <si>
    <t>INE503A01015</t>
  </si>
  <si>
    <t>DCB Bank Ltd</t>
  </si>
  <si>
    <t>INE482A01020</t>
  </si>
  <si>
    <t>Ceat Ltd</t>
  </si>
  <si>
    <t>INE794A01010</t>
  </si>
  <si>
    <t>Neuland Laboratories Ltd</t>
  </si>
  <si>
    <t>INE570A01022</t>
  </si>
  <si>
    <t>Ion Exchange (India) Ltd</t>
  </si>
  <si>
    <t>Other Utilities</t>
  </si>
  <si>
    <t>INE177F01017</t>
  </si>
  <si>
    <t>Kovai Medical Center &amp; Hospital Ltd</t>
  </si>
  <si>
    <t>INE011K01018</t>
  </si>
  <si>
    <t>Tega Industries Ltd</t>
  </si>
  <si>
    <t>INE00F201020</t>
  </si>
  <si>
    <t>Prudent Corporate Advisory Services Ltd</t>
  </si>
  <si>
    <t>INE456Z01021</t>
  </si>
  <si>
    <t>Medi Assist Healthcare Services Ltd</t>
  </si>
  <si>
    <t>INE136B01020</t>
  </si>
  <si>
    <t>Cyient Ltd</t>
  </si>
  <si>
    <t>INE142Z01019</t>
  </si>
  <si>
    <t>Orient Electric Ltd</t>
  </si>
  <si>
    <t>INE640A01023</t>
  </si>
  <si>
    <t>SKF India Ltd</t>
  </si>
  <si>
    <t>INE094J01016</t>
  </si>
  <si>
    <t>UTI Asset Management Co Ltd</t>
  </si>
  <si>
    <t>INE136S01016</t>
  </si>
  <si>
    <t>Neogen Chemicals Ltd</t>
  </si>
  <si>
    <t>INE930H01031</t>
  </si>
  <si>
    <t>K.P.R. Mill Ltd</t>
  </si>
  <si>
    <t>Textiles &amp; Apparels</t>
  </si>
  <si>
    <t>INE602W01027</t>
  </si>
  <si>
    <t>Senco Gold Ltd</t>
  </si>
  <si>
    <t>INE02YR01019</t>
  </si>
  <si>
    <t>Electronics Mart India Ltd</t>
  </si>
  <si>
    <t>INE342G01023</t>
  </si>
  <si>
    <t>NIIT Learning Systems Ltd</t>
  </si>
  <si>
    <t>INF903JA1FR6</t>
  </si>
  <si>
    <t>Sundaram Aggressive Hybrid Fund</t>
  </si>
  <si>
    <t>INE101A01026</t>
  </si>
  <si>
    <t>Mahindra &amp; Mahindra Ltd</t>
  </si>
  <si>
    <t>INE854D01024</t>
  </si>
  <si>
    <t>United Spirits Ltd</t>
  </si>
  <si>
    <t>INE585B01010</t>
  </si>
  <si>
    <t>Maruti Suzuki India Ltd</t>
  </si>
  <si>
    <t>INE481N01025</t>
  </si>
  <si>
    <t>Home First Finance Company Ltd</t>
  </si>
  <si>
    <t>INE917I01010</t>
  </si>
  <si>
    <t>Bajaj Auto Ltd</t>
  </si>
  <si>
    <t>INE669C01036</t>
  </si>
  <si>
    <t>Tech Mahindra Ltd</t>
  </si>
  <si>
    <t>INE885A01032</t>
  </si>
  <si>
    <t>Amara Raja Energy &amp; Mobility Ltd</t>
  </si>
  <si>
    <t>INE976G01028</t>
  </si>
  <si>
    <t>RBL Bank Ltd</t>
  </si>
  <si>
    <t>INE092T01019</t>
  </si>
  <si>
    <t>IDFC First Bank Ltd</t>
  </si>
  <si>
    <t>INE918I01026</t>
  </si>
  <si>
    <t>Bajaj Finserv Ltd</t>
  </si>
  <si>
    <t>INE795G01014</t>
  </si>
  <si>
    <t>HDFC Life Insurance Company Ltd</t>
  </si>
  <si>
    <t>INE376G01013</t>
  </si>
  <si>
    <t>Biocon Ltd</t>
  </si>
  <si>
    <t>INE361B01024</t>
  </si>
  <si>
    <t>Divis Laboratories Ltd</t>
  </si>
  <si>
    <t>INE016A01026</t>
  </si>
  <si>
    <t>Dabur India Ltd</t>
  </si>
  <si>
    <t>INE852S01026</t>
  </si>
  <si>
    <t>Stock Future</t>
  </si>
  <si>
    <t>INE261F08EF5</t>
  </si>
  <si>
    <t>National Bank for Agriculture &amp; Rural Development - 7.8% - 15/03/2027</t>
  </si>
  <si>
    <t>ICRA AAA</t>
  </si>
  <si>
    <t>INE261F08DX0</t>
  </si>
  <si>
    <t>National Bank for Agriculture &amp; Rural Development - 7.58% - 31/07/2026</t>
  </si>
  <si>
    <t>CRISIL AAA</t>
  </si>
  <si>
    <t>INE121A07RZ4</t>
  </si>
  <si>
    <t>Cholamandalam Investment and Finance Co Ltd - 8.54% - 12/04/2029**</t>
  </si>
  <si>
    <t>ICRA 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</si>
  <si>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</si>
  <si>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</si>
  <si>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</si>
  <si>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</si>
  <si>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</si>
  <si>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</si>
  <si>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</si>
  <si>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</si>
  <si>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</si>
  <si>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</si>
  <si>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INE261F08DV4</t>
  </si>
  <si>
    <t>National Bank for Agriculture &amp; Rural Development - 7.62% - 31/01/2028**</t>
  </si>
  <si>
    <t>INE556F08KM1</t>
  </si>
  <si>
    <t>Small Industries Development Bank of India - 7.79% - 14/05/2027**</t>
  </si>
  <si>
    <t>INE040A08955</t>
  </si>
  <si>
    <t>HDFC Bank Ltd - 7.7% - 16/05/2028**</t>
  </si>
  <si>
    <t>INE556F08KH1</t>
  </si>
  <si>
    <t>Small Industries Development Bank of India - 7.43% - 31/08/2026**</t>
  </si>
  <si>
    <t>INE721A07RH9</t>
  </si>
  <si>
    <t>Shriram Finance Ltd - 8.75% - 15/06/2026**</t>
  </si>
  <si>
    <t>CRISIL AA+</t>
  </si>
  <si>
    <t>INE296A07SU3</t>
  </si>
  <si>
    <t>Bajaj Finance Ltd - 7.87% - 08/02/2034</t>
  </si>
  <si>
    <t>INE0KUG08035</t>
  </si>
  <si>
    <t>National Bank for Financing Infrastructure and Development - 7.43% - 04/07/2034**</t>
  </si>
  <si>
    <t>INE020B08FF1</t>
  </si>
  <si>
    <t>REC LTD - 7.56% - 31/08/2027**</t>
  </si>
  <si>
    <t>INE053F08338</t>
  </si>
  <si>
    <t>Indian Railway Finance Corporation Ltd - 7.68% - 24/11/2026**</t>
  </si>
  <si>
    <t>INE053F08296</t>
  </si>
  <si>
    <t>Indian Railway Finance Corporation Ltd - 7.74% - 15/04/2038**</t>
  </si>
  <si>
    <t>INE040A08666</t>
  </si>
  <si>
    <t>HDFC Bank Ltd (Prev HDFC Ltd) - 7.8% - 03/05/2033**</t>
  </si>
  <si>
    <t>INE752E08734</t>
  </si>
  <si>
    <t>Power Grid Corporation of India Ltd - 7.35% - 12/03/2034**</t>
  </si>
  <si>
    <t>INE134E08MJ2</t>
  </si>
  <si>
    <t>Power Finance Corporation Ltd - 7.77% - 15/04/2028**</t>
  </si>
  <si>
    <t>INE261F08EM1</t>
  </si>
  <si>
    <t>National Bank for Agriculture &amp; Rural Development - 7.53% - 24/03/2028**</t>
  </si>
  <si>
    <t>INE134E08MC7</t>
  </si>
  <si>
    <t>Power Finance Corporation Ltd - 7.77% - 15/07/2026**</t>
  </si>
  <si>
    <t>INE414G07II5</t>
  </si>
  <si>
    <t>Muthoot Finance Ltd - 8.4% - 28/08/2028</t>
  </si>
  <si>
    <t>INE041007100</t>
  </si>
  <si>
    <t>Embassy Office Parks REIT - 7.77% - 05/06/2025**</t>
  </si>
  <si>
    <t>INE115A07PI6</t>
  </si>
  <si>
    <t>LIC Housing Finance Ltd - 6.17% - 03/09/2026**</t>
  </si>
  <si>
    <t>INE556F08KP4</t>
  </si>
  <si>
    <t>Small Industries Development Bank of India - 7.68% - 10/08/2027</t>
  </si>
  <si>
    <t>INE572E07183</t>
  </si>
  <si>
    <t>PNB Housing Finance Ltd - 8.15% - 29/07/2027**</t>
  </si>
  <si>
    <t>IND AA+</t>
  </si>
  <si>
    <t>INE477A07415</t>
  </si>
  <si>
    <t>Can Fin Homes Ltd - 8.09% - 04/01/2027**</t>
  </si>
  <si>
    <t>INE020B08EI8</t>
  </si>
  <si>
    <t>REC LTD - 7.51% - 31/07/2026</t>
  </si>
  <si>
    <t>INE020B08EL2</t>
  </si>
  <si>
    <t>REC LTD - 7.44% - 30/04/2026**</t>
  </si>
  <si>
    <t>INE557F08FR8</t>
  </si>
  <si>
    <t>National Housing Bank - 7.22% - 23/07/2026**</t>
  </si>
  <si>
    <t>INE756I07EN4</t>
  </si>
  <si>
    <t>HDB Financial Services Ltd - 7.84% - 14/07/2026**</t>
  </si>
  <si>
    <t>INE0KUG08084</t>
  </si>
  <si>
    <t>National Bank for Financing Infrastructure and Development - 7.04% - 07/04/2035**</t>
  </si>
  <si>
    <t>INE756I07FG5</t>
  </si>
  <si>
    <t>HDB Financial Services Ltd - 7.4091% - 05/06/2028</t>
  </si>
  <si>
    <t>IN0020240019</t>
  </si>
  <si>
    <t>7.10% Central Government Securities 08/04/2034</t>
  </si>
  <si>
    <t>Sovereign</t>
  </si>
  <si>
    <t>IN0020240027</t>
  </si>
  <si>
    <t>IN0020230077</t>
  </si>
  <si>
    <t>7.18%  Government Securities - 24/07/2037</t>
  </si>
  <si>
    <t>IN0020240035</t>
  </si>
  <si>
    <t>7.34% Central Government Securities 22/04/2064</t>
  </si>
  <si>
    <t>IN0020230051</t>
  </si>
  <si>
    <t>7.30% Government Securities - 19/06/2053</t>
  </si>
  <si>
    <t>IN0020220011</t>
  </si>
  <si>
    <t>IN0020240076</t>
  </si>
  <si>
    <t>7.02% Central Government Securities 18/06/2031</t>
  </si>
  <si>
    <t>IN0020210160</t>
  </si>
  <si>
    <t>IN3120230484</t>
  </si>
  <si>
    <t>7.44% Tamil Nadu State Government Securities -20/03/2034</t>
  </si>
  <si>
    <t>INE238AD6AM2</t>
  </si>
  <si>
    <t>Axis Bank Ltd - 04/02/2026**</t>
  </si>
  <si>
    <t>CRISIL A1+</t>
  </si>
  <si>
    <t>Margin Money For Derivatives</t>
  </si>
  <si>
    <t>Individual &amp; HUF</t>
  </si>
  <si>
    <t>Others</t>
  </si>
  <si>
    <t>Sundaram Arbitrage Fund</t>
  </si>
  <si>
    <t>INE423A01024</t>
  </si>
  <si>
    <t>Adani Enterprises</t>
  </si>
  <si>
    <t>Metals &amp; Minerals Trading</t>
  </si>
  <si>
    <t>INE674K01013</t>
  </si>
  <si>
    <t>Aditya Birla Capital Ltd</t>
  </si>
  <si>
    <t>INE160A01022</t>
  </si>
  <si>
    <t>Punjab National Bank</t>
  </si>
  <si>
    <t>INE476A01022</t>
  </si>
  <si>
    <t>Canara Bank</t>
  </si>
  <si>
    <t>INE406A01037</t>
  </si>
  <si>
    <t>Aurobindo Pharma Ltd</t>
  </si>
  <si>
    <t>INE522F01014</t>
  </si>
  <si>
    <t>Coal India Ltd</t>
  </si>
  <si>
    <t>Consumable Fuels</t>
  </si>
  <si>
    <t>INE271C01023</t>
  </si>
  <si>
    <t>DLF Ltd</t>
  </si>
  <si>
    <t>INE242A01010</t>
  </si>
  <si>
    <t>Indian Oil Corporation Ltd</t>
  </si>
  <si>
    <t>INE769A01020</t>
  </si>
  <si>
    <t>Aarti Industries Ltd</t>
  </si>
  <si>
    <t>IN0020220037</t>
  </si>
  <si>
    <t>7.38% Central Government Securities 20/06/2027</t>
  </si>
  <si>
    <t>IN002024Z347</t>
  </si>
  <si>
    <t>IN002024Z248</t>
  </si>
  <si>
    <t>IN002024Z412</t>
  </si>
  <si>
    <t>Sundaram Balanced Advantage Fund</t>
  </si>
  <si>
    <t>INE002S01010</t>
  </si>
  <si>
    <t>Mahanagar Gas Ltd</t>
  </si>
  <si>
    <t>INE020B08FD6</t>
  </si>
  <si>
    <t>REC LTD - 7.58% - 31/05/2029**</t>
  </si>
  <si>
    <t>INE115A07QD5</t>
  </si>
  <si>
    <t>LIC Housing Finance Ltd - 7.82% - 28/11/2025**</t>
  </si>
  <si>
    <t>IN0020230135</t>
  </si>
  <si>
    <t>IN0020230036</t>
  </si>
  <si>
    <t>7.17% Government Securities - 17/04/20230</t>
  </si>
  <si>
    <t>-</t>
  </si>
  <si>
    <t>Sundaram Dividend Yield Fund</t>
  </si>
  <si>
    <t>INE848E01016</t>
  </si>
  <si>
    <t>NHPC Ltd</t>
  </si>
  <si>
    <t>INE216A01030</t>
  </si>
  <si>
    <t>Britannia Industries Ltd</t>
  </si>
  <si>
    <t>INE158A01026</t>
  </si>
  <si>
    <t>Hero MotoCorp Ltd</t>
  </si>
  <si>
    <t>INE486A01021</t>
  </si>
  <si>
    <t>CESC Ltd</t>
  </si>
  <si>
    <t>INE058A01010</t>
  </si>
  <si>
    <t>Sanofi India Ltd</t>
  </si>
  <si>
    <t>INE172A01027</t>
  </si>
  <si>
    <t>Castrol India Ltd</t>
  </si>
  <si>
    <t>INE462A01022</t>
  </si>
  <si>
    <t>Bayer Cropscience Ltd</t>
  </si>
  <si>
    <t>INE021A01026</t>
  </si>
  <si>
    <t>Asian Paints Ltd</t>
  </si>
  <si>
    <t>INE759J01022</t>
  </si>
  <si>
    <t>INE02CF01010</t>
  </si>
  <si>
    <t>IDIA00069477</t>
  </si>
  <si>
    <t>IDIA00069480</t>
  </si>
  <si>
    <t>Sundaram Equity Savings Fund</t>
  </si>
  <si>
    <t>INE451A01017</t>
  </si>
  <si>
    <t>Force Motors Ltd</t>
  </si>
  <si>
    <t>INE782A01015</t>
  </si>
  <si>
    <t>Johnson Controls-Hitachi AirConditioning India Ltd</t>
  </si>
  <si>
    <t>INE019A01038</t>
  </si>
  <si>
    <t>JSW Steel Ltd</t>
  </si>
  <si>
    <t>INE725G01011</t>
  </si>
  <si>
    <t>ICRA Ltd</t>
  </si>
  <si>
    <t>INE437A01024</t>
  </si>
  <si>
    <t>Apollo Hospitals Enterprise Ltd</t>
  </si>
  <si>
    <t>INE089A01031</t>
  </si>
  <si>
    <t>Dr. Reddys Laboratories Ltd</t>
  </si>
  <si>
    <t>INE00R701025</t>
  </si>
  <si>
    <t>Dalmia Cement (Bharat) Ltd.</t>
  </si>
  <si>
    <t>INE115A07PR7</t>
  </si>
  <si>
    <t>LIC Housing Finance Ltd - 6.65% - 15/02/2027**</t>
  </si>
  <si>
    <t>INE134E08IE1</t>
  </si>
  <si>
    <t>Power Finance Corporation Ltd - 8.03% - 02/05/2026</t>
  </si>
  <si>
    <t>INE134E08IO0</t>
  </si>
  <si>
    <t>Power Finance Corporation Ltd - 7.23% - 05/01/2027**</t>
  </si>
  <si>
    <t>INE261F08EA6</t>
  </si>
  <si>
    <t>National Bank for Agriculture &amp; Rural Development - 7.5% - 31/08/2026</t>
  </si>
  <si>
    <t>IN0020230101</t>
  </si>
  <si>
    <t>7.37% Government Securities-23/10/2028</t>
  </si>
  <si>
    <t>IN0020240050</t>
  </si>
  <si>
    <t>7.04% Central Government Securities 03/06/2029</t>
  </si>
  <si>
    <t>INE476A16ZO0</t>
  </si>
  <si>
    <t>Canara Bank - 04/12/2025**</t>
  </si>
  <si>
    <t>INE514E16CI1</t>
  </si>
  <si>
    <t>Export Import Bank of India - 30/12/2025**</t>
  </si>
  <si>
    <t>IN002024Z362</t>
  </si>
  <si>
    <t>364 Days - T Bill - 18/12/2025</t>
  </si>
  <si>
    <t>Sundaram Focused  Fund</t>
  </si>
  <si>
    <t>INE765G01017</t>
  </si>
  <si>
    <t>ICICI Lombard General Insurance Company Ltd</t>
  </si>
  <si>
    <t>INE330T01021</t>
  </si>
  <si>
    <t>Happy Forgings Ltd</t>
  </si>
  <si>
    <t>INE192R01011</t>
  </si>
  <si>
    <t>Avenue Supermarts Ltd</t>
  </si>
  <si>
    <t>Sundaram Multi Cap Fund</t>
  </si>
  <si>
    <t>INE668F01031</t>
  </si>
  <si>
    <t>Jyothy Laboratories Ltd</t>
  </si>
  <si>
    <t>Household Products</t>
  </si>
  <si>
    <t>INE472A01039</t>
  </si>
  <si>
    <t>Blue Star Ltd</t>
  </si>
  <si>
    <t>INE112L01020</t>
  </si>
  <si>
    <t>Metropolis Healthcare Ltd</t>
  </si>
  <si>
    <t>INE217B01036</t>
  </si>
  <si>
    <t>Kajaria Ceramics Ltd</t>
  </si>
  <si>
    <t>INE183A01024</t>
  </si>
  <si>
    <t>Finolex Industries Ltd</t>
  </si>
  <si>
    <t>INE147E01013</t>
  </si>
  <si>
    <t>INE348C01011</t>
  </si>
  <si>
    <t>Paper, Forest &amp; Jute Products</t>
  </si>
  <si>
    <t>INE431E01011</t>
  </si>
  <si>
    <t>Healthcare Equipment &amp; Supplies</t>
  </si>
  <si>
    <t>INE604A01011</t>
  </si>
  <si>
    <t>INE406B01019</t>
  </si>
  <si>
    <t>IDIA00069359</t>
  </si>
  <si>
    <t>IDIA00069356</t>
  </si>
  <si>
    <t>Sundaram Nifty 100 Equal Weight Fund</t>
  </si>
  <si>
    <t>INE758E01017</t>
  </si>
  <si>
    <t>Jio Financial Services Ltd</t>
  </si>
  <si>
    <t>INE0J1Y01017</t>
  </si>
  <si>
    <t>LIC of India Ltd</t>
  </si>
  <si>
    <t>INE670K01029</t>
  </si>
  <si>
    <t>Macrotech Developers Ltd</t>
  </si>
  <si>
    <t>INE775A01035</t>
  </si>
  <si>
    <t>Samvardhana Motherson International Ltd</t>
  </si>
  <si>
    <t>INE323A01026</t>
  </si>
  <si>
    <t>Bosch Ltd</t>
  </si>
  <si>
    <t>INE214T01019</t>
  </si>
  <si>
    <t>LTIMindtree Ltd</t>
  </si>
  <si>
    <t>INE318A01026</t>
  </si>
  <si>
    <t>Pidilite Industries Ltd</t>
  </si>
  <si>
    <t>INE364U01010</t>
  </si>
  <si>
    <t>Adani Green Energy Ltd</t>
  </si>
  <si>
    <t>INE067A01029</t>
  </si>
  <si>
    <t>CG Power and Industrial Solutions Ltd</t>
  </si>
  <si>
    <t>INE0V6F01027</t>
  </si>
  <si>
    <t>Hyundai Motor India Ltd</t>
  </si>
  <si>
    <t>INE102D01028</t>
  </si>
  <si>
    <t>Godrej Consumer Products Ltd</t>
  </si>
  <si>
    <t>INE814H01011</t>
  </si>
  <si>
    <t>Adani Power Ltd</t>
  </si>
  <si>
    <t>INE118A01012</t>
  </si>
  <si>
    <t>Bajaj Holdings &amp; Investment Ltd</t>
  </si>
  <si>
    <t>INE053F01010</t>
  </si>
  <si>
    <t>Indian Railway Finance Corporation Ltd</t>
  </si>
  <si>
    <t>INE931S01010</t>
  </si>
  <si>
    <t>Adani Energy Solutions Ltd</t>
  </si>
  <si>
    <t>INE239A01024</t>
  </si>
  <si>
    <t>Nestle India Ltd</t>
  </si>
  <si>
    <t>INE377Y01014</t>
  </si>
  <si>
    <t>BAJAJ HOUSING FINANCE LTD</t>
  </si>
  <si>
    <t>INE176B01034</t>
  </si>
  <si>
    <t>Havells India Ltd</t>
  </si>
  <si>
    <t>INE066A01021</t>
  </si>
  <si>
    <t>Eicher Motors Ltd</t>
  </si>
  <si>
    <t>INE685A01028</t>
  </si>
  <si>
    <t>Torrent Pharmaceuticals Ltd</t>
  </si>
  <si>
    <t>INE070A01015</t>
  </si>
  <si>
    <t>Shree Cement Ltd</t>
  </si>
  <si>
    <t>INE00H001014</t>
  </si>
  <si>
    <t>Swiggy Ltd</t>
  </si>
  <si>
    <t>INE134E01011</t>
  </si>
  <si>
    <t>Power Finance Corporation Ltd</t>
  </si>
  <si>
    <t>INE205A01025</t>
  </si>
  <si>
    <t>Vedanta Ltd</t>
  </si>
  <si>
    <t>Diversified Metals</t>
  </si>
  <si>
    <t>INE121E01018</t>
  </si>
  <si>
    <t>JSW Energy Ltd</t>
  </si>
  <si>
    <t>Sundaram ELSS Tax Saver Fund</t>
  </si>
  <si>
    <t>INE176A01028</t>
  </si>
  <si>
    <t>Bata India Ltd</t>
  </si>
  <si>
    <t>INE628A01036</t>
  </si>
  <si>
    <t>UPL Ltd</t>
  </si>
  <si>
    <t>INE274J01014</t>
  </si>
  <si>
    <t>Oil India Ltd</t>
  </si>
  <si>
    <t>IN9397D01014</t>
  </si>
  <si>
    <t>Sundaram Consumption Fund</t>
  </si>
  <si>
    <t>INE0BJS01011</t>
  </si>
  <si>
    <t>Go Fashion (India ) Ltd</t>
  </si>
  <si>
    <t>Sundaram Services Fund</t>
  </si>
  <si>
    <t>MU0295S00016</t>
  </si>
  <si>
    <t>Sundaram Diversified Equity</t>
  </si>
  <si>
    <t>Sundaram Large Cap Fund</t>
  </si>
  <si>
    <t>Sundaram Business Cycle Fund</t>
  </si>
  <si>
    <t>INE410P01011</t>
  </si>
  <si>
    <t>Narayana Hrudayalaya Ltd</t>
  </si>
  <si>
    <t>INE022Q01020</t>
  </si>
  <si>
    <t>Indian Energy Exchange Ltd</t>
  </si>
  <si>
    <t>INE371A01025</t>
  </si>
  <si>
    <t>Graphite India Ltd</t>
  </si>
  <si>
    <t>INE224A01026</t>
  </si>
  <si>
    <t>Greaves Cotton Ltd</t>
  </si>
  <si>
    <t>INE0LMW01024</t>
  </si>
  <si>
    <t>Cello World Ltd</t>
  </si>
  <si>
    <t>INE599M01018</t>
  </si>
  <si>
    <t>Just Dial Ltd</t>
  </si>
  <si>
    <t>Sundaram Flexi Cap Fund</t>
  </si>
  <si>
    <t>Sundaram Financial Services Opportunities Fund</t>
  </si>
  <si>
    <t>Sundaram Multi Asset Allocation Fund</t>
  </si>
  <si>
    <t>IN0020240183</t>
  </si>
  <si>
    <t>6.75% Central Government Securities 23/12/2029</t>
  </si>
  <si>
    <t>IN002024Y373</t>
  </si>
  <si>
    <t>182 Days - T Bill - 27/06/2025</t>
  </si>
  <si>
    <t>INF200KA16D8</t>
  </si>
  <si>
    <t>SBI-ETF GOLD</t>
  </si>
  <si>
    <t>INF204KB17I5</t>
  </si>
  <si>
    <t>Nippon India ETF Gold Bees</t>
  </si>
  <si>
    <t>INF174KA1HJ8</t>
  </si>
  <si>
    <t>Kotak Mutual Fund - Gold Exchange Traded Fund</t>
  </si>
  <si>
    <t>INF179KC1981</t>
  </si>
  <si>
    <t>HDFC Gold Exchange Traded Fund</t>
  </si>
  <si>
    <t>INF740KA1SW3</t>
  </si>
  <si>
    <t>DSP-GOLD ETF</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</si>
  <si>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</si>
  <si>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</si>
  <si>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</si>
  <si>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</si>
  <si>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</si>
  <si>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</si>
  <si>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</si>
  <si>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</si>
  <si>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</si>
  <si>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</si>
  <si>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</si>
  <si>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</si>
  <si>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</si>
  <si>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</si>
  <si>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</si>
  <si>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</si>
  <si>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</si>
  <si>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</si>
  <si>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</si>
  <si>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</si>
  <si>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</si>
  <si>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</si>
  <si>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</si>
  <si>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</si>
  <si>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</si>
  <si>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</si>
  <si>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</si>
  <si>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</si>
  <si>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</si>
  <si>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</si>
  <si>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</si>
  <si>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</si>
  <si>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</si>
  <si>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</si>
  <si>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</si>
  <si>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</si>
  <si>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</si>
  <si>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</si>
  <si>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</si>
  <si>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YTM (%)</t>
  </si>
  <si>
    <t>Monthly Portfolio Statement for the month ended 31 May 2025</t>
  </si>
  <si>
    <t>Index</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</si>
  <si>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</si>
  <si>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</si>
  <si>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</si>
  <si>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</si>
  <si>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</si>
  <si>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</si>
  <si>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</si>
  <si>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Hindustan Dorr Oliver Ltd @</t>
  </si>
  <si>
    <t>d) IDCW declared during the period (Rupees per unit)</t>
  </si>
  <si>
    <t>Scheme Riskometer :</t>
  </si>
  <si>
    <t>Tier I Benchmark Riskometer :</t>
  </si>
  <si>
    <t xml:space="preserve">                     NIFTY Infrastructure TRI</t>
  </si>
  <si>
    <t>Sundaram Liquid Fund - Direct Growth*</t>
  </si>
  <si>
    <t>Tier II Benchmark Riskometer :</t>
  </si>
  <si>
    <t xml:space="preserve">                        Nifty Mid Cap 150 TRI</t>
  </si>
  <si>
    <t xml:space="preserve">                            Nifty Mid Cap 100 TRI</t>
  </si>
  <si>
    <t xml:space="preserve">           Nifty Large Mid Cap 250 INDEX</t>
  </si>
  <si>
    <t xml:space="preserve">                           BSE 500 INDEX</t>
  </si>
  <si>
    <t xml:space="preserve">                                    BSE 500 INDEX</t>
  </si>
  <si>
    <t xml:space="preserve">                    BSE 500 INDEX</t>
  </si>
  <si>
    <t xml:space="preserve">                    Nifty Small Cap 100</t>
  </si>
  <si>
    <t xml:space="preserve">                   Nifty Small Cap 100</t>
  </si>
  <si>
    <t xml:space="preserve">                      Nifty Small Cap 100</t>
  </si>
  <si>
    <t xml:space="preserve">                     Nifty Small Cap 100</t>
  </si>
  <si>
    <t>Cash and Other Net Current Assets^</t>
  </si>
  <si>
    <t xml:space="preserve">           Nifty Small Cap 250 TRI</t>
  </si>
  <si>
    <t xml:space="preserve">           Nifty Small Cap 100 TRI</t>
  </si>
  <si>
    <t>Chennai Super Kings Ltd @</t>
  </si>
  <si>
    <t>(f) Convertible Debenture</t>
  </si>
  <si>
    <t>INE121A08PJ0</t>
  </si>
  <si>
    <t>7.5% Cholamandalam Investment and Company Ltd - 30/09/2026</t>
  </si>
  <si>
    <t>Unrated</t>
  </si>
  <si>
    <t>REC Limited JUN 2025</t>
  </si>
  <si>
    <t>UltraTech Cement Limited JUN 2025</t>
  </si>
  <si>
    <t>Dabur India Limited JUN 2025</t>
  </si>
  <si>
    <t>Divi's Laboratories Ltd JUN 2025</t>
  </si>
  <si>
    <t>SBI Life Insurance Company Limited JUN 2025</t>
  </si>
  <si>
    <t>Hindustan Aeronautics Limited JUN 2025</t>
  </si>
  <si>
    <t>Biocon Ltd JUN 2025</t>
  </si>
  <si>
    <t>HCL Technologies Limited JUN 2025</t>
  </si>
  <si>
    <t>Zydus Lifesciences Limited JUN 2025</t>
  </si>
  <si>
    <t xml:space="preserve">	Mahindra &amp; Mahindra Limited JUN 2025</t>
  </si>
  <si>
    <t>Power Grid Corporation of India Ltd JUN 2025</t>
  </si>
  <si>
    <t>HDFC Life Insurance Company Limited JUN 2025</t>
  </si>
  <si>
    <t>ICICI Bank Limited JUN 2025</t>
  </si>
  <si>
    <t>Bajaj Finserv Limited JUN 2025</t>
  </si>
  <si>
    <t>Larsen and Toubro Ltd JUN 2025</t>
  </si>
  <si>
    <t>Sun Pharmaceutical Industries Limited JUN 2025</t>
  </si>
  <si>
    <t>TATA Consultancy Services Limited JUN 2025</t>
  </si>
  <si>
    <t>Grasim Industries Limited JUN 2025</t>
  </si>
  <si>
    <t>IDFC First Bank Ltd  JUN 2025</t>
  </si>
  <si>
    <t>Bharat Electronics Limited JUN 2025</t>
  </si>
  <si>
    <t xml:space="preserve">	Hindustan Unilever Limited JUN 2025</t>
  </si>
  <si>
    <t>NTPC Limited JUN 2025</t>
  </si>
  <si>
    <t>RBL Bank Ltd JUN 2025</t>
  </si>
  <si>
    <t>Bharti Airtel Limited JUN 2025</t>
  </si>
  <si>
    <t>Kotak Mahindra Bank Limited JUN 2025</t>
  </si>
  <si>
    <t>Infosys Limited JUN 2025</t>
  </si>
  <si>
    <t xml:space="preserve">	State Bank Of India Limited JUN 2025</t>
  </si>
  <si>
    <t>Reliance Industries Limited JUN 2025</t>
  </si>
  <si>
    <t>HDFC Bank Limited JUN 2025</t>
  </si>
  <si>
    <t>7.11% Central Government Securities_Floating Rate Bond - 04/10/2028 ~</t>
  </si>
  <si>
    <t>Refer below point i)</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</si>
  <si>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</si>
  <si>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</si>
  <si>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</si>
  <si>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</si>
  <si>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</si>
  <si>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</si>
  <si>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</si>
  <si>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</si>
  <si>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</si>
  <si>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</si>
  <si>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</si>
  <si>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</si>
  <si>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</si>
  <si>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</si>
  <si>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</si>
  <si>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</si>
  <si>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</si>
  <si>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</si>
  <si>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</si>
  <si>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</si>
  <si>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</si>
  <si>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</si>
  <si>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</si>
  <si>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</si>
  <si>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</si>
  <si>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</si>
  <si>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</si>
  <si>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</si>
  <si>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</si>
  <si>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</si>
  <si>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</si>
  <si>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</si>
  <si>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</si>
  <si>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</si>
  <si>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</si>
  <si>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Aarti Industries Limited JUN 2025</t>
  </si>
  <si>
    <t>Indian Oil Corporation Ltd JUN 2025</t>
  </si>
  <si>
    <t>DLF Limited JUN 2025</t>
  </si>
  <si>
    <t>Coal India Limited JUN 2025</t>
  </si>
  <si>
    <t>Aurobindo Pharma Limited JUN 2025</t>
  </si>
  <si>
    <t>Canara Bank JUN 2025</t>
  </si>
  <si>
    <t xml:space="preserve">	Tata Consumer Products Limited JUN 2025</t>
  </si>
  <si>
    <t>Punjab National Bank JUN 2025</t>
  </si>
  <si>
    <t xml:space="preserve">	Tata Steel Limited JUN 2025</t>
  </si>
  <si>
    <t>Aditya Birla Capital Limited JUN 2025</t>
  </si>
  <si>
    <t>Cipla Limited JUN 2025</t>
  </si>
  <si>
    <t>Tata Power Company Ltd JUN 2025</t>
  </si>
  <si>
    <t>Tata Motors Limited JUN 2025</t>
  </si>
  <si>
    <t>Bank of Baroda JUN 2025</t>
  </si>
  <si>
    <t>The Indian Hotels Company Limited JUN 2025</t>
  </si>
  <si>
    <t>Hindalco Industries Limited JUN 2025</t>
  </si>
  <si>
    <t>Adani Enterprises Limited JUN 2025</t>
  </si>
  <si>
    <t>Bajaj Finance Limited JUN 2025</t>
  </si>
  <si>
    <t>Ambuja Cements Limited JUN 2025</t>
  </si>
  <si>
    <t>Indus Towers Limited JUN 2025</t>
  </si>
  <si>
    <t>Axis Bank Limited JUN 2025</t>
  </si>
  <si>
    <t>ITC Limited JUN 2025</t>
  </si>
  <si>
    <t>Annexure-A</t>
  </si>
  <si>
    <t xml:space="preserve">           NIFTY 50 Arbitrage INDEX</t>
  </si>
  <si>
    <t>INE041025011</t>
  </si>
  <si>
    <t>Embassy Office Parks (REIT)</t>
  </si>
  <si>
    <t>INE0GGX23010</t>
  </si>
  <si>
    <t>Power Grid Infrastructure Investment Trust (InvIT)</t>
  </si>
  <si>
    <t>Mahanagar Gas Ltd JUN 2025</t>
  </si>
  <si>
    <t>Titan Company Limited JUN 2025</t>
  </si>
  <si>
    <t>GAIL (India) Limited JUN 2025</t>
  </si>
  <si>
    <t>Direct Plan - Monthly IDCW</t>
  </si>
  <si>
    <t>Regular Plan - Monthly IDCW</t>
  </si>
  <si>
    <t xml:space="preserve">           NIFTY 50 Hybrid Composite Debt 50 : 50 INDEX</t>
  </si>
  <si>
    <t>Power Grid Infrastructure Investment Trust(InvIT)</t>
  </si>
  <si>
    <t>Sandur Laminates Ltd @</t>
  </si>
  <si>
    <t>Crystal Cable Industries Ltd @</t>
  </si>
  <si>
    <t>Tirrihannah Company Ltd @</t>
  </si>
  <si>
    <t>Minerava Holdings Ltd @</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</si>
  <si>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</si>
  <si>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</si>
  <si>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</si>
  <si>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</si>
  <si>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</si>
  <si>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</si>
  <si>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</si>
  <si>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</si>
  <si>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t>
  </si>
  <si>
    <t>Lupin Limited JUN 2025</t>
  </si>
  <si>
    <t xml:space="preserve">	United Spirits Limited JUN 2025</t>
  </si>
  <si>
    <t>TVS Motor Company Limited JUN 2025</t>
  </si>
  <si>
    <t>Interglobe Aviation Ltd JUN 2025</t>
  </si>
  <si>
    <t>JSW Steel Limited JUN 2025</t>
  </si>
  <si>
    <t>Direct Plan - Half Yearly IDCW</t>
  </si>
  <si>
    <t>Direct Plan - Quarterly IDCW</t>
  </si>
  <si>
    <t>Regular Plan - Half Yearly IDCW</t>
  </si>
  <si>
    <t>Regular Plan - Quarterly IDCW</t>
  </si>
  <si>
    <t xml:space="preserve">                      Nifty Equity Savings INDEX</t>
  </si>
  <si>
    <t xml:space="preserve">                              Nifty 500 TRI</t>
  </si>
  <si>
    <t xml:space="preserve">           Nifty Large MID CAP 250 TRI</t>
  </si>
  <si>
    <t>Crescent Finstock Ltd @</t>
  </si>
  <si>
    <t>Balmer Lawrie Freight Containers Ltd @</t>
  </si>
  <si>
    <t>Precision Fasteners Ltd @</t>
  </si>
  <si>
    <t>Virtual Dynamics Software Ltd @</t>
  </si>
  <si>
    <t>Noble Brothers Impex Ltd @</t>
  </si>
  <si>
    <t>Sangam Health Care Products Ltd @</t>
  </si>
  <si>
    <t>Mukerian Papers Ltd @</t>
  </si>
  <si>
    <t>15% Premier Vinyl Ltd</t>
  </si>
  <si>
    <t xml:space="preserve">           Nifty 500 MultiCap 50:25:25</t>
  </si>
  <si>
    <t xml:space="preserve">          Nifty 100 Equal Weight TRI</t>
  </si>
  <si>
    <t>Bharti Airtel Ltd - Partly Paid Right Shares</t>
  </si>
  <si>
    <t>18% Jord Engineering Ltd</t>
  </si>
  <si>
    <t xml:space="preserve">                          NIFTY 500</t>
  </si>
  <si>
    <t xml:space="preserve">           Nifty India Consumption TRI</t>
  </si>
  <si>
    <t>Make My Trip Ltd (USD)</t>
  </si>
  <si>
    <t xml:space="preserve">           NIFTY Services Sector Index</t>
  </si>
  <si>
    <t xml:space="preserve">           NIFTY 500 MULTICAP 50:25:25</t>
  </si>
  <si>
    <t xml:space="preserve">                       NIFTY 500</t>
  </si>
  <si>
    <t xml:space="preserve">               Nifty 100 TRI INDEX</t>
  </si>
  <si>
    <t xml:space="preserve">                      Nifty_500_ TRI</t>
  </si>
  <si>
    <t xml:space="preserve">                  Nifty 500 TRI</t>
  </si>
  <si>
    <t xml:space="preserve">           Nifty Financial Services</t>
  </si>
  <si>
    <t>Oil &amp; Natural Gas Corporation Limited JUN 2025</t>
  </si>
  <si>
    <t>Eicher Motor Limited JUN 2025</t>
  </si>
  <si>
    <t xml:space="preserve">	Tech Mahindra Limited JUN 2025</t>
  </si>
  <si>
    <t>Hindustan Petroleum Corpn Limited JUN 2025</t>
  </si>
  <si>
    <t>NIFTY 500 TRI (65%) + NIFTY Short Duration Debt Index (10%) + Domestic Prices of Gold (25%)</t>
  </si>
  <si>
    <t>YTM (%)*</t>
  </si>
  <si>
    <t>Direct Plan - IDCW</t>
  </si>
  <si>
    <t>Regular Plan - IDCW</t>
  </si>
  <si>
    <t>Direct Plan - Halfyearly IDCW</t>
  </si>
  <si>
    <t>Regular Plan - Halfyearly IDCW</t>
  </si>
  <si>
    <t>Sundaram Global Brand Theme-Equity Active FOF</t>
  </si>
  <si>
    <t>SG9999013908</t>
  </si>
  <si>
    <t>Sundaram Global Brand Fund - Master Class</t>
  </si>
  <si>
    <t xml:space="preserve"> (a) Investments in Foreign Securities - Units of Mutual Funds</t>
  </si>
  <si>
    <t xml:space="preserve">                    MSCI ACWI TRI</t>
  </si>
  <si>
    <t>g) Derivative</t>
  </si>
  <si>
    <t>Sundaram Money Market Fund-Direct Plan - Growth*</t>
  </si>
  <si>
    <t>7.10% Central Government Securities 18/04/2029*</t>
  </si>
  <si>
    <t>7.23% Central Government Securities 15/04/2039*</t>
  </si>
  <si>
    <t>7.38% Central Government Securities 20/06/2027*</t>
  </si>
  <si>
    <t>364 Days - T Bill - 11/09/2025*</t>
  </si>
  <si>
    <t>364 Days - T Bill - 04/12/2025*</t>
  </si>
  <si>
    <t>364 Days - T Bill - 22/01/2026*</t>
  </si>
  <si>
    <t>7.32% Government Securities-13/11/2030*</t>
  </si>
  <si>
    <t>7.10% Central Government Securities 08/04/2034*</t>
  </si>
  <si>
    <t>7.37% Government Securities-23/10/2028*</t>
  </si>
  <si>
    <t>7.04% Central Government Securities 03/06/2029*</t>
  </si>
  <si>
    <t>i) Exposure to securities classified as below investment grade or default as on 31-May-2025</t>
  </si>
  <si>
    <t>INE0JEI23010</t>
  </si>
  <si>
    <t>Roadstar Infra Investment Trust (InvIT)</t>
  </si>
  <si>
    <t>Services</t>
  </si>
  <si>
    <t>% to AUM as on 31-May-2025</t>
  </si>
  <si>
    <t>31-May-2025</t>
  </si>
  <si>
    <t>Cash and Other Net Current Assets ^</t>
  </si>
  <si>
    <t xml:space="preserve">           NIFTY Dividend Opportunities 50 TRI</t>
  </si>
  <si>
    <t>short</t>
  </si>
  <si>
    <t>DERIVATIVES DISCLOSURE</t>
  </si>
  <si>
    <t>Disclosure regarding Derivative positions pursuant to SEBI Circular no CIR/IMD/DF/11/2010 dated August18,2010</t>
  </si>
  <si>
    <t>DETAILS OF INVESTMENTS IN DERIVATIVE INSTRUMENTS</t>
  </si>
  <si>
    <t>A. Hedging Positions through Futures as on May 31,2025 :</t>
  </si>
  <si>
    <t>Scheme Name</t>
  </si>
  <si>
    <t>Underlying</t>
  </si>
  <si>
    <t>Long/Short</t>
  </si>
  <si>
    <t>Futures Price When Purchased</t>
  </si>
  <si>
    <t>Current Price of the contract</t>
  </si>
  <si>
    <t>Margin maintained in       (Rs in Lakhs)*</t>
  </si>
  <si>
    <t xml:space="preserve">Total percentage of existing assets hedged through futures as a percentage of net assets </t>
  </si>
  <si>
    <t>%</t>
  </si>
  <si>
    <t>For the period ended May 31,2025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</si>
  <si>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</si>
  <si>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</si>
  <si>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</si>
  <si>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</si>
  <si>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</si>
  <si>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Margin maintained in       (Rs. in Lakhs) *</t>
  </si>
  <si>
    <t>Long</t>
  </si>
  <si>
    <t>Total percentage of existing assets due to non-hedging positions as a percentage of net assets</t>
  </si>
  <si>
    <t>For the period ended May 31,2025 following were the non-hedging transactions through futures which have been squared off / expired</t>
  </si>
  <si>
    <t>Gross Notional value of contracts where futures were sold      ( Rs. in Lakhs)</t>
  </si>
  <si>
    <t>Net Profit / (Loss) value on all contracts combined      (Rs. in lakhs)</t>
  </si>
  <si>
    <t>Call/Put</t>
  </si>
  <si>
    <t>Number of Contracts</t>
  </si>
  <si>
    <t>Option Price when purchased</t>
  </si>
  <si>
    <t>Current Option Price</t>
  </si>
  <si>
    <t>Total % of existing assets hedged through Put Options</t>
  </si>
  <si>
    <t xml:space="preserve"> </t>
  </si>
  <si>
    <t>For the period ended  May 31,2025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</si>
  <si>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</si>
  <si>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</si>
  <si>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</si>
  <si>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</si>
  <si>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 xml:space="preserve">Total Exposure through Options other than hedging as a percentage of net assets </t>
  </si>
  <si>
    <t>Gross Notional value of contracts  bought(Rs. in Lakhs)</t>
  </si>
  <si>
    <t>Gross Notional value of contracts  sold (Rs. in Lakhs)</t>
  </si>
  <si>
    <t>E. Hedging Positions through Swaps as on May 31,2025:</t>
  </si>
  <si>
    <t>Scheme name</t>
  </si>
  <si>
    <t>Swap Type</t>
  </si>
  <si>
    <t>Underlying Security</t>
  </si>
  <si>
    <t>Long Position</t>
  </si>
  <si>
    <t>Short Position</t>
  </si>
  <si>
    <t>Maturity date</t>
  </si>
  <si>
    <t>Sundaram Ultra Short Duration  Fund</t>
  </si>
  <si>
    <t>Fixed to Float</t>
  </si>
  <si>
    <t>9.20% Shriram Finance Ltd 22 05 2026</t>
  </si>
  <si>
    <t>Receiving Floating</t>
  </si>
  <si>
    <t>Pay Fixed</t>
  </si>
  <si>
    <t>7.58%  NABARD- NCD-31-07-2026</t>
  </si>
  <si>
    <t>7.56% REC Ltd NCD MD 30-06-2026</t>
  </si>
  <si>
    <t xml:space="preserve">Futures Price
When Purchased </t>
  </si>
  <si>
    <t>Current Price of
the contract</t>
  </si>
  <si>
    <t>Margin maintained
in (Rs. in Lakhs)</t>
  </si>
  <si>
    <t>Total percentage of existing assets hedged through Interest Rate Futures a Percentage of net assets</t>
  </si>
  <si>
    <t>For the period ended May 31,2025 following were the hedging transactions through Interest Rate Futures which have been squared off/ expired</t>
  </si>
  <si>
    <t>For the period ended May 31,2025 following were the Non Hedging transactions through Interest Rate Futures which have been squared off/ expired</t>
  </si>
  <si>
    <t>* Note: Margin maintained denotes security specific margin.</t>
  </si>
  <si>
    <t>REC Ltd (Prev : Rural Electrification Corporation Ltd) JUN-2025</t>
  </si>
  <si>
    <t>Ultra Tech Cement Ltd JUN-2025</t>
  </si>
  <si>
    <t>Dabur India Ltd - Equity JUN-2025</t>
  </si>
  <si>
    <t>Divis Labarotories Ltd  JUN-2025</t>
  </si>
  <si>
    <t>SBI Life Insurance Company Ltd JUN-2025</t>
  </si>
  <si>
    <t>Hindustan Aeronautics Ltd JUN-2025</t>
  </si>
  <si>
    <t>Biocon Ltd JUN-2025</t>
  </si>
  <si>
    <t>HCL Technologies Ltd JUN-2025</t>
  </si>
  <si>
    <t>Zydus Lifesciences Ltd ( Prev Cadila Healthcare Ltd)  JUN-2025</t>
  </si>
  <si>
    <t>Mahindra &amp; Mahindra Ltd JUN-2025</t>
  </si>
  <si>
    <t>Power Grid Corporation of India Ltd JUN-2025</t>
  </si>
  <si>
    <t>HDFC Life Insurance Company Ltd JUN-2025</t>
  </si>
  <si>
    <t>ICICI Bank Ltd JUN-2025</t>
  </si>
  <si>
    <t>Bajaj Finserv Ltd JUN-2025</t>
  </si>
  <si>
    <t>Larsen &amp; Toubro Ltd JUN-2025</t>
  </si>
  <si>
    <t>Sun Pharmaceuticals Ltd JUN-2025</t>
  </si>
  <si>
    <t>TATA Consultancy Services Ltd JUN-2025</t>
  </si>
  <si>
    <t>Grasim Industries Ltd  JUN-2025</t>
  </si>
  <si>
    <t>IDFC First Bank Ltd (PrevIDFC Bank Ltd) JUN-2025</t>
  </si>
  <si>
    <t>Bharat Electronics Ltd JUN-2025</t>
  </si>
  <si>
    <t>Hindustan Unilever Ltd JUN-2025</t>
  </si>
  <si>
    <t>NTPC Ltd JUN-2025</t>
  </si>
  <si>
    <t>RBL Bank Ltd JUN-2025</t>
  </si>
  <si>
    <t>Bharti Airtel Ltd JUN-2025</t>
  </si>
  <si>
    <t>Kotak Mahindra Bank Ltd JUN-2025</t>
  </si>
  <si>
    <t>Infosys Ltd JUN-2025</t>
  </si>
  <si>
    <t>State Bank Of India Ltd JUN-2025</t>
  </si>
  <si>
    <t>Reliance Industries Ltd JUN-2025</t>
  </si>
  <si>
    <t>HDFC Bank Ltd JUN-2025</t>
  </si>
  <si>
    <t>Aarti Industries Ltd JUN-2025</t>
  </si>
  <si>
    <t>Indian Oil Corporation Ltd JUN-2025</t>
  </si>
  <si>
    <t>DLF Ltd JUN-2025</t>
  </si>
  <si>
    <t>Coal India Ltd JUN-2025</t>
  </si>
  <si>
    <t>Aurobindo Pharma Ltd-Equ JUN-2025</t>
  </si>
  <si>
    <t>Canara Bank JUN-2025</t>
  </si>
  <si>
    <t>Tata Consumer Products Limited JUN-2025</t>
  </si>
  <si>
    <t>Punjab National Bank JUN-2025</t>
  </si>
  <si>
    <t>Tata Steel Ltd JUN-2025</t>
  </si>
  <si>
    <t>Aditya Birla Capital Ltd JUN-2025</t>
  </si>
  <si>
    <t>Cipla Ltd JUN-2025</t>
  </si>
  <si>
    <t>TATA Power Co Ltd JUN-2025</t>
  </si>
  <si>
    <t>Tata Motors Ltd JUN-2025</t>
  </si>
  <si>
    <t>Bank of Baroda JUN-2025</t>
  </si>
  <si>
    <t>Indian Hotels Company Ltd JUN-2025</t>
  </si>
  <si>
    <t>Hindalco Industries Ltd JUN-2025</t>
  </si>
  <si>
    <t>Adani Enterprises Ltd JUN-2025</t>
  </si>
  <si>
    <t>Bajaj Finance Ltd JUN-2025</t>
  </si>
  <si>
    <t>Gujarat Ambuja Cement Co.Ltd JUN-2025</t>
  </si>
  <si>
    <t>Indus Towers Ltd (Prev name Bharti Infratel Ltd) JUN-2025</t>
  </si>
  <si>
    <t>Axis Bank Ltd  JUN-2025</t>
  </si>
  <si>
    <t>ITC Ltd JUN-2025</t>
  </si>
  <si>
    <t>Mahanagar Gas Ltd JUN-2025</t>
  </si>
  <si>
    <t>Titan Industries Ltd JUN-2025</t>
  </si>
  <si>
    <t>GAIL (India) Ltd JUN-2025</t>
  </si>
  <si>
    <t>Lupin Ltd JUN-2025</t>
  </si>
  <si>
    <t>United Spirits Ltd JUN-2025</t>
  </si>
  <si>
    <t>TVS Motor Company Ltd   JUN-2025</t>
  </si>
  <si>
    <t>Interglobe Aviation Ltd JUN-2025</t>
  </si>
  <si>
    <t>JSW Steel Ltd JUN-2025</t>
  </si>
  <si>
    <t>Oil &amp; Natural Gas Corpn.Ltd JUN-2025</t>
  </si>
  <si>
    <t>Eicher Motor Ltd JUN-2025</t>
  </si>
  <si>
    <t>Tech Mahindra Ltd JUN-2025</t>
  </si>
  <si>
    <t>Hindustan Petroleum Corpn Ltd JUN-2025</t>
  </si>
  <si>
    <t>B. Other than hedging positions through futures as on May 31,2025 : NIL</t>
  </si>
  <si>
    <t>C. Hedging Positions through Put Options as on May 31,2025: NIL</t>
  </si>
  <si>
    <t>D. Other than Hedging Positions through options as on May 31,2025 : NIL</t>
  </si>
  <si>
    <t>For the period ended May 31,2025 , the following non hedging transactions through options which have been already exercised/expired</t>
  </si>
  <si>
    <t>Notional Value (Rs. in lacs.)</t>
  </si>
  <si>
    <t>F. Hedging Positions through Interest Rate Futures as on May 31,2025: NIL</t>
  </si>
  <si>
    <t>Rs. 0.00 lacs/ #</t>
  </si>
  <si>
    <t>Rs. 100.30 lacs/ 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</si>
</sst>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 numFmtId="173" formatCode="[$-1014009]#,##0.00;\(#,##0.00\)"/>
    <numFmt numFmtId="174" formatCode="_(* #,##0_);_(* \(#,##0\);_(* &quot;-&quot;??_);_(@_)"/>
    <numFmt numFmtId="175" formatCode="[$-1014009]#,##0.000;\-#,##0.000"/>
    <numFmt numFmtId="176" formatCode="0.000000000"/>
    <numFmt numFmtId="177" formatCode="#,##0.0000;\(#,##0.0000\)"/>
    <numFmt numFmtId="178" formatCode="_(* #,##0.000_);_(* \(#,##0.000\);_(* &quot;-&quot;??_);_(@_)"/>
  </numFmts>
  <fonts count="32"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name val="Aptos Narrow"/>
      <family val="2"/>
      <scheme val="minor"/>
    </font>
    <font>
      <sz val="10"/>
      <name val="Arial"/>
      <family val="2"/>
    </font>
    <font>
      <sz val="11"/>
      <name val="Aptos Narrow"/>
      <family val="2"/>
      <scheme val="minor"/>
    </font>
    <font>
      <u/>
      <sz val="10"/>
      <color theme="10"/>
      <name val="Arial"/>
      <family val="2"/>
    </font>
    <font>
      <u/>
      <sz val="11"/>
      <color theme="10"/>
      <name val="Aptos Narrow"/>
      <family val="2"/>
      <scheme val="minor"/>
    </font>
    <font>
      <b/>
      <sz val="11"/>
      <color indexed="8"/>
      <name val="Calibri"/>
      <family val="2"/>
    </font>
    <font>
      <u/>
      <sz val="11"/>
      <color rgb="FF002060"/>
      <name val="Aptos Narrow"/>
      <family val="2"/>
      <scheme val="minor"/>
    </font>
    <font>
      <sz val="10"/>
      <color indexed="8"/>
      <name val="Calibri"/>
      <family val="2"/>
    </font>
    <font>
      <b/>
      <i/>
      <sz val="10"/>
      <color indexed="8"/>
      <name val="Calibri"/>
      <family val="2"/>
    </font>
    <font>
      <b/>
      <sz val="10"/>
      <name val="Arial"/>
      <family val="2"/>
    </font>
    <font>
      <b/>
      <sz val="10"/>
      <color indexed="8"/>
      <name val="Calibri"/>
      <family val="2"/>
    </font>
    <font>
      <sz val="10"/>
      <name val="Arial"/>
      <charset val="1"/>
    </font>
    <font>
      <sz val="10"/>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0"/>
      <name val="Calibri"/>
      <family val="2"/>
    </font>
    <font>
      <sz val="10"/>
      <name val="Aptos Narrow"/>
      <family val="2"/>
      <scheme val="minor"/>
    </font>
    <font>
      <b/>
      <sz val="10"/>
      <color theme="1"/>
      <name val="Arial"/>
      <family val="2"/>
    </font>
    <font>
      <b/>
      <sz val="10"/>
      <color theme="1"/>
      <name val="Tahoma"/>
      <family val="2"/>
    </font>
    <font>
      <b/>
      <sz val="10"/>
      <color rgb="FF000000"/>
      <name val="Tahoma"/>
      <family val="2"/>
    </font>
  </fonts>
  <fills count="3">
    <fill>
      <patternFill patternType="none"/>
    </fill>
    <fill>
      <patternFill patternType="gray125"/>
    </fill>
    <fill>
      <patternFill patternType="solid">
        <fgColor indexed="9"/>
      </patternFill>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4">
    <xf numFmtId="0" fontId="0" fillId="0" borderId="0">
      <alignment wrapText="1"/>
    </xf>
    <xf numFmtId="0" fontId="3" fillId="0" borderId="0"/>
    <xf numFmtId="0" fontId="9" fillId="0" borderId="0">
      <alignment wrapText="1"/>
    </xf>
    <xf numFmtId="0" fontId="11" fillId="0" borderId="0" applyNumberFormat="0" applyFill="0" applyBorder="0" applyAlignment="0" applyProtection="0">
      <alignment wrapText="1"/>
    </xf>
    <xf numFmtId="164" fontId="19" fillId="0" borderId="0" applyFont="0" applyFill="0" applyBorder="0" applyAlignment="0" applyProtection="0"/>
    <xf numFmtId="9" fontId="19" fillId="0" borderId="0" applyFont="0" applyFill="0" applyBorder="0" applyAlignment="0" applyProtection="0"/>
    <xf numFmtId="0" fontId="2" fillId="0" borderId="0"/>
    <xf numFmtId="0" fontId="9" fillId="0" borderId="0">
      <alignment wrapText="1"/>
    </xf>
    <xf numFmtId="164" fontId="2" fillId="0" borderId="0" applyFont="0" applyFill="0" applyBorder="0" applyAlignment="0" applyProtection="0"/>
    <xf numFmtId="9" fontId="24" fillId="0" borderId="0" applyFont="0" applyFill="0" applyBorder="0" applyAlignment="0" applyProtection="0"/>
    <xf numFmtId="0" fontId="9" fillId="0" borderId="0">
      <alignment wrapText="1"/>
    </xf>
    <xf numFmtId="0" fontId="1" fillId="0" borderId="0"/>
    <xf numFmtId="0" fontId="9" fillId="0" borderId="0"/>
    <xf numFmtId="43" fontId="24" fillId="0" borderId="0" applyFont="0" applyFill="0" applyBorder="0" applyAlignment="0" applyProtection="0"/>
  </cellStyleXfs>
  <cellXfs count="253">
    <xf numFmtId="0" fontId="0" fillId="0" borderId="0" xfId="0">
      <alignment wrapText="1"/>
    </xf>
    <xf numFmtId="0" fontId="8" fillId="0" borderId="7" xfId="1" applyFont="1" applyBorder="1" applyAlignment="1">
      <alignment horizontal="center" vertical="center"/>
    </xf>
    <xf numFmtId="0" fontId="10" fillId="0" borderId="0" xfId="2" applyFont="1">
      <alignment wrapText="1"/>
    </xf>
    <xf numFmtId="0" fontId="10" fillId="0" borderId="7" xfId="2" applyFont="1" applyBorder="1" applyAlignment="1">
      <alignment horizontal="center" wrapText="1"/>
    </xf>
    <xf numFmtId="0" fontId="12" fillId="0" borderId="7" xfId="3" applyFont="1" applyBorder="1" applyAlignment="1"/>
    <xf numFmtId="0" fontId="10" fillId="0" borderId="7" xfId="2" applyFont="1" applyBorder="1" applyAlignment="1"/>
    <xf numFmtId="0" fontId="11" fillId="0" borderId="7" xfId="3" applyBorder="1" applyAlignment="1"/>
    <xf numFmtId="0" fontId="14" fillId="0" borderId="0" xfId="3" applyFont="1" applyFill="1" applyBorder="1" applyAlignment="1">
      <alignment horizontal="center" vertical="center" wrapText="1"/>
    </xf>
    <xf numFmtId="164" fontId="23" fillId="0" borderId="7" xfId="8" applyFont="1" applyFill="1" applyBorder="1"/>
    <xf numFmtId="4" fontId="23" fillId="0" borderId="7" xfId="9" applyNumberFormat="1" applyFont="1" applyFill="1" applyBorder="1"/>
    <xf numFmtId="0" fontId="11" fillId="0" borderId="0" xfId="3" applyFill="1" applyAlignment="1"/>
    <xf numFmtId="174" fontId="21" fillId="0" borderId="0" xfId="4" applyNumberFormat="1" applyFont="1" applyFill="1"/>
    <xf numFmtId="164" fontId="21" fillId="0" borderId="0" xfId="4" applyFont="1" applyFill="1"/>
    <xf numFmtId="10" fontId="21" fillId="0" borderId="0" xfId="5" applyNumberFormat="1" applyFont="1" applyFill="1" applyBorder="1" applyAlignment="1">
      <alignment vertical="center"/>
    </xf>
    <xf numFmtId="4" fontId="20" fillId="0" borderId="7" xfId="8" applyNumberFormat="1" applyFont="1" applyFill="1" applyBorder="1" applyAlignment="1">
      <alignment horizontal="center" vertical="center"/>
    </xf>
    <xf numFmtId="10" fontId="20" fillId="0" borderId="7" xfId="8" applyNumberFormat="1" applyFont="1" applyFill="1" applyBorder="1" applyAlignment="1">
      <alignment horizontal="center" vertical="center"/>
    </xf>
    <xf numFmtId="4" fontId="28" fillId="0" borderId="7" xfId="8" applyNumberFormat="1" applyFont="1" applyFill="1" applyBorder="1" applyAlignment="1">
      <alignment horizontal="center" vertical="center"/>
    </xf>
    <xf numFmtId="10" fontId="28" fillId="0" borderId="7" xfId="8" applyNumberFormat="1" applyFont="1" applyFill="1" applyBorder="1" applyAlignment="1">
      <alignment horizontal="center" vertical="center"/>
    </xf>
    <xf numFmtId="174" fontId="23" fillId="0" borderId="0" xfId="4" applyNumberFormat="1" applyFont="1" applyFill="1"/>
    <xf numFmtId="164" fontId="23" fillId="0" borderId="0" xfId="4" applyFont="1" applyFill="1"/>
    <xf numFmtId="164" fontId="28" fillId="0" borderId="17" xfId="8" applyFont="1" applyFill="1" applyBorder="1" applyAlignment="1">
      <alignment horizontal="right" vertical="center"/>
    </xf>
    <xf numFmtId="164" fontId="28" fillId="0" borderId="17" xfId="8" applyFont="1" applyFill="1" applyBorder="1" applyAlignment="1">
      <alignment horizontal="center" vertical="center"/>
    </xf>
    <xf numFmtId="0" fontId="13" fillId="0" borderId="9" xfId="0" applyFont="1" applyBorder="1" applyAlignment="1">
      <alignment horizontal="center" vertical="center" wrapText="1" readingOrder="1"/>
    </xf>
    <xf numFmtId="0" fontId="13" fillId="0" borderId="8" xfId="0" applyFont="1" applyBorder="1" applyAlignment="1">
      <alignment horizontal="center" vertical="center" wrapText="1" readingOrder="1"/>
    </xf>
    <xf numFmtId="0" fontId="0" fillId="0" borderId="0" xfId="0" applyAlignment="1">
      <alignment horizontal="center" vertical="center"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15" fillId="0" borderId="7"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15"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6" fillId="0" borderId="0" xfId="0" applyFont="1" applyAlignment="1">
      <alignment horizontal="left" vertical="center" wrapText="1" readingOrder="1"/>
    </xf>
    <xf numFmtId="0" fontId="15" fillId="0" borderId="0" xfId="0" applyFont="1" applyAlignment="1">
      <alignment horizontal="left" vertical="center" wrapText="1" readingOrder="1"/>
    </xf>
    <xf numFmtId="0" fontId="17" fillId="0" borderId="0" xfId="0" applyFont="1" applyAlignment="1">
      <alignment horizontal="center" vertical="center" wrapText="1"/>
    </xf>
    <xf numFmtId="0" fontId="16" fillId="0" borderId="0" xfId="1" applyFont="1" applyAlignment="1">
      <alignment horizontal="left" vertical="center" wrapText="1" readingOrder="1"/>
    </xf>
    <xf numFmtId="0" fontId="3" fillId="0" borderId="0" xfId="1" applyAlignment="1">
      <alignment wrapText="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8" fillId="0" borderId="4" xfId="0" applyFont="1" applyBorder="1" applyAlignment="1">
      <alignment horizontal="left" vertical="center" wrapText="1" readingOrder="1"/>
    </xf>
    <xf numFmtId="0" fontId="16" fillId="0" borderId="6" xfId="0" applyFont="1" applyBorder="1" applyAlignment="1">
      <alignment horizontal="right" vertical="center" wrapText="1" readingOrder="1"/>
    </xf>
    <xf numFmtId="0" fontId="16" fillId="0" borderId="0" xfId="0" applyFont="1" applyAlignment="1">
      <alignment horizontal="right" vertical="center" wrapText="1" readingOrder="1"/>
    </xf>
    <xf numFmtId="0" fontId="15" fillId="0" borderId="0" xfId="0" applyFont="1" applyAlignment="1">
      <alignment horizontal="right" vertical="top" wrapText="1" readingOrder="1"/>
    </xf>
    <xf numFmtId="0" fontId="18" fillId="0" borderId="4" xfId="0" applyFont="1" applyBorder="1" applyAlignment="1">
      <alignment horizontal="right" vertical="top" wrapText="1" readingOrder="1"/>
    </xf>
    <xf numFmtId="0" fontId="18" fillId="0" borderId="4" xfId="0" applyFont="1" applyBorder="1" applyAlignment="1">
      <alignment horizontal="center" vertical="top" wrapText="1" readingOrder="1"/>
    </xf>
    <xf numFmtId="15" fontId="18"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5" fillId="0" borderId="5" xfId="0" applyFont="1" applyBorder="1" applyAlignment="1">
      <alignment horizontal="left" vertical="center" wrapText="1" readingOrder="1"/>
    </xf>
    <xf numFmtId="0" fontId="18" fillId="0" borderId="5" xfId="0" applyFont="1" applyBorder="1" applyAlignment="1">
      <alignment horizontal="left" vertical="center" wrapText="1" readingOrder="1"/>
    </xf>
    <xf numFmtId="0" fontId="15" fillId="0" borderId="0" xfId="0" applyFont="1" applyAlignment="1">
      <alignment horizontal="right" vertical="center" wrapText="1" readingOrder="1"/>
    </xf>
    <xf numFmtId="0" fontId="15" fillId="0" borderId="6" xfId="0" applyFont="1" applyBorder="1" applyAlignment="1">
      <alignment horizontal="right" vertical="top" wrapText="1" readingOrder="1"/>
    </xf>
    <xf numFmtId="171" fontId="18" fillId="0" borderId="4" xfId="0" applyNumberFormat="1" applyFont="1" applyBorder="1" applyAlignment="1">
      <alignment horizontal="left" vertical="center" wrapText="1" readingOrder="1"/>
    </xf>
    <xf numFmtId="0" fontId="17" fillId="0" borderId="0" xfId="0" applyFont="1" applyAlignment="1"/>
    <xf numFmtId="0" fontId="0" fillId="0" borderId="0" xfId="0" applyAlignment="1"/>
    <xf numFmtId="172" fontId="4" fillId="0" borderId="4" xfId="0" applyNumberFormat="1" applyFont="1" applyBorder="1" applyAlignment="1">
      <alignment horizontal="right" vertical="center" wrapText="1" readingOrder="1"/>
    </xf>
    <xf numFmtId="0" fontId="0" fillId="0" borderId="0" xfId="0" applyAlignment="1">
      <alignment horizontal="center" vertical="top" readingOrder="1"/>
    </xf>
    <xf numFmtId="0" fontId="20" fillId="0" borderId="7" xfId="0" applyFont="1" applyBorder="1" applyAlignment="1">
      <alignment horizontal="center" vertical="center" wrapText="1"/>
    </xf>
    <xf numFmtId="0" fontId="20" fillId="0" borderId="7" xfId="0" applyFont="1" applyBorder="1">
      <alignment wrapText="1"/>
    </xf>
    <xf numFmtId="0" fontId="20" fillId="0" borderId="7" xfId="0" applyFont="1" applyBorder="1" applyAlignment="1">
      <alignment horizontal="justify" vertical="center" wrapText="1"/>
    </xf>
    <xf numFmtId="173" fontId="18" fillId="0" borderId="4" xfId="0" applyNumberFormat="1" applyFont="1" applyBorder="1" applyAlignment="1">
      <alignment horizontal="left" vertical="center" wrapText="1" readingOrder="1"/>
    </xf>
    <xf numFmtId="14" fontId="20" fillId="0" borderId="7" xfId="0" quotePrefix="1" applyNumberFormat="1" applyFont="1" applyBorder="1" applyAlignment="1">
      <alignment horizontal="justify" vertical="center" wrapText="1"/>
    </xf>
    <xf numFmtId="0" fontId="18" fillId="0" borderId="4" xfId="0" applyFont="1" applyBorder="1" applyAlignment="1">
      <alignment horizontal="left" vertical="center" readingOrder="1"/>
    </xf>
    <xf numFmtId="0" fontId="9" fillId="0" borderId="0" xfId="0" applyFont="1" applyAlignment="1"/>
    <xf numFmtId="0" fontId="20" fillId="0" borderId="0" xfId="0" applyFont="1" applyAlignment="1"/>
    <xf numFmtId="0" fontId="23" fillId="0" borderId="0" xfId="0" applyFont="1" applyAlignment="1"/>
    <xf numFmtId="0" fontId="22" fillId="0" borderId="17" xfId="0" applyFont="1" applyBorder="1" applyAlignment="1">
      <alignment horizontal="center" wrapText="1"/>
    </xf>
    <xf numFmtId="0" fontId="28" fillId="0" borderId="17" xfId="0" applyFont="1" applyBorder="1" applyAlignment="1">
      <alignment horizontal="left" vertical="center"/>
    </xf>
    <xf numFmtId="0" fontId="28" fillId="0" borderId="17" xfId="0" applyFont="1" applyBorder="1" applyAlignment="1">
      <alignment horizontal="center" vertical="center"/>
    </xf>
    <xf numFmtId="4" fontId="28" fillId="0" borderId="17" xfId="0" applyNumberFormat="1" applyFont="1" applyBorder="1" applyAlignment="1">
      <alignment horizontal="right" vertical="center"/>
    </xf>
    <xf numFmtId="0" fontId="22" fillId="0" borderId="7" xfId="0" applyFont="1" applyBorder="1" applyAlignment="1">
      <alignment horizontal="center" vertical="center" wrapText="1"/>
    </xf>
    <xf numFmtId="0" fontId="28" fillId="0" borderId="7" xfId="0" applyFont="1" applyBorder="1" applyAlignment="1">
      <alignment horizontal="left" vertical="center"/>
    </xf>
    <xf numFmtId="0" fontId="28" fillId="0" borderId="7" xfId="0" applyFont="1" applyBorder="1" applyAlignment="1">
      <alignment horizontal="center" vertical="center"/>
    </xf>
    <xf numFmtId="4" fontId="28" fillId="0" borderId="7" xfId="0" applyNumberFormat="1" applyFont="1" applyBorder="1" applyAlignment="1">
      <alignment horizontal="center" vertical="center"/>
    </xf>
    <xf numFmtId="0" fontId="20" fillId="0" borderId="7" xfId="0" applyFont="1" applyBorder="1" applyAlignment="1">
      <alignment horizontal="justify" vertical="center"/>
    </xf>
    <xf numFmtId="165" fontId="15" fillId="0" borderId="4" xfId="0" applyNumberFormat="1" applyFont="1" applyBorder="1" applyAlignment="1">
      <alignment horizontal="right" vertical="center" wrapText="1" readingOrder="1"/>
    </xf>
    <xf numFmtId="166" fontId="15" fillId="0" borderId="4" xfId="0" applyNumberFormat="1" applyFont="1" applyBorder="1" applyAlignment="1">
      <alignment horizontal="right" vertical="center" wrapText="1" readingOrder="1"/>
    </xf>
    <xf numFmtId="167" fontId="15" fillId="0" borderId="4" xfId="0" applyNumberFormat="1" applyFont="1" applyBorder="1" applyAlignment="1">
      <alignment horizontal="right" vertical="center" wrapText="1" readingOrder="1"/>
    </xf>
    <xf numFmtId="168" fontId="20" fillId="0" borderId="4" xfId="0" applyNumberFormat="1" applyFont="1" applyBorder="1" applyAlignment="1">
      <alignment horizontal="right" vertical="center" wrapText="1" readingOrder="1"/>
    </xf>
    <xf numFmtId="0" fontId="20" fillId="0" borderId="0" xfId="0" applyFont="1">
      <alignment wrapText="1"/>
    </xf>
    <xf numFmtId="0" fontId="21" fillId="0" borderId="0" xfId="0" applyFont="1" applyAlignment="1"/>
    <xf numFmtId="0" fontId="26" fillId="0" borderId="7" xfId="0" applyFont="1" applyBorder="1" applyAlignment="1">
      <alignment horizontal="left" wrapText="1"/>
    </xf>
    <xf numFmtId="0" fontId="26" fillId="0" borderId="7" xfId="0" applyFont="1" applyBorder="1" applyAlignment="1">
      <alignment horizontal="center" wrapText="1"/>
    </xf>
    <xf numFmtId="0" fontId="20" fillId="0" borderId="7" xfId="0" applyFont="1" applyBorder="1" applyAlignment="1">
      <alignment horizontal="left" vertical="center" wrapText="1"/>
    </xf>
    <xf numFmtId="0" fontId="20" fillId="0" borderId="7" xfId="0" applyFont="1" applyBorder="1" applyAlignment="1">
      <alignment horizontal="center" vertical="center"/>
    </xf>
    <xf numFmtId="4" fontId="20" fillId="0" borderId="7" xfId="0" applyNumberFormat="1" applyFont="1" applyBorder="1" applyAlignment="1">
      <alignment horizontal="center" vertical="center"/>
    </xf>
    <xf numFmtId="0" fontId="15" fillId="0" borderId="4" xfId="0" applyFont="1" applyBorder="1" applyAlignment="1">
      <alignment horizontal="right" vertical="top" wrapText="1" readingOrder="1"/>
    </xf>
    <xf numFmtId="0" fontId="16" fillId="0" borderId="4" xfId="0" applyFont="1" applyBorder="1" applyAlignment="1">
      <alignment horizontal="left" vertical="center" wrapText="1" readingOrder="1"/>
    </xf>
    <xf numFmtId="0" fontId="16" fillId="0" borderId="4" xfId="0" applyFont="1" applyBorder="1" applyAlignment="1">
      <alignment horizontal="right" vertical="center" wrapText="1" readingOrder="1"/>
    </xf>
    <xf numFmtId="168" fontId="15" fillId="0" borderId="4" xfId="0" applyNumberFormat="1" applyFont="1" applyBorder="1" applyAlignment="1">
      <alignment horizontal="right" vertical="center" wrapText="1" readingOrder="1"/>
    </xf>
    <xf numFmtId="167" fontId="18" fillId="0" borderId="4" xfId="0" applyNumberFormat="1" applyFont="1" applyBorder="1" applyAlignment="1">
      <alignment horizontal="right" vertical="center" wrapText="1" readingOrder="1"/>
    </xf>
    <xf numFmtId="168" fontId="18"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5"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18" fillId="0" borderId="4" xfId="10" applyFont="1" applyBorder="1" applyAlignment="1">
      <alignment horizontal="left" vertical="center" wrapText="1" readingOrder="1"/>
    </xf>
    <xf numFmtId="0" fontId="0" fillId="0" borderId="0" xfId="0" applyAlignment="1">
      <alignment vertical="center" wrapText="1"/>
    </xf>
    <xf numFmtId="0" fontId="9" fillId="0" borderId="0" xfId="7">
      <alignment wrapText="1"/>
    </xf>
    <xf numFmtId="0" fontId="22" fillId="0" borderId="7" xfId="6" applyFont="1" applyBorder="1" applyAlignment="1">
      <alignment horizontal="center" vertical="center" wrapText="1"/>
    </xf>
    <xf numFmtId="0" fontId="23" fillId="0" borderId="7" xfId="6" applyFont="1" applyBorder="1"/>
    <xf numFmtId="0" fontId="23" fillId="0" borderId="7" xfId="6" applyFont="1" applyBorder="1" applyAlignment="1">
      <alignment wrapText="1"/>
    </xf>
    <xf numFmtId="4" fontId="20" fillId="0" borderId="7" xfId="0" applyNumberFormat="1" applyFont="1" applyBorder="1" applyAlignment="1">
      <alignment vertical="center"/>
    </xf>
    <xf numFmtId="43" fontId="23" fillId="0" borderId="7" xfId="6" applyNumberFormat="1" applyFont="1" applyBorder="1"/>
    <xf numFmtId="0" fontId="20" fillId="0" borderId="0" xfId="0" applyFont="1" applyAlignment="1">
      <alignment vertical="center" wrapText="1"/>
    </xf>
    <xf numFmtId="0" fontId="20" fillId="0" borderId="0" xfId="0" applyFont="1" applyAlignment="1">
      <alignment vertical="center"/>
    </xf>
    <xf numFmtId="2" fontId="20" fillId="0" borderId="0" xfId="0" applyNumberFormat="1" applyFont="1" applyAlignment="1">
      <alignment vertical="center"/>
    </xf>
    <xf numFmtId="4" fontId="20" fillId="0" borderId="0" xfId="0" applyNumberFormat="1" applyFont="1" applyAlignment="1">
      <alignment vertical="center"/>
    </xf>
    <xf numFmtId="0" fontId="23" fillId="0" borderId="0" xfId="6" applyFont="1" applyAlignment="1">
      <alignment vertical="center" wrapText="1"/>
    </xf>
    <xf numFmtId="0" fontId="25" fillId="0" borderId="0" xfId="0" applyFont="1" applyAlignment="1"/>
    <xf numFmtId="0" fontId="18" fillId="0" borderId="4" xfId="0" applyFont="1" applyBorder="1" applyAlignment="1">
      <alignment horizontal="right" vertical="center" wrapText="1" readingOrder="1"/>
    </xf>
    <xf numFmtId="0" fontId="21" fillId="0" borderId="0" xfId="0" applyFont="1" applyAlignment="1">
      <alignment vertical="center"/>
    </xf>
    <xf numFmtId="0" fontId="26" fillId="0" borderId="7" xfId="1" applyFont="1" applyBorder="1" applyAlignment="1">
      <alignment horizontal="center" vertical="center"/>
    </xf>
    <xf numFmtId="0" fontId="21" fillId="0" borderId="7" xfId="1" applyFont="1" applyBorder="1" applyAlignment="1">
      <alignment vertical="center"/>
    </xf>
    <xf numFmtId="0" fontId="21" fillId="0" borderId="7" xfId="1" applyFont="1" applyBorder="1" applyAlignment="1">
      <alignment vertical="center" wrapText="1"/>
    </xf>
    <xf numFmtId="0" fontId="26" fillId="0" borderId="7" xfId="1" applyFont="1" applyBorder="1" applyAlignment="1">
      <alignment horizontal="center" vertical="center" wrapText="1"/>
    </xf>
    <xf numFmtId="0" fontId="8" fillId="0" borderId="0" xfId="2" applyFont="1" applyAlignment="1">
      <alignment horizontal="center" vertical="center"/>
    </xf>
    <xf numFmtId="0" fontId="21" fillId="0" borderId="7" xfId="1" applyFont="1" applyBorder="1" applyAlignment="1">
      <alignment horizontal="left" vertical="center"/>
    </xf>
    <xf numFmtId="2" fontId="21" fillId="0" borderId="7" xfId="1" applyNumberFormat="1" applyFont="1" applyBorder="1" applyAlignment="1">
      <alignment horizontal="right" vertical="center" wrapText="1"/>
    </xf>
    <xf numFmtId="4" fontId="21" fillId="0" borderId="7" xfId="1" applyNumberFormat="1" applyFont="1" applyBorder="1" applyAlignment="1">
      <alignment horizontal="right" vertical="center"/>
    </xf>
    <xf numFmtId="10" fontId="21" fillId="0" borderId="7" xfId="5" applyNumberFormat="1" applyFont="1" applyFill="1" applyBorder="1" applyAlignment="1">
      <alignment vertical="center" wrapText="1"/>
    </xf>
    <xf numFmtId="4" fontId="10" fillId="0" borderId="0" xfId="1" applyNumberFormat="1" applyFont="1" applyAlignment="1">
      <alignment vertical="center"/>
    </xf>
    <xf numFmtId="0" fontId="27" fillId="0" borderId="7" xfId="0" applyFont="1" applyBorder="1" applyAlignment="1">
      <alignment horizontal="justify" vertical="center" wrapText="1"/>
    </xf>
    <xf numFmtId="0" fontId="9" fillId="0" borderId="0" xfId="2">
      <alignment wrapText="1"/>
    </xf>
    <xf numFmtId="165" fontId="4" fillId="0" borderId="18" xfId="0" applyNumberFormat="1" applyFont="1" applyBorder="1" applyAlignment="1">
      <alignment horizontal="right" vertical="center" wrapText="1" readingOrder="1"/>
    </xf>
    <xf numFmtId="0" fontId="15" fillId="0" borderId="18" xfId="0" applyFont="1" applyBorder="1" applyAlignment="1">
      <alignment horizontal="left" vertical="center" wrapText="1" readingOrder="1"/>
    </xf>
    <xf numFmtId="166" fontId="15" fillId="0" borderId="18" xfId="0" applyNumberFormat="1" applyFont="1" applyBorder="1" applyAlignment="1">
      <alignment horizontal="right" vertical="center" wrapText="1" readingOrder="1"/>
    </xf>
    <xf numFmtId="167" fontId="15" fillId="0" borderId="18" xfId="0" applyNumberFormat="1" applyFont="1" applyBorder="1" applyAlignment="1">
      <alignment horizontal="right" vertical="center" wrapText="1" readingOrder="1"/>
    </xf>
    <xf numFmtId="168" fontId="20" fillId="0" borderId="18" xfId="0" applyNumberFormat="1" applyFont="1" applyBorder="1" applyAlignment="1">
      <alignment horizontal="right" vertical="center" wrapText="1" readingOrder="1"/>
    </xf>
    <xf numFmtId="167" fontId="15" fillId="0" borderId="19" xfId="0" applyNumberFormat="1" applyFont="1" applyBorder="1" applyAlignment="1">
      <alignment horizontal="right" vertical="center" wrapText="1" readingOrder="1"/>
    </xf>
    <xf numFmtId="10" fontId="0" fillId="0" borderId="0" xfId="5" applyNumberFormat="1" applyFont="1" applyFill="1" applyAlignment="1">
      <alignment wrapText="1"/>
    </xf>
    <xf numFmtId="167" fontId="18" fillId="0" borderId="18" xfId="0" applyNumberFormat="1" applyFont="1" applyBorder="1" applyAlignment="1">
      <alignment horizontal="left" vertical="center" wrapText="1" readingOrder="1"/>
    </xf>
    <xf numFmtId="37" fontId="28" fillId="0" borderId="19" xfId="13" applyNumberFormat="1" applyFont="1" applyFill="1" applyBorder="1" applyAlignment="1">
      <alignment horizontal="center"/>
    </xf>
    <xf numFmtId="43" fontId="28" fillId="0" borderId="0" xfId="13" applyFont="1" applyFill="1" applyBorder="1"/>
    <xf numFmtId="43" fontId="28" fillId="0" borderId="0" xfId="13" applyFont="1" applyFill="1" applyBorder="1" applyAlignment="1" applyProtection="1">
      <alignment horizontal="left"/>
      <protection locked="0"/>
    </xf>
    <xf numFmtId="43" fontId="28" fillId="0" borderId="19" xfId="13" applyFont="1" applyFill="1" applyBorder="1" applyAlignment="1">
      <alignment horizontal="center" vertical="top" wrapText="1"/>
    </xf>
    <xf numFmtId="178" fontId="28" fillId="0" borderId="0" xfId="13" applyNumberFormat="1" applyFont="1" applyFill="1" applyBorder="1" applyAlignment="1">
      <alignment horizontal="center" vertical="top" wrapText="1"/>
    </xf>
    <xf numFmtId="174" fontId="28" fillId="0" borderId="0" xfId="13" applyNumberFormat="1" applyFont="1" applyFill="1" applyBorder="1" applyAlignment="1">
      <alignment horizontal="right" vertical="top" wrapText="1"/>
    </xf>
    <xf numFmtId="4" fontId="28" fillId="0" borderId="0" xfId="13" applyNumberFormat="1" applyFont="1" applyFill="1" applyBorder="1"/>
    <xf numFmtId="43" fontId="28" fillId="0" borderId="19" xfId="13" applyFont="1" applyFill="1" applyBorder="1" applyAlignment="1"/>
    <xf numFmtId="4" fontId="28" fillId="0" borderId="19" xfId="13" applyNumberFormat="1" applyFont="1" applyFill="1" applyBorder="1" applyAlignment="1">
      <alignment horizontal="center"/>
    </xf>
    <xf numFmtId="0" fontId="28" fillId="0" borderId="0" xfId="0" applyFont="1" applyAlignment="1"/>
    <xf numFmtId="0" fontId="25" fillId="0" borderId="19" xfId="0" applyFont="1" applyBorder="1" applyAlignment="1">
      <alignment horizontal="center" vertical="top"/>
    </xf>
    <xf numFmtId="0" fontId="25" fillId="0" borderId="19" xfId="0" applyFont="1" applyBorder="1" applyAlignment="1">
      <alignment horizontal="center" vertical="top" wrapText="1"/>
    </xf>
    <xf numFmtId="0" fontId="28" fillId="0" borderId="19" xfId="0" applyFont="1" applyBorder="1" applyAlignment="1">
      <alignment horizontal="left" vertical="top"/>
    </xf>
    <xf numFmtId="0" fontId="28" fillId="0" borderId="19" xfId="0" applyFont="1" applyBorder="1" applyAlignment="1">
      <alignment horizontal="center" vertical="top"/>
    </xf>
    <xf numFmtId="173" fontId="15" fillId="2" borderId="18" xfId="12" applyNumberFormat="1" applyFont="1" applyFill="1" applyBorder="1" applyAlignment="1">
      <alignment horizontal="center" vertical="center" wrapText="1" readingOrder="1"/>
    </xf>
    <xf numFmtId="2" fontId="15" fillId="2" borderId="18" xfId="12" applyNumberFormat="1" applyFont="1" applyFill="1" applyBorder="1" applyAlignment="1">
      <alignment horizontal="center" vertical="center" wrapText="1" readingOrder="1"/>
    </xf>
    <xf numFmtId="2" fontId="28" fillId="0" borderId="19" xfId="0" applyNumberFormat="1" applyFont="1" applyBorder="1" applyAlignment="1">
      <alignment horizontal="center" vertical="top" wrapText="1"/>
    </xf>
    <xf numFmtId="2" fontId="28" fillId="0" borderId="0" xfId="0" applyNumberFormat="1" applyFont="1" applyAlignment="1"/>
    <xf numFmtId="173" fontId="28" fillId="0" borderId="0" xfId="0" applyNumberFormat="1" applyFont="1" applyAlignment="1"/>
    <xf numFmtId="0" fontId="25" fillId="0" borderId="19" xfId="0" applyFont="1" applyBorder="1" applyAlignment="1">
      <alignment horizontal="center"/>
    </xf>
    <xf numFmtId="2" fontId="28" fillId="0" borderId="19" xfId="0" applyNumberFormat="1" applyFont="1" applyBorder="1" applyAlignment="1">
      <alignment horizontal="center"/>
    </xf>
    <xf numFmtId="0" fontId="28" fillId="0" borderId="19" xfId="0" applyFont="1" applyBorder="1" applyAlignment="1"/>
    <xf numFmtId="39" fontId="28" fillId="0" borderId="19" xfId="0" applyNumberFormat="1" applyFont="1" applyBorder="1" applyAlignment="1">
      <alignment horizontal="center"/>
    </xf>
    <xf numFmtId="39" fontId="28" fillId="0" borderId="19" xfId="13" applyNumberFormat="1" applyFont="1" applyFill="1" applyBorder="1" applyAlignment="1">
      <alignment horizontal="center"/>
    </xf>
    <xf numFmtId="43" fontId="28" fillId="0" borderId="0" xfId="0" applyNumberFormat="1" applyFont="1" applyAlignment="1"/>
    <xf numFmtId="4" fontId="28" fillId="0" borderId="0" xfId="0" applyNumberFormat="1" applyFont="1" applyAlignment="1"/>
    <xf numFmtId="37" fontId="28" fillId="0" borderId="0" xfId="0" applyNumberFormat="1" applyFont="1" applyAlignment="1"/>
    <xf numFmtId="176" fontId="28" fillId="0" borderId="0" xfId="0" applyNumberFormat="1" applyFont="1" applyAlignment="1"/>
    <xf numFmtId="0" fontId="15" fillId="2" borderId="18" xfId="0" applyFont="1" applyFill="1" applyBorder="1" applyAlignment="1">
      <alignment horizontal="left" vertical="center" wrapText="1" readingOrder="1"/>
    </xf>
    <xf numFmtId="173" fontId="15" fillId="2" borderId="18" xfId="0" applyNumberFormat="1" applyFont="1" applyFill="1" applyBorder="1" applyAlignment="1">
      <alignment horizontal="right" vertical="center" wrapText="1" readingOrder="1"/>
    </xf>
    <xf numFmtId="4" fontId="15" fillId="2" borderId="18" xfId="0" applyNumberFormat="1" applyFont="1" applyFill="1" applyBorder="1" applyAlignment="1">
      <alignment horizontal="right" vertical="center" wrapText="1" readingOrder="1"/>
    </xf>
    <xf numFmtId="2" fontId="28" fillId="0" borderId="19" xfId="0" applyNumberFormat="1" applyFont="1" applyBorder="1" applyAlignment="1">
      <alignment horizontal="right" vertical="top" wrapText="1"/>
    </xf>
    <xf numFmtId="0" fontId="28" fillId="0" borderId="0" xfId="0" applyFont="1" applyAlignment="1" applyProtection="1">
      <alignment horizontal="left"/>
      <protection locked="0"/>
    </xf>
    <xf numFmtId="0" fontId="28" fillId="0" borderId="0" xfId="0" applyFont="1" applyAlignment="1">
      <alignment horizontal="center" vertical="top"/>
    </xf>
    <xf numFmtId="4" fontId="28" fillId="0" borderId="0" xfId="0" applyNumberFormat="1" applyFont="1" applyAlignment="1">
      <alignment horizontal="right" vertical="center"/>
    </xf>
    <xf numFmtId="2" fontId="28" fillId="0" borderId="19" xfId="0" applyNumberFormat="1" applyFont="1" applyBorder="1" applyAlignment="1">
      <alignment horizontal="center" vertical="top"/>
    </xf>
    <xf numFmtId="0" fontId="28" fillId="0" borderId="0" xfId="0" applyFont="1" applyAlignment="1">
      <alignment horizontal="left" vertical="top"/>
    </xf>
    <xf numFmtId="173" fontId="15" fillId="2" borderId="0" xfId="0" applyNumberFormat="1" applyFont="1" applyFill="1" applyAlignment="1">
      <alignment horizontal="center" vertical="center" wrapText="1" readingOrder="1"/>
    </xf>
    <xf numFmtId="174" fontId="28" fillId="0" borderId="19" xfId="13" applyNumberFormat="1" applyFont="1" applyFill="1" applyBorder="1" applyAlignment="1">
      <alignment horizontal="left" vertical="top"/>
    </xf>
    <xf numFmtId="39" fontId="28" fillId="0" borderId="0" xfId="0" applyNumberFormat="1" applyFont="1" applyAlignment="1"/>
    <xf numFmtId="0" fontId="25" fillId="0" borderId="0" xfId="0" applyFont="1" applyAlignment="1">
      <alignment vertical="top" wrapText="1"/>
    </xf>
    <xf numFmtId="0" fontId="28" fillId="0" borderId="0" xfId="0" applyFont="1" applyAlignment="1">
      <alignment horizontal="center"/>
    </xf>
    <xf numFmtId="2" fontId="28" fillId="0" borderId="0" xfId="0" applyNumberFormat="1" applyFont="1" applyAlignment="1">
      <alignment horizontal="right"/>
    </xf>
    <xf numFmtId="0" fontId="28" fillId="0" borderId="0" xfId="0" applyFont="1" applyAlignment="1">
      <alignment horizontal="right" vertical="top" wrapText="1"/>
    </xf>
    <xf numFmtId="0" fontId="28" fillId="0" borderId="19" xfId="0" applyFont="1" applyBorder="1" applyAlignment="1">
      <alignment horizontal="center" vertical="top" wrapText="1"/>
    </xf>
    <xf numFmtId="177" fontId="28" fillId="0" borderId="0" xfId="0" applyNumberFormat="1" applyFont="1" applyAlignment="1">
      <alignment horizontal="right" vertical="top" wrapText="1"/>
    </xf>
    <xf numFmtId="2" fontId="28" fillId="0" borderId="0" xfId="0" applyNumberFormat="1" applyFont="1" applyAlignment="1">
      <alignment horizontal="center"/>
    </xf>
    <xf numFmtId="10" fontId="28" fillId="0" borderId="0" xfId="0" applyNumberFormat="1" applyFont="1" applyAlignment="1">
      <alignment horizontal="center"/>
    </xf>
    <xf numFmtId="0" fontId="28" fillId="0" borderId="19" xfId="0" applyFont="1" applyBorder="1" applyAlignment="1">
      <alignment horizontal="left"/>
    </xf>
    <xf numFmtId="0" fontId="28" fillId="0" borderId="0" xfId="0" applyFont="1" applyAlignment="1">
      <alignment horizontal="left"/>
    </xf>
    <xf numFmtId="0" fontId="28" fillId="0" borderId="0" xfId="0" applyFont="1" applyAlignment="1">
      <alignment horizontal="right" vertical="top"/>
    </xf>
    <xf numFmtId="2" fontId="28" fillId="0" borderId="0" xfId="0" applyNumberFormat="1" applyFont="1" applyAlignment="1">
      <alignment horizontal="right" vertical="top"/>
    </xf>
    <xf numFmtId="0" fontId="28" fillId="0" borderId="0" xfId="0" applyFont="1" applyAlignment="1">
      <alignment horizontal="left" vertical="top" wrapText="1"/>
    </xf>
    <xf numFmtId="0" fontId="29" fillId="0" borderId="19" xfId="0" applyFont="1" applyBorder="1" applyAlignment="1"/>
    <xf numFmtId="0" fontId="30" fillId="0" borderId="19" xfId="0" applyFont="1" applyBorder="1" applyAlignment="1">
      <alignment horizontal="left" wrapText="1"/>
    </xf>
    <xf numFmtId="0" fontId="31" fillId="0" borderId="19" xfId="0" applyFont="1" applyBorder="1" applyAlignment="1">
      <alignment horizontal="left" wrapText="1"/>
    </xf>
    <xf numFmtId="43" fontId="28" fillId="0" borderId="19" xfId="13" applyFont="1" applyBorder="1" applyAlignment="1">
      <alignment horizontal="left" vertical="top"/>
    </xf>
    <xf numFmtId="14" fontId="28" fillId="0" borderId="19" xfId="13" applyNumberFormat="1" applyFont="1" applyBorder="1" applyAlignment="1">
      <alignment horizontal="center" vertical="top"/>
    </xf>
    <xf numFmtId="0" fontId="28" fillId="0" borderId="19" xfId="0" applyFont="1" applyBorder="1" applyAlignment="1">
      <alignment horizontal="center"/>
    </xf>
    <xf numFmtId="4" fontId="28" fillId="0" borderId="19" xfId="0" applyNumberFormat="1" applyFont="1" applyBorder="1" applyAlignment="1">
      <alignment horizontal="center"/>
    </xf>
    <xf numFmtId="4" fontId="25" fillId="0" borderId="19" xfId="0" applyNumberFormat="1" applyFont="1" applyBorder="1" applyAlignment="1">
      <alignment horizontal="center" vertical="top" wrapText="1"/>
    </xf>
    <xf numFmtId="4" fontId="28" fillId="0" borderId="19" xfId="0" applyNumberFormat="1" applyFont="1" applyBorder="1" applyAlignment="1">
      <alignment horizontal="center" vertical="top" wrapText="1"/>
    </xf>
    <xf numFmtId="0" fontId="13" fillId="0" borderId="7" xfId="0" applyFont="1" applyBorder="1" applyAlignment="1">
      <alignment horizontal="center" vertical="center" wrapText="1" readingOrder="1"/>
    </xf>
    <xf numFmtId="0" fontId="15" fillId="0" borderId="0" xfId="0" applyFont="1" applyAlignment="1">
      <alignment horizontal="left" vertical="center" wrapText="1" readingOrder="1"/>
    </xf>
    <xf numFmtId="0" fontId="15"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15" fillId="0" borderId="1" xfId="0" applyFont="1" applyBorder="1" applyAlignment="1">
      <alignment horizontal="left" vertical="center" wrapText="1" readingOrder="1"/>
    </xf>
    <xf numFmtId="0" fontId="15" fillId="0" borderId="3" xfId="0" applyFont="1" applyBorder="1" applyAlignment="1">
      <alignment horizontal="left" vertical="center" wrapText="1" readingOrder="1"/>
    </xf>
    <xf numFmtId="0" fontId="17" fillId="0" borderId="0" xfId="0" applyFont="1" applyAlignment="1">
      <alignment horizontal="left" vertical="top" wrapText="1"/>
    </xf>
    <xf numFmtId="0" fontId="22" fillId="0" borderId="10" xfId="6" applyFont="1" applyBorder="1" applyAlignment="1">
      <alignment horizontal="center" vertical="center"/>
    </xf>
    <xf numFmtId="0" fontId="22" fillId="0" borderId="14" xfId="6" applyFont="1" applyBorder="1" applyAlignment="1">
      <alignment horizontal="center" vertical="center"/>
    </xf>
    <xf numFmtId="0" fontId="22" fillId="0" borderId="8" xfId="6" applyFont="1" applyBorder="1" applyAlignment="1">
      <alignment horizontal="center" vertical="center"/>
    </xf>
    <xf numFmtId="0" fontId="22" fillId="0" borderId="11" xfId="6" applyFont="1" applyBorder="1" applyAlignment="1">
      <alignment horizontal="center" vertical="center"/>
    </xf>
    <xf numFmtId="0" fontId="22" fillId="0" borderId="12" xfId="6" applyFont="1" applyBorder="1" applyAlignment="1">
      <alignment horizontal="center" vertical="center"/>
    </xf>
    <xf numFmtId="0" fontId="22" fillId="0" borderId="13" xfId="6" applyFont="1" applyBorder="1" applyAlignment="1">
      <alignment horizontal="center" vertical="center"/>
    </xf>
    <xf numFmtId="0" fontId="22" fillId="0" borderId="11" xfId="6" applyFont="1" applyBorder="1" applyAlignment="1">
      <alignment horizontal="center" vertical="center" wrapText="1"/>
    </xf>
    <xf numFmtId="0" fontId="22" fillId="0" borderId="12" xfId="6" applyFont="1" applyBorder="1" applyAlignment="1">
      <alignment horizontal="center" vertical="center" wrapText="1"/>
    </xf>
    <xf numFmtId="0" fontId="22" fillId="0" borderId="13" xfId="6" applyFont="1" applyBorder="1" applyAlignment="1">
      <alignment horizontal="center" vertical="center" wrapText="1"/>
    </xf>
    <xf numFmtId="0" fontId="22" fillId="0" borderId="10" xfId="6" applyFont="1" applyBorder="1" applyAlignment="1">
      <alignment horizontal="center" vertical="center" wrapText="1"/>
    </xf>
    <xf numFmtId="0" fontId="22" fillId="0" borderId="8" xfId="6" applyFont="1" applyBorder="1" applyAlignment="1">
      <alignment horizontal="center" vertical="center" wrapText="1"/>
    </xf>
    <xf numFmtId="0" fontId="22" fillId="0" borderId="15" xfId="6" applyFont="1" applyBorder="1" applyAlignment="1">
      <alignment horizontal="center" vertical="center" wrapText="1"/>
    </xf>
    <xf numFmtId="0" fontId="22" fillId="0" borderId="16" xfId="6" applyFont="1" applyBorder="1" applyAlignment="1">
      <alignment horizontal="center" vertical="center" wrapText="1"/>
    </xf>
    <xf numFmtId="0" fontId="23" fillId="0" borderId="0" xfId="6" applyFont="1" applyAlignment="1">
      <alignment horizontal="justify" vertical="center" wrapText="1"/>
    </xf>
    <xf numFmtId="0" fontId="26" fillId="0" borderId="11" xfId="1" applyFont="1" applyBorder="1" applyAlignment="1">
      <alignment horizontal="center" vertical="center" wrapText="1"/>
    </xf>
    <xf numFmtId="0" fontId="26" fillId="0" borderId="13" xfId="1" applyFont="1" applyBorder="1" applyAlignment="1">
      <alignment horizontal="center" vertical="center" wrapText="1"/>
    </xf>
    <xf numFmtId="0" fontId="26" fillId="0" borderId="7" xfId="1" applyFont="1" applyBorder="1" applyAlignment="1">
      <alignment horizontal="center" vertical="center"/>
    </xf>
    <xf numFmtId="0" fontId="21" fillId="0" borderId="11" xfId="4" applyNumberFormat="1" applyFont="1" applyFill="1" applyBorder="1" applyAlignment="1">
      <alignment horizontal="center" vertical="center"/>
    </xf>
    <xf numFmtId="0" fontId="21" fillId="0" borderId="13" xfId="4" applyNumberFormat="1" applyFont="1" applyFill="1" applyBorder="1" applyAlignment="1">
      <alignment horizontal="center" vertical="center"/>
    </xf>
    <xf numFmtId="0" fontId="26" fillId="0" borderId="11" xfId="1" applyFont="1" applyBorder="1" applyAlignment="1">
      <alignment horizontal="center" vertical="center"/>
    </xf>
    <xf numFmtId="0" fontId="26" fillId="0" borderId="12" xfId="1" applyFont="1" applyBorder="1" applyAlignment="1">
      <alignment horizontal="center" vertical="center"/>
    </xf>
    <xf numFmtId="0" fontId="26" fillId="0" borderId="13" xfId="1" applyFont="1" applyBorder="1" applyAlignment="1">
      <alignment horizontal="center" vertical="center"/>
    </xf>
    <xf numFmtId="0" fontId="21" fillId="0" borderId="11" xfId="1" applyFont="1" applyBorder="1" applyAlignment="1">
      <alignment horizontal="left" vertical="center" wrapText="1"/>
    </xf>
    <xf numFmtId="0" fontId="21" fillId="0" borderId="12" xfId="1" applyFont="1" applyBorder="1" applyAlignment="1">
      <alignment horizontal="left" vertical="center" wrapText="1"/>
    </xf>
    <xf numFmtId="0" fontId="21" fillId="0" borderId="13" xfId="1" applyFont="1" applyBorder="1" applyAlignment="1">
      <alignment horizontal="left" vertical="center" wrapText="1"/>
    </xf>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15" fillId="0" borderId="7" xfId="0" applyFont="1" applyBorder="1" applyAlignment="1">
      <alignment horizontal="left" vertical="center" wrapText="1" readingOrder="1"/>
    </xf>
    <xf numFmtId="0" fontId="15" fillId="0" borderId="11" xfId="0" applyFont="1" applyBorder="1" applyAlignment="1">
      <alignment horizontal="left" vertical="center" wrapText="1" readingOrder="1"/>
    </xf>
    <xf numFmtId="0" fontId="15" fillId="0" borderId="13" xfId="0" applyFont="1" applyBorder="1" applyAlignment="1">
      <alignment horizontal="left" vertical="center" wrapText="1" readingOrder="1"/>
    </xf>
    <xf numFmtId="0" fontId="15" fillId="0" borderId="12" xfId="0" applyFont="1" applyBorder="1" applyAlignment="1">
      <alignment horizontal="left" vertical="center" wrapText="1" readingOrder="1"/>
    </xf>
    <xf numFmtId="0" fontId="25" fillId="0" borderId="0" xfId="0" applyFont="1" applyAlignment="1">
      <alignment horizontal="center"/>
    </xf>
  </cellXfs>
  <cellStyles count="14">
    <cellStyle name="Comma" xfId="4" builtinId="3"/>
    <cellStyle name="Comma 2" xfId="8" xr:uid="{B8E4FACD-8750-4DFE-A2DA-35A72EBDF811}"/>
    <cellStyle name="Comma 3" xfId="13" xr:uid="{2C5FDC8D-96BD-4F4B-9C88-46C4123D1324}"/>
    <cellStyle name="Hyperlink 2" xfId="3" xr:uid="{8A19975A-B67C-46B4-B409-F756ED677A0E}"/>
    <cellStyle name="Normal" xfId="0" builtinId="0"/>
    <cellStyle name="Normal 2" xfId="2" xr:uid="{2DAFD035-D5F5-4D8C-930B-934862B563B0}"/>
    <cellStyle name="Normal 2 2" xfId="10" xr:uid="{E9D2FC3B-D5ED-4AC9-9AFF-07FD9A13D2C7}"/>
    <cellStyle name="Normal 2 2 2" xfId="6" xr:uid="{A288BD7F-DB4F-4C99-B0B2-3899729A6ABC}"/>
    <cellStyle name="Normal 2 2 3 2 2 3 2" xfId="1" xr:uid="{D852C801-F6EC-4088-81AC-3B6AA2D8E155}"/>
    <cellStyle name="Normal 2 3" xfId="12" xr:uid="{7DB85CBA-CB85-458A-AC24-82E755F7A986}"/>
    <cellStyle name="Normal 3" xfId="7" xr:uid="{C8067B58-5EBE-4DC6-BB52-FAE0AF96B2F0}"/>
    <cellStyle name="Normal 4" xfId="11" xr:uid="{1406864D-868C-46A4-8A48-A4081F8664BE}"/>
    <cellStyle name="Percent" xfId="5" builtinId="5"/>
    <cellStyle name="Percent 2" xfId="9" xr:uid="{14438C09-8B0E-468D-858C-AC2CFADC59DD}"/>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2</xdr:col>
      <xdr:colOff>1909180</xdr:colOff>
      <xdr:row>152</xdr:row>
      <xdr:rowOff>27375</xdr:rowOff>
    </xdr:to>
    <xdr:pic>
      <xdr:nvPicPr>
        <xdr:cNvPr id="4" name="Picture 3">
          <a:extLst>
            <a:ext uri="{FF2B5EF4-FFF2-40B4-BE49-F238E27FC236}">
              <a16:creationId xmlns:a16="http://schemas.microsoft.com/office/drawing/2014/main" id="{F0074D39-C4CF-476E-88E7-BE89466D72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441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xdr:row>
      <xdr:rowOff>0</xdr:rowOff>
    </xdr:from>
    <xdr:to>
      <xdr:col>2</xdr:col>
      <xdr:colOff>1909180</xdr:colOff>
      <xdr:row>156</xdr:row>
      <xdr:rowOff>1980000</xdr:rowOff>
    </xdr:to>
    <xdr:pic>
      <xdr:nvPicPr>
        <xdr:cNvPr id="5" name="Picture 4">
          <a:extLst>
            <a:ext uri="{FF2B5EF4-FFF2-40B4-BE49-F238E27FC236}">
              <a16:creationId xmlns:a16="http://schemas.microsoft.com/office/drawing/2014/main" id="{024435E6-71B4-452B-B129-67F4C84E87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0417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1937755</xdr:colOff>
      <xdr:row>98</xdr:row>
      <xdr:rowOff>27375</xdr:rowOff>
    </xdr:to>
    <xdr:pic>
      <xdr:nvPicPr>
        <xdr:cNvPr id="4" name="Picture 3">
          <a:extLst>
            <a:ext uri="{FF2B5EF4-FFF2-40B4-BE49-F238E27FC236}">
              <a16:creationId xmlns:a16="http://schemas.microsoft.com/office/drawing/2014/main" id="{F1425118-0C40-4A21-BB35-94942233BB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7859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2</xdr:col>
      <xdr:colOff>1937755</xdr:colOff>
      <xdr:row>102</xdr:row>
      <xdr:rowOff>1980000</xdr:rowOff>
    </xdr:to>
    <xdr:pic>
      <xdr:nvPicPr>
        <xdr:cNvPr id="5" name="Picture 4">
          <a:extLst>
            <a:ext uri="{FF2B5EF4-FFF2-40B4-BE49-F238E27FC236}">
              <a16:creationId xmlns:a16="http://schemas.microsoft.com/office/drawing/2014/main" id="{C71AD604-2691-4E26-82FC-A9D5D8E9CA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0459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1909180</xdr:colOff>
      <xdr:row>187</xdr:row>
      <xdr:rowOff>36900</xdr:rowOff>
    </xdr:to>
    <xdr:pic>
      <xdr:nvPicPr>
        <xdr:cNvPr id="2" name="Picture 1">
          <a:extLst>
            <a:ext uri="{FF2B5EF4-FFF2-40B4-BE49-F238E27FC236}">
              <a16:creationId xmlns:a16="http://schemas.microsoft.com/office/drawing/2014/main" id="{60C5503B-5BC4-4D68-BEFB-DE1FB94A3F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251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200025</xdr:colOff>
      <xdr:row>175</xdr:row>
      <xdr:rowOff>0</xdr:rowOff>
    </xdr:from>
    <xdr:to>
      <xdr:col>6</xdr:col>
      <xdr:colOff>832855</xdr:colOff>
      <xdr:row>187</xdr:row>
      <xdr:rowOff>36900</xdr:rowOff>
    </xdr:to>
    <xdr:pic>
      <xdr:nvPicPr>
        <xdr:cNvPr id="4" name="Picture 3">
          <a:extLst>
            <a:ext uri="{FF2B5EF4-FFF2-40B4-BE49-F238E27FC236}">
              <a16:creationId xmlns:a16="http://schemas.microsoft.com/office/drawing/2014/main" id="{80F7A1BD-30EF-457C-9BAF-E6DC7DB174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33251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2</xdr:col>
      <xdr:colOff>1909180</xdr:colOff>
      <xdr:row>171</xdr:row>
      <xdr:rowOff>27375</xdr:rowOff>
    </xdr:to>
    <xdr:pic>
      <xdr:nvPicPr>
        <xdr:cNvPr id="5" name="Picture 4">
          <a:extLst>
            <a:ext uri="{FF2B5EF4-FFF2-40B4-BE49-F238E27FC236}">
              <a16:creationId xmlns:a16="http://schemas.microsoft.com/office/drawing/2014/main" id="{3899669D-0BC8-47AC-BD5C-1D0E5F0FEB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489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257175</xdr:colOff>
      <xdr:row>184</xdr:row>
      <xdr:rowOff>85725</xdr:rowOff>
    </xdr:from>
    <xdr:to>
      <xdr:col>2</xdr:col>
      <xdr:colOff>1775830</xdr:colOff>
      <xdr:row>196</xdr:row>
      <xdr:rowOff>122625</xdr:rowOff>
    </xdr:to>
    <xdr:pic>
      <xdr:nvPicPr>
        <xdr:cNvPr id="2" name="Picture 1">
          <a:extLst>
            <a:ext uri="{FF2B5EF4-FFF2-40B4-BE49-F238E27FC236}">
              <a16:creationId xmlns:a16="http://schemas.microsoft.com/office/drawing/2014/main" id="{61B8E072-79F2-4B90-9185-70ECE14A65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300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169</xdr:row>
      <xdr:rowOff>0</xdr:rowOff>
    </xdr:from>
    <xdr:to>
      <xdr:col>2</xdr:col>
      <xdr:colOff>1909180</xdr:colOff>
      <xdr:row>181</xdr:row>
      <xdr:rowOff>36900</xdr:rowOff>
    </xdr:to>
    <xdr:pic>
      <xdr:nvPicPr>
        <xdr:cNvPr id="3" name="Picture 2">
          <a:extLst>
            <a:ext uri="{FF2B5EF4-FFF2-40B4-BE49-F238E27FC236}">
              <a16:creationId xmlns:a16="http://schemas.microsoft.com/office/drawing/2014/main" id="{5BDF13C0-74CF-4C89-935E-7E03A23B29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9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1909180</xdr:colOff>
      <xdr:row>134</xdr:row>
      <xdr:rowOff>27375</xdr:rowOff>
    </xdr:to>
    <xdr:pic>
      <xdr:nvPicPr>
        <xdr:cNvPr id="4" name="Picture 3">
          <a:extLst>
            <a:ext uri="{FF2B5EF4-FFF2-40B4-BE49-F238E27FC236}">
              <a16:creationId xmlns:a16="http://schemas.microsoft.com/office/drawing/2014/main" id="{33B38877-3023-4502-A721-B080D5D406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688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xdr:row>
      <xdr:rowOff>0</xdr:rowOff>
    </xdr:from>
    <xdr:to>
      <xdr:col>2</xdr:col>
      <xdr:colOff>1909180</xdr:colOff>
      <xdr:row>138</xdr:row>
      <xdr:rowOff>1980000</xdr:rowOff>
    </xdr:to>
    <xdr:pic>
      <xdr:nvPicPr>
        <xdr:cNvPr id="5" name="Picture 4">
          <a:extLst>
            <a:ext uri="{FF2B5EF4-FFF2-40B4-BE49-F238E27FC236}">
              <a16:creationId xmlns:a16="http://schemas.microsoft.com/office/drawing/2014/main" id="{10D7C231-970B-4053-A729-B05DCA30ED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289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1909180</xdr:colOff>
      <xdr:row>136</xdr:row>
      <xdr:rowOff>27375</xdr:rowOff>
    </xdr:to>
    <xdr:pic>
      <xdr:nvPicPr>
        <xdr:cNvPr id="4" name="Picture 3">
          <a:extLst>
            <a:ext uri="{FF2B5EF4-FFF2-40B4-BE49-F238E27FC236}">
              <a16:creationId xmlns:a16="http://schemas.microsoft.com/office/drawing/2014/main" id="{166FD88D-5DD5-452C-A807-D847488E75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012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2</xdr:col>
      <xdr:colOff>1909180</xdr:colOff>
      <xdr:row>140</xdr:row>
      <xdr:rowOff>1980000</xdr:rowOff>
    </xdr:to>
    <xdr:pic>
      <xdr:nvPicPr>
        <xdr:cNvPr id="5" name="Picture 4">
          <a:extLst>
            <a:ext uri="{FF2B5EF4-FFF2-40B4-BE49-F238E27FC236}">
              <a16:creationId xmlns:a16="http://schemas.microsoft.com/office/drawing/2014/main" id="{AFEE233E-AF81-435B-AA0E-2AC07A40D8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612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1909180</xdr:colOff>
      <xdr:row>128</xdr:row>
      <xdr:rowOff>27375</xdr:rowOff>
    </xdr:to>
    <xdr:pic>
      <xdr:nvPicPr>
        <xdr:cNvPr id="4" name="Picture 3">
          <a:extLst>
            <a:ext uri="{FF2B5EF4-FFF2-40B4-BE49-F238E27FC236}">
              <a16:creationId xmlns:a16="http://schemas.microsoft.com/office/drawing/2014/main" id="{15966AD5-B582-4910-8E9C-2979C3720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717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1909180</xdr:colOff>
      <xdr:row>132</xdr:row>
      <xdr:rowOff>1980000</xdr:rowOff>
    </xdr:to>
    <xdr:pic>
      <xdr:nvPicPr>
        <xdr:cNvPr id="5" name="Picture 4">
          <a:extLst>
            <a:ext uri="{FF2B5EF4-FFF2-40B4-BE49-F238E27FC236}">
              <a16:creationId xmlns:a16="http://schemas.microsoft.com/office/drawing/2014/main" id="{0012D314-3F42-42F2-9895-59AC67E663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317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1909180</xdr:colOff>
      <xdr:row>131</xdr:row>
      <xdr:rowOff>27375</xdr:rowOff>
    </xdr:to>
    <xdr:pic>
      <xdr:nvPicPr>
        <xdr:cNvPr id="4" name="Picture 3">
          <a:extLst>
            <a:ext uri="{FF2B5EF4-FFF2-40B4-BE49-F238E27FC236}">
              <a16:creationId xmlns:a16="http://schemas.microsoft.com/office/drawing/2014/main" id="{3526C806-6E83-4E45-8ABA-A9FC550F4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79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2</xdr:col>
      <xdr:colOff>1909180</xdr:colOff>
      <xdr:row>135</xdr:row>
      <xdr:rowOff>1980000</xdr:rowOff>
    </xdr:to>
    <xdr:pic>
      <xdr:nvPicPr>
        <xdr:cNvPr id="5" name="Picture 4">
          <a:extLst>
            <a:ext uri="{FF2B5EF4-FFF2-40B4-BE49-F238E27FC236}">
              <a16:creationId xmlns:a16="http://schemas.microsoft.com/office/drawing/2014/main" id="{5E329D2E-0758-4955-8646-5DA58DD14D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79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1909180</xdr:colOff>
      <xdr:row>131</xdr:row>
      <xdr:rowOff>27375</xdr:rowOff>
    </xdr:to>
    <xdr:pic>
      <xdr:nvPicPr>
        <xdr:cNvPr id="4" name="Picture 3">
          <a:extLst>
            <a:ext uri="{FF2B5EF4-FFF2-40B4-BE49-F238E27FC236}">
              <a16:creationId xmlns:a16="http://schemas.microsoft.com/office/drawing/2014/main" id="{D875FCC8-F1E6-4810-AA10-FD97523567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79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2</xdr:col>
      <xdr:colOff>1909180</xdr:colOff>
      <xdr:row>135</xdr:row>
      <xdr:rowOff>1980000</xdr:rowOff>
    </xdr:to>
    <xdr:pic>
      <xdr:nvPicPr>
        <xdr:cNvPr id="5" name="Picture 4">
          <a:extLst>
            <a:ext uri="{FF2B5EF4-FFF2-40B4-BE49-F238E27FC236}">
              <a16:creationId xmlns:a16="http://schemas.microsoft.com/office/drawing/2014/main" id="{F52FF65A-83FF-45D2-9D41-45502E8A8F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79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1909180</xdr:colOff>
      <xdr:row>133</xdr:row>
      <xdr:rowOff>27375</xdr:rowOff>
    </xdr:to>
    <xdr:pic>
      <xdr:nvPicPr>
        <xdr:cNvPr id="4" name="Picture 3">
          <a:extLst>
            <a:ext uri="{FF2B5EF4-FFF2-40B4-BE49-F238E27FC236}">
              <a16:creationId xmlns:a16="http://schemas.microsoft.com/office/drawing/2014/main" id="{DF803128-27AC-452D-89E1-DD0EEFF136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364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137</xdr:row>
      <xdr:rowOff>0</xdr:rowOff>
    </xdr:from>
    <xdr:to>
      <xdr:col>2</xdr:col>
      <xdr:colOff>1909180</xdr:colOff>
      <xdr:row>137</xdr:row>
      <xdr:rowOff>1980000</xdr:rowOff>
    </xdr:to>
    <xdr:pic>
      <xdr:nvPicPr>
        <xdr:cNvPr id="5" name="Picture 4">
          <a:extLst>
            <a:ext uri="{FF2B5EF4-FFF2-40B4-BE49-F238E27FC236}">
              <a16:creationId xmlns:a16="http://schemas.microsoft.com/office/drawing/2014/main" id="{4432DFEE-0428-43EA-9876-720C6AD926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965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28575</xdr:colOff>
      <xdr:row>130</xdr:row>
      <xdr:rowOff>0</xdr:rowOff>
    </xdr:from>
    <xdr:to>
      <xdr:col>2</xdr:col>
      <xdr:colOff>1937755</xdr:colOff>
      <xdr:row>131</xdr:row>
      <xdr:rowOff>27375</xdr:rowOff>
    </xdr:to>
    <xdr:pic>
      <xdr:nvPicPr>
        <xdr:cNvPr id="4" name="Picture 3">
          <a:extLst>
            <a:ext uri="{FF2B5EF4-FFF2-40B4-BE49-F238E27FC236}">
              <a16:creationId xmlns:a16="http://schemas.microsoft.com/office/drawing/2014/main" id="{0165042A-BDA5-4A70-AB6D-08A27A33C3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3040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9525</xdr:rowOff>
    </xdr:from>
    <xdr:to>
      <xdr:col>2</xdr:col>
      <xdr:colOff>1909180</xdr:colOff>
      <xdr:row>135</xdr:row>
      <xdr:rowOff>1989525</xdr:rowOff>
    </xdr:to>
    <xdr:pic>
      <xdr:nvPicPr>
        <xdr:cNvPr id="5" name="Picture 4">
          <a:extLst>
            <a:ext uri="{FF2B5EF4-FFF2-40B4-BE49-F238E27FC236}">
              <a16:creationId xmlns:a16="http://schemas.microsoft.com/office/drawing/2014/main" id="{B41CBEB5-ABC4-490E-8172-4D4230549A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650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165</xdr:row>
      <xdr:rowOff>0</xdr:rowOff>
    </xdr:from>
    <xdr:to>
      <xdr:col>2</xdr:col>
      <xdr:colOff>1909180</xdr:colOff>
      <xdr:row>166</xdr:row>
      <xdr:rowOff>27375</xdr:rowOff>
    </xdr:to>
    <xdr:pic>
      <xdr:nvPicPr>
        <xdr:cNvPr id="5" name="Picture 4">
          <a:extLst>
            <a:ext uri="{FF2B5EF4-FFF2-40B4-BE49-F238E27FC236}">
              <a16:creationId xmlns:a16="http://schemas.microsoft.com/office/drawing/2014/main" id="{9F26AAF6-D306-48FF-8A21-E07A022C82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0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2</xdr:col>
      <xdr:colOff>1909180</xdr:colOff>
      <xdr:row>170</xdr:row>
      <xdr:rowOff>1980000</xdr:rowOff>
    </xdr:to>
    <xdr:pic>
      <xdr:nvPicPr>
        <xdr:cNvPr id="6" name="Picture 5">
          <a:extLst>
            <a:ext uri="{FF2B5EF4-FFF2-40B4-BE49-F238E27FC236}">
              <a16:creationId xmlns:a16="http://schemas.microsoft.com/office/drawing/2014/main" id="{38BAF6AD-4FE8-4D94-B904-5F428BB15D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08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170</xdr:row>
      <xdr:rowOff>0</xdr:rowOff>
    </xdr:from>
    <xdr:to>
      <xdr:col>6</xdr:col>
      <xdr:colOff>318505</xdr:colOff>
      <xdr:row>170</xdr:row>
      <xdr:rowOff>1980000</xdr:rowOff>
    </xdr:to>
    <xdr:pic>
      <xdr:nvPicPr>
        <xdr:cNvPr id="7" name="Picture 6">
          <a:extLst>
            <a:ext uri="{FF2B5EF4-FFF2-40B4-BE49-F238E27FC236}">
              <a16:creationId xmlns:a16="http://schemas.microsoft.com/office/drawing/2014/main" id="{AB53E953-AB19-4CCD-BC8D-63EB4ECFBF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308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275</xdr:row>
      <xdr:rowOff>0</xdr:rowOff>
    </xdr:from>
    <xdr:to>
      <xdr:col>2</xdr:col>
      <xdr:colOff>1910102</xdr:colOff>
      <xdr:row>276</xdr:row>
      <xdr:rowOff>27375</xdr:rowOff>
    </xdr:to>
    <xdr:pic>
      <xdr:nvPicPr>
        <xdr:cNvPr id="4" name="Picture 3">
          <a:extLst>
            <a:ext uri="{FF2B5EF4-FFF2-40B4-BE49-F238E27FC236}">
              <a16:creationId xmlns:a16="http://schemas.microsoft.com/office/drawing/2014/main" id="{F879E966-60C1-4FC5-9FBE-03FDCEA0EE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5573077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381000</xdr:colOff>
      <xdr:row>280</xdr:row>
      <xdr:rowOff>171450</xdr:rowOff>
    </xdr:from>
    <xdr:to>
      <xdr:col>2</xdr:col>
      <xdr:colOff>1900577</xdr:colOff>
      <xdr:row>281</xdr:row>
      <xdr:rowOff>55950</xdr:rowOff>
    </xdr:to>
    <xdr:pic>
      <xdr:nvPicPr>
        <xdr:cNvPr id="2" name="Picture 1">
          <a:extLst>
            <a:ext uri="{FF2B5EF4-FFF2-40B4-BE49-F238E27FC236}">
              <a16:creationId xmlns:a16="http://schemas.microsoft.com/office/drawing/2014/main" id="{255661F0-9186-403F-BEA6-849E14DC26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5688330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1948364</xdr:colOff>
      <xdr:row>205</xdr:row>
      <xdr:rowOff>1980000</xdr:rowOff>
    </xdr:to>
    <xdr:pic>
      <xdr:nvPicPr>
        <xdr:cNvPr id="4" name="Picture 3">
          <a:extLst>
            <a:ext uri="{FF2B5EF4-FFF2-40B4-BE49-F238E27FC236}">
              <a16:creationId xmlns:a16="http://schemas.microsoft.com/office/drawing/2014/main" id="{DDD1D354-7C30-48FF-A7EC-CC9EED2F28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0525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2</xdr:col>
      <xdr:colOff>1948364</xdr:colOff>
      <xdr:row>201</xdr:row>
      <xdr:rowOff>27375</xdr:rowOff>
    </xdr:to>
    <xdr:pic>
      <xdr:nvPicPr>
        <xdr:cNvPr id="5" name="Picture 4">
          <a:extLst>
            <a:ext uri="{FF2B5EF4-FFF2-40B4-BE49-F238E27FC236}">
              <a16:creationId xmlns:a16="http://schemas.microsoft.com/office/drawing/2014/main" id="{DA4A6DD8-D38C-43D4-B4BF-AA20B80492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4521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222</xdr:row>
      <xdr:rowOff>133350</xdr:rowOff>
    </xdr:from>
    <xdr:to>
      <xdr:col>2</xdr:col>
      <xdr:colOff>1910102</xdr:colOff>
      <xdr:row>223</xdr:row>
      <xdr:rowOff>17850</xdr:rowOff>
    </xdr:to>
    <xdr:pic>
      <xdr:nvPicPr>
        <xdr:cNvPr id="4" name="Picture 3">
          <a:extLst>
            <a:ext uri="{FF2B5EF4-FFF2-40B4-BE49-F238E27FC236}">
              <a16:creationId xmlns:a16="http://schemas.microsoft.com/office/drawing/2014/main" id="{EEC97B2A-260E-45D9-9FFB-4E4A7DE6F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42436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217</xdr:row>
      <xdr:rowOff>0</xdr:rowOff>
    </xdr:from>
    <xdr:to>
      <xdr:col>2</xdr:col>
      <xdr:colOff>1910102</xdr:colOff>
      <xdr:row>218</xdr:row>
      <xdr:rowOff>27375</xdr:rowOff>
    </xdr:to>
    <xdr:pic>
      <xdr:nvPicPr>
        <xdr:cNvPr id="5" name="Picture 4">
          <a:extLst>
            <a:ext uri="{FF2B5EF4-FFF2-40B4-BE49-F238E27FC236}">
              <a16:creationId xmlns:a16="http://schemas.microsoft.com/office/drawing/2014/main" id="{CEFFE318-B94B-4603-A16E-2C2C02A1F3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15099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1909180</xdr:colOff>
      <xdr:row>158</xdr:row>
      <xdr:rowOff>27375</xdr:rowOff>
    </xdr:to>
    <xdr:pic>
      <xdr:nvPicPr>
        <xdr:cNvPr id="5" name="Picture 4">
          <a:extLst>
            <a:ext uri="{FF2B5EF4-FFF2-40B4-BE49-F238E27FC236}">
              <a16:creationId xmlns:a16="http://schemas.microsoft.com/office/drawing/2014/main" id="{B4981F1C-6490-49CB-850D-E3113A6C60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803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1909180</xdr:colOff>
      <xdr:row>162</xdr:row>
      <xdr:rowOff>1980000</xdr:rowOff>
    </xdr:to>
    <xdr:pic>
      <xdr:nvPicPr>
        <xdr:cNvPr id="6" name="Picture 5">
          <a:extLst>
            <a:ext uri="{FF2B5EF4-FFF2-40B4-BE49-F238E27FC236}">
              <a16:creationId xmlns:a16="http://schemas.microsoft.com/office/drawing/2014/main" id="{BC339F4D-F77D-4EC7-B26F-509B1E08B0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403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162</xdr:row>
      <xdr:rowOff>0</xdr:rowOff>
    </xdr:from>
    <xdr:to>
      <xdr:col>6</xdr:col>
      <xdr:colOff>642355</xdr:colOff>
      <xdr:row>162</xdr:row>
      <xdr:rowOff>1980000</xdr:rowOff>
    </xdr:to>
    <xdr:pic>
      <xdr:nvPicPr>
        <xdr:cNvPr id="7" name="Picture 6">
          <a:extLst>
            <a:ext uri="{FF2B5EF4-FFF2-40B4-BE49-F238E27FC236}">
              <a16:creationId xmlns:a16="http://schemas.microsoft.com/office/drawing/2014/main" id="{C76ACEA8-D4E4-48C6-BC3E-CE9DEB0CEE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1403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1948364</xdr:colOff>
      <xdr:row>217</xdr:row>
      <xdr:rowOff>27375</xdr:rowOff>
    </xdr:to>
    <xdr:pic>
      <xdr:nvPicPr>
        <xdr:cNvPr id="4" name="Picture 3">
          <a:extLst>
            <a:ext uri="{FF2B5EF4-FFF2-40B4-BE49-F238E27FC236}">
              <a16:creationId xmlns:a16="http://schemas.microsoft.com/office/drawing/2014/main" id="{F7639EDE-4834-4787-9F68-3DA9D1D490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786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221</xdr:row>
      <xdr:rowOff>57150</xdr:rowOff>
    </xdr:from>
    <xdr:to>
      <xdr:col>2</xdr:col>
      <xdr:colOff>1957889</xdr:colOff>
      <xdr:row>221</xdr:row>
      <xdr:rowOff>2037150</xdr:rowOff>
    </xdr:to>
    <xdr:pic>
      <xdr:nvPicPr>
        <xdr:cNvPr id="5" name="Picture 4">
          <a:extLst>
            <a:ext uri="{FF2B5EF4-FFF2-40B4-BE49-F238E27FC236}">
              <a16:creationId xmlns:a16="http://schemas.microsoft.com/office/drawing/2014/main" id="{3EF5296C-7BD2-42CA-B6C9-FADD5B504B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43443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1909180</xdr:colOff>
      <xdr:row>120</xdr:row>
      <xdr:rowOff>27375</xdr:rowOff>
    </xdr:to>
    <xdr:pic>
      <xdr:nvPicPr>
        <xdr:cNvPr id="5" name="Picture 4">
          <a:extLst>
            <a:ext uri="{FF2B5EF4-FFF2-40B4-BE49-F238E27FC236}">
              <a16:creationId xmlns:a16="http://schemas.microsoft.com/office/drawing/2014/main" id="{DBDAACB1-2D49-48B8-95B2-BACA36245B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593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124</xdr:row>
      <xdr:rowOff>0</xdr:rowOff>
    </xdr:from>
    <xdr:to>
      <xdr:col>2</xdr:col>
      <xdr:colOff>1909180</xdr:colOff>
      <xdr:row>124</xdr:row>
      <xdr:rowOff>1980000</xdr:rowOff>
    </xdr:to>
    <xdr:pic>
      <xdr:nvPicPr>
        <xdr:cNvPr id="6" name="Picture 5">
          <a:extLst>
            <a:ext uri="{FF2B5EF4-FFF2-40B4-BE49-F238E27FC236}">
              <a16:creationId xmlns:a16="http://schemas.microsoft.com/office/drawing/2014/main" id="{1CD10040-3A45-45D4-B502-EC7AF046DA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193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124</xdr:row>
      <xdr:rowOff>0</xdr:rowOff>
    </xdr:from>
    <xdr:to>
      <xdr:col>6</xdr:col>
      <xdr:colOff>642355</xdr:colOff>
      <xdr:row>124</xdr:row>
      <xdr:rowOff>1980000</xdr:rowOff>
    </xdr:to>
    <xdr:pic>
      <xdr:nvPicPr>
        <xdr:cNvPr id="7" name="Picture 6">
          <a:extLst>
            <a:ext uri="{FF2B5EF4-FFF2-40B4-BE49-F238E27FC236}">
              <a16:creationId xmlns:a16="http://schemas.microsoft.com/office/drawing/2014/main" id="{51CB689D-BE93-4454-882E-0DB36B7EAD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4193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167</xdr:row>
      <xdr:rowOff>0</xdr:rowOff>
    </xdr:from>
    <xdr:to>
      <xdr:col>2</xdr:col>
      <xdr:colOff>1909180</xdr:colOff>
      <xdr:row>168</xdr:row>
      <xdr:rowOff>27375</xdr:rowOff>
    </xdr:to>
    <xdr:pic>
      <xdr:nvPicPr>
        <xdr:cNvPr id="4" name="Picture 3">
          <a:extLst>
            <a:ext uri="{FF2B5EF4-FFF2-40B4-BE49-F238E27FC236}">
              <a16:creationId xmlns:a16="http://schemas.microsoft.com/office/drawing/2014/main" id="{E20DE6DA-C674-4BF7-91A7-C359BF08F5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2985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0</xdr:rowOff>
    </xdr:from>
    <xdr:to>
      <xdr:col>2</xdr:col>
      <xdr:colOff>1909180</xdr:colOff>
      <xdr:row>172</xdr:row>
      <xdr:rowOff>1980000</xdr:rowOff>
    </xdr:to>
    <xdr:pic>
      <xdr:nvPicPr>
        <xdr:cNvPr id="5" name="Picture 4">
          <a:extLst>
            <a:ext uri="{FF2B5EF4-FFF2-40B4-BE49-F238E27FC236}">
              <a16:creationId xmlns:a16="http://schemas.microsoft.com/office/drawing/2014/main" id="{4A57A9A3-E74E-433F-8933-E56DEDD5A4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585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1909180</xdr:colOff>
      <xdr:row>198</xdr:row>
      <xdr:rowOff>27375</xdr:rowOff>
    </xdr:to>
    <xdr:pic>
      <xdr:nvPicPr>
        <xdr:cNvPr id="4" name="Picture 3">
          <a:extLst>
            <a:ext uri="{FF2B5EF4-FFF2-40B4-BE49-F238E27FC236}">
              <a16:creationId xmlns:a16="http://schemas.microsoft.com/office/drawing/2014/main" id="{123EA362-A26E-42AB-9D4D-2AD6296B7F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509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201</xdr:row>
      <xdr:rowOff>0</xdr:rowOff>
    </xdr:from>
    <xdr:to>
      <xdr:col>2</xdr:col>
      <xdr:colOff>1909180</xdr:colOff>
      <xdr:row>201</xdr:row>
      <xdr:rowOff>1980000</xdr:rowOff>
    </xdr:to>
    <xdr:pic>
      <xdr:nvPicPr>
        <xdr:cNvPr id="5" name="Picture 4">
          <a:extLst>
            <a:ext uri="{FF2B5EF4-FFF2-40B4-BE49-F238E27FC236}">
              <a16:creationId xmlns:a16="http://schemas.microsoft.com/office/drawing/2014/main" id="{98B5178B-ECFF-4F7D-A1EE-D6843AE2B6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947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76200</xdr:colOff>
      <xdr:row>167</xdr:row>
      <xdr:rowOff>0</xdr:rowOff>
    </xdr:from>
    <xdr:to>
      <xdr:col>2</xdr:col>
      <xdr:colOff>1985380</xdr:colOff>
      <xdr:row>168</xdr:row>
      <xdr:rowOff>27375</xdr:rowOff>
    </xdr:to>
    <xdr:pic>
      <xdr:nvPicPr>
        <xdr:cNvPr id="4" name="Picture 3">
          <a:extLst>
            <a:ext uri="{FF2B5EF4-FFF2-40B4-BE49-F238E27FC236}">
              <a16:creationId xmlns:a16="http://schemas.microsoft.com/office/drawing/2014/main" id="{5944265F-16B6-494E-90DD-86A6C17756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32184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161925</xdr:rowOff>
    </xdr:from>
    <xdr:to>
      <xdr:col>2</xdr:col>
      <xdr:colOff>1909180</xdr:colOff>
      <xdr:row>173</xdr:row>
      <xdr:rowOff>46425</xdr:rowOff>
    </xdr:to>
    <xdr:pic>
      <xdr:nvPicPr>
        <xdr:cNvPr id="5" name="Picture 4">
          <a:extLst>
            <a:ext uri="{FF2B5EF4-FFF2-40B4-BE49-F238E27FC236}">
              <a16:creationId xmlns:a16="http://schemas.microsoft.com/office/drawing/2014/main" id="{DBF5D666-8684-4E4D-92DF-2E7DC3A5633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947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1909180</xdr:colOff>
      <xdr:row>128</xdr:row>
      <xdr:rowOff>27375</xdr:rowOff>
    </xdr:to>
    <xdr:pic>
      <xdr:nvPicPr>
        <xdr:cNvPr id="4" name="Picture 3">
          <a:extLst>
            <a:ext uri="{FF2B5EF4-FFF2-40B4-BE49-F238E27FC236}">
              <a16:creationId xmlns:a16="http://schemas.microsoft.com/office/drawing/2014/main" id="{19232D7E-07E8-48FD-972A-78D4B1A023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402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1909180</xdr:colOff>
      <xdr:row>132</xdr:row>
      <xdr:rowOff>1980000</xdr:rowOff>
    </xdr:to>
    <xdr:pic>
      <xdr:nvPicPr>
        <xdr:cNvPr id="5" name="Picture 4">
          <a:extLst>
            <a:ext uri="{FF2B5EF4-FFF2-40B4-BE49-F238E27FC236}">
              <a16:creationId xmlns:a16="http://schemas.microsoft.com/office/drawing/2014/main" id="{95EFEA09-A934-4AA4-B36F-5B6B3917F13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003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2</xdr:col>
      <xdr:colOff>1909180</xdr:colOff>
      <xdr:row>147</xdr:row>
      <xdr:rowOff>27375</xdr:rowOff>
    </xdr:to>
    <xdr:pic>
      <xdr:nvPicPr>
        <xdr:cNvPr id="5" name="Picture 4">
          <a:extLst>
            <a:ext uri="{FF2B5EF4-FFF2-40B4-BE49-F238E27FC236}">
              <a16:creationId xmlns:a16="http://schemas.microsoft.com/office/drawing/2014/main" id="{83313C8E-2DA5-441F-8F5C-E0731A12AA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803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152</xdr:row>
      <xdr:rowOff>66675</xdr:rowOff>
    </xdr:from>
    <xdr:to>
      <xdr:col>2</xdr:col>
      <xdr:colOff>1909180</xdr:colOff>
      <xdr:row>152</xdr:row>
      <xdr:rowOff>2046675</xdr:rowOff>
    </xdr:to>
    <xdr:pic>
      <xdr:nvPicPr>
        <xdr:cNvPr id="6" name="Picture 5">
          <a:extLst>
            <a:ext uri="{FF2B5EF4-FFF2-40B4-BE49-F238E27FC236}">
              <a16:creationId xmlns:a16="http://schemas.microsoft.com/office/drawing/2014/main" id="{C7CC6C82-7B67-443A-A9F3-AE8C03AFCF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632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152</xdr:row>
      <xdr:rowOff>66675</xdr:rowOff>
    </xdr:from>
    <xdr:to>
      <xdr:col>6</xdr:col>
      <xdr:colOff>318505</xdr:colOff>
      <xdr:row>152</xdr:row>
      <xdr:rowOff>2046675</xdr:rowOff>
    </xdr:to>
    <xdr:pic>
      <xdr:nvPicPr>
        <xdr:cNvPr id="7" name="Picture 6">
          <a:extLst>
            <a:ext uri="{FF2B5EF4-FFF2-40B4-BE49-F238E27FC236}">
              <a16:creationId xmlns:a16="http://schemas.microsoft.com/office/drawing/2014/main" id="{0749F5AE-AE7B-4A2A-BC0A-E449E51357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8632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1909180</xdr:colOff>
      <xdr:row>159</xdr:row>
      <xdr:rowOff>27375</xdr:rowOff>
    </xdr:to>
    <xdr:pic>
      <xdr:nvPicPr>
        <xdr:cNvPr id="4" name="Picture 3">
          <a:extLst>
            <a:ext uri="{FF2B5EF4-FFF2-40B4-BE49-F238E27FC236}">
              <a16:creationId xmlns:a16="http://schemas.microsoft.com/office/drawing/2014/main" id="{AC1B11C1-F671-45FE-9CCB-6216E2F2ED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19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1909180</xdr:colOff>
      <xdr:row>163</xdr:row>
      <xdr:rowOff>1980000</xdr:rowOff>
    </xdr:to>
    <xdr:pic>
      <xdr:nvPicPr>
        <xdr:cNvPr id="5" name="Picture 4">
          <a:extLst>
            <a:ext uri="{FF2B5EF4-FFF2-40B4-BE49-F238E27FC236}">
              <a16:creationId xmlns:a16="http://schemas.microsoft.com/office/drawing/2014/main" id="{1F3A5E5F-57C0-4722-AA6C-D83052027C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794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1909180</xdr:colOff>
      <xdr:row>129</xdr:row>
      <xdr:rowOff>27375</xdr:rowOff>
    </xdr:to>
    <xdr:pic>
      <xdr:nvPicPr>
        <xdr:cNvPr id="4" name="Picture 3">
          <a:extLst>
            <a:ext uri="{FF2B5EF4-FFF2-40B4-BE49-F238E27FC236}">
              <a16:creationId xmlns:a16="http://schemas.microsoft.com/office/drawing/2014/main" id="{1B7C8EB0-C332-41CE-8B58-913C2CD014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555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xdr:row>
      <xdr:rowOff>0</xdr:rowOff>
    </xdr:from>
    <xdr:to>
      <xdr:col>2</xdr:col>
      <xdr:colOff>1909180</xdr:colOff>
      <xdr:row>133</xdr:row>
      <xdr:rowOff>1980000</xdr:rowOff>
    </xdr:to>
    <xdr:pic>
      <xdr:nvPicPr>
        <xdr:cNvPr id="5" name="Picture 4">
          <a:extLst>
            <a:ext uri="{FF2B5EF4-FFF2-40B4-BE49-F238E27FC236}">
              <a16:creationId xmlns:a16="http://schemas.microsoft.com/office/drawing/2014/main" id="{6BCFEE6B-1E0F-43F8-80A6-3BE6E469FD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155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141</xdr:row>
      <xdr:rowOff>0</xdr:rowOff>
    </xdr:from>
    <xdr:to>
      <xdr:col>2</xdr:col>
      <xdr:colOff>1937755</xdr:colOff>
      <xdr:row>142</xdr:row>
      <xdr:rowOff>27375</xdr:rowOff>
    </xdr:to>
    <xdr:pic>
      <xdr:nvPicPr>
        <xdr:cNvPr id="4" name="Picture 3">
          <a:extLst>
            <a:ext uri="{FF2B5EF4-FFF2-40B4-BE49-F238E27FC236}">
              <a16:creationId xmlns:a16="http://schemas.microsoft.com/office/drawing/2014/main" id="{6525A3AA-8366-4CAF-8003-119A7A6984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5031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152400</xdr:rowOff>
    </xdr:from>
    <xdr:to>
      <xdr:col>2</xdr:col>
      <xdr:colOff>1909180</xdr:colOff>
      <xdr:row>146</xdr:row>
      <xdr:rowOff>1970475</xdr:rowOff>
    </xdr:to>
    <xdr:pic>
      <xdr:nvPicPr>
        <xdr:cNvPr id="5" name="Picture 4">
          <a:extLst>
            <a:ext uri="{FF2B5EF4-FFF2-40B4-BE49-F238E27FC236}">
              <a16:creationId xmlns:a16="http://schemas.microsoft.com/office/drawing/2014/main" id="{664B92FA-6F1B-4EC4-BC02-CD5708DF0B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622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1909180</xdr:colOff>
      <xdr:row>162</xdr:row>
      <xdr:rowOff>27375</xdr:rowOff>
    </xdr:to>
    <xdr:pic>
      <xdr:nvPicPr>
        <xdr:cNvPr id="4" name="Picture 3">
          <a:extLst>
            <a:ext uri="{FF2B5EF4-FFF2-40B4-BE49-F238E27FC236}">
              <a16:creationId xmlns:a16="http://schemas.microsoft.com/office/drawing/2014/main" id="{6CA6E063-090E-43DE-88B1-7EDC38704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679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1909180</xdr:colOff>
      <xdr:row>166</xdr:row>
      <xdr:rowOff>1980000</xdr:rowOff>
    </xdr:to>
    <xdr:pic>
      <xdr:nvPicPr>
        <xdr:cNvPr id="5" name="Picture 4">
          <a:extLst>
            <a:ext uri="{FF2B5EF4-FFF2-40B4-BE49-F238E27FC236}">
              <a16:creationId xmlns:a16="http://schemas.microsoft.com/office/drawing/2014/main" id="{A36A0741-4FF5-4D83-9717-3FDD9971DF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280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1909180</xdr:colOff>
      <xdr:row>121</xdr:row>
      <xdr:rowOff>27375</xdr:rowOff>
    </xdr:to>
    <xdr:pic>
      <xdr:nvPicPr>
        <xdr:cNvPr id="4" name="Picture 3">
          <a:extLst>
            <a:ext uri="{FF2B5EF4-FFF2-40B4-BE49-F238E27FC236}">
              <a16:creationId xmlns:a16="http://schemas.microsoft.com/office/drawing/2014/main" id="{9B82FE07-CF62-4E41-9287-377238CD61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09454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125</xdr:row>
      <xdr:rowOff>0</xdr:rowOff>
    </xdr:from>
    <xdr:to>
      <xdr:col>2</xdr:col>
      <xdr:colOff>1909180</xdr:colOff>
      <xdr:row>125</xdr:row>
      <xdr:rowOff>1980000</xdr:rowOff>
    </xdr:to>
    <xdr:pic>
      <xdr:nvPicPr>
        <xdr:cNvPr id="5" name="Picture 4">
          <a:extLst>
            <a:ext uri="{FF2B5EF4-FFF2-40B4-BE49-F238E27FC236}">
              <a16:creationId xmlns:a16="http://schemas.microsoft.com/office/drawing/2014/main" id="{20B9D428-1AC1-47C6-B634-796305F059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3545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214</xdr:row>
      <xdr:rowOff>152400</xdr:rowOff>
    </xdr:from>
    <xdr:to>
      <xdr:col>2</xdr:col>
      <xdr:colOff>1910102</xdr:colOff>
      <xdr:row>215</xdr:row>
      <xdr:rowOff>36900</xdr:rowOff>
    </xdr:to>
    <xdr:pic>
      <xdr:nvPicPr>
        <xdr:cNvPr id="4" name="Picture 3">
          <a:extLst>
            <a:ext uri="{FF2B5EF4-FFF2-40B4-BE49-F238E27FC236}">
              <a16:creationId xmlns:a16="http://schemas.microsoft.com/office/drawing/2014/main" id="{FC62DDA0-C7F9-43E0-BBFD-A9A79312B9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3480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2</xdr:col>
      <xdr:colOff>1910102</xdr:colOff>
      <xdr:row>210</xdr:row>
      <xdr:rowOff>27375</xdr:rowOff>
    </xdr:to>
    <xdr:pic>
      <xdr:nvPicPr>
        <xdr:cNvPr id="5" name="Picture 4">
          <a:extLst>
            <a:ext uri="{FF2B5EF4-FFF2-40B4-BE49-F238E27FC236}">
              <a16:creationId xmlns:a16="http://schemas.microsoft.com/office/drawing/2014/main" id="{BC6E9A60-6A91-4851-8869-B903FF983F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59530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759A-29C1-417C-9553-A9BD0E57F89D}">
  <dimension ref="A1:C30"/>
  <sheetViews>
    <sheetView tabSelected="1" zoomScale="110" zoomScaleNormal="110" workbookViewId="0">
      <pane ySplit="1" topLeftCell="A2" activePane="bottomLeft" state="frozen"/>
      <selection sqref="A1:H1"/>
      <selection pane="bottomLeft" activeCell="G24" sqref="G24"/>
    </sheetView>
  </sheetViews>
  <sheetFormatPr defaultColWidth="9.140625" defaultRowHeight="15" x14ac:dyDescent="0.25"/>
  <cols>
    <col min="1" max="1" width="6.140625" style="2" bestFit="1" customWidth="1"/>
    <col min="2" max="2" width="10.42578125" style="2" bestFit="1" customWidth="1"/>
    <col min="3" max="3" width="56.140625" style="2" bestFit="1" customWidth="1"/>
    <col min="4" max="16384" width="9.140625" style="2"/>
  </cols>
  <sheetData>
    <row r="1" spans="1:3" x14ac:dyDescent="0.25">
      <c r="A1" s="1" t="s">
        <v>837</v>
      </c>
      <c r="B1" s="1" t="s">
        <v>838</v>
      </c>
      <c r="C1" s="1" t="s">
        <v>839</v>
      </c>
    </row>
    <row r="2" spans="1:3" x14ac:dyDescent="0.25">
      <c r="A2" s="3">
        <v>1</v>
      </c>
      <c r="B2" s="4" t="s">
        <v>840</v>
      </c>
      <c r="C2" s="5" t="s">
        <v>1</v>
      </c>
    </row>
    <row r="3" spans="1:3" x14ac:dyDescent="0.25">
      <c r="A3" s="3">
        <v>2</v>
      </c>
      <c r="B3" s="4" t="s">
        <v>841</v>
      </c>
      <c r="C3" s="5" t="s">
        <v>1069</v>
      </c>
    </row>
    <row r="4" spans="1:3" x14ac:dyDescent="0.25">
      <c r="A4" s="3">
        <v>3</v>
      </c>
      <c r="B4" s="4" t="s">
        <v>842</v>
      </c>
      <c r="C4" s="5" t="s">
        <v>184</v>
      </c>
    </row>
    <row r="5" spans="1:3" x14ac:dyDescent="0.25">
      <c r="A5" s="3">
        <v>4</v>
      </c>
      <c r="B5" s="4" t="s">
        <v>843</v>
      </c>
      <c r="C5" s="5" t="s">
        <v>844</v>
      </c>
    </row>
    <row r="6" spans="1:3" x14ac:dyDescent="0.25">
      <c r="A6" s="3">
        <v>5</v>
      </c>
      <c r="B6" s="4" t="s">
        <v>845</v>
      </c>
      <c r="C6" s="5" t="s">
        <v>846</v>
      </c>
    </row>
    <row r="7" spans="1:3" x14ac:dyDescent="0.25">
      <c r="A7" s="3">
        <v>6</v>
      </c>
      <c r="B7" s="4" t="s">
        <v>847</v>
      </c>
      <c r="C7" s="5" t="s">
        <v>848</v>
      </c>
    </row>
    <row r="8" spans="1:3" x14ac:dyDescent="0.25">
      <c r="A8" s="3">
        <v>7</v>
      </c>
      <c r="B8" s="4" t="s">
        <v>849</v>
      </c>
      <c r="C8" s="5" t="s">
        <v>850</v>
      </c>
    </row>
    <row r="9" spans="1:3" x14ac:dyDescent="0.25">
      <c r="A9" s="3">
        <v>8</v>
      </c>
      <c r="B9" s="4" t="s">
        <v>851</v>
      </c>
      <c r="C9" s="5" t="s">
        <v>440</v>
      </c>
    </row>
    <row r="10" spans="1:3" x14ac:dyDescent="0.25">
      <c r="A10" s="3">
        <v>9</v>
      </c>
      <c r="B10" s="4" t="s">
        <v>852</v>
      </c>
      <c r="C10" s="5" t="s">
        <v>443</v>
      </c>
    </row>
    <row r="11" spans="1:3" x14ac:dyDescent="0.25">
      <c r="A11" s="3">
        <v>10</v>
      </c>
      <c r="B11" s="4" t="s">
        <v>853</v>
      </c>
      <c r="C11" s="5" t="s">
        <v>444</v>
      </c>
    </row>
    <row r="12" spans="1:3" x14ac:dyDescent="0.25">
      <c r="A12" s="3">
        <v>11</v>
      </c>
      <c r="B12" s="4" t="s">
        <v>854</v>
      </c>
      <c r="C12" s="5" t="s">
        <v>445</v>
      </c>
    </row>
    <row r="13" spans="1:3" x14ac:dyDescent="0.25">
      <c r="A13" s="3">
        <v>12</v>
      </c>
      <c r="B13" s="4" t="s">
        <v>855</v>
      </c>
      <c r="C13" s="5" t="s">
        <v>446</v>
      </c>
    </row>
    <row r="14" spans="1:3" x14ac:dyDescent="0.25">
      <c r="A14" s="3">
        <v>13</v>
      </c>
      <c r="B14" s="4" t="s">
        <v>856</v>
      </c>
      <c r="C14" s="5" t="s">
        <v>493</v>
      </c>
    </row>
    <row r="15" spans="1:3" x14ac:dyDescent="0.25">
      <c r="A15" s="3">
        <v>14</v>
      </c>
      <c r="B15" s="4" t="s">
        <v>857</v>
      </c>
      <c r="C15" s="5" t="s">
        <v>858</v>
      </c>
    </row>
    <row r="16" spans="1:3" x14ac:dyDescent="0.25">
      <c r="A16" s="3">
        <v>15</v>
      </c>
      <c r="B16" s="4" t="s">
        <v>859</v>
      </c>
      <c r="C16" s="5" t="s">
        <v>647</v>
      </c>
    </row>
    <row r="17" spans="1:3" x14ac:dyDescent="0.25">
      <c r="A17" s="3">
        <v>16</v>
      </c>
      <c r="B17" s="4" t="s">
        <v>860</v>
      </c>
      <c r="C17" s="5" t="s">
        <v>658</v>
      </c>
    </row>
    <row r="18" spans="1:3" x14ac:dyDescent="0.25">
      <c r="A18" s="3">
        <v>17</v>
      </c>
      <c r="B18" s="4" t="s">
        <v>861</v>
      </c>
      <c r="C18" s="5" t="s">
        <v>679</v>
      </c>
    </row>
    <row r="19" spans="1:3" x14ac:dyDescent="0.25">
      <c r="A19" s="3">
        <v>18</v>
      </c>
      <c r="B19" s="4" t="s">
        <v>862</v>
      </c>
      <c r="C19" s="5" t="s">
        <v>863</v>
      </c>
    </row>
    <row r="20" spans="1:3" x14ac:dyDescent="0.25">
      <c r="A20" s="3">
        <v>19</v>
      </c>
      <c r="B20" s="4" t="s">
        <v>864</v>
      </c>
      <c r="C20" s="5" t="s">
        <v>719</v>
      </c>
    </row>
    <row r="21" spans="1:3" x14ac:dyDescent="0.25">
      <c r="A21" s="3">
        <v>20</v>
      </c>
      <c r="B21" s="4" t="s">
        <v>865</v>
      </c>
      <c r="C21" s="5" t="s">
        <v>866</v>
      </c>
    </row>
    <row r="22" spans="1:3" x14ac:dyDescent="0.25">
      <c r="A22" s="3">
        <v>21</v>
      </c>
      <c r="B22" s="4" t="s">
        <v>867</v>
      </c>
      <c r="C22" s="5" t="s">
        <v>792</v>
      </c>
    </row>
    <row r="23" spans="1:3" x14ac:dyDescent="0.25">
      <c r="A23" s="3">
        <v>22</v>
      </c>
      <c r="B23" s="4" t="s">
        <v>868</v>
      </c>
      <c r="C23" s="5" t="s">
        <v>800</v>
      </c>
    </row>
    <row r="24" spans="1:3" x14ac:dyDescent="0.25">
      <c r="A24" s="3">
        <v>23</v>
      </c>
      <c r="B24" s="4" t="s">
        <v>869</v>
      </c>
      <c r="C24" s="5" t="s">
        <v>803</v>
      </c>
    </row>
    <row r="25" spans="1:3" x14ac:dyDescent="0.25">
      <c r="A25" s="3">
        <v>24</v>
      </c>
      <c r="B25" s="4" t="s">
        <v>870</v>
      </c>
      <c r="C25" s="5" t="s">
        <v>805</v>
      </c>
    </row>
    <row r="26" spans="1:3" x14ac:dyDescent="0.25">
      <c r="A26" s="3">
        <v>25</v>
      </c>
      <c r="B26" s="4" t="s">
        <v>871</v>
      </c>
      <c r="C26" s="5" t="s">
        <v>806</v>
      </c>
    </row>
    <row r="27" spans="1:3" x14ac:dyDescent="0.25">
      <c r="A27" s="3">
        <v>26</v>
      </c>
      <c r="B27" s="4" t="s">
        <v>872</v>
      </c>
      <c r="C27" s="5" t="s">
        <v>820</v>
      </c>
    </row>
    <row r="28" spans="1:3" x14ac:dyDescent="0.25">
      <c r="A28" s="3">
        <v>27</v>
      </c>
      <c r="B28" s="4" t="s">
        <v>873</v>
      </c>
      <c r="C28" s="5" t="s">
        <v>821</v>
      </c>
    </row>
    <row r="29" spans="1:3" x14ac:dyDescent="0.25">
      <c r="A29" s="3">
        <v>28</v>
      </c>
      <c r="B29" s="4" t="s">
        <v>874</v>
      </c>
      <c r="C29" s="5" t="s">
        <v>822</v>
      </c>
    </row>
    <row r="30" spans="1:3" x14ac:dyDescent="0.25">
      <c r="A30" s="3">
        <v>29</v>
      </c>
      <c r="B30" s="6" t="s">
        <v>875</v>
      </c>
      <c r="C30" s="5" t="s">
        <v>807</v>
      </c>
    </row>
  </sheetData>
  <hyperlinks>
    <hyperlink ref="B4" location="MIDCAP!A1" display="MIDCAP" xr:uid="{C273D66C-2154-446E-B417-C4B384C0D9EB}"/>
    <hyperlink ref="B5" location="MULTIP!A1" display="MULTIP" xr:uid="{ADD0EEA8-182F-452D-A02C-FBB221E455CF}"/>
    <hyperlink ref="B6" location="SLTADV3!A1" display="SLTADV3" xr:uid="{3E480911-3D9D-486A-9C8F-730D5E429B8D}"/>
    <hyperlink ref="B7" location="SLTADV4!A1" display="SLTADV4" xr:uid="{151469E8-BD67-4A47-AC9C-4C1B3777BFB6}"/>
    <hyperlink ref="B8" location="SLTAX2!A1" display="SLTAX2" xr:uid="{A485A6A6-B421-4BC7-99BD-7BECB9F40E50}"/>
    <hyperlink ref="B9" location="SLTAX3!A1" display="SLTAX3" xr:uid="{B1C3DE5A-279C-4404-A148-F4C9FD6917E1}"/>
    <hyperlink ref="B10" location="SLTAX4!A1" display="SLTAX4" xr:uid="{55965488-948A-4607-B2FF-132E128EDE90}"/>
    <hyperlink ref="B11" location="SLTAX5!A1" display="SLTAX5" xr:uid="{E30DE55C-54CF-4E00-AA53-CD622B814279}"/>
    <hyperlink ref="B12" location="SLTAX6!A1" display="SLTAX6" xr:uid="{CD0BEB84-DF24-42DC-BD19-70ADFB3C2C92}"/>
    <hyperlink ref="B13" location="SMILE!A1" display="SMILE" xr:uid="{932394E9-C13E-451F-9FB5-3D04B4ABAD51}"/>
    <hyperlink ref="B14" location="SPAHF!A1" display="SPAHF" xr:uid="{3BC44F69-5CD7-4E4C-8A23-54040E4EFF49}"/>
    <hyperlink ref="B15" location="SPARF!A1" display="SPARF" xr:uid="{9717FB70-589E-4BA7-BA08-35D454751AB6}"/>
    <hyperlink ref="B16" location="SPBAF!A1" display="SPBAF" xr:uid="{0FC10751-3D46-4959-81E3-1E6703723549}"/>
    <hyperlink ref="B18" location="SPESF!A1" display="SPESF" xr:uid="{5998C69B-AADC-44C8-BF73-651EDC32A5BA}"/>
    <hyperlink ref="B19" location="SPFOCUS!A1" display="SPFOCUS" xr:uid="{AB8434E3-8AEF-4928-958B-9D4E345EBCCC}"/>
    <hyperlink ref="B20" location="SPMUCF!A1" display="SPMUCF" xr:uid="{6AF817E9-135D-46A6-8491-3C9E785B9AB0}"/>
    <hyperlink ref="B21" location="SPSN100!A1" display="SPSN100" xr:uid="{3BF70CD2-D62D-47D8-BE21-88C47C004B2B}"/>
    <hyperlink ref="B22" location="SPTAX!A1" display="SPTAX" xr:uid="{21387937-B308-4508-A96B-EEF67CA99D06}"/>
    <hyperlink ref="B23" location="SRURAL!A1" display="SRURAL" xr:uid="{4ECB1EF7-EA47-4294-BA0B-74036EBE65F6}"/>
    <hyperlink ref="B24" location="SSFUND!A1" display="SSFUND" xr:uid="{A04293CA-9959-446B-A2B0-B69506FF53F4}"/>
    <hyperlink ref="B25" location="STAX!A1" display="STAX" xr:uid="{0A1C7ABE-EAE9-4EF5-A9D1-22B5F78D2733}"/>
    <hyperlink ref="B26" location="SUNBCF!A1" display="SUNBCF" xr:uid="{AF946133-55C3-4B0E-8006-1814D82B9C1A}"/>
    <hyperlink ref="B28" location="SUNFOP!A1" display="SUNFOP" xr:uid="{C0682762-DE14-4ED0-B1A2-06CB343807A2}"/>
    <hyperlink ref="B3" location="GLOB!A1" display="GLOB" xr:uid="{0B58F391-595C-49B4-A9C0-46BC95D834A3}"/>
    <hyperlink ref="B27" location="SUNFCF!A1" display="SUNFCF" xr:uid="{B635924F-E247-49E8-A117-7C09B2BDC8A7}"/>
    <hyperlink ref="B17" location="SPDYF!A1" display="SPDYF" xr:uid="{4DCCD0C1-AAAA-41CE-839C-4EEBDD1FE6D8}"/>
    <hyperlink ref="B29" location="SUNMAF!A1" display="SUNMAF" xr:uid="{5CC01BA3-4B58-4FE0-B631-84F3C6C25CB1}"/>
    <hyperlink ref="B2" location="CAPEXG!A1" display="CAPEXG" xr:uid="{CA176972-EB6C-48F7-83CD-255F204EB653}"/>
    <hyperlink ref="B30" location="SUNCYF!A1" display="SUNCYF" xr:uid="{D1C10E02-5C42-4A8C-858F-70BF775759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100F-2CCE-461C-9BAB-1F32A6A49D75}">
  <sheetPr>
    <outlinePr summaryBelow="0" summaryRight="0"/>
  </sheetPr>
  <dimension ref="A1:Q161"/>
  <sheetViews>
    <sheetView showGridLines="0" workbookViewId="0">
      <selection sqref="A1:H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1</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11</v>
      </c>
      <c r="C7" s="29" t="s">
        <v>12</v>
      </c>
      <c r="D7" s="29" t="s">
        <v>13</v>
      </c>
      <c r="E7" s="30">
        <v>435000</v>
      </c>
      <c r="F7" s="31">
        <v>8074.47</v>
      </c>
      <c r="G7" s="32">
        <v>8.4853310000000001E-2</v>
      </c>
      <c r="H7" s="27" t="s">
        <v>142</v>
      </c>
    </row>
    <row r="8" spans="1:9" x14ac:dyDescent="0.2">
      <c r="A8" s="28">
        <v>2</v>
      </c>
      <c r="B8" s="29" t="s">
        <v>14</v>
      </c>
      <c r="C8" s="29" t="s">
        <v>15</v>
      </c>
      <c r="D8" s="29" t="s">
        <v>16</v>
      </c>
      <c r="E8" s="30">
        <v>545000</v>
      </c>
      <c r="F8" s="31">
        <v>7743.9049999999997</v>
      </c>
      <c r="G8" s="32">
        <v>8.1379460000000001E-2</v>
      </c>
      <c r="H8" s="27" t="s">
        <v>142</v>
      </c>
    </row>
    <row r="9" spans="1:9" x14ac:dyDescent="0.2">
      <c r="A9" s="28">
        <v>3</v>
      </c>
      <c r="B9" s="29" t="s">
        <v>17</v>
      </c>
      <c r="C9" s="29" t="s">
        <v>18</v>
      </c>
      <c r="D9" s="29" t="s">
        <v>19</v>
      </c>
      <c r="E9" s="30">
        <v>210000</v>
      </c>
      <c r="F9" s="31">
        <v>7717.71</v>
      </c>
      <c r="G9" s="32">
        <v>8.1104179999999998E-2</v>
      </c>
      <c r="H9" s="27" t="s">
        <v>142</v>
      </c>
    </row>
    <row r="10" spans="1:9" x14ac:dyDescent="0.2">
      <c r="A10" s="28">
        <v>4</v>
      </c>
      <c r="B10" s="29" t="s">
        <v>20</v>
      </c>
      <c r="C10" s="29" t="s">
        <v>21</v>
      </c>
      <c r="D10" s="29" t="s">
        <v>22</v>
      </c>
      <c r="E10" s="30">
        <v>1340000</v>
      </c>
      <c r="F10" s="31">
        <v>4474.26</v>
      </c>
      <c r="G10" s="32">
        <v>4.7019279999999997E-2</v>
      </c>
      <c r="H10" s="27" t="s">
        <v>142</v>
      </c>
    </row>
    <row r="11" spans="1:9" ht="25.5" x14ac:dyDescent="0.2">
      <c r="A11" s="28">
        <v>5</v>
      </c>
      <c r="B11" s="29" t="s">
        <v>23</v>
      </c>
      <c r="C11" s="29" t="s">
        <v>24</v>
      </c>
      <c r="D11" s="29" t="s">
        <v>25</v>
      </c>
      <c r="E11" s="30">
        <v>28000</v>
      </c>
      <c r="F11" s="31">
        <v>3138.8</v>
      </c>
      <c r="G11" s="32">
        <v>3.2985149999999998E-2</v>
      </c>
      <c r="H11" s="27" t="s">
        <v>142</v>
      </c>
    </row>
    <row r="12" spans="1:9" x14ac:dyDescent="0.2">
      <c r="A12" s="28">
        <v>6</v>
      </c>
      <c r="B12" s="29" t="s">
        <v>26</v>
      </c>
      <c r="C12" s="29" t="s">
        <v>27</v>
      </c>
      <c r="D12" s="29" t="s">
        <v>28</v>
      </c>
      <c r="E12" s="30">
        <v>193000</v>
      </c>
      <c r="F12" s="31">
        <v>2790.3939999999998</v>
      </c>
      <c r="G12" s="32">
        <v>2.9323800000000001E-2</v>
      </c>
      <c r="H12" s="27" t="s">
        <v>142</v>
      </c>
    </row>
    <row r="13" spans="1:9" x14ac:dyDescent="0.2">
      <c r="A13" s="28">
        <v>7</v>
      </c>
      <c r="B13" s="29" t="s">
        <v>29</v>
      </c>
      <c r="C13" s="29" t="s">
        <v>30</v>
      </c>
      <c r="D13" s="29" t="s">
        <v>31</v>
      </c>
      <c r="E13" s="30">
        <v>675000</v>
      </c>
      <c r="F13" s="31">
        <v>2596.0500000000002</v>
      </c>
      <c r="G13" s="32">
        <v>2.7281469999999999E-2</v>
      </c>
      <c r="H13" s="27" t="s">
        <v>142</v>
      </c>
    </row>
    <row r="14" spans="1:9" x14ac:dyDescent="0.2">
      <c r="A14" s="28">
        <v>8</v>
      </c>
      <c r="B14" s="29" t="s">
        <v>32</v>
      </c>
      <c r="C14" s="29" t="s">
        <v>33</v>
      </c>
      <c r="D14" s="29" t="s">
        <v>22</v>
      </c>
      <c r="E14" s="30">
        <v>800000</v>
      </c>
      <c r="F14" s="31">
        <v>2318</v>
      </c>
      <c r="G14" s="32">
        <v>2.4359490000000001E-2</v>
      </c>
      <c r="H14" s="27" t="s">
        <v>142</v>
      </c>
    </row>
    <row r="15" spans="1:9" x14ac:dyDescent="0.2">
      <c r="A15" s="28">
        <v>9</v>
      </c>
      <c r="B15" s="29" t="s">
        <v>34</v>
      </c>
      <c r="C15" s="29" t="s">
        <v>35</v>
      </c>
      <c r="D15" s="29" t="s">
        <v>36</v>
      </c>
      <c r="E15" s="30">
        <v>94000</v>
      </c>
      <c r="F15" s="31">
        <v>2106.9160000000002</v>
      </c>
      <c r="G15" s="32">
        <v>2.214124E-2</v>
      </c>
      <c r="H15" s="27" t="s">
        <v>142</v>
      </c>
    </row>
    <row r="16" spans="1:9" x14ac:dyDescent="0.2">
      <c r="A16" s="28">
        <v>10</v>
      </c>
      <c r="B16" s="29" t="s">
        <v>37</v>
      </c>
      <c r="C16" s="29" t="s">
        <v>38</v>
      </c>
      <c r="D16" s="29" t="s">
        <v>16</v>
      </c>
      <c r="E16" s="30">
        <v>575000</v>
      </c>
      <c r="F16" s="31">
        <v>1830.8</v>
      </c>
      <c r="G16" s="32">
        <v>1.9239579999999999E-2</v>
      </c>
      <c r="H16" s="27" t="s">
        <v>142</v>
      </c>
    </row>
    <row r="17" spans="1:8" ht="25.5" x14ac:dyDescent="0.2">
      <c r="A17" s="28">
        <v>11</v>
      </c>
      <c r="B17" s="29" t="s">
        <v>39</v>
      </c>
      <c r="C17" s="29" t="s">
        <v>40</v>
      </c>
      <c r="D17" s="29" t="s">
        <v>25</v>
      </c>
      <c r="E17" s="30">
        <v>30000</v>
      </c>
      <c r="F17" s="31">
        <v>1649.25</v>
      </c>
      <c r="G17" s="32">
        <v>1.7331699999999998E-2</v>
      </c>
      <c r="H17" s="27" t="s">
        <v>142</v>
      </c>
    </row>
    <row r="18" spans="1:8" x14ac:dyDescent="0.2">
      <c r="A18" s="28">
        <v>12</v>
      </c>
      <c r="B18" s="29" t="s">
        <v>41</v>
      </c>
      <c r="C18" s="29" t="s">
        <v>42</v>
      </c>
      <c r="D18" s="29" t="s">
        <v>22</v>
      </c>
      <c r="E18" s="30">
        <v>415000</v>
      </c>
      <c r="F18" s="31">
        <v>1630.12</v>
      </c>
      <c r="G18" s="32">
        <v>1.7130670000000001E-2</v>
      </c>
      <c r="H18" s="27" t="s">
        <v>142</v>
      </c>
    </row>
    <row r="19" spans="1:8" ht="25.5" x14ac:dyDescent="0.2">
      <c r="A19" s="28">
        <v>13</v>
      </c>
      <c r="B19" s="29" t="s">
        <v>43</v>
      </c>
      <c r="C19" s="29" t="s">
        <v>44</v>
      </c>
      <c r="D19" s="29" t="s">
        <v>45</v>
      </c>
      <c r="E19" s="30">
        <v>110000</v>
      </c>
      <c r="F19" s="31">
        <v>1576.08</v>
      </c>
      <c r="G19" s="32">
        <v>1.6562770000000001E-2</v>
      </c>
      <c r="H19" s="27" t="s">
        <v>142</v>
      </c>
    </row>
    <row r="20" spans="1:8" x14ac:dyDescent="0.2">
      <c r="A20" s="28">
        <v>14</v>
      </c>
      <c r="B20" s="29" t="s">
        <v>46</v>
      </c>
      <c r="C20" s="29" t="s">
        <v>47</v>
      </c>
      <c r="D20" s="29" t="s">
        <v>28</v>
      </c>
      <c r="E20" s="30">
        <v>190000</v>
      </c>
      <c r="F20" s="31">
        <v>1543.37</v>
      </c>
      <c r="G20" s="32">
        <v>1.6219029999999999E-2</v>
      </c>
      <c r="H20" s="27" t="s">
        <v>142</v>
      </c>
    </row>
    <row r="21" spans="1:8" x14ac:dyDescent="0.2">
      <c r="A21" s="28">
        <v>15</v>
      </c>
      <c r="B21" s="29" t="s">
        <v>48</v>
      </c>
      <c r="C21" s="29" t="s">
        <v>49</v>
      </c>
      <c r="D21" s="29" t="s">
        <v>19</v>
      </c>
      <c r="E21" s="30">
        <v>130000</v>
      </c>
      <c r="F21" s="31">
        <v>1480.375</v>
      </c>
      <c r="G21" s="32">
        <v>1.555702E-2</v>
      </c>
      <c r="H21" s="27" t="s">
        <v>142</v>
      </c>
    </row>
    <row r="22" spans="1:8" x14ac:dyDescent="0.2">
      <c r="A22" s="28">
        <v>16</v>
      </c>
      <c r="B22" s="29" t="s">
        <v>50</v>
      </c>
      <c r="C22" s="29" t="s">
        <v>51</v>
      </c>
      <c r="D22" s="29" t="s">
        <v>36</v>
      </c>
      <c r="E22" s="30">
        <v>2000000</v>
      </c>
      <c r="F22" s="31">
        <v>1429.6</v>
      </c>
      <c r="G22" s="32">
        <v>1.5023440000000001E-2</v>
      </c>
      <c r="H22" s="27" t="s">
        <v>142</v>
      </c>
    </row>
    <row r="23" spans="1:8" x14ac:dyDescent="0.2">
      <c r="A23" s="28">
        <v>17</v>
      </c>
      <c r="B23" s="29" t="s">
        <v>52</v>
      </c>
      <c r="C23" s="29" t="s">
        <v>53</v>
      </c>
      <c r="D23" s="29" t="s">
        <v>13</v>
      </c>
      <c r="E23" s="30">
        <v>77000</v>
      </c>
      <c r="F23" s="31">
        <v>1409.6389999999999</v>
      </c>
      <c r="G23" s="32">
        <v>1.4813669999999999E-2</v>
      </c>
      <c r="H23" s="27" t="s">
        <v>142</v>
      </c>
    </row>
    <row r="24" spans="1:8" x14ac:dyDescent="0.2">
      <c r="A24" s="28">
        <v>18</v>
      </c>
      <c r="B24" s="29" t="s">
        <v>54</v>
      </c>
      <c r="C24" s="29" t="s">
        <v>55</v>
      </c>
      <c r="D24" s="29" t="s">
        <v>36</v>
      </c>
      <c r="E24" s="30">
        <v>270000</v>
      </c>
      <c r="F24" s="31">
        <v>1406.43</v>
      </c>
      <c r="G24" s="32">
        <v>1.477995E-2</v>
      </c>
      <c r="H24" s="27" t="s">
        <v>142</v>
      </c>
    </row>
    <row r="25" spans="1:8" x14ac:dyDescent="0.2">
      <c r="A25" s="28">
        <v>19</v>
      </c>
      <c r="B25" s="29" t="s">
        <v>56</v>
      </c>
      <c r="C25" s="29" t="s">
        <v>57</v>
      </c>
      <c r="D25" s="29" t="s">
        <v>58</v>
      </c>
      <c r="E25" s="30">
        <v>127695</v>
      </c>
      <c r="F25" s="31">
        <v>1397.4940799999999</v>
      </c>
      <c r="G25" s="32">
        <v>1.4686039999999999E-2</v>
      </c>
      <c r="H25" s="27" t="s">
        <v>142</v>
      </c>
    </row>
    <row r="26" spans="1:8" x14ac:dyDescent="0.2">
      <c r="A26" s="28">
        <v>20</v>
      </c>
      <c r="B26" s="29" t="s">
        <v>59</v>
      </c>
      <c r="C26" s="29" t="s">
        <v>60</v>
      </c>
      <c r="D26" s="29" t="s">
        <v>61</v>
      </c>
      <c r="E26" s="30">
        <v>21500</v>
      </c>
      <c r="F26" s="31">
        <v>1395.6724999999999</v>
      </c>
      <c r="G26" s="32">
        <v>1.46669E-2</v>
      </c>
      <c r="H26" s="27" t="s">
        <v>142</v>
      </c>
    </row>
    <row r="27" spans="1:8" x14ac:dyDescent="0.2">
      <c r="A27" s="28">
        <v>21</v>
      </c>
      <c r="B27" s="29" t="s">
        <v>62</v>
      </c>
      <c r="C27" s="29" t="s">
        <v>63</v>
      </c>
      <c r="D27" s="29" t="s">
        <v>64</v>
      </c>
      <c r="E27" s="30">
        <v>125000</v>
      </c>
      <c r="F27" s="31">
        <v>1378.0625</v>
      </c>
      <c r="G27" s="32">
        <v>1.4481839999999999E-2</v>
      </c>
      <c r="H27" s="27" t="s">
        <v>142</v>
      </c>
    </row>
    <row r="28" spans="1:8" x14ac:dyDescent="0.2">
      <c r="A28" s="28">
        <v>22</v>
      </c>
      <c r="B28" s="29" t="s">
        <v>65</v>
      </c>
      <c r="C28" s="29" t="s">
        <v>66</v>
      </c>
      <c r="D28" s="29" t="s">
        <v>67</v>
      </c>
      <c r="E28" s="30">
        <v>25000</v>
      </c>
      <c r="F28" s="31">
        <v>1332.5</v>
      </c>
      <c r="G28" s="32">
        <v>1.400303E-2</v>
      </c>
      <c r="H28" s="27" t="s">
        <v>142</v>
      </c>
    </row>
    <row r="29" spans="1:8" x14ac:dyDescent="0.2">
      <c r="A29" s="28">
        <v>23</v>
      </c>
      <c r="B29" s="29" t="s">
        <v>68</v>
      </c>
      <c r="C29" s="29" t="s">
        <v>69</v>
      </c>
      <c r="D29" s="29" t="s">
        <v>70</v>
      </c>
      <c r="E29" s="30">
        <v>550000</v>
      </c>
      <c r="F29" s="31">
        <v>1316.7</v>
      </c>
      <c r="G29" s="32">
        <v>1.383699E-2</v>
      </c>
      <c r="H29" s="27" t="s">
        <v>142</v>
      </c>
    </row>
    <row r="30" spans="1:8" x14ac:dyDescent="0.2">
      <c r="A30" s="28">
        <v>24</v>
      </c>
      <c r="B30" s="29" t="s">
        <v>71</v>
      </c>
      <c r="C30" s="29" t="s">
        <v>72</v>
      </c>
      <c r="D30" s="29" t="s">
        <v>73</v>
      </c>
      <c r="E30" s="30">
        <v>155000</v>
      </c>
      <c r="F30" s="31">
        <v>1311.61</v>
      </c>
      <c r="G30" s="32">
        <v>1.3783500000000001E-2</v>
      </c>
      <c r="H30" s="27" t="s">
        <v>142</v>
      </c>
    </row>
    <row r="31" spans="1:8" x14ac:dyDescent="0.2">
      <c r="A31" s="28">
        <v>25</v>
      </c>
      <c r="B31" s="29" t="s">
        <v>74</v>
      </c>
      <c r="C31" s="29" t="s">
        <v>75</v>
      </c>
      <c r="D31" s="29" t="s">
        <v>64</v>
      </c>
      <c r="E31" s="30">
        <v>23000</v>
      </c>
      <c r="F31" s="31">
        <v>1289.0119999999999</v>
      </c>
      <c r="G31" s="32">
        <v>1.3546020000000001E-2</v>
      </c>
      <c r="H31" s="27" t="s">
        <v>142</v>
      </c>
    </row>
    <row r="32" spans="1:8" x14ac:dyDescent="0.2">
      <c r="A32" s="28">
        <v>26</v>
      </c>
      <c r="B32" s="29" t="s">
        <v>76</v>
      </c>
      <c r="C32" s="29" t="s">
        <v>77</v>
      </c>
      <c r="D32" s="29" t="s">
        <v>73</v>
      </c>
      <c r="E32" s="30">
        <v>25000</v>
      </c>
      <c r="F32" s="31">
        <v>1256.95</v>
      </c>
      <c r="G32" s="32">
        <v>1.320909E-2</v>
      </c>
      <c r="H32" s="27" t="s">
        <v>142</v>
      </c>
    </row>
    <row r="33" spans="1:8" x14ac:dyDescent="0.2">
      <c r="A33" s="28">
        <v>27</v>
      </c>
      <c r="B33" s="29" t="s">
        <v>78</v>
      </c>
      <c r="C33" s="29" t="s">
        <v>79</v>
      </c>
      <c r="D33" s="29" t="s">
        <v>13</v>
      </c>
      <c r="E33" s="30">
        <v>325000</v>
      </c>
      <c r="F33" s="31">
        <v>1248.4875</v>
      </c>
      <c r="G33" s="32">
        <v>1.3120160000000001E-2</v>
      </c>
      <c r="H33" s="27" t="s">
        <v>142</v>
      </c>
    </row>
    <row r="34" spans="1:8" x14ac:dyDescent="0.2">
      <c r="A34" s="28">
        <v>28</v>
      </c>
      <c r="B34" s="29" t="s">
        <v>80</v>
      </c>
      <c r="C34" s="29" t="s">
        <v>81</v>
      </c>
      <c r="D34" s="29" t="s">
        <v>36</v>
      </c>
      <c r="E34" s="30">
        <v>175000</v>
      </c>
      <c r="F34" s="31">
        <v>1162</v>
      </c>
      <c r="G34" s="32">
        <v>1.221127E-2</v>
      </c>
      <c r="H34" s="27" t="s">
        <v>142</v>
      </c>
    </row>
    <row r="35" spans="1:8" x14ac:dyDescent="0.2">
      <c r="A35" s="28">
        <v>29</v>
      </c>
      <c r="B35" s="29" t="s">
        <v>82</v>
      </c>
      <c r="C35" s="29" t="s">
        <v>83</v>
      </c>
      <c r="D35" s="29" t="s">
        <v>36</v>
      </c>
      <c r="E35" s="30">
        <v>6000</v>
      </c>
      <c r="F35" s="31">
        <v>1157.8800000000001</v>
      </c>
      <c r="G35" s="32">
        <v>1.216798E-2</v>
      </c>
      <c r="H35" s="27" t="s">
        <v>142</v>
      </c>
    </row>
    <row r="36" spans="1:8" x14ac:dyDescent="0.2">
      <c r="A36" s="28">
        <v>30</v>
      </c>
      <c r="B36" s="29" t="s">
        <v>84</v>
      </c>
      <c r="C36" s="29" t="s">
        <v>85</v>
      </c>
      <c r="D36" s="29" t="s">
        <v>86</v>
      </c>
      <c r="E36" s="30">
        <v>575000</v>
      </c>
      <c r="F36" s="31">
        <v>1091.3499999999999</v>
      </c>
      <c r="G36" s="32">
        <v>1.1468819999999999E-2</v>
      </c>
      <c r="H36" s="27" t="s">
        <v>142</v>
      </c>
    </row>
    <row r="37" spans="1:8" x14ac:dyDescent="0.2">
      <c r="A37" s="28">
        <v>31</v>
      </c>
      <c r="B37" s="29" t="s">
        <v>87</v>
      </c>
      <c r="C37" s="29" t="s">
        <v>88</v>
      </c>
      <c r="D37" s="29" t="s">
        <v>73</v>
      </c>
      <c r="E37" s="30">
        <v>87000</v>
      </c>
      <c r="F37" s="31">
        <v>1090.806</v>
      </c>
      <c r="G37" s="32">
        <v>1.146311E-2</v>
      </c>
      <c r="H37" s="27" t="s">
        <v>142</v>
      </c>
    </row>
    <row r="38" spans="1:8" x14ac:dyDescent="0.2">
      <c r="A38" s="28">
        <v>32</v>
      </c>
      <c r="B38" s="29" t="s">
        <v>89</v>
      </c>
      <c r="C38" s="29" t="s">
        <v>90</v>
      </c>
      <c r="D38" s="29" t="s">
        <v>36</v>
      </c>
      <c r="E38" s="30">
        <v>33000</v>
      </c>
      <c r="F38" s="31">
        <v>1077.6479999999999</v>
      </c>
      <c r="G38" s="32">
        <v>1.1324829999999999E-2</v>
      </c>
      <c r="H38" s="27" t="s">
        <v>142</v>
      </c>
    </row>
    <row r="39" spans="1:8" x14ac:dyDescent="0.2">
      <c r="A39" s="28">
        <v>33</v>
      </c>
      <c r="B39" s="29" t="s">
        <v>91</v>
      </c>
      <c r="C39" s="29" t="s">
        <v>92</v>
      </c>
      <c r="D39" s="29" t="s">
        <v>58</v>
      </c>
      <c r="E39" s="30">
        <v>75000</v>
      </c>
      <c r="F39" s="31">
        <v>1074.75</v>
      </c>
      <c r="G39" s="32">
        <v>1.129438E-2</v>
      </c>
      <c r="H39" s="27" t="s">
        <v>142</v>
      </c>
    </row>
    <row r="40" spans="1:8" x14ac:dyDescent="0.2">
      <c r="A40" s="28">
        <v>34</v>
      </c>
      <c r="B40" s="29" t="s">
        <v>93</v>
      </c>
      <c r="C40" s="29" t="s">
        <v>94</v>
      </c>
      <c r="D40" s="29" t="s">
        <v>73</v>
      </c>
      <c r="E40" s="30">
        <v>58000</v>
      </c>
      <c r="F40" s="31">
        <v>1050.7860000000001</v>
      </c>
      <c r="G40" s="32">
        <v>1.104254E-2</v>
      </c>
      <c r="H40" s="27" t="s">
        <v>142</v>
      </c>
    </row>
    <row r="41" spans="1:8" x14ac:dyDescent="0.2">
      <c r="A41" s="28">
        <v>35</v>
      </c>
      <c r="B41" s="29" t="s">
        <v>95</v>
      </c>
      <c r="C41" s="29" t="s">
        <v>96</v>
      </c>
      <c r="D41" s="29" t="s">
        <v>64</v>
      </c>
      <c r="E41" s="30">
        <v>25000</v>
      </c>
      <c r="F41" s="31">
        <v>1047.175</v>
      </c>
      <c r="G41" s="32">
        <v>1.100459E-2</v>
      </c>
      <c r="H41" s="27" t="s">
        <v>142</v>
      </c>
    </row>
    <row r="42" spans="1:8" x14ac:dyDescent="0.2">
      <c r="A42" s="28">
        <v>36</v>
      </c>
      <c r="B42" s="29" t="s">
        <v>97</v>
      </c>
      <c r="C42" s="29" t="s">
        <v>98</v>
      </c>
      <c r="D42" s="29" t="s">
        <v>73</v>
      </c>
      <c r="E42" s="30">
        <v>30000</v>
      </c>
      <c r="F42" s="31">
        <v>980.43</v>
      </c>
      <c r="G42" s="32">
        <v>1.030318E-2</v>
      </c>
      <c r="H42" s="27" t="s">
        <v>142</v>
      </c>
    </row>
    <row r="43" spans="1:8" ht="25.5" x14ac:dyDescent="0.2">
      <c r="A43" s="28">
        <v>37</v>
      </c>
      <c r="B43" s="29" t="s">
        <v>99</v>
      </c>
      <c r="C43" s="29" t="s">
        <v>100</v>
      </c>
      <c r="D43" s="29" t="s">
        <v>25</v>
      </c>
      <c r="E43" s="30">
        <v>175000</v>
      </c>
      <c r="F43" s="31">
        <v>968.625</v>
      </c>
      <c r="G43" s="32">
        <v>1.017913E-2</v>
      </c>
      <c r="H43" s="27" t="s">
        <v>142</v>
      </c>
    </row>
    <row r="44" spans="1:8" x14ac:dyDescent="0.2">
      <c r="A44" s="28">
        <v>38</v>
      </c>
      <c r="B44" s="29" t="s">
        <v>101</v>
      </c>
      <c r="C44" s="29" t="s">
        <v>102</v>
      </c>
      <c r="D44" s="29" t="s">
        <v>36</v>
      </c>
      <c r="E44" s="30">
        <v>16000</v>
      </c>
      <c r="F44" s="31">
        <v>955.36</v>
      </c>
      <c r="G44" s="32">
        <v>1.003973E-2</v>
      </c>
      <c r="H44" s="27" t="s">
        <v>142</v>
      </c>
    </row>
    <row r="45" spans="1:8" x14ac:dyDescent="0.2">
      <c r="A45" s="28">
        <v>39</v>
      </c>
      <c r="B45" s="29" t="s">
        <v>103</v>
      </c>
      <c r="C45" s="29" t="s">
        <v>104</v>
      </c>
      <c r="D45" s="29" t="s">
        <v>19</v>
      </c>
      <c r="E45" s="30">
        <v>82768</v>
      </c>
      <c r="F45" s="31">
        <v>926.83606399999996</v>
      </c>
      <c r="G45" s="32">
        <v>9.7399700000000006E-3</v>
      </c>
      <c r="H45" s="27" t="s">
        <v>142</v>
      </c>
    </row>
    <row r="46" spans="1:8" x14ac:dyDescent="0.2">
      <c r="A46" s="28">
        <v>40</v>
      </c>
      <c r="B46" s="29" t="s">
        <v>105</v>
      </c>
      <c r="C46" s="29" t="s">
        <v>106</v>
      </c>
      <c r="D46" s="29" t="s">
        <v>73</v>
      </c>
      <c r="E46" s="30">
        <v>101916</v>
      </c>
      <c r="F46" s="31">
        <v>921.98309400000005</v>
      </c>
      <c r="G46" s="32">
        <v>9.6889699999999999E-3</v>
      </c>
      <c r="H46" s="27" t="s">
        <v>142</v>
      </c>
    </row>
    <row r="47" spans="1:8" x14ac:dyDescent="0.2">
      <c r="A47" s="28">
        <v>41</v>
      </c>
      <c r="B47" s="29" t="s">
        <v>107</v>
      </c>
      <c r="C47" s="29" t="s">
        <v>108</v>
      </c>
      <c r="D47" s="29" t="s">
        <v>19</v>
      </c>
      <c r="E47" s="30">
        <v>380000</v>
      </c>
      <c r="F47" s="31">
        <v>878.52200000000005</v>
      </c>
      <c r="G47" s="32">
        <v>9.2322499999999991E-3</v>
      </c>
      <c r="H47" s="27" t="s">
        <v>142</v>
      </c>
    </row>
    <row r="48" spans="1:8" x14ac:dyDescent="0.2">
      <c r="A48" s="28">
        <v>42</v>
      </c>
      <c r="B48" s="29" t="s">
        <v>109</v>
      </c>
      <c r="C48" s="29" t="s">
        <v>110</v>
      </c>
      <c r="D48" s="29" t="s">
        <v>73</v>
      </c>
      <c r="E48" s="30">
        <v>24000</v>
      </c>
      <c r="F48" s="31">
        <v>866.44799999999998</v>
      </c>
      <c r="G48" s="32">
        <v>9.1053599999999998E-3</v>
      </c>
      <c r="H48" s="27" t="s">
        <v>142</v>
      </c>
    </row>
    <row r="49" spans="1:8" x14ac:dyDescent="0.2">
      <c r="A49" s="28">
        <v>43</v>
      </c>
      <c r="B49" s="29" t="s">
        <v>111</v>
      </c>
      <c r="C49" s="29" t="s">
        <v>112</v>
      </c>
      <c r="D49" s="29" t="s">
        <v>36</v>
      </c>
      <c r="E49" s="30">
        <v>325000</v>
      </c>
      <c r="F49" s="31">
        <v>844.44749999999999</v>
      </c>
      <c r="G49" s="32">
        <v>8.8741600000000007E-3</v>
      </c>
      <c r="H49" s="27" t="s">
        <v>142</v>
      </c>
    </row>
    <row r="50" spans="1:8" x14ac:dyDescent="0.2">
      <c r="A50" s="28">
        <v>44</v>
      </c>
      <c r="B50" s="29" t="s">
        <v>113</v>
      </c>
      <c r="C50" s="29" t="s">
        <v>114</v>
      </c>
      <c r="D50" s="29" t="s">
        <v>67</v>
      </c>
      <c r="E50" s="30">
        <v>235000</v>
      </c>
      <c r="F50" s="31">
        <v>841.3</v>
      </c>
      <c r="G50" s="32">
        <v>8.8410899999999994E-3</v>
      </c>
      <c r="H50" s="27" t="s">
        <v>142</v>
      </c>
    </row>
    <row r="51" spans="1:8" x14ac:dyDescent="0.2">
      <c r="A51" s="28">
        <v>45</v>
      </c>
      <c r="B51" s="29" t="s">
        <v>115</v>
      </c>
      <c r="C51" s="29" t="s">
        <v>116</v>
      </c>
      <c r="D51" s="29" t="s">
        <v>22</v>
      </c>
      <c r="E51" s="30">
        <v>60000</v>
      </c>
      <c r="F51" s="31">
        <v>824.4</v>
      </c>
      <c r="G51" s="32">
        <v>8.6634899999999994E-3</v>
      </c>
      <c r="H51" s="27" t="s">
        <v>142</v>
      </c>
    </row>
    <row r="52" spans="1:8" x14ac:dyDescent="0.2">
      <c r="A52" s="28">
        <v>46</v>
      </c>
      <c r="B52" s="29" t="s">
        <v>117</v>
      </c>
      <c r="C52" s="29" t="s">
        <v>118</v>
      </c>
      <c r="D52" s="29" t="s">
        <v>36</v>
      </c>
      <c r="E52" s="30">
        <v>135000</v>
      </c>
      <c r="F52" s="31">
        <v>784.6875</v>
      </c>
      <c r="G52" s="32">
        <v>8.2461600000000006E-3</v>
      </c>
      <c r="H52" s="27" t="s">
        <v>142</v>
      </c>
    </row>
    <row r="53" spans="1:8" x14ac:dyDescent="0.2">
      <c r="A53" s="28">
        <v>47</v>
      </c>
      <c r="B53" s="29" t="s">
        <v>119</v>
      </c>
      <c r="C53" s="29" t="s">
        <v>120</v>
      </c>
      <c r="D53" s="29" t="s">
        <v>64</v>
      </c>
      <c r="E53" s="30">
        <v>60000</v>
      </c>
      <c r="F53" s="31">
        <v>744.54</v>
      </c>
      <c r="G53" s="32">
        <v>7.8242499999999996E-3</v>
      </c>
      <c r="H53" s="27" t="s">
        <v>142</v>
      </c>
    </row>
    <row r="54" spans="1:8" ht="25.5" x14ac:dyDescent="0.2">
      <c r="A54" s="28">
        <v>48</v>
      </c>
      <c r="B54" s="29" t="s">
        <v>121</v>
      </c>
      <c r="C54" s="29" t="s">
        <v>122</v>
      </c>
      <c r="D54" s="29" t="s">
        <v>123</v>
      </c>
      <c r="E54" s="30">
        <v>150000</v>
      </c>
      <c r="F54" s="31">
        <v>719.92499999999995</v>
      </c>
      <c r="G54" s="32">
        <v>7.5655799999999997E-3</v>
      </c>
      <c r="H54" s="27" t="s">
        <v>142</v>
      </c>
    </row>
    <row r="55" spans="1:8" x14ac:dyDescent="0.2">
      <c r="A55" s="28">
        <v>49</v>
      </c>
      <c r="B55" s="29" t="s">
        <v>124</v>
      </c>
      <c r="C55" s="29" t="s">
        <v>125</v>
      </c>
      <c r="D55" s="29" t="s">
        <v>67</v>
      </c>
      <c r="E55" s="30">
        <v>90000</v>
      </c>
      <c r="F55" s="31">
        <v>705.96</v>
      </c>
      <c r="G55" s="32">
        <v>7.4188199999999996E-3</v>
      </c>
      <c r="H55" s="27" t="s">
        <v>142</v>
      </c>
    </row>
    <row r="56" spans="1:8" x14ac:dyDescent="0.2">
      <c r="A56" s="28">
        <v>50</v>
      </c>
      <c r="B56" s="29" t="s">
        <v>126</v>
      </c>
      <c r="C56" s="29" t="s">
        <v>127</v>
      </c>
      <c r="D56" s="29" t="s">
        <v>36</v>
      </c>
      <c r="E56" s="30">
        <v>20000</v>
      </c>
      <c r="F56" s="31">
        <v>677.64</v>
      </c>
      <c r="G56" s="32">
        <v>7.1212100000000002E-3</v>
      </c>
      <c r="H56" s="27" t="s">
        <v>142</v>
      </c>
    </row>
    <row r="57" spans="1:8" x14ac:dyDescent="0.2">
      <c r="A57" s="28">
        <v>51</v>
      </c>
      <c r="B57" s="29" t="s">
        <v>128</v>
      </c>
      <c r="C57" s="29" t="s">
        <v>129</v>
      </c>
      <c r="D57" s="29" t="s">
        <v>73</v>
      </c>
      <c r="E57" s="30">
        <v>36612</v>
      </c>
      <c r="F57" s="31">
        <v>657.77119200000004</v>
      </c>
      <c r="G57" s="32">
        <v>6.9124099999999999E-3</v>
      </c>
      <c r="H57" s="27" t="s">
        <v>142</v>
      </c>
    </row>
    <row r="58" spans="1:8" x14ac:dyDescent="0.2">
      <c r="A58" s="28">
        <v>52</v>
      </c>
      <c r="B58" s="29" t="s">
        <v>130</v>
      </c>
      <c r="C58" s="29" t="s">
        <v>131</v>
      </c>
      <c r="D58" s="29" t="s">
        <v>132</v>
      </c>
      <c r="E58" s="30">
        <v>160000</v>
      </c>
      <c r="F58" s="31">
        <v>643.67999999999995</v>
      </c>
      <c r="G58" s="32">
        <v>6.7643299999999998E-3</v>
      </c>
      <c r="H58" s="27" t="s">
        <v>142</v>
      </c>
    </row>
    <row r="59" spans="1:8" x14ac:dyDescent="0.2">
      <c r="A59" s="28">
        <v>53</v>
      </c>
      <c r="B59" s="29" t="s">
        <v>133</v>
      </c>
      <c r="C59" s="29" t="s">
        <v>134</v>
      </c>
      <c r="D59" s="29" t="s">
        <v>22</v>
      </c>
      <c r="E59" s="30">
        <v>21000</v>
      </c>
      <c r="F59" s="31">
        <v>520.41150000000005</v>
      </c>
      <c r="G59" s="32">
        <v>5.4689200000000004E-3</v>
      </c>
      <c r="H59" s="27" t="s">
        <v>142</v>
      </c>
    </row>
    <row r="60" spans="1:8" x14ac:dyDescent="0.2">
      <c r="A60" s="28">
        <v>54</v>
      </c>
      <c r="B60" s="29" t="s">
        <v>135</v>
      </c>
      <c r="C60" s="29" t="s">
        <v>136</v>
      </c>
      <c r="D60" s="29" t="s">
        <v>137</v>
      </c>
      <c r="E60" s="30">
        <v>50000</v>
      </c>
      <c r="F60" s="31">
        <v>474.45</v>
      </c>
      <c r="G60" s="32">
        <v>4.9859199999999996E-3</v>
      </c>
      <c r="H60" s="27" t="s">
        <v>142</v>
      </c>
    </row>
    <row r="61" spans="1:8" x14ac:dyDescent="0.2">
      <c r="A61" s="25"/>
      <c r="B61" s="25"/>
      <c r="C61" s="26" t="s">
        <v>141</v>
      </c>
      <c r="D61" s="25"/>
      <c r="E61" s="25" t="s">
        <v>142</v>
      </c>
      <c r="F61" s="33">
        <v>90532.469441188994</v>
      </c>
      <c r="G61" s="34">
        <v>0.95139123000000003</v>
      </c>
      <c r="H61" s="27" t="s">
        <v>142</v>
      </c>
    </row>
    <row r="62" spans="1:8" x14ac:dyDescent="0.2">
      <c r="A62" s="25"/>
      <c r="B62" s="25"/>
      <c r="C62" s="35"/>
      <c r="D62" s="25"/>
      <c r="E62" s="25"/>
      <c r="F62" s="36"/>
      <c r="G62" s="36"/>
      <c r="H62" s="27" t="s">
        <v>142</v>
      </c>
    </row>
    <row r="63" spans="1:8" x14ac:dyDescent="0.2">
      <c r="A63" s="25"/>
      <c r="B63" s="25"/>
      <c r="C63" s="26" t="s">
        <v>143</v>
      </c>
      <c r="D63" s="25"/>
      <c r="E63" s="25"/>
      <c r="F63" s="25"/>
      <c r="G63" s="25"/>
      <c r="H63" s="27" t="s">
        <v>142</v>
      </c>
    </row>
    <row r="64" spans="1:8" x14ac:dyDescent="0.2">
      <c r="A64" s="25"/>
      <c r="B64" s="25"/>
      <c r="C64" s="26" t="s">
        <v>141</v>
      </c>
      <c r="D64" s="25"/>
      <c r="E64" s="25" t="s">
        <v>142</v>
      </c>
      <c r="F64" s="37" t="s">
        <v>144</v>
      </c>
      <c r="G64" s="34">
        <v>0</v>
      </c>
      <c r="H64" s="27" t="s">
        <v>142</v>
      </c>
    </row>
    <row r="65" spans="1:8" x14ac:dyDescent="0.2">
      <c r="A65" s="25"/>
      <c r="B65" s="25"/>
      <c r="C65" s="35"/>
      <c r="D65" s="25"/>
      <c r="E65" s="25"/>
      <c r="F65" s="36"/>
      <c r="G65" s="36"/>
      <c r="H65" s="27" t="s">
        <v>142</v>
      </c>
    </row>
    <row r="66" spans="1:8" x14ac:dyDescent="0.2">
      <c r="A66" s="25"/>
      <c r="B66" s="25"/>
      <c r="C66" s="26" t="s">
        <v>145</v>
      </c>
      <c r="D66" s="25"/>
      <c r="E66" s="25"/>
      <c r="F66" s="25"/>
      <c r="G66" s="25"/>
      <c r="H66" s="27" t="s">
        <v>142</v>
      </c>
    </row>
    <row r="67" spans="1:8" x14ac:dyDescent="0.2">
      <c r="A67" s="28">
        <v>1</v>
      </c>
      <c r="B67" s="29" t="s">
        <v>138</v>
      </c>
      <c r="C67" s="38" t="s">
        <v>886</v>
      </c>
      <c r="D67" s="29" t="s">
        <v>139</v>
      </c>
      <c r="E67" s="30">
        <v>559425</v>
      </c>
      <c r="F67" s="31">
        <v>1.1189000000000001E-5</v>
      </c>
      <c r="G67" s="39" t="s">
        <v>140</v>
      </c>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146</v>
      </c>
      <c r="D70" s="25"/>
      <c r="E70" s="25"/>
      <c r="F70" s="25"/>
      <c r="G70" s="25"/>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147</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148</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149</v>
      </c>
      <c r="D79" s="25"/>
      <c r="E79" s="25"/>
      <c r="F79" s="33">
        <v>90532.469441188994</v>
      </c>
      <c r="G79" s="34">
        <v>0.95139123000000003</v>
      </c>
      <c r="H79" s="27" t="s">
        <v>142</v>
      </c>
    </row>
    <row r="80" spans="1:8" x14ac:dyDescent="0.2">
      <c r="A80" s="25"/>
      <c r="B80" s="25"/>
      <c r="C80" s="35"/>
      <c r="D80" s="25"/>
      <c r="E80" s="25"/>
      <c r="F80" s="36"/>
      <c r="G80" s="36"/>
      <c r="H80" s="27" t="s">
        <v>142</v>
      </c>
    </row>
    <row r="81" spans="1:8" x14ac:dyDescent="0.2">
      <c r="A81" s="25"/>
      <c r="B81" s="25"/>
      <c r="C81" s="26" t="s">
        <v>150</v>
      </c>
      <c r="D81" s="25"/>
      <c r="E81" s="25"/>
      <c r="F81" s="36"/>
      <c r="G81" s="36"/>
      <c r="H81" s="27" t="s">
        <v>142</v>
      </c>
    </row>
    <row r="82" spans="1:8" x14ac:dyDescent="0.2">
      <c r="A82" s="25"/>
      <c r="B82" s="25"/>
      <c r="C82" s="26" t="s">
        <v>10</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151</v>
      </c>
      <c r="D85" s="25"/>
      <c r="E85" s="25"/>
      <c r="F85" s="25"/>
      <c r="G85" s="25"/>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152</v>
      </c>
      <c r="D88" s="25"/>
      <c r="E88" s="25"/>
      <c r="F88" s="25"/>
      <c r="G88" s="25"/>
      <c r="H88" s="27" t="s">
        <v>142</v>
      </c>
    </row>
    <row r="89" spans="1:8" x14ac:dyDescent="0.2">
      <c r="A89" s="25"/>
      <c r="B89" s="25"/>
      <c r="C89" s="26" t="s">
        <v>141</v>
      </c>
      <c r="D89" s="25"/>
      <c r="E89" s="25" t="s">
        <v>142</v>
      </c>
      <c r="F89" s="37" t="s">
        <v>144</v>
      </c>
      <c r="G89" s="34">
        <v>0</v>
      </c>
      <c r="H89" s="27" t="s">
        <v>142</v>
      </c>
    </row>
    <row r="90" spans="1:8" x14ac:dyDescent="0.2">
      <c r="A90" s="25"/>
      <c r="B90" s="25"/>
      <c r="C90" s="35"/>
      <c r="D90" s="25"/>
      <c r="E90" s="25"/>
      <c r="F90" s="36"/>
      <c r="G90" s="36"/>
      <c r="H90" s="27" t="s">
        <v>142</v>
      </c>
    </row>
    <row r="91" spans="1:8" x14ac:dyDescent="0.2">
      <c r="A91" s="25"/>
      <c r="B91" s="25"/>
      <c r="C91" s="26" t="s">
        <v>153</v>
      </c>
      <c r="D91" s="25"/>
      <c r="E91" s="25"/>
      <c r="F91" s="36"/>
      <c r="G91" s="36"/>
      <c r="H91" s="27" t="s">
        <v>142</v>
      </c>
    </row>
    <row r="92" spans="1:8" x14ac:dyDescent="0.2">
      <c r="A92" s="25"/>
      <c r="B92" s="25"/>
      <c r="C92" s="26" t="s">
        <v>141</v>
      </c>
      <c r="D92" s="25"/>
      <c r="E92" s="25" t="s">
        <v>142</v>
      </c>
      <c r="F92" s="37" t="s">
        <v>144</v>
      </c>
      <c r="G92" s="34">
        <v>0</v>
      </c>
      <c r="H92" s="27" t="s">
        <v>142</v>
      </c>
    </row>
    <row r="93" spans="1:8" x14ac:dyDescent="0.2">
      <c r="A93" s="25"/>
      <c r="B93" s="25"/>
      <c r="C93" s="35"/>
      <c r="D93" s="25"/>
      <c r="E93" s="25"/>
      <c r="F93" s="36"/>
      <c r="G93" s="36"/>
      <c r="H93" s="27" t="s">
        <v>142</v>
      </c>
    </row>
    <row r="94" spans="1:8" x14ac:dyDescent="0.2">
      <c r="A94" s="25"/>
      <c r="B94" s="25"/>
      <c r="C94" s="26" t="s">
        <v>154</v>
      </c>
      <c r="D94" s="25"/>
      <c r="E94" s="25"/>
      <c r="F94" s="33">
        <v>0</v>
      </c>
      <c r="G94" s="34">
        <v>0</v>
      </c>
      <c r="H94" s="27" t="s">
        <v>142</v>
      </c>
    </row>
    <row r="95" spans="1:8" x14ac:dyDescent="0.2">
      <c r="A95" s="25"/>
      <c r="B95" s="25"/>
      <c r="C95" s="35"/>
      <c r="D95" s="25"/>
      <c r="E95" s="25"/>
      <c r="F95" s="36"/>
      <c r="G95" s="36"/>
      <c r="H95" s="27" t="s">
        <v>142</v>
      </c>
    </row>
    <row r="96" spans="1:8" x14ac:dyDescent="0.2">
      <c r="A96" s="25"/>
      <c r="B96" s="25"/>
      <c r="C96" s="26" t="s">
        <v>155</v>
      </c>
      <c r="D96" s="25"/>
      <c r="E96" s="25"/>
      <c r="F96" s="36"/>
      <c r="G96" s="36"/>
      <c r="H96" s="27" t="s">
        <v>142</v>
      </c>
    </row>
    <row r="97" spans="1:8" x14ac:dyDescent="0.2">
      <c r="A97" s="25"/>
      <c r="B97" s="25"/>
      <c r="C97" s="26" t="s">
        <v>156</v>
      </c>
      <c r="D97" s="25"/>
      <c r="E97" s="25"/>
      <c r="F97" s="36"/>
      <c r="G97" s="36"/>
      <c r="H97" s="27" t="s">
        <v>142</v>
      </c>
    </row>
    <row r="98" spans="1:8" x14ac:dyDescent="0.2">
      <c r="A98" s="25"/>
      <c r="B98" s="25"/>
      <c r="C98" s="26" t="s">
        <v>141</v>
      </c>
      <c r="D98" s="25"/>
      <c r="E98" s="25" t="s">
        <v>142</v>
      </c>
      <c r="F98" s="37" t="s">
        <v>144</v>
      </c>
      <c r="G98" s="34">
        <v>0</v>
      </c>
      <c r="H98" s="27" t="s">
        <v>142</v>
      </c>
    </row>
    <row r="99" spans="1:8" x14ac:dyDescent="0.2">
      <c r="A99" s="25"/>
      <c r="B99" s="25"/>
      <c r="C99" s="35"/>
      <c r="D99" s="25"/>
      <c r="E99" s="25"/>
      <c r="F99" s="36"/>
      <c r="G99" s="36"/>
      <c r="H99" s="27" t="s">
        <v>142</v>
      </c>
    </row>
    <row r="100" spans="1:8" x14ac:dyDescent="0.2">
      <c r="A100" s="25"/>
      <c r="B100" s="25"/>
      <c r="C100" s="26" t="s">
        <v>157</v>
      </c>
      <c r="D100" s="25"/>
      <c r="E100" s="25"/>
      <c r="F100" s="36"/>
      <c r="G100" s="36"/>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158</v>
      </c>
      <c r="D103" s="25"/>
      <c r="E103" s="25"/>
      <c r="F103" s="36"/>
      <c r="G103" s="36"/>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159</v>
      </c>
      <c r="D106" s="25"/>
      <c r="E106" s="25"/>
      <c r="F106" s="36"/>
      <c r="G106" s="36"/>
      <c r="H106" s="27" t="s">
        <v>142</v>
      </c>
    </row>
    <row r="107" spans="1:8" x14ac:dyDescent="0.2">
      <c r="A107" s="28">
        <v>1</v>
      </c>
      <c r="B107" s="29"/>
      <c r="C107" s="29" t="s">
        <v>160</v>
      </c>
      <c r="D107" s="29"/>
      <c r="E107" s="39"/>
      <c r="F107" s="31">
        <v>3748.0670174010002</v>
      </c>
      <c r="G107" s="32">
        <v>3.938784E-2</v>
      </c>
      <c r="H107" s="27">
        <v>5.76</v>
      </c>
    </row>
    <row r="108" spans="1:8" x14ac:dyDescent="0.2">
      <c r="A108" s="25"/>
      <c r="B108" s="25"/>
      <c r="C108" s="26" t="s">
        <v>141</v>
      </c>
      <c r="D108" s="25"/>
      <c r="E108" s="25" t="s">
        <v>142</v>
      </c>
      <c r="F108" s="33">
        <v>3748.0670174010002</v>
      </c>
      <c r="G108" s="34">
        <v>3.938784E-2</v>
      </c>
      <c r="H108" s="27" t="s">
        <v>142</v>
      </c>
    </row>
    <row r="109" spans="1:8" x14ac:dyDescent="0.2">
      <c r="A109" s="25"/>
      <c r="B109" s="25"/>
      <c r="C109" s="35"/>
      <c r="D109" s="25"/>
      <c r="E109" s="25"/>
      <c r="F109" s="36"/>
      <c r="G109" s="36"/>
      <c r="H109" s="27" t="s">
        <v>142</v>
      </c>
    </row>
    <row r="110" spans="1:8" x14ac:dyDescent="0.2">
      <c r="A110" s="25"/>
      <c r="B110" s="25"/>
      <c r="C110" s="26" t="s">
        <v>161</v>
      </c>
      <c r="D110" s="25"/>
      <c r="E110" s="25"/>
      <c r="F110" s="33">
        <v>3748.0670174010002</v>
      </c>
      <c r="G110" s="34">
        <v>3.938784E-2</v>
      </c>
      <c r="H110" s="27" t="s">
        <v>142</v>
      </c>
    </row>
    <row r="111" spans="1:8" x14ac:dyDescent="0.2">
      <c r="A111" s="25"/>
      <c r="B111" s="25"/>
      <c r="C111" s="36"/>
      <c r="D111" s="25"/>
      <c r="E111" s="25"/>
      <c r="F111" s="25"/>
      <c r="G111" s="25"/>
      <c r="H111" s="27" t="s">
        <v>142</v>
      </c>
    </row>
    <row r="112" spans="1:8" x14ac:dyDescent="0.2">
      <c r="A112" s="25"/>
      <c r="B112" s="25"/>
      <c r="C112" s="26" t="s">
        <v>162</v>
      </c>
      <c r="D112" s="25"/>
      <c r="E112" s="25"/>
      <c r="F112" s="25"/>
      <c r="G112" s="25"/>
      <c r="H112" s="27" t="s">
        <v>142</v>
      </c>
    </row>
    <row r="113" spans="1:10" x14ac:dyDescent="0.2">
      <c r="A113" s="25"/>
      <c r="B113" s="25"/>
      <c r="C113" s="26" t="s">
        <v>163</v>
      </c>
      <c r="D113" s="25"/>
      <c r="E113" s="25"/>
      <c r="F113" s="25"/>
      <c r="G113" s="25"/>
      <c r="H113" s="27" t="s">
        <v>142</v>
      </c>
    </row>
    <row r="114" spans="1:10" x14ac:dyDescent="0.2">
      <c r="A114" s="25"/>
      <c r="B114" s="25"/>
      <c r="C114" s="26" t="s">
        <v>141</v>
      </c>
      <c r="D114" s="25"/>
      <c r="E114" s="25" t="s">
        <v>142</v>
      </c>
      <c r="F114" s="37" t="s">
        <v>144</v>
      </c>
      <c r="G114" s="34">
        <v>0</v>
      </c>
      <c r="H114" s="27" t="s">
        <v>142</v>
      </c>
    </row>
    <row r="115" spans="1:10" x14ac:dyDescent="0.2">
      <c r="A115" s="25"/>
      <c r="B115" s="25"/>
      <c r="C115" s="35"/>
      <c r="D115" s="25"/>
      <c r="E115" s="25"/>
      <c r="F115" s="36"/>
      <c r="G115" s="36"/>
      <c r="H115" s="27" t="s">
        <v>142</v>
      </c>
    </row>
    <row r="116" spans="1:10" x14ac:dyDescent="0.2">
      <c r="A116" s="25"/>
      <c r="B116" s="25"/>
      <c r="C116" s="26" t="s">
        <v>164</v>
      </c>
      <c r="D116" s="25"/>
      <c r="E116" s="25"/>
      <c r="F116" s="25"/>
      <c r="G116" s="25"/>
      <c r="H116" s="27" t="s">
        <v>142</v>
      </c>
    </row>
    <row r="117" spans="1:10" x14ac:dyDescent="0.2">
      <c r="A117" s="25"/>
      <c r="B117" s="25"/>
      <c r="C117" s="26" t="s">
        <v>165</v>
      </c>
      <c r="D117" s="25"/>
      <c r="E117" s="25"/>
      <c r="F117" s="25"/>
      <c r="G117" s="25"/>
      <c r="H117" s="27" t="s">
        <v>142</v>
      </c>
    </row>
    <row r="118" spans="1:10" x14ac:dyDescent="0.2">
      <c r="A118" s="25"/>
      <c r="B118" s="25"/>
      <c r="C118" s="26" t="s">
        <v>141</v>
      </c>
      <c r="D118" s="25"/>
      <c r="E118" s="25" t="s">
        <v>142</v>
      </c>
      <c r="F118" s="37" t="s">
        <v>144</v>
      </c>
      <c r="G118" s="34">
        <v>0</v>
      </c>
      <c r="H118" s="27" t="s">
        <v>142</v>
      </c>
    </row>
    <row r="119" spans="1:10" x14ac:dyDescent="0.2">
      <c r="A119" s="25"/>
      <c r="B119" s="25"/>
      <c r="C119" s="35"/>
      <c r="D119" s="25"/>
      <c r="E119" s="25"/>
      <c r="F119" s="36"/>
      <c r="G119" s="36"/>
      <c r="H119" s="27" t="s">
        <v>142</v>
      </c>
    </row>
    <row r="120" spans="1:10" x14ac:dyDescent="0.2">
      <c r="A120" s="25"/>
      <c r="B120" s="25"/>
      <c r="C120" s="26" t="s">
        <v>166</v>
      </c>
      <c r="D120" s="25"/>
      <c r="E120" s="25"/>
      <c r="F120" s="36"/>
      <c r="G120" s="36"/>
      <c r="H120" s="27" t="s">
        <v>142</v>
      </c>
    </row>
    <row r="121" spans="1:10" x14ac:dyDescent="0.2">
      <c r="A121" s="25"/>
      <c r="B121" s="25"/>
      <c r="C121" s="26" t="s">
        <v>141</v>
      </c>
      <c r="D121" s="25"/>
      <c r="E121" s="25" t="s">
        <v>142</v>
      </c>
      <c r="F121" s="37" t="s">
        <v>144</v>
      </c>
      <c r="G121" s="34">
        <v>0</v>
      </c>
      <c r="H121" s="27" t="s">
        <v>142</v>
      </c>
    </row>
    <row r="122" spans="1:10" x14ac:dyDescent="0.2">
      <c r="A122" s="25"/>
      <c r="B122" s="25"/>
      <c r="C122" s="35"/>
      <c r="D122" s="25"/>
      <c r="E122" s="25"/>
      <c r="F122" s="36"/>
      <c r="G122" s="36"/>
      <c r="H122" s="27" t="s">
        <v>142</v>
      </c>
    </row>
    <row r="123" spans="1:10" x14ac:dyDescent="0.2">
      <c r="A123" s="39"/>
      <c r="B123" s="29"/>
      <c r="C123" s="29" t="s">
        <v>167</v>
      </c>
      <c r="D123" s="29"/>
      <c r="E123" s="39"/>
      <c r="F123" s="31">
        <v>877.44641548000004</v>
      </c>
      <c r="G123" s="32">
        <v>9.2209400000000004E-3</v>
      </c>
      <c r="H123" s="27" t="s">
        <v>142</v>
      </c>
    </row>
    <row r="124" spans="1:10" x14ac:dyDescent="0.2">
      <c r="A124" s="35"/>
      <c r="B124" s="35"/>
      <c r="C124" s="26" t="s">
        <v>168</v>
      </c>
      <c r="D124" s="36"/>
      <c r="E124" s="36"/>
      <c r="F124" s="33">
        <v>95157.982874070003</v>
      </c>
      <c r="G124" s="40">
        <v>1.0000000099999999</v>
      </c>
      <c r="H124" s="27" t="s">
        <v>142</v>
      </c>
    </row>
    <row r="125" spans="1:10" x14ac:dyDescent="0.2">
      <c r="A125" s="41"/>
      <c r="B125" s="41"/>
      <c r="C125" s="41"/>
      <c r="D125" s="42"/>
      <c r="E125" s="42"/>
      <c r="F125" s="42"/>
      <c r="G125" s="42"/>
    </row>
    <row r="126" spans="1:10" x14ac:dyDescent="0.2">
      <c r="A126" s="43"/>
      <c r="B126" s="210" t="s">
        <v>879</v>
      </c>
      <c r="C126" s="210"/>
      <c r="D126" s="210"/>
      <c r="E126" s="210"/>
      <c r="F126" s="210"/>
      <c r="G126" s="210"/>
      <c r="H126" s="210"/>
      <c r="J126" s="45"/>
    </row>
    <row r="127" spans="1:10" x14ac:dyDescent="0.2">
      <c r="A127" s="43"/>
      <c r="B127" s="210" t="s">
        <v>880</v>
      </c>
      <c r="C127" s="210"/>
      <c r="D127" s="210"/>
      <c r="E127" s="210"/>
      <c r="F127" s="210"/>
      <c r="G127" s="210"/>
      <c r="H127" s="210"/>
      <c r="J127" s="45"/>
    </row>
    <row r="128" spans="1:10" x14ac:dyDescent="0.2">
      <c r="A128" s="43"/>
      <c r="B128" s="210" t="s">
        <v>881</v>
      </c>
      <c r="C128" s="210"/>
      <c r="D128" s="210"/>
      <c r="E128" s="210"/>
      <c r="F128" s="210"/>
      <c r="G128" s="210"/>
      <c r="H128" s="210"/>
      <c r="J128" s="45"/>
    </row>
    <row r="129" spans="1:17" s="47" customFormat="1" ht="66.75" customHeight="1" x14ac:dyDescent="0.25">
      <c r="A129" s="46"/>
      <c r="B129" s="211" t="s">
        <v>882</v>
      </c>
      <c r="C129" s="211"/>
      <c r="D129" s="211"/>
      <c r="E129" s="211"/>
      <c r="F129" s="211"/>
      <c r="G129" s="211"/>
      <c r="H129" s="211"/>
      <c r="I129"/>
      <c r="J129" s="45"/>
      <c r="K129"/>
      <c r="L129"/>
      <c r="M129"/>
      <c r="N129"/>
      <c r="O129"/>
      <c r="P129"/>
      <c r="Q129"/>
    </row>
    <row r="130" spans="1:17" x14ac:dyDescent="0.2">
      <c r="A130" s="43"/>
      <c r="B130" s="210" t="s">
        <v>883</v>
      </c>
      <c r="C130" s="210"/>
      <c r="D130" s="210"/>
      <c r="E130" s="210"/>
      <c r="F130" s="210"/>
      <c r="G130" s="210"/>
      <c r="H130" s="210"/>
      <c r="J130" s="45"/>
    </row>
    <row r="131" spans="1:17" x14ac:dyDescent="0.2">
      <c r="A131" s="48"/>
      <c r="B131" s="48"/>
      <c r="C131" s="48"/>
      <c r="D131" s="49"/>
      <c r="E131" s="49"/>
      <c r="F131" s="49"/>
      <c r="G131" s="49"/>
    </row>
    <row r="132" spans="1:17" x14ac:dyDescent="0.2">
      <c r="A132" s="48"/>
      <c r="B132" s="212" t="s">
        <v>169</v>
      </c>
      <c r="C132" s="213"/>
      <c r="D132" s="214"/>
      <c r="E132" s="50"/>
      <c r="F132" s="49"/>
      <c r="G132" s="49"/>
    </row>
    <row r="133" spans="1:17" ht="27.75" customHeight="1" x14ac:dyDescent="0.2">
      <c r="A133" s="48"/>
      <c r="B133" s="215" t="s">
        <v>170</v>
      </c>
      <c r="C133" s="216"/>
      <c r="D133" s="26" t="s">
        <v>171</v>
      </c>
      <c r="E133" s="50"/>
      <c r="F133" s="49"/>
      <c r="G133" s="49"/>
    </row>
    <row r="134" spans="1:17" ht="12.75" customHeight="1" x14ac:dyDescent="0.2">
      <c r="A134" s="43"/>
      <c r="B134" s="217" t="s">
        <v>884</v>
      </c>
      <c r="C134" s="218"/>
      <c r="D134" s="51" t="str">
        <f>"Rs. "&amp;TEXT(F68,"0.00")&amp;" lacs/ #"</f>
        <v>Rs. 0.00 lacs/ #</v>
      </c>
      <c r="E134" s="52"/>
      <c r="F134" s="53"/>
      <c r="G134" s="53"/>
    </row>
    <row r="135" spans="1:17" x14ac:dyDescent="0.2">
      <c r="A135" s="48"/>
      <c r="B135" s="215" t="s">
        <v>172</v>
      </c>
      <c r="C135" s="216"/>
      <c r="D135" s="36" t="s">
        <v>142</v>
      </c>
      <c r="E135" s="50"/>
      <c r="F135" s="49"/>
      <c r="G135" s="49"/>
    </row>
    <row r="136" spans="1:17" x14ac:dyDescent="0.2">
      <c r="A136" s="54"/>
      <c r="B136" s="55" t="s">
        <v>142</v>
      </c>
      <c r="C136" s="55" t="s">
        <v>885</v>
      </c>
      <c r="D136" s="55" t="s">
        <v>173</v>
      </c>
      <c r="E136" s="54"/>
      <c r="F136" s="54"/>
      <c r="G136" s="54"/>
      <c r="H136" s="54"/>
      <c r="J136" s="45"/>
    </row>
    <row r="137" spans="1:17" x14ac:dyDescent="0.2">
      <c r="A137" s="54"/>
      <c r="B137" s="56" t="s">
        <v>174</v>
      </c>
      <c r="C137" s="57">
        <v>45777</v>
      </c>
      <c r="D137" s="57">
        <v>45808</v>
      </c>
      <c r="E137" s="54"/>
      <c r="F137" s="54"/>
      <c r="G137" s="54"/>
      <c r="J137" s="45"/>
    </row>
    <row r="138" spans="1:17" x14ac:dyDescent="0.2">
      <c r="A138" s="58"/>
      <c r="B138" s="29" t="s">
        <v>175</v>
      </c>
      <c r="C138" s="59">
        <v>93.926900000000003</v>
      </c>
      <c r="D138" s="59">
        <v>99.659499999999994</v>
      </c>
      <c r="E138" s="58"/>
      <c r="F138" s="60"/>
      <c r="G138" s="61"/>
    </row>
    <row r="139" spans="1:17" x14ac:dyDescent="0.2">
      <c r="A139" s="58"/>
      <c r="B139" s="29" t="s">
        <v>1065</v>
      </c>
      <c r="C139" s="59">
        <v>57.8718</v>
      </c>
      <c r="D139" s="59">
        <v>61.403799999999997</v>
      </c>
      <c r="E139" s="58"/>
      <c r="F139" s="60"/>
      <c r="G139" s="61"/>
    </row>
    <row r="140" spans="1:17" x14ac:dyDescent="0.2">
      <c r="A140" s="58"/>
      <c r="B140" s="29" t="s">
        <v>177</v>
      </c>
      <c r="C140" s="59">
        <v>87.999200000000002</v>
      </c>
      <c r="D140" s="59">
        <v>93.328699999999998</v>
      </c>
      <c r="E140" s="58"/>
      <c r="F140" s="60"/>
      <c r="G140" s="61"/>
    </row>
    <row r="141" spans="1:17" x14ac:dyDescent="0.2">
      <c r="A141" s="58"/>
      <c r="B141" s="29" t="s">
        <v>1066</v>
      </c>
      <c r="C141" s="59">
        <v>53.941899999999997</v>
      </c>
      <c r="D141" s="59">
        <v>57.208799999999997</v>
      </c>
      <c r="E141" s="58"/>
      <c r="F141" s="60"/>
      <c r="G141" s="61"/>
    </row>
    <row r="142" spans="1:17" x14ac:dyDescent="0.2">
      <c r="A142" s="58"/>
      <c r="B142" s="58"/>
      <c r="C142" s="58"/>
      <c r="D142" s="58"/>
      <c r="E142" s="58"/>
      <c r="F142" s="58"/>
      <c r="G142" s="58"/>
    </row>
    <row r="143" spans="1:17" x14ac:dyDescent="0.2">
      <c r="A143" s="54"/>
      <c r="B143" s="217" t="s">
        <v>887</v>
      </c>
      <c r="C143" s="218"/>
      <c r="D143" s="51" t="s">
        <v>171</v>
      </c>
      <c r="E143" s="54"/>
      <c r="F143" s="54"/>
      <c r="G143" s="54"/>
    </row>
    <row r="144" spans="1:17" x14ac:dyDescent="0.2">
      <c r="A144" s="54"/>
      <c r="B144" s="62"/>
      <c r="C144" s="62"/>
      <c r="D144" s="63"/>
      <c r="E144" s="54"/>
      <c r="F144" s="44"/>
      <c r="G144" s="64"/>
      <c r="J144" s="45"/>
    </row>
    <row r="145" spans="1:10" x14ac:dyDescent="0.2">
      <c r="A145" s="54"/>
      <c r="B145" s="217" t="s">
        <v>180</v>
      </c>
      <c r="C145" s="218"/>
      <c r="D145" s="51" t="s">
        <v>171</v>
      </c>
      <c r="E145" s="65"/>
      <c r="F145" s="54"/>
      <c r="G145" s="54"/>
      <c r="J145" s="45"/>
    </row>
    <row r="146" spans="1:10" x14ac:dyDescent="0.2">
      <c r="A146" s="54"/>
      <c r="B146" s="217" t="s">
        <v>181</v>
      </c>
      <c r="C146" s="218"/>
      <c r="D146" s="51" t="s">
        <v>171</v>
      </c>
      <c r="E146" s="65"/>
      <c r="F146" s="54"/>
      <c r="G146" s="54"/>
      <c r="J146" s="45"/>
    </row>
    <row r="147" spans="1:10" x14ac:dyDescent="0.2">
      <c r="A147" s="54"/>
      <c r="B147" s="217" t="s">
        <v>182</v>
      </c>
      <c r="C147" s="218"/>
      <c r="D147" s="51" t="s">
        <v>171</v>
      </c>
      <c r="E147" s="65"/>
      <c r="F147" s="54"/>
      <c r="G147" s="54"/>
      <c r="J147" s="45"/>
    </row>
    <row r="148" spans="1:10" x14ac:dyDescent="0.2">
      <c r="A148" s="54"/>
      <c r="B148" s="217" t="s">
        <v>183</v>
      </c>
      <c r="C148" s="218"/>
      <c r="D148" s="66">
        <v>0.38790251514135732</v>
      </c>
      <c r="E148" s="54"/>
      <c r="F148" s="44"/>
      <c r="G148" s="64"/>
      <c r="J148" s="45"/>
    </row>
    <row r="149" spans="1:10" x14ac:dyDescent="0.2">
      <c r="J149" s="45"/>
    </row>
    <row r="150" spans="1:10" x14ac:dyDescent="0.2">
      <c r="B150" s="219" t="s">
        <v>888</v>
      </c>
      <c r="C150" s="219"/>
    </row>
    <row r="152" spans="1:10" ht="153.75" customHeight="1" x14ac:dyDescent="0.2"/>
    <row r="155" spans="1:10" x14ac:dyDescent="0.2">
      <c r="B155" s="67" t="s">
        <v>889</v>
      </c>
      <c r="C155" s="68"/>
      <c r="D155" s="67"/>
    </row>
    <row r="156" spans="1:10" x14ac:dyDescent="0.2">
      <c r="B156" s="67" t="s">
        <v>890</v>
      </c>
      <c r="D156" s="67"/>
    </row>
    <row r="157" spans="1:10" ht="165" customHeight="1" x14ac:dyDescent="0.2"/>
    <row r="159" spans="1:10" x14ac:dyDescent="0.2">
      <c r="J159" s="24"/>
    </row>
    <row r="160" spans="1:10" x14ac:dyDescent="0.2">
      <c r="J160" s="24"/>
    </row>
    <row r="161" spans="10:10" x14ac:dyDescent="0.2">
      <c r="J161" s="24"/>
    </row>
  </sheetData>
  <mergeCells count="18">
    <mergeCell ref="B134:C134"/>
    <mergeCell ref="B135:C135"/>
    <mergeCell ref="B150:C150"/>
    <mergeCell ref="B143:C143"/>
    <mergeCell ref="B147:C147"/>
    <mergeCell ref="B148:C148"/>
    <mergeCell ref="B145:C145"/>
    <mergeCell ref="B146:C146"/>
    <mergeCell ref="B128:H128"/>
    <mergeCell ref="B129:H129"/>
    <mergeCell ref="B130:H130"/>
    <mergeCell ref="B132:D132"/>
    <mergeCell ref="B133:C133"/>
    <mergeCell ref="A1:H1"/>
    <mergeCell ref="A2:H2"/>
    <mergeCell ref="A3:H3"/>
    <mergeCell ref="B126:H126"/>
    <mergeCell ref="B127:H127"/>
  </mergeCells>
  <hyperlinks>
    <hyperlink ref="I1" location="Index!B2" display="Index" xr:uid="{CAB37DE3-8550-44BE-8BD3-3092E62828A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DF50-0EA4-47D1-94F1-066A57FD9207}">
  <sheetPr>
    <outlinePr summaryBelow="0" summaryRight="0"/>
  </sheetPr>
  <dimension ref="A1:Q103"/>
  <sheetViews>
    <sheetView showGridLines="0" workbookViewId="0">
      <selection activeCell="M12" sqref="M12"/>
    </sheetView>
  </sheetViews>
  <sheetFormatPr defaultRowHeight="12.75" x14ac:dyDescent="0.2"/>
  <cols>
    <col min="1" max="1" width="5.85546875" bestFit="1" customWidth="1"/>
    <col min="2" max="2" width="21.140625" customWidth="1"/>
    <col min="3" max="3" width="34.7109375" customWidth="1"/>
    <col min="4" max="4" width="15.7109375" customWidth="1"/>
    <col min="5" max="5" width="12.42578125" bestFit="1" customWidth="1"/>
    <col min="6" max="6" width="10.140625" bestFit="1" customWidth="1"/>
    <col min="7" max="7" width="14" bestFit="1" customWidth="1"/>
    <col min="8" max="8" width="8.42578125" bestFit="1" customWidth="1"/>
    <col min="9" max="9" width="5.7109375" bestFit="1"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209" t="s">
        <v>0</v>
      </c>
      <c r="B1" s="209"/>
      <c r="C1" s="209"/>
      <c r="D1" s="209"/>
      <c r="E1" s="209"/>
      <c r="F1" s="209"/>
      <c r="G1" s="209"/>
      <c r="H1" s="209"/>
      <c r="I1" s="7" t="s">
        <v>878</v>
      </c>
    </row>
    <row r="2" spans="1:9" ht="15" x14ac:dyDescent="0.2">
      <c r="A2" s="209" t="s">
        <v>1069</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ht="25.5" x14ac:dyDescent="0.2">
      <c r="A6" s="25"/>
      <c r="B6" s="25"/>
      <c r="C6" s="26" t="s">
        <v>10</v>
      </c>
      <c r="D6" s="25"/>
      <c r="E6" s="25"/>
      <c r="F6" s="25"/>
      <c r="G6" s="25"/>
      <c r="H6" s="27" t="s">
        <v>142</v>
      </c>
    </row>
    <row r="7" spans="1:9" x14ac:dyDescent="0.2">
      <c r="A7" s="25"/>
      <c r="B7" s="25"/>
      <c r="C7" s="26" t="s">
        <v>141</v>
      </c>
      <c r="D7" s="25"/>
      <c r="E7" s="25" t="s">
        <v>142</v>
      </c>
      <c r="F7" s="37" t="s">
        <v>144</v>
      </c>
      <c r="G7" s="34">
        <v>0</v>
      </c>
      <c r="H7" s="27" t="s">
        <v>142</v>
      </c>
    </row>
    <row r="8" spans="1:9" x14ac:dyDescent="0.2">
      <c r="A8" s="25"/>
      <c r="B8" s="25"/>
      <c r="C8" s="35"/>
      <c r="D8" s="25"/>
      <c r="E8" s="25"/>
      <c r="F8" s="36"/>
      <c r="G8" s="36"/>
      <c r="H8" s="27" t="s">
        <v>142</v>
      </c>
    </row>
    <row r="9" spans="1:9" x14ac:dyDescent="0.2">
      <c r="A9" s="25"/>
      <c r="B9" s="25"/>
      <c r="C9" s="26" t="s">
        <v>143</v>
      </c>
      <c r="D9" s="25"/>
      <c r="E9" s="25"/>
      <c r="F9" s="25"/>
      <c r="G9" s="25"/>
      <c r="H9" s="27" t="s">
        <v>142</v>
      </c>
    </row>
    <row r="10" spans="1:9" x14ac:dyDescent="0.2">
      <c r="A10" s="25"/>
      <c r="B10" s="25"/>
      <c r="C10" s="26" t="s">
        <v>141</v>
      </c>
      <c r="D10" s="25"/>
      <c r="E10" s="25" t="s">
        <v>142</v>
      </c>
      <c r="F10" s="37" t="s">
        <v>144</v>
      </c>
      <c r="G10" s="34">
        <v>0</v>
      </c>
      <c r="H10" s="27" t="s">
        <v>142</v>
      </c>
    </row>
    <row r="11" spans="1:9" x14ac:dyDescent="0.2">
      <c r="A11" s="25"/>
      <c r="B11" s="25"/>
      <c r="C11" s="35"/>
      <c r="D11" s="25"/>
      <c r="E11" s="25"/>
      <c r="F11" s="36"/>
      <c r="G11" s="36"/>
      <c r="H11" s="27" t="s">
        <v>142</v>
      </c>
    </row>
    <row r="12" spans="1:9" x14ac:dyDescent="0.2">
      <c r="A12" s="25"/>
      <c r="B12" s="25"/>
      <c r="C12" s="26" t="s">
        <v>145</v>
      </c>
      <c r="D12" s="25"/>
      <c r="E12" s="25"/>
      <c r="F12" s="25"/>
      <c r="G12" s="25"/>
      <c r="H12" s="27" t="s">
        <v>142</v>
      </c>
    </row>
    <row r="13" spans="1:9" x14ac:dyDescent="0.2">
      <c r="A13" s="25"/>
      <c r="B13" s="25"/>
      <c r="C13" s="26" t="s">
        <v>141</v>
      </c>
      <c r="D13" s="25"/>
      <c r="E13" s="25" t="s">
        <v>142</v>
      </c>
      <c r="F13" s="37" t="s">
        <v>144</v>
      </c>
      <c r="G13" s="34">
        <v>0</v>
      </c>
      <c r="H13" s="27" t="s">
        <v>142</v>
      </c>
    </row>
    <row r="14" spans="1:9" x14ac:dyDescent="0.2">
      <c r="A14" s="25"/>
      <c r="B14" s="25"/>
      <c r="C14" s="35"/>
      <c r="D14" s="25"/>
      <c r="E14" s="25"/>
      <c r="F14" s="36"/>
      <c r="G14" s="36"/>
      <c r="H14" s="27" t="s">
        <v>142</v>
      </c>
    </row>
    <row r="15" spans="1:9" x14ac:dyDescent="0.2">
      <c r="A15" s="25"/>
      <c r="B15" s="25"/>
      <c r="C15" s="26" t="s">
        <v>146</v>
      </c>
      <c r="D15" s="25"/>
      <c r="E15" s="25"/>
      <c r="F15" s="25"/>
      <c r="G15" s="25"/>
      <c r="H15" s="27" t="s">
        <v>142</v>
      </c>
    </row>
    <row r="16" spans="1:9" x14ac:dyDescent="0.2">
      <c r="A16" s="25"/>
      <c r="B16" s="25"/>
      <c r="C16" s="26" t="s">
        <v>141</v>
      </c>
      <c r="D16" s="25"/>
      <c r="E16" s="25" t="s">
        <v>142</v>
      </c>
      <c r="F16" s="37" t="s">
        <v>144</v>
      </c>
      <c r="G16" s="34">
        <v>0</v>
      </c>
      <c r="H16" s="27" t="s">
        <v>142</v>
      </c>
    </row>
    <row r="17" spans="1:8" x14ac:dyDescent="0.2">
      <c r="A17" s="25"/>
      <c r="B17" s="25"/>
      <c r="C17" s="35"/>
      <c r="D17" s="25"/>
      <c r="E17" s="25"/>
      <c r="F17" s="36"/>
      <c r="G17" s="36"/>
      <c r="H17" s="27" t="s">
        <v>142</v>
      </c>
    </row>
    <row r="18" spans="1:8" x14ac:dyDescent="0.2">
      <c r="A18" s="25"/>
      <c r="B18" s="25"/>
      <c r="C18" s="26" t="s">
        <v>147</v>
      </c>
      <c r="D18" s="25"/>
      <c r="E18" s="25"/>
      <c r="F18" s="36"/>
      <c r="G18" s="36"/>
      <c r="H18" s="27" t="s">
        <v>142</v>
      </c>
    </row>
    <row r="19" spans="1:8" x14ac:dyDescent="0.2">
      <c r="A19" s="25"/>
      <c r="B19" s="25"/>
      <c r="C19" s="26" t="s">
        <v>141</v>
      </c>
      <c r="D19" s="25"/>
      <c r="E19" s="25" t="s">
        <v>142</v>
      </c>
      <c r="F19" s="37" t="s">
        <v>144</v>
      </c>
      <c r="G19" s="34">
        <v>0</v>
      </c>
      <c r="H19" s="27" t="s">
        <v>142</v>
      </c>
    </row>
    <row r="20" spans="1:8" x14ac:dyDescent="0.2">
      <c r="A20" s="25"/>
      <c r="B20" s="25"/>
      <c r="C20" s="35"/>
      <c r="D20" s="25"/>
      <c r="E20" s="25"/>
      <c r="F20" s="36"/>
      <c r="G20" s="36"/>
      <c r="H20" s="27" t="s">
        <v>142</v>
      </c>
    </row>
    <row r="21" spans="1:8" x14ac:dyDescent="0.2">
      <c r="A21" s="25"/>
      <c r="B21" s="25"/>
      <c r="C21" s="26" t="s">
        <v>148</v>
      </c>
      <c r="D21" s="25"/>
      <c r="E21" s="25"/>
      <c r="F21" s="36"/>
      <c r="G21" s="36"/>
      <c r="H21" s="27" t="s">
        <v>142</v>
      </c>
    </row>
    <row r="22" spans="1:8" x14ac:dyDescent="0.2">
      <c r="A22" s="25"/>
      <c r="B22" s="25"/>
      <c r="C22" s="26" t="s">
        <v>141</v>
      </c>
      <c r="D22" s="25"/>
      <c r="E22" s="25" t="s">
        <v>142</v>
      </c>
      <c r="F22" s="37" t="s">
        <v>144</v>
      </c>
      <c r="G22" s="34">
        <v>0</v>
      </c>
      <c r="H22" s="27" t="s">
        <v>142</v>
      </c>
    </row>
    <row r="23" spans="1:8" x14ac:dyDescent="0.2">
      <c r="A23" s="25"/>
      <c r="B23" s="25"/>
      <c r="C23" s="35"/>
      <c r="D23" s="25"/>
      <c r="E23" s="25"/>
      <c r="F23" s="36"/>
      <c r="G23" s="36"/>
      <c r="H23" s="27" t="s">
        <v>142</v>
      </c>
    </row>
    <row r="24" spans="1:8" x14ac:dyDescent="0.2">
      <c r="A24" s="25"/>
      <c r="B24" s="25"/>
      <c r="C24" s="26" t="s">
        <v>149</v>
      </c>
      <c r="D24" s="25"/>
      <c r="E24" s="25"/>
      <c r="F24" s="33">
        <v>0</v>
      </c>
      <c r="G24" s="34">
        <v>0</v>
      </c>
      <c r="H24" s="27" t="s">
        <v>142</v>
      </c>
    </row>
    <row r="25" spans="1:8" x14ac:dyDescent="0.2">
      <c r="A25" s="25"/>
      <c r="B25" s="25"/>
      <c r="C25" s="35"/>
      <c r="D25" s="25"/>
      <c r="E25" s="25"/>
      <c r="F25" s="36"/>
      <c r="G25" s="36"/>
      <c r="H25" s="27" t="s">
        <v>142</v>
      </c>
    </row>
    <row r="26" spans="1:8" x14ac:dyDescent="0.2">
      <c r="A26" s="25"/>
      <c r="B26" s="25"/>
      <c r="C26" s="26" t="s">
        <v>150</v>
      </c>
      <c r="D26" s="25"/>
      <c r="E26" s="25"/>
      <c r="F26" s="36"/>
      <c r="G26" s="36"/>
      <c r="H26" s="27" t="s">
        <v>142</v>
      </c>
    </row>
    <row r="27" spans="1:8" ht="25.5" x14ac:dyDescent="0.2">
      <c r="A27" s="25"/>
      <c r="B27" s="25"/>
      <c r="C27" s="26" t="s">
        <v>10</v>
      </c>
      <c r="D27" s="25"/>
      <c r="E27" s="25"/>
      <c r="F27" s="36"/>
      <c r="G27" s="36"/>
      <c r="H27" s="27" t="s">
        <v>142</v>
      </c>
    </row>
    <row r="28" spans="1:8" x14ac:dyDescent="0.2">
      <c r="A28" s="25"/>
      <c r="B28" s="25"/>
      <c r="C28" s="26" t="s">
        <v>141</v>
      </c>
      <c r="D28" s="25"/>
      <c r="E28" s="25" t="s">
        <v>142</v>
      </c>
      <c r="F28" s="37" t="s">
        <v>144</v>
      </c>
      <c r="G28" s="34">
        <v>0</v>
      </c>
      <c r="H28" s="27" t="s">
        <v>142</v>
      </c>
    </row>
    <row r="29" spans="1:8" x14ac:dyDescent="0.2">
      <c r="A29" s="25"/>
      <c r="B29" s="25"/>
      <c r="C29" s="35"/>
      <c r="D29" s="25"/>
      <c r="E29" s="25"/>
      <c r="F29" s="36"/>
      <c r="G29" s="36"/>
      <c r="H29" s="27" t="s">
        <v>142</v>
      </c>
    </row>
    <row r="30" spans="1:8" x14ac:dyDescent="0.2">
      <c r="A30" s="25"/>
      <c r="B30" s="25"/>
      <c r="C30" s="26" t="s">
        <v>151</v>
      </c>
      <c r="D30" s="25"/>
      <c r="E30" s="25"/>
      <c r="F30" s="25"/>
      <c r="G30" s="25"/>
      <c r="H30" s="27" t="s">
        <v>142</v>
      </c>
    </row>
    <row r="31" spans="1:8" x14ac:dyDescent="0.2">
      <c r="A31" s="25"/>
      <c r="B31" s="25"/>
      <c r="C31" s="26" t="s">
        <v>141</v>
      </c>
      <c r="D31" s="25"/>
      <c r="E31" s="25" t="s">
        <v>142</v>
      </c>
      <c r="F31" s="37" t="s">
        <v>144</v>
      </c>
      <c r="G31" s="34">
        <v>0</v>
      </c>
      <c r="H31" s="27" t="s">
        <v>142</v>
      </c>
    </row>
    <row r="32" spans="1:8" x14ac:dyDescent="0.2">
      <c r="A32" s="25"/>
      <c r="B32" s="25"/>
      <c r="C32" s="35"/>
      <c r="D32" s="25"/>
      <c r="E32" s="25"/>
      <c r="F32" s="36"/>
      <c r="G32" s="36"/>
      <c r="H32" s="27" t="s">
        <v>142</v>
      </c>
    </row>
    <row r="33" spans="1:8" x14ac:dyDescent="0.2">
      <c r="A33" s="25"/>
      <c r="B33" s="25"/>
      <c r="C33" s="26" t="s">
        <v>152</v>
      </c>
      <c r="D33" s="25"/>
      <c r="E33" s="25"/>
      <c r="F33" s="25"/>
      <c r="G33" s="25"/>
      <c r="H33" s="27" t="s">
        <v>142</v>
      </c>
    </row>
    <row r="34" spans="1:8" x14ac:dyDescent="0.2">
      <c r="A34" s="25"/>
      <c r="B34" s="25"/>
      <c r="C34" s="26" t="s">
        <v>141</v>
      </c>
      <c r="D34" s="25"/>
      <c r="E34" s="25" t="s">
        <v>142</v>
      </c>
      <c r="F34" s="37" t="s">
        <v>144</v>
      </c>
      <c r="G34" s="34">
        <v>0</v>
      </c>
      <c r="H34" s="27" t="s">
        <v>142</v>
      </c>
    </row>
    <row r="35" spans="1:8" x14ac:dyDescent="0.2">
      <c r="A35" s="25"/>
      <c r="B35" s="25"/>
      <c r="C35" s="35"/>
      <c r="D35" s="25"/>
      <c r="E35" s="25"/>
      <c r="F35" s="36"/>
      <c r="G35" s="36"/>
      <c r="H35" s="27" t="s">
        <v>142</v>
      </c>
    </row>
    <row r="36" spans="1:8" x14ac:dyDescent="0.2">
      <c r="A36" s="25"/>
      <c r="B36" s="25"/>
      <c r="C36" s="26" t="s">
        <v>153</v>
      </c>
      <c r="D36" s="25"/>
      <c r="E36" s="25"/>
      <c r="F36" s="36"/>
      <c r="G36" s="36"/>
      <c r="H36" s="27" t="s">
        <v>142</v>
      </c>
    </row>
    <row r="37" spans="1:8" x14ac:dyDescent="0.2">
      <c r="A37" s="25"/>
      <c r="B37" s="25"/>
      <c r="C37" s="26" t="s">
        <v>141</v>
      </c>
      <c r="D37" s="25"/>
      <c r="E37" s="25" t="s">
        <v>142</v>
      </c>
      <c r="F37" s="37" t="s">
        <v>144</v>
      </c>
      <c r="G37" s="34">
        <v>0</v>
      </c>
      <c r="H37" s="27" t="s">
        <v>142</v>
      </c>
    </row>
    <row r="38" spans="1:8" x14ac:dyDescent="0.2">
      <c r="A38" s="25"/>
      <c r="B38" s="25"/>
      <c r="C38" s="35"/>
      <c r="D38" s="25"/>
      <c r="E38" s="25"/>
      <c r="F38" s="36"/>
      <c r="G38" s="36"/>
      <c r="H38" s="27" t="s">
        <v>142</v>
      </c>
    </row>
    <row r="39" spans="1:8" x14ac:dyDescent="0.2">
      <c r="A39" s="25"/>
      <c r="B39" s="25"/>
      <c r="C39" s="26" t="s">
        <v>154</v>
      </c>
      <c r="D39" s="25"/>
      <c r="E39" s="25"/>
      <c r="F39" s="33">
        <v>0</v>
      </c>
      <c r="G39" s="34">
        <v>0</v>
      </c>
      <c r="H39" s="27" t="s">
        <v>142</v>
      </c>
    </row>
    <row r="40" spans="1:8" x14ac:dyDescent="0.2">
      <c r="A40" s="25"/>
      <c r="B40" s="25"/>
      <c r="C40" s="35"/>
      <c r="D40" s="25"/>
      <c r="E40" s="25"/>
      <c r="F40" s="36"/>
      <c r="G40" s="36"/>
      <c r="H40" s="27" t="s">
        <v>142</v>
      </c>
    </row>
    <row r="41" spans="1:8" x14ac:dyDescent="0.2">
      <c r="A41" s="25"/>
      <c r="B41" s="25"/>
      <c r="C41" s="26" t="s">
        <v>155</v>
      </c>
      <c r="D41" s="25"/>
      <c r="E41" s="25"/>
      <c r="F41" s="36"/>
      <c r="G41" s="36"/>
      <c r="H41" s="27" t="s">
        <v>142</v>
      </c>
    </row>
    <row r="42" spans="1:8" x14ac:dyDescent="0.2">
      <c r="A42" s="25"/>
      <c r="B42" s="25"/>
      <c r="C42" s="26" t="s">
        <v>156</v>
      </c>
      <c r="D42" s="25"/>
      <c r="E42" s="25"/>
      <c r="F42" s="36"/>
      <c r="G42" s="36"/>
      <c r="H42" s="27" t="s">
        <v>142</v>
      </c>
    </row>
    <row r="43" spans="1:8" x14ac:dyDescent="0.2">
      <c r="A43" s="25"/>
      <c r="B43" s="25"/>
      <c r="C43" s="26" t="s">
        <v>141</v>
      </c>
      <c r="D43" s="25"/>
      <c r="E43" s="25" t="s">
        <v>142</v>
      </c>
      <c r="F43" s="37" t="s">
        <v>144</v>
      </c>
      <c r="G43" s="34">
        <v>0</v>
      </c>
      <c r="H43" s="27" t="s">
        <v>142</v>
      </c>
    </row>
    <row r="44" spans="1:8" x14ac:dyDescent="0.2">
      <c r="A44" s="25"/>
      <c r="B44" s="25"/>
      <c r="C44" s="35"/>
      <c r="D44" s="25"/>
      <c r="E44" s="25"/>
      <c r="F44" s="36"/>
      <c r="G44" s="36"/>
      <c r="H44" s="27" t="s">
        <v>142</v>
      </c>
    </row>
    <row r="45" spans="1:8" x14ac:dyDescent="0.2">
      <c r="A45" s="25"/>
      <c r="B45" s="25"/>
      <c r="C45" s="26" t="s">
        <v>157</v>
      </c>
      <c r="D45" s="25"/>
      <c r="E45" s="25"/>
      <c r="F45" s="36"/>
      <c r="G45" s="36"/>
      <c r="H45" s="27" t="s">
        <v>142</v>
      </c>
    </row>
    <row r="46" spans="1:8" x14ac:dyDescent="0.2">
      <c r="A46" s="25"/>
      <c r="B46" s="25"/>
      <c r="C46" s="26" t="s">
        <v>141</v>
      </c>
      <c r="D46" s="25"/>
      <c r="E46" s="25" t="s">
        <v>142</v>
      </c>
      <c r="F46" s="37" t="s">
        <v>144</v>
      </c>
      <c r="G46" s="34">
        <v>0</v>
      </c>
      <c r="H46" s="27" t="s">
        <v>142</v>
      </c>
    </row>
    <row r="47" spans="1:8" x14ac:dyDescent="0.2">
      <c r="A47" s="25"/>
      <c r="B47" s="25"/>
      <c r="C47" s="35"/>
      <c r="D47" s="25"/>
      <c r="E47" s="25"/>
      <c r="F47" s="36"/>
      <c r="G47" s="36"/>
      <c r="H47" s="27" t="s">
        <v>142</v>
      </c>
    </row>
    <row r="48" spans="1:8" x14ac:dyDescent="0.2">
      <c r="A48" s="25"/>
      <c r="B48" s="25"/>
      <c r="C48" s="26" t="s">
        <v>158</v>
      </c>
      <c r="D48" s="25"/>
      <c r="E48" s="25"/>
      <c r="F48" s="36"/>
      <c r="G48" s="36"/>
      <c r="H48" s="27" t="s">
        <v>142</v>
      </c>
    </row>
    <row r="49" spans="1:8" x14ac:dyDescent="0.2">
      <c r="A49" s="25"/>
      <c r="B49" s="25"/>
      <c r="C49" s="26" t="s">
        <v>141</v>
      </c>
      <c r="D49" s="25"/>
      <c r="E49" s="25" t="s">
        <v>142</v>
      </c>
      <c r="F49" s="37" t="s">
        <v>144</v>
      </c>
      <c r="G49" s="34">
        <v>0</v>
      </c>
      <c r="H49" s="27" t="s">
        <v>142</v>
      </c>
    </row>
    <row r="50" spans="1:8" x14ac:dyDescent="0.2">
      <c r="A50" s="25"/>
      <c r="B50" s="25"/>
      <c r="C50" s="35"/>
      <c r="D50" s="25"/>
      <c r="E50" s="25"/>
      <c r="F50" s="36"/>
      <c r="G50" s="36"/>
      <c r="H50" s="27" t="s">
        <v>142</v>
      </c>
    </row>
    <row r="51" spans="1:8" x14ac:dyDescent="0.2">
      <c r="A51" s="25"/>
      <c r="B51" s="25"/>
      <c r="C51" s="26" t="s">
        <v>159</v>
      </c>
      <c r="D51" s="25"/>
      <c r="E51" s="25"/>
      <c r="F51" s="36"/>
      <c r="G51" s="36"/>
      <c r="H51" s="27" t="s">
        <v>142</v>
      </c>
    </row>
    <row r="52" spans="1:8" x14ac:dyDescent="0.2">
      <c r="A52" s="28">
        <v>1</v>
      </c>
      <c r="B52" s="29"/>
      <c r="C52" s="29" t="s">
        <v>160</v>
      </c>
      <c r="D52" s="29"/>
      <c r="E52" s="39"/>
      <c r="F52" s="31">
        <v>562.03480469800002</v>
      </c>
      <c r="G52" s="32">
        <v>4.7764149999999998E-2</v>
      </c>
      <c r="H52" s="27">
        <v>5.76</v>
      </c>
    </row>
    <row r="53" spans="1:8" x14ac:dyDescent="0.2">
      <c r="A53" s="25"/>
      <c r="B53" s="25"/>
      <c r="C53" s="26" t="s">
        <v>141</v>
      </c>
      <c r="D53" s="25"/>
      <c r="E53" s="25" t="s">
        <v>142</v>
      </c>
      <c r="F53" s="33">
        <v>562.03480469800002</v>
      </c>
      <c r="G53" s="34">
        <v>4.7764149999999998E-2</v>
      </c>
      <c r="H53" s="27" t="s">
        <v>142</v>
      </c>
    </row>
    <row r="54" spans="1:8" x14ac:dyDescent="0.2">
      <c r="A54" s="25"/>
      <c r="B54" s="25"/>
      <c r="C54" s="35"/>
      <c r="D54" s="25"/>
      <c r="E54" s="25"/>
      <c r="F54" s="36"/>
      <c r="G54" s="36"/>
      <c r="H54" s="27" t="s">
        <v>142</v>
      </c>
    </row>
    <row r="55" spans="1:8" x14ac:dyDescent="0.2">
      <c r="A55" s="25"/>
      <c r="B55" s="25"/>
      <c r="C55" s="26" t="s">
        <v>161</v>
      </c>
      <c r="D55" s="25"/>
      <c r="E55" s="25"/>
      <c r="F55" s="33">
        <v>562.03480469800002</v>
      </c>
      <c r="G55" s="34">
        <v>4.7764149999999998E-2</v>
      </c>
      <c r="H55" s="27" t="s">
        <v>142</v>
      </c>
    </row>
    <row r="56" spans="1:8" x14ac:dyDescent="0.2">
      <c r="A56" s="25"/>
      <c r="B56" s="25"/>
      <c r="C56" s="36"/>
      <c r="D56" s="25"/>
      <c r="E56" s="25"/>
      <c r="F56" s="25"/>
      <c r="G56" s="25"/>
      <c r="H56" s="27" t="s">
        <v>142</v>
      </c>
    </row>
    <row r="57" spans="1:8" x14ac:dyDescent="0.2">
      <c r="A57" s="25"/>
      <c r="B57" s="25"/>
      <c r="C57" s="26" t="s">
        <v>162</v>
      </c>
      <c r="D57" s="25"/>
      <c r="E57" s="25"/>
      <c r="F57" s="25"/>
      <c r="G57" s="25"/>
      <c r="H57" s="27" t="s">
        <v>142</v>
      </c>
    </row>
    <row r="58" spans="1:8" ht="25.5" x14ac:dyDescent="0.2">
      <c r="A58" s="25"/>
      <c r="B58" s="25"/>
      <c r="C58" s="51" t="s">
        <v>1072</v>
      </c>
      <c r="D58" s="25"/>
      <c r="E58" s="25"/>
      <c r="F58" s="25"/>
      <c r="G58" s="25"/>
      <c r="H58" s="27" t="s">
        <v>142</v>
      </c>
    </row>
    <row r="59" spans="1:8" ht="25.5" x14ac:dyDescent="0.2">
      <c r="A59" s="28">
        <v>1</v>
      </c>
      <c r="B59" s="29" t="s">
        <v>1070</v>
      </c>
      <c r="C59" s="29" t="s">
        <v>1071</v>
      </c>
      <c r="D59" s="29"/>
      <c r="E59" s="69">
        <v>8283224.3490000004</v>
      </c>
      <c r="F59" s="31">
        <v>11257.705528717001</v>
      </c>
      <c r="G59" s="32">
        <v>0.95672853999999996</v>
      </c>
      <c r="H59" s="27" t="s">
        <v>142</v>
      </c>
    </row>
    <row r="60" spans="1:8" x14ac:dyDescent="0.2">
      <c r="A60" s="25"/>
      <c r="B60" s="25"/>
      <c r="C60" s="26" t="s">
        <v>141</v>
      </c>
      <c r="D60" s="25"/>
      <c r="E60" s="25" t="s">
        <v>142</v>
      </c>
      <c r="F60" s="33">
        <v>11257.705528717001</v>
      </c>
      <c r="G60" s="34">
        <v>0.95672853999999996</v>
      </c>
      <c r="H60" s="27" t="s">
        <v>142</v>
      </c>
    </row>
    <row r="61" spans="1:8" x14ac:dyDescent="0.2">
      <c r="A61" s="25"/>
      <c r="B61" s="25"/>
      <c r="C61" s="35"/>
      <c r="D61" s="25"/>
      <c r="E61" s="25"/>
      <c r="F61" s="36"/>
      <c r="G61" s="36"/>
      <c r="H61" s="27" t="s">
        <v>142</v>
      </c>
    </row>
    <row r="62" spans="1:8" x14ac:dyDescent="0.2">
      <c r="A62" s="25"/>
      <c r="B62" s="25"/>
      <c r="C62" s="26" t="s">
        <v>164</v>
      </c>
      <c r="D62" s="25"/>
      <c r="E62" s="25"/>
      <c r="F62" s="25"/>
      <c r="G62" s="25"/>
      <c r="H62" s="27" t="s">
        <v>142</v>
      </c>
    </row>
    <row r="63" spans="1:8" x14ac:dyDescent="0.2">
      <c r="A63" s="25"/>
      <c r="B63" s="25"/>
      <c r="C63" s="26" t="s">
        <v>165</v>
      </c>
      <c r="D63" s="25"/>
      <c r="E63" s="25"/>
      <c r="F63" s="25"/>
      <c r="G63" s="25"/>
      <c r="H63" s="27" t="s">
        <v>142</v>
      </c>
    </row>
    <row r="64" spans="1:8" x14ac:dyDescent="0.2">
      <c r="A64" s="25"/>
      <c r="B64" s="25"/>
      <c r="C64" s="26" t="s">
        <v>141</v>
      </c>
      <c r="D64" s="25"/>
      <c r="E64" s="25" t="s">
        <v>142</v>
      </c>
      <c r="F64" s="37" t="s">
        <v>144</v>
      </c>
      <c r="G64" s="34">
        <v>0</v>
      </c>
      <c r="H64" s="27" t="s">
        <v>142</v>
      </c>
    </row>
    <row r="65" spans="1:17" x14ac:dyDescent="0.2">
      <c r="A65" s="25"/>
      <c r="B65" s="25"/>
      <c r="C65" s="35"/>
      <c r="D65" s="25"/>
      <c r="E65" s="25"/>
      <c r="F65" s="36"/>
      <c r="G65" s="36"/>
      <c r="H65" s="27" t="s">
        <v>142</v>
      </c>
    </row>
    <row r="66" spans="1:17" ht="25.5" x14ac:dyDescent="0.2">
      <c r="A66" s="25"/>
      <c r="B66" s="25"/>
      <c r="C66" s="26" t="s">
        <v>166</v>
      </c>
      <c r="D66" s="25"/>
      <c r="E66" s="25"/>
      <c r="F66" s="36"/>
      <c r="G66" s="36"/>
      <c r="H66" s="27" t="s">
        <v>142</v>
      </c>
    </row>
    <row r="67" spans="1:17" x14ac:dyDescent="0.2">
      <c r="A67" s="25"/>
      <c r="B67" s="25"/>
      <c r="C67" s="26" t="s">
        <v>141</v>
      </c>
      <c r="D67" s="25"/>
      <c r="E67" s="25" t="s">
        <v>142</v>
      </c>
      <c r="F67" s="37" t="s">
        <v>144</v>
      </c>
      <c r="G67" s="34">
        <v>0</v>
      </c>
      <c r="H67" s="27" t="s">
        <v>142</v>
      </c>
    </row>
    <row r="68" spans="1:17" x14ac:dyDescent="0.2">
      <c r="A68" s="25"/>
      <c r="B68" s="25"/>
      <c r="C68" s="35"/>
      <c r="D68" s="25"/>
      <c r="E68" s="25"/>
      <c r="F68" s="36"/>
      <c r="G68" s="36"/>
      <c r="H68" s="27" t="s">
        <v>142</v>
      </c>
    </row>
    <row r="69" spans="1:17" x14ac:dyDescent="0.2">
      <c r="A69" s="39"/>
      <c r="B69" s="29"/>
      <c r="C69" s="29" t="s">
        <v>167</v>
      </c>
      <c r="D69" s="29"/>
      <c r="E69" s="39"/>
      <c r="F69" s="31">
        <v>-52.864881080000004</v>
      </c>
      <c r="G69" s="32">
        <v>-4.4926899999999997E-3</v>
      </c>
      <c r="H69" s="27" t="s">
        <v>142</v>
      </c>
    </row>
    <row r="70" spans="1:17" x14ac:dyDescent="0.2">
      <c r="A70" s="35"/>
      <c r="B70" s="35"/>
      <c r="C70" s="26" t="s">
        <v>168</v>
      </c>
      <c r="D70" s="36"/>
      <c r="E70" s="36"/>
      <c r="F70" s="33">
        <v>11766.875452335</v>
      </c>
      <c r="G70" s="40">
        <v>1</v>
      </c>
      <c r="H70" s="27" t="s">
        <v>142</v>
      </c>
    </row>
    <row r="71" spans="1:17" x14ac:dyDescent="0.2">
      <c r="A71" s="41"/>
      <c r="B71" s="41"/>
      <c r="C71" s="41"/>
      <c r="D71" s="42"/>
      <c r="E71" s="42"/>
      <c r="F71" s="42"/>
      <c r="G71" s="42"/>
    </row>
    <row r="72" spans="1:17" x14ac:dyDescent="0.2">
      <c r="A72" s="43"/>
      <c r="B72" s="210" t="s">
        <v>879</v>
      </c>
      <c r="C72" s="210"/>
      <c r="D72" s="210"/>
      <c r="E72" s="210"/>
      <c r="F72" s="210"/>
      <c r="G72" s="210"/>
      <c r="H72" s="210"/>
      <c r="J72" s="45"/>
    </row>
    <row r="73" spans="1:17" x14ac:dyDescent="0.2">
      <c r="A73" s="43"/>
      <c r="B73" s="210" t="s">
        <v>880</v>
      </c>
      <c r="C73" s="210"/>
      <c r="D73" s="210"/>
      <c r="E73" s="210"/>
      <c r="F73" s="210"/>
      <c r="G73" s="210"/>
      <c r="H73" s="210"/>
      <c r="J73" s="45"/>
    </row>
    <row r="74" spans="1:17" x14ac:dyDescent="0.2">
      <c r="A74" s="43"/>
      <c r="B74" s="210" t="s">
        <v>881</v>
      </c>
      <c r="C74" s="210"/>
      <c r="D74" s="210"/>
      <c r="E74" s="210"/>
      <c r="F74" s="210"/>
      <c r="G74" s="210"/>
      <c r="H74" s="210"/>
      <c r="J74" s="45"/>
    </row>
    <row r="75" spans="1:17" s="47" customFormat="1" ht="66.75" customHeight="1" x14ac:dyDescent="0.25">
      <c r="A75" s="46"/>
      <c r="B75" s="211" t="s">
        <v>882</v>
      </c>
      <c r="C75" s="211"/>
      <c r="D75" s="211"/>
      <c r="E75" s="211"/>
      <c r="F75" s="211"/>
      <c r="G75" s="211"/>
      <c r="H75" s="211"/>
      <c r="I75"/>
      <c r="J75" s="45"/>
      <c r="K75"/>
      <c r="L75"/>
      <c r="M75"/>
      <c r="N75"/>
      <c r="O75"/>
      <c r="P75"/>
      <c r="Q75"/>
    </row>
    <row r="76" spans="1:17" x14ac:dyDescent="0.2">
      <c r="A76" s="43"/>
      <c r="B76" s="210" t="s">
        <v>883</v>
      </c>
      <c r="C76" s="210"/>
      <c r="D76" s="210"/>
      <c r="E76" s="210"/>
      <c r="F76" s="210"/>
      <c r="G76" s="210"/>
      <c r="H76" s="210"/>
      <c r="J76" s="45"/>
    </row>
    <row r="77" spans="1:17" x14ac:dyDescent="0.2">
      <c r="A77" s="48"/>
      <c r="B77" s="48"/>
      <c r="C77" s="48"/>
      <c r="D77" s="49"/>
      <c r="E77" s="49"/>
      <c r="F77" s="49"/>
      <c r="G77" s="49"/>
    </row>
    <row r="78" spans="1:17" x14ac:dyDescent="0.2">
      <c r="A78" s="48"/>
      <c r="B78" s="212" t="s">
        <v>169</v>
      </c>
      <c r="C78" s="213"/>
      <c r="D78" s="214"/>
      <c r="E78" s="50"/>
      <c r="F78" s="49"/>
      <c r="G78" s="49"/>
    </row>
    <row r="79" spans="1:17" ht="27.75" customHeight="1" x14ac:dyDescent="0.2">
      <c r="A79" s="48"/>
      <c r="B79" s="215" t="s">
        <v>170</v>
      </c>
      <c r="C79" s="216"/>
      <c r="D79" s="26" t="s">
        <v>171</v>
      </c>
      <c r="E79" s="50"/>
      <c r="F79" s="49"/>
      <c r="G79" s="49"/>
    </row>
    <row r="80" spans="1:17" ht="12.75" customHeight="1" x14ac:dyDescent="0.2">
      <c r="A80" s="43"/>
      <c r="B80" s="217" t="s">
        <v>884</v>
      </c>
      <c r="C80" s="218"/>
      <c r="D80" s="26" t="s">
        <v>171</v>
      </c>
      <c r="E80" s="52"/>
      <c r="F80" s="53"/>
      <c r="G80" s="53"/>
    </row>
    <row r="81" spans="1:10" x14ac:dyDescent="0.2">
      <c r="A81" s="48"/>
      <c r="B81" s="215" t="s">
        <v>172</v>
      </c>
      <c r="C81" s="216"/>
      <c r="D81" s="36" t="s">
        <v>142</v>
      </c>
      <c r="E81" s="50"/>
      <c r="F81" s="49"/>
      <c r="G81" s="49"/>
    </row>
    <row r="82" spans="1:10" x14ac:dyDescent="0.2">
      <c r="A82" s="54"/>
      <c r="B82" s="55" t="s">
        <v>142</v>
      </c>
      <c r="C82" s="55" t="s">
        <v>885</v>
      </c>
      <c r="D82" s="55" t="s">
        <v>173</v>
      </c>
      <c r="E82" s="54"/>
      <c r="F82" s="54"/>
      <c r="G82" s="54"/>
      <c r="H82" s="54"/>
      <c r="J82" s="45"/>
    </row>
    <row r="83" spans="1:10" x14ac:dyDescent="0.2">
      <c r="A83" s="54"/>
      <c r="B83" s="56" t="s">
        <v>174</v>
      </c>
      <c r="C83" s="57">
        <v>45777</v>
      </c>
      <c r="D83" s="57">
        <v>45808</v>
      </c>
      <c r="E83" s="54"/>
      <c r="F83" s="54"/>
      <c r="G83" s="54"/>
      <c r="J83" s="45"/>
    </row>
    <row r="84" spans="1:10" x14ac:dyDescent="0.2">
      <c r="A84" s="58"/>
      <c r="B84" s="29" t="s">
        <v>175</v>
      </c>
      <c r="C84" s="59">
        <v>34.159700000000001</v>
      </c>
      <c r="D84" s="59">
        <v>36.368699999999997</v>
      </c>
      <c r="E84" s="58"/>
      <c r="F84" s="60"/>
      <c r="G84" s="61"/>
    </row>
    <row r="85" spans="1:10" x14ac:dyDescent="0.2">
      <c r="A85" s="58"/>
      <c r="B85" s="29" t="s">
        <v>176</v>
      </c>
      <c r="C85" s="59">
        <v>30.3796</v>
      </c>
      <c r="D85" s="59">
        <v>32.344099999999997</v>
      </c>
      <c r="E85" s="58"/>
      <c r="F85" s="60"/>
      <c r="G85" s="61"/>
    </row>
    <row r="86" spans="1:10" x14ac:dyDescent="0.2">
      <c r="A86" s="58"/>
      <c r="B86" s="29" t="s">
        <v>177</v>
      </c>
      <c r="C86" s="59">
        <v>31.255199999999999</v>
      </c>
      <c r="D86" s="59">
        <v>33.251199999999997</v>
      </c>
      <c r="E86" s="58"/>
      <c r="F86" s="60"/>
      <c r="G86" s="61"/>
    </row>
    <row r="87" spans="1:10" x14ac:dyDescent="0.2">
      <c r="A87" s="58"/>
      <c r="B87" s="29" t="s">
        <v>178</v>
      </c>
      <c r="C87" s="59">
        <v>26.783000000000001</v>
      </c>
      <c r="D87" s="59">
        <v>28.493400000000001</v>
      </c>
      <c r="E87" s="58"/>
      <c r="F87" s="60"/>
      <c r="G87" s="61"/>
    </row>
    <row r="88" spans="1:10" x14ac:dyDescent="0.2">
      <c r="A88" s="58"/>
      <c r="B88" s="58"/>
      <c r="C88" s="58"/>
      <c r="D88" s="58"/>
      <c r="E88" s="58"/>
      <c r="F88" s="58"/>
      <c r="G88" s="58"/>
    </row>
    <row r="89" spans="1:10" x14ac:dyDescent="0.2">
      <c r="A89" s="58"/>
      <c r="B89" s="215" t="s">
        <v>179</v>
      </c>
      <c r="C89" s="216"/>
      <c r="D89" s="51" t="s">
        <v>171</v>
      </c>
      <c r="E89" s="58"/>
      <c r="F89" s="58"/>
      <c r="G89" s="58"/>
    </row>
    <row r="90" spans="1:10" x14ac:dyDescent="0.2">
      <c r="A90" s="58"/>
      <c r="B90" s="70"/>
      <c r="C90" s="70"/>
      <c r="D90" s="70"/>
      <c r="E90" s="58"/>
      <c r="F90" s="58"/>
      <c r="G90" s="58"/>
    </row>
    <row r="91" spans="1:10" x14ac:dyDescent="0.2">
      <c r="A91" s="54"/>
      <c r="B91" s="217" t="s">
        <v>180</v>
      </c>
      <c r="C91" s="218"/>
      <c r="D91" s="51" t="s">
        <v>171</v>
      </c>
      <c r="E91" s="65"/>
      <c r="F91" s="54"/>
      <c r="G91" s="54"/>
      <c r="I91" s="138"/>
    </row>
    <row r="92" spans="1:10" x14ac:dyDescent="0.2">
      <c r="A92" s="54"/>
      <c r="B92" s="217" t="s">
        <v>181</v>
      </c>
      <c r="C92" s="218"/>
      <c r="D92" s="51" t="str">
        <f>"Rs. "&amp;TEXT(F60,"0,000.00")&amp;" Lacs"</f>
        <v>Rs. 11,257.71 Lacs</v>
      </c>
      <c r="E92" s="65"/>
      <c r="F92" s="54"/>
      <c r="G92" s="54"/>
      <c r="I92" s="138"/>
    </row>
    <row r="93" spans="1:10" x14ac:dyDescent="0.2">
      <c r="A93" s="54"/>
      <c r="B93" s="217" t="s">
        <v>182</v>
      </c>
      <c r="C93" s="218"/>
      <c r="D93" s="51" t="s">
        <v>171</v>
      </c>
      <c r="E93" s="65"/>
      <c r="F93" s="54"/>
      <c r="G93" s="54"/>
      <c r="I93" s="138"/>
    </row>
    <row r="94" spans="1:10" x14ac:dyDescent="0.2">
      <c r="A94" s="54"/>
      <c r="B94" s="217" t="s">
        <v>183</v>
      </c>
      <c r="C94" s="218"/>
      <c r="D94" s="66">
        <v>0</v>
      </c>
      <c r="E94" s="54"/>
      <c r="F94" s="44"/>
      <c r="G94" s="64"/>
      <c r="I94" s="138"/>
    </row>
    <row r="95" spans="1:10" x14ac:dyDescent="0.2">
      <c r="I95" s="138"/>
    </row>
    <row r="96" spans="1:10" x14ac:dyDescent="0.2">
      <c r="B96" s="219" t="s">
        <v>888</v>
      </c>
      <c r="C96" s="219"/>
    </row>
    <row r="98" spans="2:4" ht="153.75" customHeight="1" x14ac:dyDescent="0.2"/>
    <row r="101" spans="2:4" x14ac:dyDescent="0.2">
      <c r="B101" s="67" t="s">
        <v>889</v>
      </c>
      <c r="C101" s="68"/>
      <c r="D101" s="67"/>
    </row>
    <row r="102" spans="2:4" x14ac:dyDescent="0.2">
      <c r="B102" s="67" t="s">
        <v>1073</v>
      </c>
      <c r="D102" s="67"/>
    </row>
    <row r="103" spans="2:4" ht="165" customHeight="1" x14ac:dyDescent="0.2"/>
  </sheetData>
  <mergeCells count="18">
    <mergeCell ref="B80:C80"/>
    <mergeCell ref="B81:C81"/>
    <mergeCell ref="B96:C96"/>
    <mergeCell ref="B94:C94"/>
    <mergeCell ref="A1:H1"/>
    <mergeCell ref="A2:H2"/>
    <mergeCell ref="A3:H3"/>
    <mergeCell ref="B72:H72"/>
    <mergeCell ref="B73:H73"/>
    <mergeCell ref="B74:H74"/>
    <mergeCell ref="B75:H75"/>
    <mergeCell ref="B76:H76"/>
    <mergeCell ref="B89:C89"/>
    <mergeCell ref="B93:C93"/>
    <mergeCell ref="B91:C91"/>
    <mergeCell ref="B92:C92"/>
    <mergeCell ref="B78:D78"/>
    <mergeCell ref="B79:C79"/>
  </mergeCells>
  <hyperlinks>
    <hyperlink ref="I1" location="Index!B2" display="Index" xr:uid="{22378EC3-01A0-415D-B297-EF1656D2749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5811-E5F9-47E2-95E5-CD75A76B713F}">
  <sheetPr>
    <outlinePr summaryBelow="0" summaryRight="0"/>
  </sheetPr>
  <dimension ref="A1:Q174"/>
  <sheetViews>
    <sheetView showGridLines="0" workbookViewId="0">
      <selection activeCell="D153" sqref="D153"/>
    </sheetView>
  </sheetViews>
  <sheetFormatPr defaultRowHeight="12.75" x14ac:dyDescent="0.2"/>
  <cols>
    <col min="1" max="1" width="5.85546875" bestFit="1" customWidth="1"/>
    <col min="2" max="2" width="21.5703125" customWidth="1"/>
    <col min="3" max="3" width="40.140625" customWidth="1"/>
    <col min="4" max="4" width="18.85546875" customWidth="1"/>
    <col min="5" max="5" width="11.42578125" bestFit="1" customWidth="1"/>
    <col min="6" max="6" width="10.425781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184</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97</v>
      </c>
      <c r="C7" s="29" t="s">
        <v>98</v>
      </c>
      <c r="D7" s="29" t="s">
        <v>73</v>
      </c>
      <c r="E7" s="30">
        <v>1290127</v>
      </c>
      <c r="F7" s="31">
        <v>42162.640486999997</v>
      </c>
      <c r="G7" s="32">
        <v>3.4155030000000003E-2</v>
      </c>
      <c r="H7" s="27" t="s">
        <v>142</v>
      </c>
    </row>
    <row r="8" spans="1:9" ht="25.5" x14ac:dyDescent="0.2">
      <c r="A8" s="28">
        <v>2</v>
      </c>
      <c r="B8" s="29" t="s">
        <v>185</v>
      </c>
      <c r="C8" s="29" t="s">
        <v>186</v>
      </c>
      <c r="D8" s="29" t="s">
        <v>187</v>
      </c>
      <c r="E8" s="30">
        <v>1731853</v>
      </c>
      <c r="F8" s="31">
        <v>39649.042582000002</v>
      </c>
      <c r="G8" s="32">
        <v>3.2118819999999999E-2</v>
      </c>
      <c r="H8" s="27" t="s">
        <v>142</v>
      </c>
    </row>
    <row r="9" spans="1:9" x14ac:dyDescent="0.2">
      <c r="A9" s="28">
        <v>3</v>
      </c>
      <c r="B9" s="29" t="s">
        <v>188</v>
      </c>
      <c r="C9" s="29" t="s">
        <v>189</v>
      </c>
      <c r="D9" s="29" t="s">
        <v>28</v>
      </c>
      <c r="E9" s="30">
        <v>19247362</v>
      </c>
      <c r="F9" s="31">
        <v>38891.219657200003</v>
      </c>
      <c r="G9" s="32">
        <v>3.1504919999999999E-2</v>
      </c>
      <c r="H9" s="27" t="s">
        <v>142</v>
      </c>
    </row>
    <row r="10" spans="1:9" x14ac:dyDescent="0.2">
      <c r="A10" s="28">
        <v>4</v>
      </c>
      <c r="B10" s="29" t="s">
        <v>190</v>
      </c>
      <c r="C10" s="29" t="s">
        <v>191</v>
      </c>
      <c r="D10" s="29" t="s">
        <v>61</v>
      </c>
      <c r="E10" s="30">
        <v>6016821</v>
      </c>
      <c r="F10" s="31">
        <v>33718.264883999997</v>
      </c>
      <c r="G10" s="32">
        <v>2.7314419999999999E-2</v>
      </c>
      <c r="H10" s="27" t="s">
        <v>142</v>
      </c>
    </row>
    <row r="11" spans="1:9" ht="25.5" x14ac:dyDescent="0.2">
      <c r="A11" s="28">
        <v>5</v>
      </c>
      <c r="B11" s="29" t="s">
        <v>192</v>
      </c>
      <c r="C11" s="29" t="s">
        <v>193</v>
      </c>
      <c r="D11" s="29" t="s">
        <v>194</v>
      </c>
      <c r="E11" s="30">
        <v>1401952</v>
      </c>
      <c r="F11" s="31">
        <v>27446.014304</v>
      </c>
      <c r="G11" s="32">
        <v>2.2233409999999999E-2</v>
      </c>
      <c r="H11" s="27" t="s">
        <v>142</v>
      </c>
    </row>
    <row r="12" spans="1:9" x14ac:dyDescent="0.2">
      <c r="A12" s="28">
        <v>6</v>
      </c>
      <c r="B12" s="29" t="s">
        <v>195</v>
      </c>
      <c r="C12" s="29" t="s">
        <v>196</v>
      </c>
      <c r="D12" s="29" t="s">
        <v>197</v>
      </c>
      <c r="E12" s="30">
        <v>3879249</v>
      </c>
      <c r="F12" s="31">
        <v>27399.135687000002</v>
      </c>
      <c r="G12" s="32">
        <v>2.219544E-2</v>
      </c>
      <c r="H12" s="27" t="s">
        <v>142</v>
      </c>
    </row>
    <row r="13" spans="1:9" x14ac:dyDescent="0.2">
      <c r="A13" s="28">
        <v>7</v>
      </c>
      <c r="B13" s="29" t="s">
        <v>198</v>
      </c>
      <c r="C13" s="29" t="s">
        <v>199</v>
      </c>
      <c r="D13" s="29" t="s">
        <v>200</v>
      </c>
      <c r="E13" s="30">
        <v>484892</v>
      </c>
      <c r="F13" s="31">
        <v>27338.21096</v>
      </c>
      <c r="G13" s="32">
        <v>2.2146079999999999E-2</v>
      </c>
      <c r="H13" s="27" t="s">
        <v>142</v>
      </c>
    </row>
    <row r="14" spans="1:9" x14ac:dyDescent="0.2">
      <c r="A14" s="28">
        <v>8</v>
      </c>
      <c r="B14" s="29" t="s">
        <v>34</v>
      </c>
      <c r="C14" s="29" t="s">
        <v>35</v>
      </c>
      <c r="D14" s="29" t="s">
        <v>36</v>
      </c>
      <c r="E14" s="30">
        <v>1179542</v>
      </c>
      <c r="F14" s="31">
        <v>26438.254388000001</v>
      </c>
      <c r="G14" s="32">
        <v>2.141705E-2</v>
      </c>
      <c r="H14" s="27" t="s">
        <v>142</v>
      </c>
    </row>
    <row r="15" spans="1:9" ht="25.5" x14ac:dyDescent="0.2">
      <c r="A15" s="28">
        <v>9</v>
      </c>
      <c r="B15" s="29" t="s">
        <v>201</v>
      </c>
      <c r="C15" s="29" t="s">
        <v>202</v>
      </c>
      <c r="D15" s="29" t="s">
        <v>203</v>
      </c>
      <c r="E15" s="30">
        <v>3599583</v>
      </c>
      <c r="F15" s="31">
        <v>25789.212403500002</v>
      </c>
      <c r="G15" s="32">
        <v>2.089127E-2</v>
      </c>
      <c r="H15" s="27" t="s">
        <v>142</v>
      </c>
    </row>
    <row r="16" spans="1:9" x14ac:dyDescent="0.2">
      <c r="A16" s="28">
        <v>10</v>
      </c>
      <c r="B16" s="29" t="s">
        <v>204</v>
      </c>
      <c r="C16" s="29" t="s">
        <v>205</v>
      </c>
      <c r="D16" s="29" t="s">
        <v>16</v>
      </c>
      <c r="E16" s="30">
        <v>6144382</v>
      </c>
      <c r="F16" s="31">
        <v>25256.482210999999</v>
      </c>
      <c r="G16" s="32">
        <v>2.0459720000000001E-2</v>
      </c>
      <c r="H16" s="27" t="s">
        <v>142</v>
      </c>
    </row>
    <row r="17" spans="1:8" x14ac:dyDescent="0.2">
      <c r="A17" s="28">
        <v>11</v>
      </c>
      <c r="B17" s="29" t="s">
        <v>206</v>
      </c>
      <c r="C17" s="29" t="s">
        <v>207</v>
      </c>
      <c r="D17" s="29" t="s">
        <v>28</v>
      </c>
      <c r="E17" s="30">
        <v>4021265</v>
      </c>
      <c r="F17" s="31">
        <v>24795.119989999999</v>
      </c>
      <c r="G17" s="32">
        <v>2.008598E-2</v>
      </c>
      <c r="H17" s="27" t="s">
        <v>142</v>
      </c>
    </row>
    <row r="18" spans="1:8" x14ac:dyDescent="0.2">
      <c r="A18" s="28">
        <v>12</v>
      </c>
      <c r="B18" s="29" t="s">
        <v>208</v>
      </c>
      <c r="C18" s="29" t="s">
        <v>209</v>
      </c>
      <c r="D18" s="29" t="s">
        <v>132</v>
      </c>
      <c r="E18" s="30">
        <v>9359659</v>
      </c>
      <c r="F18" s="31">
        <v>24438.069649000001</v>
      </c>
      <c r="G18" s="32">
        <v>1.979674E-2</v>
      </c>
      <c r="H18" s="27" t="s">
        <v>142</v>
      </c>
    </row>
    <row r="19" spans="1:8" x14ac:dyDescent="0.2">
      <c r="A19" s="28">
        <v>13</v>
      </c>
      <c r="B19" s="29" t="s">
        <v>210</v>
      </c>
      <c r="C19" s="29" t="s">
        <v>211</v>
      </c>
      <c r="D19" s="29" t="s">
        <v>212</v>
      </c>
      <c r="E19" s="30">
        <v>839934</v>
      </c>
      <c r="F19" s="31">
        <v>22459.835159999999</v>
      </c>
      <c r="G19" s="32">
        <v>1.8194220000000001E-2</v>
      </c>
      <c r="H19" s="27" t="s">
        <v>142</v>
      </c>
    </row>
    <row r="20" spans="1:8" x14ac:dyDescent="0.2">
      <c r="A20" s="28">
        <v>14</v>
      </c>
      <c r="B20" s="29" t="s">
        <v>135</v>
      </c>
      <c r="C20" s="29" t="s">
        <v>136</v>
      </c>
      <c r="D20" s="29" t="s">
        <v>137</v>
      </c>
      <c r="E20" s="30">
        <v>2314205</v>
      </c>
      <c r="F20" s="31">
        <v>21959.491245000001</v>
      </c>
      <c r="G20" s="32">
        <v>1.77889E-2</v>
      </c>
      <c r="H20" s="27" t="s">
        <v>142</v>
      </c>
    </row>
    <row r="21" spans="1:8" x14ac:dyDescent="0.2">
      <c r="A21" s="28">
        <v>15</v>
      </c>
      <c r="B21" s="29" t="s">
        <v>213</v>
      </c>
      <c r="C21" s="29" t="s">
        <v>214</v>
      </c>
      <c r="D21" s="29" t="s">
        <v>58</v>
      </c>
      <c r="E21" s="30">
        <v>1395264</v>
      </c>
      <c r="F21" s="31">
        <v>21446.602943999998</v>
      </c>
      <c r="G21" s="32">
        <v>1.7373420000000001E-2</v>
      </c>
      <c r="H21" s="27" t="s">
        <v>142</v>
      </c>
    </row>
    <row r="22" spans="1:8" ht="25.5" x14ac:dyDescent="0.2">
      <c r="A22" s="28">
        <v>16</v>
      </c>
      <c r="B22" s="29" t="s">
        <v>215</v>
      </c>
      <c r="C22" s="29" t="s">
        <v>216</v>
      </c>
      <c r="D22" s="29" t="s">
        <v>217</v>
      </c>
      <c r="E22" s="30">
        <v>1204245</v>
      </c>
      <c r="F22" s="31">
        <v>21213.979920000002</v>
      </c>
      <c r="G22" s="32">
        <v>1.7184979999999999E-2</v>
      </c>
      <c r="H22" s="27" t="s">
        <v>142</v>
      </c>
    </row>
    <row r="23" spans="1:8" ht="25.5" x14ac:dyDescent="0.2">
      <c r="A23" s="28">
        <v>17</v>
      </c>
      <c r="B23" s="29" t="s">
        <v>39</v>
      </c>
      <c r="C23" s="29" t="s">
        <v>40</v>
      </c>
      <c r="D23" s="29" t="s">
        <v>25</v>
      </c>
      <c r="E23" s="30">
        <v>384785</v>
      </c>
      <c r="F23" s="31">
        <v>21153.555375</v>
      </c>
      <c r="G23" s="32">
        <v>1.713603E-2</v>
      </c>
      <c r="H23" s="27" t="s">
        <v>142</v>
      </c>
    </row>
    <row r="24" spans="1:8" x14ac:dyDescent="0.2">
      <c r="A24" s="28">
        <v>18</v>
      </c>
      <c r="B24" s="29" t="s">
        <v>218</v>
      </c>
      <c r="C24" s="29" t="s">
        <v>219</v>
      </c>
      <c r="D24" s="29" t="s">
        <v>200</v>
      </c>
      <c r="E24" s="30">
        <v>244803</v>
      </c>
      <c r="F24" s="31">
        <v>20931.880515000001</v>
      </c>
      <c r="G24" s="32">
        <v>1.695646E-2</v>
      </c>
      <c r="H24" s="27" t="s">
        <v>142</v>
      </c>
    </row>
    <row r="25" spans="1:8" x14ac:dyDescent="0.2">
      <c r="A25" s="28">
        <v>19</v>
      </c>
      <c r="B25" s="29" t="s">
        <v>29</v>
      </c>
      <c r="C25" s="29" t="s">
        <v>30</v>
      </c>
      <c r="D25" s="29" t="s">
        <v>31</v>
      </c>
      <c r="E25" s="30">
        <v>5354694</v>
      </c>
      <c r="F25" s="31">
        <v>20594.153124</v>
      </c>
      <c r="G25" s="32">
        <v>1.6682869999999999E-2</v>
      </c>
      <c r="H25" s="27" t="s">
        <v>142</v>
      </c>
    </row>
    <row r="26" spans="1:8" ht="25.5" x14ac:dyDescent="0.2">
      <c r="A26" s="28">
        <v>20</v>
      </c>
      <c r="B26" s="29" t="s">
        <v>220</v>
      </c>
      <c r="C26" s="29" t="s">
        <v>221</v>
      </c>
      <c r="D26" s="29" t="s">
        <v>194</v>
      </c>
      <c r="E26" s="30">
        <v>387339</v>
      </c>
      <c r="F26" s="31">
        <v>19748.478915</v>
      </c>
      <c r="G26" s="32">
        <v>1.5997810000000001E-2</v>
      </c>
      <c r="H26" s="27" t="s">
        <v>142</v>
      </c>
    </row>
    <row r="27" spans="1:8" x14ac:dyDescent="0.2">
      <c r="A27" s="28">
        <v>21</v>
      </c>
      <c r="B27" s="29" t="s">
        <v>222</v>
      </c>
      <c r="C27" s="29" t="s">
        <v>223</v>
      </c>
      <c r="D27" s="29" t="s">
        <v>64</v>
      </c>
      <c r="E27" s="30">
        <v>4156994</v>
      </c>
      <c r="F27" s="31">
        <v>19560.735267</v>
      </c>
      <c r="G27" s="32">
        <v>1.5845720000000001E-2</v>
      </c>
      <c r="H27" s="27" t="s">
        <v>142</v>
      </c>
    </row>
    <row r="28" spans="1:8" x14ac:dyDescent="0.2">
      <c r="A28" s="28">
        <v>22</v>
      </c>
      <c r="B28" s="29" t="s">
        <v>78</v>
      </c>
      <c r="C28" s="29" t="s">
        <v>79</v>
      </c>
      <c r="D28" s="29" t="s">
        <v>13</v>
      </c>
      <c r="E28" s="30">
        <v>5069388</v>
      </c>
      <c r="F28" s="31">
        <v>19474.054002000001</v>
      </c>
      <c r="G28" s="32">
        <v>1.5775500000000001E-2</v>
      </c>
      <c r="H28" s="27" t="s">
        <v>142</v>
      </c>
    </row>
    <row r="29" spans="1:8" x14ac:dyDescent="0.2">
      <c r="A29" s="28">
        <v>23</v>
      </c>
      <c r="B29" s="29" t="s">
        <v>113</v>
      </c>
      <c r="C29" s="29" t="s">
        <v>114</v>
      </c>
      <c r="D29" s="29" t="s">
        <v>67</v>
      </c>
      <c r="E29" s="30">
        <v>5428168</v>
      </c>
      <c r="F29" s="31">
        <v>19432.84144</v>
      </c>
      <c r="G29" s="32">
        <v>1.5742119999999998E-2</v>
      </c>
      <c r="H29" s="27" t="s">
        <v>142</v>
      </c>
    </row>
    <row r="30" spans="1:8" x14ac:dyDescent="0.2">
      <c r="A30" s="28">
        <v>24</v>
      </c>
      <c r="B30" s="29" t="s">
        <v>224</v>
      </c>
      <c r="C30" s="29" t="s">
        <v>225</v>
      </c>
      <c r="D30" s="29" t="s">
        <v>226</v>
      </c>
      <c r="E30" s="30">
        <v>959285</v>
      </c>
      <c r="F30" s="31">
        <v>18963.14588</v>
      </c>
      <c r="G30" s="32">
        <v>1.5361629999999999E-2</v>
      </c>
      <c r="H30" s="27" t="s">
        <v>142</v>
      </c>
    </row>
    <row r="31" spans="1:8" x14ac:dyDescent="0.2">
      <c r="A31" s="28">
        <v>25</v>
      </c>
      <c r="B31" s="29" t="s">
        <v>227</v>
      </c>
      <c r="C31" s="29" t="s">
        <v>228</v>
      </c>
      <c r="D31" s="29" t="s">
        <v>229</v>
      </c>
      <c r="E31" s="30">
        <v>2872572</v>
      </c>
      <c r="F31" s="31">
        <v>18831.145745999998</v>
      </c>
      <c r="G31" s="32">
        <v>1.52547E-2</v>
      </c>
      <c r="H31" s="27" t="s">
        <v>142</v>
      </c>
    </row>
    <row r="32" spans="1:8" x14ac:dyDescent="0.2">
      <c r="A32" s="28">
        <v>26</v>
      </c>
      <c r="B32" s="29" t="s">
        <v>230</v>
      </c>
      <c r="C32" s="29" t="s">
        <v>231</v>
      </c>
      <c r="D32" s="29" t="s">
        <v>132</v>
      </c>
      <c r="E32" s="30">
        <v>157981</v>
      </c>
      <c r="F32" s="31">
        <v>18743.655745</v>
      </c>
      <c r="G32" s="32">
        <v>1.5183820000000001E-2</v>
      </c>
      <c r="H32" s="27" t="s">
        <v>142</v>
      </c>
    </row>
    <row r="33" spans="1:8" x14ac:dyDescent="0.2">
      <c r="A33" s="28">
        <v>27</v>
      </c>
      <c r="B33" s="29" t="s">
        <v>232</v>
      </c>
      <c r="C33" s="29" t="s">
        <v>233</v>
      </c>
      <c r="D33" s="29" t="s">
        <v>197</v>
      </c>
      <c r="E33" s="30">
        <v>1553545</v>
      </c>
      <c r="F33" s="31">
        <v>17480.48834</v>
      </c>
      <c r="G33" s="32">
        <v>1.4160560000000001E-2</v>
      </c>
      <c r="H33" s="27" t="s">
        <v>142</v>
      </c>
    </row>
    <row r="34" spans="1:8" x14ac:dyDescent="0.2">
      <c r="A34" s="28">
        <v>28</v>
      </c>
      <c r="B34" s="29" t="s">
        <v>234</v>
      </c>
      <c r="C34" s="29" t="s">
        <v>235</v>
      </c>
      <c r="D34" s="29" t="s">
        <v>229</v>
      </c>
      <c r="E34" s="30">
        <v>1863350</v>
      </c>
      <c r="F34" s="31">
        <v>17099.962950000001</v>
      </c>
      <c r="G34" s="32">
        <v>1.38523E-2</v>
      </c>
      <c r="H34" s="27" t="s">
        <v>142</v>
      </c>
    </row>
    <row r="35" spans="1:8" x14ac:dyDescent="0.2">
      <c r="A35" s="28">
        <v>29</v>
      </c>
      <c r="B35" s="29" t="s">
        <v>236</v>
      </c>
      <c r="C35" s="29" t="s">
        <v>237</v>
      </c>
      <c r="D35" s="29" t="s">
        <v>28</v>
      </c>
      <c r="E35" s="30">
        <v>11214355</v>
      </c>
      <c r="F35" s="31">
        <v>16461.551704500002</v>
      </c>
      <c r="G35" s="32">
        <v>1.3335140000000001E-2</v>
      </c>
      <c r="H35" s="27" t="s">
        <v>142</v>
      </c>
    </row>
    <row r="36" spans="1:8" x14ac:dyDescent="0.2">
      <c r="A36" s="28">
        <v>30</v>
      </c>
      <c r="B36" s="29" t="s">
        <v>238</v>
      </c>
      <c r="C36" s="29" t="s">
        <v>239</v>
      </c>
      <c r="D36" s="29" t="s">
        <v>73</v>
      </c>
      <c r="E36" s="30">
        <v>390000</v>
      </c>
      <c r="F36" s="31">
        <v>16170.18</v>
      </c>
      <c r="G36" s="32">
        <v>1.3099110000000001E-2</v>
      </c>
      <c r="H36" s="27" t="s">
        <v>142</v>
      </c>
    </row>
    <row r="37" spans="1:8" x14ac:dyDescent="0.2">
      <c r="A37" s="28">
        <v>31</v>
      </c>
      <c r="B37" s="29" t="s">
        <v>240</v>
      </c>
      <c r="C37" s="29" t="s">
        <v>241</v>
      </c>
      <c r="D37" s="29" t="s">
        <v>132</v>
      </c>
      <c r="E37" s="30">
        <v>2583815</v>
      </c>
      <c r="F37" s="31">
        <v>15411.1645675</v>
      </c>
      <c r="G37" s="32">
        <v>1.2484250000000001E-2</v>
      </c>
      <c r="H37" s="27" t="s">
        <v>142</v>
      </c>
    </row>
    <row r="38" spans="1:8" ht="25.5" x14ac:dyDescent="0.2">
      <c r="A38" s="28">
        <v>32</v>
      </c>
      <c r="B38" s="29" t="s">
        <v>242</v>
      </c>
      <c r="C38" s="29" t="s">
        <v>243</v>
      </c>
      <c r="D38" s="29" t="s">
        <v>25</v>
      </c>
      <c r="E38" s="30">
        <v>773720</v>
      </c>
      <c r="F38" s="31">
        <v>14567.60016</v>
      </c>
      <c r="G38" s="32">
        <v>1.180089E-2</v>
      </c>
      <c r="H38" s="27" t="s">
        <v>142</v>
      </c>
    </row>
    <row r="39" spans="1:8" x14ac:dyDescent="0.2">
      <c r="A39" s="28">
        <v>33</v>
      </c>
      <c r="B39" s="29" t="s">
        <v>244</v>
      </c>
      <c r="C39" s="29" t="s">
        <v>245</v>
      </c>
      <c r="D39" s="29" t="s">
        <v>197</v>
      </c>
      <c r="E39" s="30">
        <v>515995</v>
      </c>
      <c r="F39" s="31">
        <v>14378.71667</v>
      </c>
      <c r="G39" s="32">
        <v>1.1647879999999999E-2</v>
      </c>
      <c r="H39" s="27" t="s">
        <v>142</v>
      </c>
    </row>
    <row r="40" spans="1:8" x14ac:dyDescent="0.2">
      <c r="A40" s="28">
        <v>34</v>
      </c>
      <c r="B40" s="29" t="s">
        <v>246</v>
      </c>
      <c r="C40" s="29" t="s">
        <v>247</v>
      </c>
      <c r="D40" s="29" t="s">
        <v>73</v>
      </c>
      <c r="E40" s="30">
        <v>238257</v>
      </c>
      <c r="F40" s="31">
        <v>14273.97687</v>
      </c>
      <c r="G40" s="32">
        <v>1.156303E-2</v>
      </c>
      <c r="H40" s="27" t="s">
        <v>142</v>
      </c>
    </row>
    <row r="41" spans="1:8" x14ac:dyDescent="0.2">
      <c r="A41" s="28">
        <v>35</v>
      </c>
      <c r="B41" s="29" t="s">
        <v>248</v>
      </c>
      <c r="C41" s="29" t="s">
        <v>249</v>
      </c>
      <c r="D41" s="29" t="s">
        <v>28</v>
      </c>
      <c r="E41" s="30">
        <v>1989510</v>
      </c>
      <c r="F41" s="31">
        <v>13788.299054999999</v>
      </c>
      <c r="G41" s="32">
        <v>1.11696E-2</v>
      </c>
      <c r="H41" s="27" t="s">
        <v>142</v>
      </c>
    </row>
    <row r="42" spans="1:8" x14ac:dyDescent="0.2">
      <c r="A42" s="28">
        <v>36</v>
      </c>
      <c r="B42" s="29" t="s">
        <v>115</v>
      </c>
      <c r="C42" s="29" t="s">
        <v>116</v>
      </c>
      <c r="D42" s="29" t="s">
        <v>22</v>
      </c>
      <c r="E42" s="30">
        <v>999724</v>
      </c>
      <c r="F42" s="31">
        <v>13736.207759999999</v>
      </c>
      <c r="G42" s="32">
        <v>1.1127400000000001E-2</v>
      </c>
      <c r="H42" s="27" t="s">
        <v>142</v>
      </c>
    </row>
    <row r="43" spans="1:8" x14ac:dyDescent="0.2">
      <c r="A43" s="28">
        <v>37</v>
      </c>
      <c r="B43" s="29" t="s">
        <v>250</v>
      </c>
      <c r="C43" s="29" t="s">
        <v>251</v>
      </c>
      <c r="D43" s="29" t="s">
        <v>73</v>
      </c>
      <c r="E43" s="30">
        <v>884567</v>
      </c>
      <c r="F43" s="31">
        <v>13251.698227000001</v>
      </c>
      <c r="G43" s="32">
        <v>1.073491E-2</v>
      </c>
      <c r="H43" s="27" t="s">
        <v>142</v>
      </c>
    </row>
    <row r="44" spans="1:8" x14ac:dyDescent="0.2">
      <c r="A44" s="28">
        <v>38</v>
      </c>
      <c r="B44" s="29" t="s">
        <v>252</v>
      </c>
      <c r="C44" s="29" t="s">
        <v>253</v>
      </c>
      <c r="D44" s="29" t="s">
        <v>254</v>
      </c>
      <c r="E44" s="30">
        <v>465740</v>
      </c>
      <c r="F44" s="31">
        <v>12951.297920000001</v>
      </c>
      <c r="G44" s="32">
        <v>1.049156E-2</v>
      </c>
      <c r="H44" s="27" t="s">
        <v>142</v>
      </c>
    </row>
    <row r="45" spans="1:8" x14ac:dyDescent="0.2">
      <c r="A45" s="28">
        <v>39</v>
      </c>
      <c r="B45" s="29" t="s">
        <v>255</v>
      </c>
      <c r="C45" s="29" t="s">
        <v>256</v>
      </c>
      <c r="D45" s="29" t="s">
        <v>64</v>
      </c>
      <c r="E45" s="30">
        <v>93442</v>
      </c>
      <c r="F45" s="31">
        <v>12491.32656</v>
      </c>
      <c r="G45" s="32">
        <v>1.011895E-2</v>
      </c>
      <c r="H45" s="27" t="s">
        <v>142</v>
      </c>
    </row>
    <row r="46" spans="1:8" x14ac:dyDescent="0.2">
      <c r="A46" s="28">
        <v>40</v>
      </c>
      <c r="B46" s="29" t="s">
        <v>257</v>
      </c>
      <c r="C46" s="29" t="s">
        <v>258</v>
      </c>
      <c r="D46" s="29" t="s">
        <v>58</v>
      </c>
      <c r="E46" s="30">
        <v>711553</v>
      </c>
      <c r="F46" s="31">
        <v>12425.850039000001</v>
      </c>
      <c r="G46" s="32">
        <v>1.0065910000000001E-2</v>
      </c>
      <c r="H46" s="27" t="s">
        <v>142</v>
      </c>
    </row>
    <row r="47" spans="1:8" x14ac:dyDescent="0.2">
      <c r="A47" s="28">
        <v>41</v>
      </c>
      <c r="B47" s="29" t="s">
        <v>259</v>
      </c>
      <c r="C47" s="29" t="s">
        <v>260</v>
      </c>
      <c r="D47" s="29" t="s">
        <v>61</v>
      </c>
      <c r="E47" s="30">
        <v>3518063</v>
      </c>
      <c r="F47" s="31">
        <v>12415.244327</v>
      </c>
      <c r="G47" s="32">
        <v>1.005732E-2</v>
      </c>
      <c r="H47" s="27" t="s">
        <v>142</v>
      </c>
    </row>
    <row r="48" spans="1:8" x14ac:dyDescent="0.2">
      <c r="A48" s="28">
        <v>42</v>
      </c>
      <c r="B48" s="29" t="s">
        <v>261</v>
      </c>
      <c r="C48" s="29" t="s">
        <v>262</v>
      </c>
      <c r="D48" s="29" t="s">
        <v>263</v>
      </c>
      <c r="E48" s="30">
        <v>284079</v>
      </c>
      <c r="F48" s="31">
        <v>12407.434404</v>
      </c>
      <c r="G48" s="32">
        <v>1.0050989999999999E-2</v>
      </c>
      <c r="H48" s="27" t="s">
        <v>142</v>
      </c>
    </row>
    <row r="49" spans="1:8" x14ac:dyDescent="0.2">
      <c r="A49" s="28">
        <v>43</v>
      </c>
      <c r="B49" s="29" t="s">
        <v>264</v>
      </c>
      <c r="C49" s="29" t="s">
        <v>265</v>
      </c>
      <c r="D49" s="29" t="s">
        <v>58</v>
      </c>
      <c r="E49" s="30">
        <v>839322</v>
      </c>
      <c r="F49" s="31">
        <v>12309.496451999999</v>
      </c>
      <c r="G49" s="32">
        <v>9.9716500000000003E-3</v>
      </c>
      <c r="H49" s="27" t="s">
        <v>142</v>
      </c>
    </row>
    <row r="50" spans="1:8" x14ac:dyDescent="0.2">
      <c r="A50" s="28">
        <v>44</v>
      </c>
      <c r="B50" s="29" t="s">
        <v>266</v>
      </c>
      <c r="C50" s="29" t="s">
        <v>267</v>
      </c>
      <c r="D50" s="29" t="s">
        <v>229</v>
      </c>
      <c r="E50" s="30">
        <v>7322305</v>
      </c>
      <c r="F50" s="31">
        <v>12271.4509495</v>
      </c>
      <c r="G50" s="32">
        <v>9.9408299999999995E-3</v>
      </c>
      <c r="H50" s="27" t="s">
        <v>142</v>
      </c>
    </row>
    <row r="51" spans="1:8" x14ac:dyDescent="0.2">
      <c r="A51" s="28">
        <v>45</v>
      </c>
      <c r="B51" s="29" t="s">
        <v>268</v>
      </c>
      <c r="C51" s="29" t="s">
        <v>269</v>
      </c>
      <c r="D51" s="29" t="s">
        <v>270</v>
      </c>
      <c r="E51" s="30">
        <v>1850422</v>
      </c>
      <c r="F51" s="31">
        <v>12257.195328</v>
      </c>
      <c r="G51" s="32">
        <v>9.9292800000000004E-3</v>
      </c>
      <c r="H51" s="27" t="s">
        <v>142</v>
      </c>
    </row>
    <row r="52" spans="1:8" ht="25.5" x14ac:dyDescent="0.2">
      <c r="A52" s="28">
        <v>46</v>
      </c>
      <c r="B52" s="29" t="s">
        <v>271</v>
      </c>
      <c r="C52" s="29" t="s">
        <v>272</v>
      </c>
      <c r="D52" s="29" t="s">
        <v>273</v>
      </c>
      <c r="E52" s="30">
        <v>592557</v>
      </c>
      <c r="F52" s="31">
        <v>12012.908061</v>
      </c>
      <c r="G52" s="32">
        <v>9.7313899999999995E-3</v>
      </c>
      <c r="H52" s="27" t="s">
        <v>142</v>
      </c>
    </row>
    <row r="53" spans="1:8" x14ac:dyDescent="0.2">
      <c r="A53" s="28">
        <v>47</v>
      </c>
      <c r="B53" s="29" t="s">
        <v>274</v>
      </c>
      <c r="C53" s="29" t="s">
        <v>275</v>
      </c>
      <c r="D53" s="29" t="s">
        <v>270</v>
      </c>
      <c r="E53" s="30">
        <v>782298</v>
      </c>
      <c r="F53" s="31">
        <v>11755.592046</v>
      </c>
      <c r="G53" s="32">
        <v>9.5229500000000005E-3</v>
      </c>
      <c r="H53" s="27" t="s">
        <v>142</v>
      </c>
    </row>
    <row r="54" spans="1:8" ht="25.5" x14ac:dyDescent="0.2">
      <c r="A54" s="28">
        <v>48</v>
      </c>
      <c r="B54" s="29" t="s">
        <v>276</v>
      </c>
      <c r="C54" s="29" t="s">
        <v>277</v>
      </c>
      <c r="D54" s="29" t="s">
        <v>194</v>
      </c>
      <c r="E54" s="30">
        <v>467010</v>
      </c>
      <c r="F54" s="31">
        <v>11524.405769999999</v>
      </c>
      <c r="G54" s="32">
        <v>9.3356700000000008E-3</v>
      </c>
      <c r="H54" s="27" t="s">
        <v>142</v>
      </c>
    </row>
    <row r="55" spans="1:8" x14ac:dyDescent="0.2">
      <c r="A55" s="28">
        <v>49</v>
      </c>
      <c r="B55" s="29" t="s">
        <v>93</v>
      </c>
      <c r="C55" s="29" t="s">
        <v>94</v>
      </c>
      <c r="D55" s="29" t="s">
        <v>73</v>
      </c>
      <c r="E55" s="30">
        <v>631409</v>
      </c>
      <c r="F55" s="31">
        <v>11439.236853</v>
      </c>
      <c r="G55" s="32">
        <v>9.2666699999999994E-3</v>
      </c>
      <c r="H55" s="27" t="s">
        <v>142</v>
      </c>
    </row>
    <row r="56" spans="1:8" x14ac:dyDescent="0.2">
      <c r="A56" s="28">
        <v>50</v>
      </c>
      <c r="B56" s="29" t="s">
        <v>278</v>
      </c>
      <c r="C56" s="29" t="s">
        <v>279</v>
      </c>
      <c r="D56" s="29" t="s">
        <v>212</v>
      </c>
      <c r="E56" s="30">
        <v>288413</v>
      </c>
      <c r="F56" s="31">
        <v>11424.327343000001</v>
      </c>
      <c r="G56" s="32">
        <v>9.2546E-3</v>
      </c>
      <c r="H56" s="27" t="s">
        <v>142</v>
      </c>
    </row>
    <row r="57" spans="1:8" x14ac:dyDescent="0.2">
      <c r="A57" s="28">
        <v>51</v>
      </c>
      <c r="B57" s="29" t="s">
        <v>280</v>
      </c>
      <c r="C57" s="29" t="s">
        <v>281</v>
      </c>
      <c r="D57" s="29" t="s">
        <v>64</v>
      </c>
      <c r="E57" s="30">
        <v>1114401</v>
      </c>
      <c r="F57" s="31">
        <v>11218.1176665</v>
      </c>
      <c r="G57" s="32">
        <v>9.0875499999999998E-3</v>
      </c>
      <c r="H57" s="27" t="s">
        <v>142</v>
      </c>
    </row>
    <row r="58" spans="1:8" x14ac:dyDescent="0.2">
      <c r="A58" s="28">
        <v>52</v>
      </c>
      <c r="B58" s="29" t="s">
        <v>282</v>
      </c>
      <c r="C58" s="29" t="s">
        <v>283</v>
      </c>
      <c r="D58" s="29" t="s">
        <v>132</v>
      </c>
      <c r="E58" s="30">
        <v>1716703</v>
      </c>
      <c r="F58" s="31">
        <v>10975.7406305</v>
      </c>
      <c r="G58" s="32">
        <v>8.8912100000000001E-3</v>
      </c>
      <c r="H58" s="27" t="s">
        <v>142</v>
      </c>
    </row>
    <row r="59" spans="1:8" x14ac:dyDescent="0.2">
      <c r="A59" s="28">
        <v>53</v>
      </c>
      <c r="B59" s="29" t="s">
        <v>95</v>
      </c>
      <c r="C59" s="29" t="s">
        <v>96</v>
      </c>
      <c r="D59" s="29" t="s">
        <v>64</v>
      </c>
      <c r="E59" s="30">
        <v>258555</v>
      </c>
      <c r="F59" s="31">
        <v>10830.093285000001</v>
      </c>
      <c r="G59" s="32">
        <v>8.77322E-3</v>
      </c>
      <c r="H59" s="27" t="s">
        <v>142</v>
      </c>
    </row>
    <row r="60" spans="1:8" x14ac:dyDescent="0.2">
      <c r="A60" s="28">
        <v>54</v>
      </c>
      <c r="B60" s="29" t="s">
        <v>52</v>
      </c>
      <c r="C60" s="29" t="s">
        <v>53</v>
      </c>
      <c r="D60" s="29" t="s">
        <v>13</v>
      </c>
      <c r="E60" s="30">
        <v>583736</v>
      </c>
      <c r="F60" s="31">
        <v>10686.454952</v>
      </c>
      <c r="G60" s="32">
        <v>8.6568600000000006E-3</v>
      </c>
      <c r="H60" s="27" t="s">
        <v>142</v>
      </c>
    </row>
    <row r="61" spans="1:8" ht="25.5" x14ac:dyDescent="0.2">
      <c r="A61" s="28">
        <v>55</v>
      </c>
      <c r="B61" s="29" t="s">
        <v>284</v>
      </c>
      <c r="C61" s="29" t="s">
        <v>285</v>
      </c>
      <c r="D61" s="29" t="s">
        <v>194</v>
      </c>
      <c r="E61" s="30">
        <v>1124810</v>
      </c>
      <c r="F61" s="31">
        <v>10460.733</v>
      </c>
      <c r="G61" s="32">
        <v>8.4740100000000006E-3</v>
      </c>
      <c r="H61" s="27" t="s">
        <v>142</v>
      </c>
    </row>
    <row r="62" spans="1:8" x14ac:dyDescent="0.2">
      <c r="A62" s="28">
        <v>56</v>
      </c>
      <c r="B62" s="29" t="s">
        <v>111</v>
      </c>
      <c r="C62" s="29" t="s">
        <v>112</v>
      </c>
      <c r="D62" s="29" t="s">
        <v>36</v>
      </c>
      <c r="E62" s="30">
        <v>3852636</v>
      </c>
      <c r="F62" s="31">
        <v>10010.304118800001</v>
      </c>
      <c r="G62" s="32">
        <v>8.1091300000000009E-3</v>
      </c>
      <c r="H62" s="27" t="s">
        <v>142</v>
      </c>
    </row>
    <row r="63" spans="1:8" ht="25.5" x14ac:dyDescent="0.2">
      <c r="A63" s="28">
        <v>57</v>
      </c>
      <c r="B63" s="29" t="s">
        <v>286</v>
      </c>
      <c r="C63" s="29" t="s">
        <v>287</v>
      </c>
      <c r="D63" s="29" t="s">
        <v>187</v>
      </c>
      <c r="E63" s="30">
        <v>255227</v>
      </c>
      <c r="F63" s="31">
        <v>9759.1147990000009</v>
      </c>
      <c r="G63" s="32">
        <v>7.9056400000000002E-3</v>
      </c>
      <c r="H63" s="27" t="s">
        <v>142</v>
      </c>
    </row>
    <row r="64" spans="1:8" x14ac:dyDescent="0.2">
      <c r="A64" s="28">
        <v>58</v>
      </c>
      <c r="B64" s="29" t="s">
        <v>288</v>
      </c>
      <c r="C64" s="29" t="s">
        <v>289</v>
      </c>
      <c r="D64" s="29" t="s">
        <v>290</v>
      </c>
      <c r="E64" s="30">
        <v>4697590</v>
      </c>
      <c r="F64" s="31">
        <v>9548.3214339999995</v>
      </c>
      <c r="G64" s="32">
        <v>7.7348900000000003E-3</v>
      </c>
      <c r="H64" s="27" t="s">
        <v>142</v>
      </c>
    </row>
    <row r="65" spans="1:8" x14ac:dyDescent="0.2">
      <c r="A65" s="28">
        <v>59</v>
      </c>
      <c r="B65" s="29" t="s">
        <v>59</v>
      </c>
      <c r="C65" s="29" t="s">
        <v>60</v>
      </c>
      <c r="D65" s="29" t="s">
        <v>61</v>
      </c>
      <c r="E65" s="30">
        <v>143674</v>
      </c>
      <c r="F65" s="31">
        <v>9326.59771</v>
      </c>
      <c r="G65" s="32">
        <v>7.5552700000000002E-3</v>
      </c>
      <c r="H65" s="27" t="s">
        <v>142</v>
      </c>
    </row>
    <row r="66" spans="1:8" x14ac:dyDescent="0.2">
      <c r="A66" s="28">
        <v>60</v>
      </c>
      <c r="B66" s="29" t="s">
        <v>291</v>
      </c>
      <c r="C66" s="29" t="s">
        <v>292</v>
      </c>
      <c r="D66" s="29" t="s">
        <v>64</v>
      </c>
      <c r="E66" s="30">
        <v>1587426</v>
      </c>
      <c r="F66" s="31">
        <v>8634.8037270000004</v>
      </c>
      <c r="G66" s="32">
        <v>6.9948600000000003E-3</v>
      </c>
      <c r="H66" s="27" t="s">
        <v>142</v>
      </c>
    </row>
    <row r="67" spans="1:8" x14ac:dyDescent="0.2">
      <c r="A67" s="28">
        <v>61</v>
      </c>
      <c r="B67" s="29" t="s">
        <v>128</v>
      </c>
      <c r="C67" s="29" t="s">
        <v>129</v>
      </c>
      <c r="D67" s="29" t="s">
        <v>73</v>
      </c>
      <c r="E67" s="30">
        <v>469453</v>
      </c>
      <c r="F67" s="31">
        <v>8434.1925979999996</v>
      </c>
      <c r="G67" s="32">
        <v>6.8323500000000001E-3</v>
      </c>
      <c r="H67" s="27" t="s">
        <v>142</v>
      </c>
    </row>
    <row r="68" spans="1:8" x14ac:dyDescent="0.2">
      <c r="A68" s="28">
        <v>62</v>
      </c>
      <c r="B68" s="29" t="s">
        <v>293</v>
      </c>
      <c r="C68" s="29" t="s">
        <v>294</v>
      </c>
      <c r="D68" s="29" t="s">
        <v>290</v>
      </c>
      <c r="E68" s="30">
        <v>142582</v>
      </c>
      <c r="F68" s="31">
        <v>8046.61517</v>
      </c>
      <c r="G68" s="32">
        <v>6.5183899999999998E-3</v>
      </c>
      <c r="H68" s="27" t="s">
        <v>142</v>
      </c>
    </row>
    <row r="69" spans="1:8" x14ac:dyDescent="0.2">
      <c r="A69" s="28">
        <v>63</v>
      </c>
      <c r="B69" s="29" t="s">
        <v>295</v>
      </c>
      <c r="C69" s="29" t="s">
        <v>296</v>
      </c>
      <c r="D69" s="29" t="s">
        <v>86</v>
      </c>
      <c r="E69" s="30">
        <v>2397401</v>
      </c>
      <c r="F69" s="31">
        <v>7882.6544880000001</v>
      </c>
      <c r="G69" s="32">
        <v>6.3855700000000001E-3</v>
      </c>
      <c r="H69" s="27" t="s">
        <v>142</v>
      </c>
    </row>
    <row r="70" spans="1:8" x14ac:dyDescent="0.2">
      <c r="A70" s="28">
        <v>64</v>
      </c>
      <c r="B70" s="29" t="s">
        <v>297</v>
      </c>
      <c r="C70" s="29" t="s">
        <v>298</v>
      </c>
      <c r="D70" s="29" t="s">
        <v>61</v>
      </c>
      <c r="E70" s="30">
        <v>436210</v>
      </c>
      <c r="F70" s="31">
        <v>5508.4598800000003</v>
      </c>
      <c r="G70" s="32">
        <v>4.4622799999999999E-3</v>
      </c>
      <c r="H70" s="27" t="s">
        <v>142</v>
      </c>
    </row>
    <row r="71" spans="1:8" x14ac:dyDescent="0.2">
      <c r="A71" s="28">
        <v>65</v>
      </c>
      <c r="B71" s="29" t="s">
        <v>299</v>
      </c>
      <c r="C71" s="29" t="s">
        <v>300</v>
      </c>
      <c r="D71" s="29" t="s">
        <v>61</v>
      </c>
      <c r="E71" s="30">
        <v>35689</v>
      </c>
      <c r="F71" s="31">
        <v>5243.4278800000002</v>
      </c>
      <c r="G71" s="32">
        <v>4.2475899999999999E-3</v>
      </c>
      <c r="H71" s="27" t="s">
        <v>142</v>
      </c>
    </row>
    <row r="72" spans="1:8" x14ac:dyDescent="0.2">
      <c r="A72" s="28">
        <v>66</v>
      </c>
      <c r="B72" s="29" t="s">
        <v>301</v>
      </c>
      <c r="C72" s="29" t="s">
        <v>302</v>
      </c>
      <c r="D72" s="29" t="s">
        <v>254</v>
      </c>
      <c r="E72" s="30">
        <v>10199797</v>
      </c>
      <c r="F72" s="31">
        <v>5197.8165511999996</v>
      </c>
      <c r="G72" s="32">
        <v>4.2106399999999999E-3</v>
      </c>
      <c r="H72" s="27" t="s">
        <v>142</v>
      </c>
    </row>
    <row r="73" spans="1:8" x14ac:dyDescent="0.2">
      <c r="A73" s="28">
        <v>67</v>
      </c>
      <c r="B73" s="29" t="s">
        <v>303</v>
      </c>
      <c r="C73" s="29" t="s">
        <v>304</v>
      </c>
      <c r="D73" s="29" t="s">
        <v>305</v>
      </c>
      <c r="E73" s="30">
        <v>830723</v>
      </c>
      <c r="F73" s="31">
        <v>4853.0837659999997</v>
      </c>
      <c r="G73" s="32">
        <v>3.9313799999999999E-3</v>
      </c>
      <c r="H73" s="27" t="s">
        <v>142</v>
      </c>
    </row>
    <row r="74" spans="1:8" x14ac:dyDescent="0.2">
      <c r="A74" s="28">
        <v>68</v>
      </c>
      <c r="B74" s="29" t="s">
        <v>306</v>
      </c>
      <c r="C74" s="29" t="s">
        <v>307</v>
      </c>
      <c r="D74" s="29" t="s">
        <v>64</v>
      </c>
      <c r="E74" s="30">
        <v>153189</v>
      </c>
      <c r="F74" s="31">
        <v>4690.8003689999996</v>
      </c>
      <c r="G74" s="32">
        <v>3.7999100000000001E-3</v>
      </c>
      <c r="H74" s="27" t="s">
        <v>142</v>
      </c>
    </row>
    <row r="75" spans="1:8" x14ac:dyDescent="0.2">
      <c r="A75" s="28">
        <v>69</v>
      </c>
      <c r="B75" s="29" t="s">
        <v>308</v>
      </c>
      <c r="C75" s="29" t="s">
        <v>309</v>
      </c>
      <c r="D75" s="29" t="s">
        <v>229</v>
      </c>
      <c r="E75" s="30">
        <v>604722</v>
      </c>
      <c r="F75" s="31">
        <v>4655.4523170000002</v>
      </c>
      <c r="G75" s="32">
        <v>3.7712800000000001E-3</v>
      </c>
      <c r="H75" s="27" t="s">
        <v>142</v>
      </c>
    </row>
    <row r="76" spans="1:8" x14ac:dyDescent="0.2">
      <c r="A76" s="28">
        <v>70</v>
      </c>
      <c r="B76" s="29" t="s">
        <v>50</v>
      </c>
      <c r="C76" s="29" t="s">
        <v>51</v>
      </c>
      <c r="D76" s="29" t="s">
        <v>36</v>
      </c>
      <c r="E76" s="30">
        <v>5393738</v>
      </c>
      <c r="F76" s="31">
        <v>3855.4439223999998</v>
      </c>
      <c r="G76" s="32">
        <v>3.12321E-3</v>
      </c>
      <c r="H76" s="27" t="s">
        <v>142</v>
      </c>
    </row>
    <row r="77" spans="1:8" x14ac:dyDescent="0.2">
      <c r="A77" s="28">
        <v>71</v>
      </c>
      <c r="B77" s="29" t="s">
        <v>310</v>
      </c>
      <c r="C77" s="29" t="s">
        <v>311</v>
      </c>
      <c r="D77" s="29" t="s">
        <v>200</v>
      </c>
      <c r="E77" s="30">
        <v>111426</v>
      </c>
      <c r="F77" s="31">
        <v>2851.1684879999998</v>
      </c>
      <c r="G77" s="32">
        <v>2.3096700000000002E-3</v>
      </c>
      <c r="H77" s="27" t="s">
        <v>142</v>
      </c>
    </row>
    <row r="78" spans="1:8" x14ac:dyDescent="0.2">
      <c r="A78" s="28">
        <v>72</v>
      </c>
      <c r="B78" s="29" t="s">
        <v>312</v>
      </c>
      <c r="C78" s="29" t="s">
        <v>313</v>
      </c>
      <c r="D78" s="29" t="s">
        <v>86</v>
      </c>
      <c r="E78" s="30">
        <v>321233</v>
      </c>
      <c r="F78" s="31">
        <v>1477.8324164999999</v>
      </c>
      <c r="G78" s="32">
        <v>1.1971600000000001E-3</v>
      </c>
      <c r="H78" s="27" t="s">
        <v>142</v>
      </c>
    </row>
    <row r="79" spans="1:8" x14ac:dyDescent="0.2">
      <c r="A79" s="25"/>
      <c r="B79" s="25"/>
      <c r="C79" s="26" t="s">
        <v>141</v>
      </c>
      <c r="D79" s="25"/>
      <c r="E79" s="25" t="s">
        <v>142</v>
      </c>
      <c r="F79" s="33">
        <v>1136288.0640060999</v>
      </c>
      <c r="G79" s="34">
        <v>0.92048196999999998</v>
      </c>
      <c r="H79" s="27" t="s">
        <v>142</v>
      </c>
    </row>
    <row r="80" spans="1:8" x14ac:dyDescent="0.2">
      <c r="A80" s="25"/>
      <c r="B80" s="25"/>
      <c r="C80" s="35"/>
      <c r="D80" s="25"/>
      <c r="E80" s="25"/>
      <c r="F80" s="36"/>
      <c r="G80" s="36"/>
      <c r="H80" s="27" t="s">
        <v>142</v>
      </c>
    </row>
    <row r="81" spans="1:8" x14ac:dyDescent="0.2">
      <c r="A81" s="25"/>
      <c r="B81" s="25"/>
      <c r="C81" s="26" t="s">
        <v>143</v>
      </c>
      <c r="D81" s="25"/>
      <c r="E81" s="25"/>
      <c r="F81" s="25"/>
      <c r="G81" s="25"/>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145</v>
      </c>
      <c r="D84" s="25"/>
      <c r="E84" s="25"/>
      <c r="F84" s="25"/>
      <c r="G84" s="25"/>
      <c r="H84" s="27" t="s">
        <v>142</v>
      </c>
    </row>
    <row r="85" spans="1:8" x14ac:dyDescent="0.2">
      <c r="A85" s="25"/>
      <c r="B85" s="25"/>
      <c r="C85" s="26" t="s">
        <v>141</v>
      </c>
      <c r="D85" s="25"/>
      <c r="E85" s="25" t="s">
        <v>142</v>
      </c>
      <c r="F85" s="37" t="s">
        <v>144</v>
      </c>
      <c r="G85" s="34">
        <v>0</v>
      </c>
      <c r="H85" s="27" t="s">
        <v>142</v>
      </c>
    </row>
    <row r="86" spans="1:8" x14ac:dyDescent="0.2">
      <c r="A86" s="25"/>
      <c r="B86" s="25"/>
      <c r="C86" s="35"/>
      <c r="D86" s="25"/>
      <c r="E86" s="25"/>
      <c r="F86" s="36"/>
      <c r="G86" s="36"/>
      <c r="H86" s="27" t="s">
        <v>142</v>
      </c>
    </row>
    <row r="87" spans="1:8" x14ac:dyDescent="0.2">
      <c r="A87" s="25"/>
      <c r="B87" s="25"/>
      <c r="C87" s="26" t="s">
        <v>146</v>
      </c>
      <c r="D87" s="25"/>
      <c r="E87" s="25"/>
      <c r="F87" s="25"/>
      <c r="G87" s="25"/>
      <c r="H87" s="27" t="s">
        <v>142</v>
      </c>
    </row>
    <row r="88" spans="1:8" x14ac:dyDescent="0.2">
      <c r="A88" s="28">
        <v>1</v>
      </c>
      <c r="B88" s="29" t="s">
        <v>314</v>
      </c>
      <c r="C88" s="29" t="s">
        <v>209</v>
      </c>
      <c r="D88" s="29" t="s">
        <v>132</v>
      </c>
      <c r="E88" s="30">
        <v>1145794</v>
      </c>
      <c r="F88" s="31">
        <v>757.94273099999998</v>
      </c>
      <c r="G88" s="32">
        <v>6.1399000000000002E-4</v>
      </c>
      <c r="H88" s="27" t="s">
        <v>142</v>
      </c>
    </row>
    <row r="89" spans="1:8" x14ac:dyDescent="0.2">
      <c r="A89" s="25"/>
      <c r="B89" s="25"/>
      <c r="C89" s="26" t="s">
        <v>141</v>
      </c>
      <c r="D89" s="25"/>
      <c r="E89" s="25" t="s">
        <v>142</v>
      </c>
      <c r="F89" s="33">
        <v>757.94273099999998</v>
      </c>
      <c r="G89" s="34">
        <v>6.1399000000000002E-4</v>
      </c>
      <c r="H89" s="27" t="s">
        <v>142</v>
      </c>
    </row>
    <row r="90" spans="1:8" x14ac:dyDescent="0.2">
      <c r="A90" s="25"/>
      <c r="B90" s="25"/>
      <c r="C90" s="35"/>
      <c r="D90" s="25"/>
      <c r="E90" s="25"/>
      <c r="F90" s="36"/>
      <c r="G90" s="36"/>
      <c r="H90" s="27" t="s">
        <v>142</v>
      </c>
    </row>
    <row r="91" spans="1:8" x14ac:dyDescent="0.2">
      <c r="A91" s="25"/>
      <c r="B91" s="25"/>
      <c r="C91" s="26" t="s">
        <v>147</v>
      </c>
      <c r="D91" s="25"/>
      <c r="E91" s="25"/>
      <c r="F91" s="36"/>
      <c r="G91" s="36"/>
      <c r="H91" s="27" t="s">
        <v>142</v>
      </c>
    </row>
    <row r="92" spans="1:8" x14ac:dyDescent="0.2">
      <c r="A92" s="25"/>
      <c r="B92" s="25"/>
      <c r="C92" s="26" t="s">
        <v>141</v>
      </c>
      <c r="D92" s="25"/>
      <c r="E92" s="25" t="s">
        <v>142</v>
      </c>
      <c r="F92" s="37" t="s">
        <v>144</v>
      </c>
      <c r="G92" s="34">
        <v>0</v>
      </c>
      <c r="H92" s="27" t="s">
        <v>142</v>
      </c>
    </row>
    <row r="93" spans="1:8" x14ac:dyDescent="0.2">
      <c r="A93" s="25"/>
      <c r="B93" s="25"/>
      <c r="C93" s="35"/>
      <c r="D93" s="25"/>
      <c r="E93" s="25"/>
      <c r="F93" s="36"/>
      <c r="G93" s="36"/>
      <c r="H93" s="27" t="s">
        <v>142</v>
      </c>
    </row>
    <row r="94" spans="1:8" x14ac:dyDescent="0.2">
      <c r="A94" s="25"/>
      <c r="B94" s="25"/>
      <c r="C94" s="26" t="s">
        <v>148</v>
      </c>
      <c r="D94" s="25"/>
      <c r="E94" s="25"/>
      <c r="F94" s="36"/>
      <c r="G94" s="36"/>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8" x14ac:dyDescent="0.2">
      <c r="A97" s="25"/>
      <c r="B97" s="25"/>
      <c r="C97" s="26" t="s">
        <v>149</v>
      </c>
      <c r="D97" s="25"/>
      <c r="E97" s="25"/>
      <c r="F97" s="33">
        <v>1137046.0067371</v>
      </c>
      <c r="G97" s="34">
        <v>0.92109596000000005</v>
      </c>
      <c r="H97" s="27" t="s">
        <v>142</v>
      </c>
    </row>
    <row r="98" spans="1:8" x14ac:dyDescent="0.2">
      <c r="A98" s="25"/>
      <c r="B98" s="25"/>
      <c r="C98" s="35"/>
      <c r="D98" s="25"/>
      <c r="E98" s="25"/>
      <c r="F98" s="36"/>
      <c r="G98" s="36"/>
      <c r="H98" s="27" t="s">
        <v>142</v>
      </c>
    </row>
    <row r="99" spans="1:8" x14ac:dyDescent="0.2">
      <c r="A99" s="25"/>
      <c r="B99" s="25"/>
      <c r="C99" s="26" t="s">
        <v>150</v>
      </c>
      <c r="D99" s="25"/>
      <c r="E99" s="25"/>
      <c r="F99" s="36"/>
      <c r="G99" s="36"/>
      <c r="H99" s="27" t="s">
        <v>142</v>
      </c>
    </row>
    <row r="100" spans="1:8" x14ac:dyDescent="0.2">
      <c r="A100" s="25"/>
      <c r="B100" s="25"/>
      <c r="C100" s="26" t="s">
        <v>10</v>
      </c>
      <c r="D100" s="25"/>
      <c r="E100" s="25"/>
      <c r="F100" s="36"/>
      <c r="G100" s="36"/>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151</v>
      </c>
      <c r="D103" s="25"/>
      <c r="E103" s="25"/>
      <c r="F103" s="25"/>
      <c r="G103" s="25"/>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152</v>
      </c>
      <c r="D106" s="25"/>
      <c r="E106" s="25"/>
      <c r="F106" s="25"/>
      <c r="G106" s="25"/>
      <c r="H106" s="27" t="s">
        <v>142</v>
      </c>
    </row>
    <row r="107" spans="1:8" x14ac:dyDescent="0.2">
      <c r="A107" s="25"/>
      <c r="B107" s="25"/>
      <c r="C107" s="26" t="s">
        <v>141</v>
      </c>
      <c r="D107" s="25"/>
      <c r="E107" s="25" t="s">
        <v>142</v>
      </c>
      <c r="F107" s="37" t="s">
        <v>144</v>
      </c>
      <c r="G107" s="34">
        <v>0</v>
      </c>
      <c r="H107" s="27" t="s">
        <v>142</v>
      </c>
    </row>
    <row r="108" spans="1:8" x14ac:dyDescent="0.2">
      <c r="A108" s="25"/>
      <c r="B108" s="25"/>
      <c r="C108" s="35"/>
      <c r="D108" s="25"/>
      <c r="E108" s="25"/>
      <c r="F108" s="36"/>
      <c r="G108" s="36"/>
      <c r="H108" s="27" t="s">
        <v>142</v>
      </c>
    </row>
    <row r="109" spans="1:8" x14ac:dyDescent="0.2">
      <c r="A109" s="25"/>
      <c r="B109" s="25"/>
      <c r="C109" s="26" t="s">
        <v>153</v>
      </c>
      <c r="D109" s="25"/>
      <c r="E109" s="25"/>
      <c r="F109" s="36"/>
      <c r="G109" s="36"/>
      <c r="H109" s="27" t="s">
        <v>142</v>
      </c>
    </row>
    <row r="110" spans="1:8" x14ac:dyDescent="0.2">
      <c r="A110" s="25"/>
      <c r="B110" s="25"/>
      <c r="C110" s="26" t="s">
        <v>141</v>
      </c>
      <c r="D110" s="25"/>
      <c r="E110" s="25" t="s">
        <v>142</v>
      </c>
      <c r="F110" s="37" t="s">
        <v>144</v>
      </c>
      <c r="G110" s="34">
        <v>0</v>
      </c>
      <c r="H110" s="27" t="s">
        <v>142</v>
      </c>
    </row>
    <row r="111" spans="1:8" x14ac:dyDescent="0.2">
      <c r="A111" s="25"/>
      <c r="B111" s="25"/>
      <c r="C111" s="35"/>
      <c r="D111" s="25"/>
      <c r="E111" s="25"/>
      <c r="F111" s="36"/>
      <c r="G111" s="36"/>
      <c r="H111" s="27" t="s">
        <v>142</v>
      </c>
    </row>
    <row r="112" spans="1:8" x14ac:dyDescent="0.2">
      <c r="A112" s="25"/>
      <c r="B112" s="25"/>
      <c r="C112" s="26" t="s">
        <v>154</v>
      </c>
      <c r="D112" s="25"/>
      <c r="E112" s="25"/>
      <c r="F112" s="33">
        <v>0</v>
      </c>
      <c r="G112" s="34">
        <v>0</v>
      </c>
      <c r="H112" s="27" t="s">
        <v>142</v>
      </c>
    </row>
    <row r="113" spans="1:8" x14ac:dyDescent="0.2">
      <c r="A113" s="25"/>
      <c r="B113" s="25"/>
      <c r="C113" s="35"/>
      <c r="D113" s="25"/>
      <c r="E113" s="25"/>
      <c r="F113" s="36"/>
      <c r="G113" s="36"/>
      <c r="H113" s="27" t="s">
        <v>142</v>
      </c>
    </row>
    <row r="114" spans="1:8" x14ac:dyDescent="0.2">
      <c r="A114" s="25"/>
      <c r="B114" s="25"/>
      <c r="C114" s="26" t="s">
        <v>155</v>
      </c>
      <c r="D114" s="25"/>
      <c r="E114" s="25"/>
      <c r="F114" s="36"/>
      <c r="G114" s="36"/>
      <c r="H114" s="27" t="s">
        <v>142</v>
      </c>
    </row>
    <row r="115" spans="1:8" x14ac:dyDescent="0.2">
      <c r="A115" s="25"/>
      <c r="B115" s="25"/>
      <c r="C115" s="26" t="s">
        <v>156</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157</v>
      </c>
      <c r="D118" s="25"/>
      <c r="E118" s="25"/>
      <c r="F118" s="36"/>
      <c r="G118" s="36"/>
      <c r="H118" s="27" t="s">
        <v>142</v>
      </c>
    </row>
    <row r="119" spans="1:8" x14ac:dyDescent="0.2">
      <c r="A119" s="25"/>
      <c r="B119" s="25"/>
      <c r="C119" s="26" t="s">
        <v>141</v>
      </c>
      <c r="D119" s="25"/>
      <c r="E119" s="25" t="s">
        <v>142</v>
      </c>
      <c r="F119" s="37" t="s">
        <v>144</v>
      </c>
      <c r="G119" s="34">
        <v>0</v>
      </c>
      <c r="H119" s="27" t="s">
        <v>142</v>
      </c>
    </row>
    <row r="120" spans="1:8" x14ac:dyDescent="0.2">
      <c r="A120" s="25"/>
      <c r="B120" s="25"/>
      <c r="C120" s="35"/>
      <c r="D120" s="25"/>
      <c r="E120" s="25"/>
      <c r="F120" s="36"/>
      <c r="G120" s="36"/>
      <c r="H120" s="27" t="s">
        <v>142</v>
      </c>
    </row>
    <row r="121" spans="1:8" x14ac:dyDescent="0.2">
      <c r="A121" s="25"/>
      <c r="B121" s="25"/>
      <c r="C121" s="26" t="s">
        <v>158</v>
      </c>
      <c r="D121" s="25"/>
      <c r="E121" s="25"/>
      <c r="F121" s="36"/>
      <c r="G121" s="36"/>
      <c r="H121" s="27" t="s">
        <v>142</v>
      </c>
    </row>
    <row r="122" spans="1:8" x14ac:dyDescent="0.2">
      <c r="A122" s="25"/>
      <c r="B122" s="25"/>
      <c r="C122" s="26" t="s">
        <v>141</v>
      </c>
      <c r="D122" s="25"/>
      <c r="E122" s="25" t="s">
        <v>142</v>
      </c>
      <c r="F122" s="37" t="s">
        <v>144</v>
      </c>
      <c r="G122" s="34">
        <v>0</v>
      </c>
      <c r="H122" s="27" t="s">
        <v>142</v>
      </c>
    </row>
    <row r="123" spans="1:8" x14ac:dyDescent="0.2">
      <c r="A123" s="25"/>
      <c r="B123" s="25"/>
      <c r="C123" s="35"/>
      <c r="D123" s="25"/>
      <c r="E123" s="25"/>
      <c r="F123" s="36"/>
      <c r="G123" s="36"/>
      <c r="H123" s="27" t="s">
        <v>142</v>
      </c>
    </row>
    <row r="124" spans="1:8" x14ac:dyDescent="0.2">
      <c r="A124" s="25"/>
      <c r="B124" s="25"/>
      <c r="C124" s="26" t="s">
        <v>159</v>
      </c>
      <c r="D124" s="25"/>
      <c r="E124" s="25"/>
      <c r="F124" s="36"/>
      <c r="G124" s="36"/>
      <c r="H124" s="27" t="s">
        <v>142</v>
      </c>
    </row>
    <row r="125" spans="1:8" x14ac:dyDescent="0.2">
      <c r="A125" s="28">
        <v>1</v>
      </c>
      <c r="B125" s="29"/>
      <c r="C125" s="29" t="s">
        <v>160</v>
      </c>
      <c r="D125" s="29"/>
      <c r="E125" s="39"/>
      <c r="F125" s="31">
        <v>79612.476700957006</v>
      </c>
      <c r="G125" s="32">
        <v>6.4492309999999997E-2</v>
      </c>
      <c r="H125" s="27">
        <v>5.76</v>
      </c>
    </row>
    <row r="126" spans="1:8" x14ac:dyDescent="0.2">
      <c r="A126" s="25"/>
      <c r="B126" s="25"/>
      <c r="C126" s="26" t="s">
        <v>141</v>
      </c>
      <c r="D126" s="25"/>
      <c r="E126" s="25" t="s">
        <v>142</v>
      </c>
      <c r="F126" s="33">
        <v>79612.476700957006</v>
      </c>
      <c r="G126" s="34">
        <v>6.4492309999999997E-2</v>
      </c>
      <c r="H126" s="27" t="s">
        <v>142</v>
      </c>
    </row>
    <row r="127" spans="1:8" x14ac:dyDescent="0.2">
      <c r="A127" s="25"/>
      <c r="B127" s="25"/>
      <c r="C127" s="35"/>
      <c r="D127" s="25"/>
      <c r="E127" s="25"/>
      <c r="F127" s="36"/>
      <c r="G127" s="36"/>
      <c r="H127" s="27" t="s">
        <v>142</v>
      </c>
    </row>
    <row r="128" spans="1:8" x14ac:dyDescent="0.2">
      <c r="A128" s="25"/>
      <c r="B128" s="25"/>
      <c r="C128" s="26" t="s">
        <v>161</v>
      </c>
      <c r="D128" s="25"/>
      <c r="E128" s="25"/>
      <c r="F128" s="33">
        <v>79612.476700957006</v>
      </c>
      <c r="G128" s="34">
        <v>6.4492309999999997E-2</v>
      </c>
      <c r="H128" s="27" t="s">
        <v>142</v>
      </c>
    </row>
    <row r="129" spans="1:8" x14ac:dyDescent="0.2">
      <c r="A129" s="25"/>
      <c r="B129" s="25"/>
      <c r="C129" s="36"/>
      <c r="D129" s="25"/>
      <c r="E129" s="25"/>
      <c r="F129" s="25"/>
      <c r="G129" s="25"/>
      <c r="H129" s="27" t="s">
        <v>142</v>
      </c>
    </row>
    <row r="130" spans="1:8" x14ac:dyDescent="0.2">
      <c r="A130" s="25"/>
      <c r="B130" s="25"/>
      <c r="C130" s="26" t="s">
        <v>162</v>
      </c>
      <c r="D130" s="25"/>
      <c r="E130" s="25"/>
      <c r="F130" s="25"/>
      <c r="G130" s="25"/>
      <c r="H130" s="27" t="s">
        <v>142</v>
      </c>
    </row>
    <row r="131" spans="1:8" x14ac:dyDescent="0.2">
      <c r="A131" s="25"/>
      <c r="B131" s="25"/>
      <c r="C131" s="26" t="s">
        <v>163</v>
      </c>
      <c r="D131" s="25"/>
      <c r="E131" s="25"/>
      <c r="F131" s="25"/>
      <c r="G131" s="25"/>
      <c r="H131" s="27" t="s">
        <v>142</v>
      </c>
    </row>
    <row r="132" spans="1:8" x14ac:dyDescent="0.2">
      <c r="A132" s="28">
        <v>1</v>
      </c>
      <c r="B132" s="29" t="s">
        <v>315</v>
      </c>
      <c r="C132" s="38" t="s">
        <v>891</v>
      </c>
      <c r="D132" s="29"/>
      <c r="E132" s="69">
        <v>231364.02650000001</v>
      </c>
      <c r="F132" s="31">
        <v>5363.769373264</v>
      </c>
      <c r="G132" s="32">
        <v>4.3450700000000004E-3</v>
      </c>
      <c r="H132" s="27" t="s">
        <v>142</v>
      </c>
    </row>
    <row r="133" spans="1:8" x14ac:dyDescent="0.2">
      <c r="A133" s="25"/>
      <c r="B133" s="25"/>
      <c r="C133" s="26" t="s">
        <v>141</v>
      </c>
      <c r="D133" s="25"/>
      <c r="E133" s="25" t="s">
        <v>142</v>
      </c>
      <c r="F133" s="33">
        <v>5363.769373264</v>
      </c>
      <c r="G133" s="34">
        <v>4.3450700000000004E-3</v>
      </c>
      <c r="H133" s="27" t="s">
        <v>142</v>
      </c>
    </row>
    <row r="134" spans="1:8" x14ac:dyDescent="0.2">
      <c r="A134" s="25"/>
      <c r="B134" s="25"/>
      <c r="C134" s="35"/>
      <c r="D134" s="25"/>
      <c r="E134" s="25"/>
      <c r="F134" s="36"/>
      <c r="G134" s="36"/>
      <c r="H134" s="27" t="s">
        <v>142</v>
      </c>
    </row>
    <row r="135" spans="1:8" x14ac:dyDescent="0.2">
      <c r="A135" s="25"/>
      <c r="B135" s="25"/>
      <c r="C135" s="26" t="s">
        <v>164</v>
      </c>
      <c r="D135" s="25"/>
      <c r="E135" s="25"/>
      <c r="F135" s="25"/>
      <c r="G135" s="25"/>
      <c r="H135" s="27" t="s">
        <v>142</v>
      </c>
    </row>
    <row r="136" spans="1:8" x14ac:dyDescent="0.2">
      <c r="A136" s="25"/>
      <c r="B136" s="25"/>
      <c r="C136" s="26" t="s">
        <v>165</v>
      </c>
      <c r="D136" s="25"/>
      <c r="E136" s="25"/>
      <c r="F136" s="25"/>
      <c r="G136" s="25"/>
      <c r="H136" s="27" t="s">
        <v>142</v>
      </c>
    </row>
    <row r="137" spans="1:8" x14ac:dyDescent="0.2">
      <c r="A137" s="25"/>
      <c r="B137" s="25"/>
      <c r="C137" s="26" t="s">
        <v>141</v>
      </c>
      <c r="D137" s="25"/>
      <c r="E137" s="25" t="s">
        <v>142</v>
      </c>
      <c r="F137" s="37" t="s">
        <v>144</v>
      </c>
      <c r="G137" s="34">
        <v>0</v>
      </c>
      <c r="H137" s="27" t="s">
        <v>142</v>
      </c>
    </row>
    <row r="138" spans="1:8" x14ac:dyDescent="0.2">
      <c r="A138" s="25"/>
      <c r="B138" s="25"/>
      <c r="C138" s="35"/>
      <c r="D138" s="25"/>
      <c r="E138" s="25"/>
      <c r="F138" s="36"/>
      <c r="G138" s="36"/>
      <c r="H138" s="27" t="s">
        <v>142</v>
      </c>
    </row>
    <row r="139" spans="1:8" x14ac:dyDescent="0.2">
      <c r="A139" s="25"/>
      <c r="B139" s="25"/>
      <c r="C139" s="26" t="s">
        <v>166</v>
      </c>
      <c r="D139" s="25"/>
      <c r="E139" s="25"/>
      <c r="F139" s="36"/>
      <c r="G139" s="36"/>
      <c r="H139" s="27" t="s">
        <v>142</v>
      </c>
    </row>
    <row r="140" spans="1:8" x14ac:dyDescent="0.2">
      <c r="A140" s="25"/>
      <c r="B140" s="25"/>
      <c r="C140" s="26" t="s">
        <v>141</v>
      </c>
      <c r="D140" s="25"/>
      <c r="E140" s="25" t="s">
        <v>142</v>
      </c>
      <c r="F140" s="37" t="s">
        <v>144</v>
      </c>
      <c r="G140" s="34">
        <v>0</v>
      </c>
      <c r="H140" s="27" t="s">
        <v>142</v>
      </c>
    </row>
    <row r="141" spans="1:8" x14ac:dyDescent="0.2">
      <c r="A141" s="25"/>
      <c r="B141" s="25"/>
      <c r="C141" s="35"/>
      <c r="D141" s="25"/>
      <c r="E141" s="25"/>
      <c r="F141" s="36"/>
      <c r="G141" s="36"/>
      <c r="H141" s="27" t="s">
        <v>142</v>
      </c>
    </row>
    <row r="142" spans="1:8" x14ac:dyDescent="0.2">
      <c r="A142" s="39"/>
      <c r="B142" s="29"/>
      <c r="C142" s="29" t="s">
        <v>167</v>
      </c>
      <c r="D142" s="29"/>
      <c r="E142" s="39"/>
      <c r="F142" s="31">
        <v>12426.849747210001</v>
      </c>
      <c r="G142" s="32">
        <v>1.0066719999999999E-2</v>
      </c>
      <c r="H142" s="27" t="s">
        <v>142</v>
      </c>
    </row>
    <row r="143" spans="1:8" x14ac:dyDescent="0.2">
      <c r="A143" s="35"/>
      <c r="B143" s="35"/>
      <c r="C143" s="26" t="s">
        <v>168</v>
      </c>
      <c r="D143" s="36"/>
      <c r="E143" s="36"/>
      <c r="F143" s="33">
        <v>1234449.1025585311</v>
      </c>
      <c r="G143" s="40">
        <v>1.0000000600000001</v>
      </c>
      <c r="H143" s="27" t="s">
        <v>142</v>
      </c>
    </row>
    <row r="144" spans="1:8" x14ac:dyDescent="0.2">
      <c r="A144" s="41"/>
      <c r="B144" s="41"/>
      <c r="C144" s="41"/>
      <c r="D144" s="42"/>
      <c r="E144" s="42"/>
      <c r="F144" s="42"/>
      <c r="G144" s="42"/>
    </row>
    <row r="145" spans="1:17" x14ac:dyDescent="0.2">
      <c r="A145" s="43"/>
      <c r="B145" s="210" t="s">
        <v>879</v>
      </c>
      <c r="C145" s="210"/>
      <c r="D145" s="210"/>
      <c r="E145" s="210"/>
      <c r="F145" s="210"/>
      <c r="G145" s="210"/>
      <c r="H145" s="210"/>
      <c r="J145" s="45"/>
    </row>
    <row r="146" spans="1:17" x14ac:dyDescent="0.2">
      <c r="A146" s="43"/>
      <c r="B146" s="210" t="s">
        <v>880</v>
      </c>
      <c r="C146" s="210"/>
      <c r="D146" s="210"/>
      <c r="E146" s="210"/>
      <c r="F146" s="210"/>
      <c r="G146" s="210"/>
      <c r="H146" s="210"/>
      <c r="J146" s="45"/>
    </row>
    <row r="147" spans="1:17" x14ac:dyDescent="0.2">
      <c r="A147" s="43"/>
      <c r="B147" s="210" t="s">
        <v>881</v>
      </c>
      <c r="C147" s="210"/>
      <c r="D147" s="210"/>
      <c r="E147" s="210"/>
      <c r="F147" s="210"/>
      <c r="G147" s="210"/>
      <c r="H147" s="210"/>
      <c r="J147" s="45"/>
    </row>
    <row r="148" spans="1:17" s="47" customFormat="1" ht="66.75" customHeight="1" x14ac:dyDescent="0.25">
      <c r="A148" s="46"/>
      <c r="B148" s="211" t="s">
        <v>882</v>
      </c>
      <c r="C148" s="211"/>
      <c r="D148" s="211"/>
      <c r="E148" s="211"/>
      <c r="F148" s="211"/>
      <c r="G148" s="211"/>
      <c r="H148" s="211"/>
      <c r="I148"/>
      <c r="J148" s="45"/>
      <c r="K148"/>
      <c r="L148"/>
      <c r="M148"/>
      <c r="N148"/>
      <c r="O148"/>
      <c r="P148"/>
      <c r="Q148"/>
    </row>
    <row r="149" spans="1:17" x14ac:dyDescent="0.2">
      <c r="A149" s="43"/>
      <c r="B149" s="210" t="s">
        <v>883</v>
      </c>
      <c r="C149" s="210"/>
      <c r="D149" s="210"/>
      <c r="E149" s="210"/>
      <c r="F149" s="210"/>
      <c r="G149" s="210"/>
      <c r="H149" s="210"/>
      <c r="J149" s="45"/>
    </row>
    <row r="150" spans="1:17" x14ac:dyDescent="0.2">
      <c r="A150" s="48"/>
      <c r="B150" s="48"/>
      <c r="C150" s="48"/>
      <c r="D150" s="49"/>
      <c r="E150" s="49"/>
      <c r="F150" s="49"/>
      <c r="G150" s="49"/>
    </row>
    <row r="151" spans="1:17" x14ac:dyDescent="0.2">
      <c r="A151" s="48"/>
      <c r="B151" s="212" t="s">
        <v>169</v>
      </c>
      <c r="C151" s="213"/>
      <c r="D151" s="214"/>
      <c r="E151" s="50"/>
      <c r="F151" s="49"/>
      <c r="G151" s="49"/>
    </row>
    <row r="152" spans="1:17" ht="27.75" customHeight="1" x14ac:dyDescent="0.2">
      <c r="A152" s="48"/>
      <c r="B152" s="215" t="s">
        <v>170</v>
      </c>
      <c r="C152" s="216"/>
      <c r="D152" s="26" t="s">
        <v>171</v>
      </c>
      <c r="E152" s="50"/>
      <c r="F152" s="49"/>
      <c r="G152" s="49"/>
    </row>
    <row r="153" spans="1:17" ht="12.75" customHeight="1" x14ac:dyDescent="0.2">
      <c r="A153" s="43"/>
      <c r="B153" s="217" t="s">
        <v>884</v>
      </c>
      <c r="C153" s="218"/>
      <c r="D153" s="26" t="s">
        <v>171</v>
      </c>
      <c r="E153" s="52"/>
      <c r="F153" s="53"/>
      <c r="G153" s="53"/>
    </row>
    <row r="154" spans="1:17" x14ac:dyDescent="0.2">
      <c r="A154" s="48"/>
      <c r="B154" s="215" t="s">
        <v>172</v>
      </c>
      <c r="C154" s="216"/>
      <c r="D154" s="36" t="s">
        <v>142</v>
      </c>
      <c r="E154" s="50"/>
      <c r="F154" s="49"/>
      <c r="G154" s="49"/>
    </row>
    <row r="155" spans="1:17" x14ac:dyDescent="0.2">
      <c r="A155" s="54"/>
      <c r="B155" s="55" t="s">
        <v>142</v>
      </c>
      <c r="C155" s="55" t="s">
        <v>885</v>
      </c>
      <c r="D155" s="55" t="s">
        <v>173</v>
      </c>
      <c r="E155" s="54"/>
      <c r="F155" s="54"/>
      <c r="G155" s="54"/>
      <c r="H155" s="54"/>
      <c r="J155" s="45"/>
    </row>
    <row r="156" spans="1:17" x14ac:dyDescent="0.2">
      <c r="A156" s="54"/>
      <c r="B156" s="56" t="s">
        <v>174</v>
      </c>
      <c r="C156" s="57">
        <v>45777</v>
      </c>
      <c r="D156" s="57">
        <v>45808</v>
      </c>
      <c r="E156" s="54"/>
      <c r="F156" s="54"/>
      <c r="G156" s="54"/>
      <c r="J156" s="45"/>
    </row>
    <row r="157" spans="1:17" x14ac:dyDescent="0.2">
      <c r="A157" s="58"/>
      <c r="B157" s="29" t="s">
        <v>175</v>
      </c>
      <c r="C157" s="59">
        <v>1386.8087</v>
      </c>
      <c r="D157" s="59">
        <v>1465.7248</v>
      </c>
      <c r="E157" s="58"/>
      <c r="F157" s="60"/>
      <c r="G157" s="61"/>
    </row>
    <row r="158" spans="1:17" x14ac:dyDescent="0.2">
      <c r="A158" s="58"/>
      <c r="B158" s="29" t="s">
        <v>1065</v>
      </c>
      <c r="C158" s="59">
        <v>69.838200000000001</v>
      </c>
      <c r="D158" s="59">
        <v>73.812299999999993</v>
      </c>
      <c r="E158" s="58"/>
      <c r="F158" s="60"/>
      <c r="G158" s="61"/>
    </row>
    <row r="159" spans="1:17" x14ac:dyDescent="0.2">
      <c r="A159" s="58"/>
      <c r="B159" s="29" t="s">
        <v>177</v>
      </c>
      <c r="C159" s="59">
        <v>1272.3634999999999</v>
      </c>
      <c r="D159" s="59">
        <v>1343.8307</v>
      </c>
      <c r="E159" s="58"/>
      <c r="F159" s="60"/>
      <c r="G159" s="61"/>
    </row>
    <row r="160" spans="1:17" x14ac:dyDescent="0.2">
      <c r="A160" s="58"/>
      <c r="B160" s="29" t="s">
        <v>1066</v>
      </c>
      <c r="C160" s="59">
        <v>63.176699999999997</v>
      </c>
      <c r="D160" s="59">
        <v>66.725300000000004</v>
      </c>
      <c r="E160" s="58"/>
      <c r="F160" s="60"/>
      <c r="G160" s="61"/>
    </row>
    <row r="161" spans="1:7" x14ac:dyDescent="0.2">
      <c r="A161" s="58"/>
      <c r="B161" s="58"/>
      <c r="C161" s="58"/>
      <c r="D161" s="58"/>
      <c r="E161" s="58"/>
      <c r="F161" s="58"/>
      <c r="G161" s="58"/>
    </row>
    <row r="162" spans="1:7" x14ac:dyDescent="0.2">
      <c r="A162" s="54"/>
      <c r="B162" s="217" t="s">
        <v>887</v>
      </c>
      <c r="C162" s="218"/>
      <c r="D162" s="51" t="s">
        <v>171</v>
      </c>
      <c r="E162" s="54"/>
      <c r="F162" s="54"/>
      <c r="G162" s="54"/>
    </row>
    <row r="163" spans="1:7" x14ac:dyDescent="0.2">
      <c r="A163" s="54"/>
      <c r="B163" s="70"/>
      <c r="C163" s="70"/>
      <c r="D163" s="70"/>
      <c r="E163" s="54"/>
      <c r="F163" s="54"/>
      <c r="G163" s="54"/>
    </row>
    <row r="164" spans="1:7" x14ac:dyDescent="0.2">
      <c r="A164" s="54"/>
      <c r="B164" s="217" t="s">
        <v>180</v>
      </c>
      <c r="C164" s="218"/>
      <c r="D164" s="51" t="s">
        <v>171</v>
      </c>
      <c r="E164" s="70"/>
      <c r="F164" s="70"/>
      <c r="G164" s="70"/>
    </row>
    <row r="165" spans="1:7" x14ac:dyDescent="0.2">
      <c r="A165" s="54"/>
      <c r="B165" s="217" t="s">
        <v>181</v>
      </c>
      <c r="C165" s="218"/>
      <c r="D165" s="51" t="s">
        <v>171</v>
      </c>
      <c r="E165" s="54"/>
      <c r="F165" s="54"/>
      <c r="G165" s="54"/>
    </row>
    <row r="166" spans="1:7" x14ac:dyDescent="0.2">
      <c r="A166" s="54"/>
      <c r="B166" s="217" t="s">
        <v>182</v>
      </c>
      <c r="C166" s="218"/>
      <c r="D166" s="51" t="s">
        <v>171</v>
      </c>
      <c r="E166" s="65"/>
      <c r="F166" s="54"/>
      <c r="G166" s="54"/>
    </row>
    <row r="167" spans="1:7" x14ac:dyDescent="0.2">
      <c r="A167" s="54"/>
      <c r="B167" s="217" t="s">
        <v>183</v>
      </c>
      <c r="C167" s="218"/>
      <c r="D167" s="66">
        <v>0.51637157552894641</v>
      </c>
      <c r="E167" s="65"/>
      <c r="F167" s="54"/>
      <c r="G167" s="54"/>
    </row>
    <row r="169" spans="1:7" x14ac:dyDescent="0.2">
      <c r="B169" s="219" t="s">
        <v>888</v>
      </c>
      <c r="C169" s="219"/>
    </row>
    <row r="171" spans="1:7" ht="153.75" customHeight="1" x14ac:dyDescent="0.2">
      <c r="B171" s="67"/>
      <c r="C171" s="68"/>
      <c r="D171" s="67"/>
    </row>
    <row r="172" spans="1:7" x14ac:dyDescent="0.2">
      <c r="B172" s="67"/>
      <c r="D172" s="67"/>
    </row>
    <row r="173" spans="1:7" x14ac:dyDescent="0.2">
      <c r="B173" s="67" t="s">
        <v>889</v>
      </c>
      <c r="C173" s="68"/>
      <c r="D173" s="67" t="s">
        <v>892</v>
      </c>
    </row>
    <row r="174" spans="1:7" x14ac:dyDescent="0.2">
      <c r="B174" s="67" t="s">
        <v>893</v>
      </c>
      <c r="D174" s="67" t="s">
        <v>894</v>
      </c>
    </row>
  </sheetData>
  <mergeCells count="18">
    <mergeCell ref="B169:C169"/>
    <mergeCell ref="B162:C162"/>
    <mergeCell ref="B166:C166"/>
    <mergeCell ref="B167:C167"/>
    <mergeCell ref="B164:C164"/>
    <mergeCell ref="B165:C165"/>
    <mergeCell ref="A1:H1"/>
    <mergeCell ref="A2:H2"/>
    <mergeCell ref="A3:H3"/>
    <mergeCell ref="B145:H145"/>
    <mergeCell ref="B146:H146"/>
    <mergeCell ref="B153:C153"/>
    <mergeCell ref="B154:C154"/>
    <mergeCell ref="B147:H147"/>
    <mergeCell ref="B148:H148"/>
    <mergeCell ref="B149:H149"/>
    <mergeCell ref="B151:D151"/>
    <mergeCell ref="B152:C152"/>
  </mergeCells>
  <hyperlinks>
    <hyperlink ref="I1" location="Index!B2" display="Index" xr:uid="{D6E04788-54EC-4676-8282-A9546D1D1E0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A0FA-F5DB-4CC9-997F-180DA6733C5C}">
  <sheetPr>
    <outlinePr summaryBelow="0" summaryRight="0"/>
  </sheetPr>
  <dimension ref="A1:Q217"/>
  <sheetViews>
    <sheetView showGridLines="0" workbookViewId="0">
      <selection activeCell="D152" sqref="D152"/>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316</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1940000</v>
      </c>
      <c r="F7" s="31">
        <v>37731.06</v>
      </c>
      <c r="G7" s="32">
        <v>5.6559749999999999E-2</v>
      </c>
      <c r="H7" s="27" t="s">
        <v>142</v>
      </c>
    </row>
    <row r="8" spans="1:9" x14ac:dyDescent="0.2">
      <c r="A8" s="28">
        <v>2</v>
      </c>
      <c r="B8" s="29" t="s">
        <v>26</v>
      </c>
      <c r="C8" s="29" t="s">
        <v>27</v>
      </c>
      <c r="D8" s="29" t="s">
        <v>28</v>
      </c>
      <c r="E8" s="30">
        <v>2100000</v>
      </c>
      <c r="F8" s="31">
        <v>30361.8</v>
      </c>
      <c r="G8" s="32">
        <v>4.5513049999999999E-2</v>
      </c>
      <c r="H8" s="27" t="s">
        <v>142</v>
      </c>
    </row>
    <row r="9" spans="1:9" x14ac:dyDescent="0.2">
      <c r="A9" s="28">
        <v>3</v>
      </c>
      <c r="B9" s="29" t="s">
        <v>14</v>
      </c>
      <c r="C9" s="29" t="s">
        <v>15</v>
      </c>
      <c r="D9" s="29" t="s">
        <v>16</v>
      </c>
      <c r="E9" s="30">
        <v>2075000</v>
      </c>
      <c r="F9" s="31">
        <v>29483.674999999999</v>
      </c>
      <c r="G9" s="32">
        <v>4.4196720000000002E-2</v>
      </c>
      <c r="H9" s="27" t="s">
        <v>142</v>
      </c>
    </row>
    <row r="10" spans="1:9" x14ac:dyDescent="0.2">
      <c r="A10" s="28">
        <v>4</v>
      </c>
      <c r="B10" s="29" t="s">
        <v>46</v>
      </c>
      <c r="C10" s="29" t="s">
        <v>47</v>
      </c>
      <c r="D10" s="29" t="s">
        <v>28</v>
      </c>
      <c r="E10" s="30">
        <v>2375000</v>
      </c>
      <c r="F10" s="31">
        <v>19292.125</v>
      </c>
      <c r="G10" s="32">
        <v>2.891935E-2</v>
      </c>
      <c r="H10" s="27" t="s">
        <v>142</v>
      </c>
    </row>
    <row r="11" spans="1:9" x14ac:dyDescent="0.2">
      <c r="A11" s="28">
        <v>5</v>
      </c>
      <c r="B11" s="29" t="s">
        <v>11</v>
      </c>
      <c r="C11" s="29" t="s">
        <v>12</v>
      </c>
      <c r="D11" s="29" t="s">
        <v>13</v>
      </c>
      <c r="E11" s="30">
        <v>900000</v>
      </c>
      <c r="F11" s="31">
        <v>16705.8</v>
      </c>
      <c r="G11" s="32">
        <v>2.5042390000000001E-2</v>
      </c>
      <c r="H11" s="27" t="s">
        <v>142</v>
      </c>
    </row>
    <row r="12" spans="1:9" x14ac:dyDescent="0.2">
      <c r="A12" s="28">
        <v>6</v>
      </c>
      <c r="B12" s="29" t="s">
        <v>319</v>
      </c>
      <c r="C12" s="29" t="s">
        <v>320</v>
      </c>
      <c r="D12" s="29" t="s">
        <v>28</v>
      </c>
      <c r="E12" s="30">
        <v>1400000</v>
      </c>
      <c r="F12" s="31">
        <v>16690.8</v>
      </c>
      <c r="G12" s="32">
        <v>2.5019900000000001E-2</v>
      </c>
      <c r="H12" s="27" t="s">
        <v>142</v>
      </c>
    </row>
    <row r="13" spans="1:9" x14ac:dyDescent="0.2">
      <c r="A13" s="28">
        <v>7</v>
      </c>
      <c r="B13" s="29" t="s">
        <v>321</v>
      </c>
      <c r="C13" s="29" t="s">
        <v>322</v>
      </c>
      <c r="D13" s="29" t="s">
        <v>28</v>
      </c>
      <c r="E13" s="30">
        <v>700000</v>
      </c>
      <c r="F13" s="31">
        <v>14522.9</v>
      </c>
      <c r="G13" s="32">
        <v>2.1770169999999998E-2</v>
      </c>
      <c r="H13" s="27" t="s">
        <v>142</v>
      </c>
    </row>
    <row r="14" spans="1:9" x14ac:dyDescent="0.2">
      <c r="A14" s="28">
        <v>8</v>
      </c>
      <c r="B14" s="29" t="s">
        <v>59</v>
      </c>
      <c r="C14" s="29" t="s">
        <v>60</v>
      </c>
      <c r="D14" s="29" t="s">
        <v>61</v>
      </c>
      <c r="E14" s="30">
        <v>210000</v>
      </c>
      <c r="F14" s="31">
        <v>13632.15</v>
      </c>
      <c r="G14" s="32">
        <v>2.0434910000000001E-2</v>
      </c>
      <c r="H14" s="27" t="s">
        <v>142</v>
      </c>
    </row>
    <row r="15" spans="1:9" x14ac:dyDescent="0.2">
      <c r="A15" s="28">
        <v>9</v>
      </c>
      <c r="B15" s="29" t="s">
        <v>17</v>
      </c>
      <c r="C15" s="29" t="s">
        <v>18</v>
      </c>
      <c r="D15" s="29" t="s">
        <v>19</v>
      </c>
      <c r="E15" s="30">
        <v>352500</v>
      </c>
      <c r="F15" s="31">
        <v>12954.727500000001</v>
      </c>
      <c r="G15" s="32">
        <v>1.941944E-2</v>
      </c>
      <c r="H15" s="27" t="s">
        <v>142</v>
      </c>
    </row>
    <row r="16" spans="1:9" ht="25.5" x14ac:dyDescent="0.2">
      <c r="A16" s="28">
        <v>10</v>
      </c>
      <c r="B16" s="29" t="s">
        <v>220</v>
      </c>
      <c r="C16" s="29" t="s">
        <v>221</v>
      </c>
      <c r="D16" s="29" t="s">
        <v>194</v>
      </c>
      <c r="E16" s="30">
        <v>252570</v>
      </c>
      <c r="F16" s="31">
        <v>12877.28145</v>
      </c>
      <c r="G16" s="32">
        <v>1.930335E-2</v>
      </c>
      <c r="H16" s="27" t="s">
        <v>142</v>
      </c>
    </row>
    <row r="17" spans="1:8" x14ac:dyDescent="0.2">
      <c r="A17" s="28">
        <v>11</v>
      </c>
      <c r="B17" s="29" t="s">
        <v>323</v>
      </c>
      <c r="C17" s="29" t="s">
        <v>324</v>
      </c>
      <c r="D17" s="29" t="s">
        <v>200</v>
      </c>
      <c r="E17" s="30">
        <v>800000</v>
      </c>
      <c r="F17" s="31">
        <v>12501.6</v>
      </c>
      <c r="G17" s="32">
        <v>1.874019E-2</v>
      </c>
      <c r="H17" s="27" t="s">
        <v>142</v>
      </c>
    </row>
    <row r="18" spans="1:8" ht="25.5" x14ac:dyDescent="0.2">
      <c r="A18" s="28">
        <v>12</v>
      </c>
      <c r="B18" s="29" t="s">
        <v>201</v>
      </c>
      <c r="C18" s="29" t="s">
        <v>202</v>
      </c>
      <c r="D18" s="29" t="s">
        <v>203</v>
      </c>
      <c r="E18" s="30">
        <v>1700000</v>
      </c>
      <c r="F18" s="31">
        <v>12179.65</v>
      </c>
      <c r="G18" s="32">
        <v>1.8257579999999999E-2</v>
      </c>
      <c r="H18" s="27" t="s">
        <v>142</v>
      </c>
    </row>
    <row r="19" spans="1:8" x14ac:dyDescent="0.2">
      <c r="A19" s="28">
        <v>13</v>
      </c>
      <c r="B19" s="29" t="s">
        <v>280</v>
      </c>
      <c r="C19" s="29" t="s">
        <v>281</v>
      </c>
      <c r="D19" s="29" t="s">
        <v>64</v>
      </c>
      <c r="E19" s="30">
        <v>1200000</v>
      </c>
      <c r="F19" s="31">
        <v>12079.8</v>
      </c>
      <c r="G19" s="32">
        <v>1.81079E-2</v>
      </c>
      <c r="H19" s="27" t="s">
        <v>142</v>
      </c>
    </row>
    <row r="20" spans="1:8" x14ac:dyDescent="0.2">
      <c r="A20" s="28">
        <v>14</v>
      </c>
      <c r="B20" s="29" t="s">
        <v>227</v>
      </c>
      <c r="C20" s="29" t="s">
        <v>228</v>
      </c>
      <c r="D20" s="29" t="s">
        <v>229</v>
      </c>
      <c r="E20" s="30">
        <v>1715000</v>
      </c>
      <c r="F20" s="31">
        <v>11242.682500000001</v>
      </c>
      <c r="G20" s="32">
        <v>1.6853050000000001E-2</v>
      </c>
      <c r="H20" s="27" t="s">
        <v>142</v>
      </c>
    </row>
    <row r="21" spans="1:8" x14ac:dyDescent="0.2">
      <c r="A21" s="28">
        <v>15</v>
      </c>
      <c r="B21" s="29" t="s">
        <v>325</v>
      </c>
      <c r="C21" s="29" t="s">
        <v>326</v>
      </c>
      <c r="D21" s="29" t="s">
        <v>28</v>
      </c>
      <c r="E21" s="30">
        <v>4100000</v>
      </c>
      <c r="F21" s="31">
        <v>10231.549999999999</v>
      </c>
      <c r="G21" s="32">
        <v>1.533733E-2</v>
      </c>
      <c r="H21" s="27" t="s">
        <v>142</v>
      </c>
    </row>
    <row r="22" spans="1:8" x14ac:dyDescent="0.2">
      <c r="A22" s="28">
        <v>16</v>
      </c>
      <c r="B22" s="29" t="s">
        <v>327</v>
      </c>
      <c r="C22" s="29" t="s">
        <v>328</v>
      </c>
      <c r="D22" s="29" t="s">
        <v>132</v>
      </c>
      <c r="E22" s="30">
        <v>110000</v>
      </c>
      <c r="F22" s="31">
        <v>10098.549999999999</v>
      </c>
      <c r="G22" s="32">
        <v>1.5137960000000001E-2</v>
      </c>
      <c r="H22" s="27" t="s">
        <v>142</v>
      </c>
    </row>
    <row r="23" spans="1:8" ht="25.5" x14ac:dyDescent="0.2">
      <c r="A23" s="28">
        <v>17</v>
      </c>
      <c r="B23" s="29" t="s">
        <v>23</v>
      </c>
      <c r="C23" s="29" t="s">
        <v>24</v>
      </c>
      <c r="D23" s="29" t="s">
        <v>25</v>
      </c>
      <c r="E23" s="30">
        <v>90000</v>
      </c>
      <c r="F23" s="31">
        <v>10089</v>
      </c>
      <c r="G23" s="32">
        <v>1.5123650000000001E-2</v>
      </c>
      <c r="H23" s="27" t="s">
        <v>142</v>
      </c>
    </row>
    <row r="24" spans="1:8" x14ac:dyDescent="0.2">
      <c r="A24" s="28">
        <v>18</v>
      </c>
      <c r="B24" s="29" t="s">
        <v>224</v>
      </c>
      <c r="C24" s="29" t="s">
        <v>225</v>
      </c>
      <c r="D24" s="29" t="s">
        <v>226</v>
      </c>
      <c r="E24" s="30">
        <v>500000</v>
      </c>
      <c r="F24" s="31">
        <v>9884</v>
      </c>
      <c r="G24" s="32">
        <v>1.4816350000000001E-2</v>
      </c>
      <c r="H24" s="27" t="s">
        <v>142</v>
      </c>
    </row>
    <row r="25" spans="1:8" x14ac:dyDescent="0.2">
      <c r="A25" s="28">
        <v>19</v>
      </c>
      <c r="B25" s="29" t="s">
        <v>204</v>
      </c>
      <c r="C25" s="29" t="s">
        <v>205</v>
      </c>
      <c r="D25" s="29" t="s">
        <v>16</v>
      </c>
      <c r="E25" s="30">
        <v>2302328</v>
      </c>
      <c r="F25" s="31">
        <v>9463.7192439999999</v>
      </c>
      <c r="G25" s="32">
        <v>1.418634E-2</v>
      </c>
      <c r="H25" s="27" t="s">
        <v>142</v>
      </c>
    </row>
    <row r="26" spans="1:8" ht="25.5" x14ac:dyDescent="0.2">
      <c r="A26" s="28">
        <v>20</v>
      </c>
      <c r="B26" s="29" t="s">
        <v>39</v>
      </c>
      <c r="C26" s="29" t="s">
        <v>40</v>
      </c>
      <c r="D26" s="29" t="s">
        <v>25</v>
      </c>
      <c r="E26" s="30">
        <v>170000</v>
      </c>
      <c r="F26" s="31">
        <v>9345.75</v>
      </c>
      <c r="G26" s="32">
        <v>1.4009499999999999E-2</v>
      </c>
      <c r="H26" s="27" t="s">
        <v>142</v>
      </c>
    </row>
    <row r="27" spans="1:8" x14ac:dyDescent="0.2">
      <c r="A27" s="28">
        <v>21</v>
      </c>
      <c r="B27" s="29" t="s">
        <v>52</v>
      </c>
      <c r="C27" s="29" t="s">
        <v>53</v>
      </c>
      <c r="D27" s="29" t="s">
        <v>13</v>
      </c>
      <c r="E27" s="30">
        <v>510243</v>
      </c>
      <c r="F27" s="31">
        <v>9341.0186009999998</v>
      </c>
      <c r="G27" s="32">
        <v>1.400241E-2</v>
      </c>
      <c r="H27" s="27" t="s">
        <v>142</v>
      </c>
    </row>
    <row r="28" spans="1:8" x14ac:dyDescent="0.2">
      <c r="A28" s="28">
        <v>22</v>
      </c>
      <c r="B28" s="29" t="s">
        <v>195</v>
      </c>
      <c r="C28" s="29" t="s">
        <v>196</v>
      </c>
      <c r="D28" s="29" t="s">
        <v>197</v>
      </c>
      <c r="E28" s="30">
        <v>1300000</v>
      </c>
      <c r="F28" s="31">
        <v>9181.9</v>
      </c>
      <c r="G28" s="32">
        <v>1.3763879999999999E-2</v>
      </c>
      <c r="H28" s="27" t="s">
        <v>142</v>
      </c>
    </row>
    <row r="29" spans="1:8" ht="25.5" x14ac:dyDescent="0.2">
      <c r="A29" s="28">
        <v>23</v>
      </c>
      <c r="B29" s="29" t="s">
        <v>276</v>
      </c>
      <c r="C29" s="29" t="s">
        <v>277</v>
      </c>
      <c r="D29" s="29" t="s">
        <v>194</v>
      </c>
      <c r="E29" s="30">
        <v>358712</v>
      </c>
      <c r="F29" s="31">
        <v>8851.9360240000005</v>
      </c>
      <c r="G29" s="32">
        <v>1.326926E-2</v>
      </c>
      <c r="H29" s="27" t="s">
        <v>142</v>
      </c>
    </row>
    <row r="30" spans="1:8" ht="25.5" x14ac:dyDescent="0.2">
      <c r="A30" s="28">
        <v>24</v>
      </c>
      <c r="B30" s="29" t="s">
        <v>192</v>
      </c>
      <c r="C30" s="29" t="s">
        <v>193</v>
      </c>
      <c r="D30" s="29" t="s">
        <v>194</v>
      </c>
      <c r="E30" s="30">
        <v>450000</v>
      </c>
      <c r="F30" s="31">
        <v>8809.65</v>
      </c>
      <c r="G30" s="32">
        <v>1.320587E-2</v>
      </c>
      <c r="H30" s="27" t="s">
        <v>142</v>
      </c>
    </row>
    <row r="31" spans="1:8" x14ac:dyDescent="0.2">
      <c r="A31" s="28">
        <v>25</v>
      </c>
      <c r="B31" s="29" t="s">
        <v>264</v>
      </c>
      <c r="C31" s="29" t="s">
        <v>265</v>
      </c>
      <c r="D31" s="29" t="s">
        <v>58</v>
      </c>
      <c r="E31" s="30">
        <v>600000</v>
      </c>
      <c r="F31" s="31">
        <v>8799.6</v>
      </c>
      <c r="G31" s="32">
        <v>1.3190810000000001E-2</v>
      </c>
      <c r="H31" s="27" t="s">
        <v>142</v>
      </c>
    </row>
    <row r="32" spans="1:8" x14ac:dyDescent="0.2">
      <c r="A32" s="28">
        <v>26</v>
      </c>
      <c r="B32" s="29" t="s">
        <v>329</v>
      </c>
      <c r="C32" s="29" t="s">
        <v>330</v>
      </c>
      <c r="D32" s="29" t="s">
        <v>212</v>
      </c>
      <c r="E32" s="30">
        <v>130689</v>
      </c>
      <c r="F32" s="31">
        <v>8628.0877799999998</v>
      </c>
      <c r="G32" s="32">
        <v>1.2933709999999999E-2</v>
      </c>
      <c r="H32" s="27" t="s">
        <v>142</v>
      </c>
    </row>
    <row r="33" spans="1:8" x14ac:dyDescent="0.2">
      <c r="A33" s="28">
        <v>27</v>
      </c>
      <c r="B33" s="29" t="s">
        <v>208</v>
      </c>
      <c r="C33" s="29" t="s">
        <v>209</v>
      </c>
      <c r="D33" s="29" t="s">
        <v>132</v>
      </c>
      <c r="E33" s="30">
        <v>3300000</v>
      </c>
      <c r="F33" s="31">
        <v>8616.2999999999993</v>
      </c>
      <c r="G33" s="32">
        <v>1.291604E-2</v>
      </c>
      <c r="H33" s="27" t="s">
        <v>142</v>
      </c>
    </row>
    <row r="34" spans="1:8" ht="25.5" x14ac:dyDescent="0.2">
      <c r="A34" s="28">
        <v>28</v>
      </c>
      <c r="B34" s="29" t="s">
        <v>286</v>
      </c>
      <c r="C34" s="29" t="s">
        <v>287</v>
      </c>
      <c r="D34" s="29" t="s">
        <v>187</v>
      </c>
      <c r="E34" s="30">
        <v>225000</v>
      </c>
      <c r="F34" s="31">
        <v>8603.3250000000007</v>
      </c>
      <c r="G34" s="32">
        <v>1.2896589999999999E-2</v>
      </c>
      <c r="H34" s="27" t="s">
        <v>142</v>
      </c>
    </row>
    <row r="35" spans="1:8" x14ac:dyDescent="0.2">
      <c r="A35" s="28">
        <v>29</v>
      </c>
      <c r="B35" s="29" t="s">
        <v>198</v>
      </c>
      <c r="C35" s="29" t="s">
        <v>199</v>
      </c>
      <c r="D35" s="29" t="s">
        <v>200</v>
      </c>
      <c r="E35" s="30">
        <v>150000</v>
      </c>
      <c r="F35" s="31">
        <v>8457</v>
      </c>
      <c r="G35" s="32">
        <v>1.2677239999999999E-2</v>
      </c>
      <c r="H35" s="27" t="s">
        <v>142</v>
      </c>
    </row>
    <row r="36" spans="1:8" ht="25.5" x14ac:dyDescent="0.2">
      <c r="A36" s="28">
        <v>30</v>
      </c>
      <c r="B36" s="29" t="s">
        <v>331</v>
      </c>
      <c r="C36" s="29" t="s">
        <v>332</v>
      </c>
      <c r="D36" s="29" t="s">
        <v>194</v>
      </c>
      <c r="E36" s="30">
        <v>500000</v>
      </c>
      <c r="F36" s="31">
        <v>8388</v>
      </c>
      <c r="G36" s="32">
        <v>1.257381E-2</v>
      </c>
      <c r="H36" s="27" t="s">
        <v>142</v>
      </c>
    </row>
    <row r="37" spans="1:8" x14ac:dyDescent="0.2">
      <c r="A37" s="28">
        <v>31</v>
      </c>
      <c r="B37" s="29" t="s">
        <v>333</v>
      </c>
      <c r="C37" s="29" t="s">
        <v>334</v>
      </c>
      <c r="D37" s="29" t="s">
        <v>31</v>
      </c>
      <c r="E37" s="30">
        <v>165000</v>
      </c>
      <c r="F37" s="31">
        <v>8207.2649999999994</v>
      </c>
      <c r="G37" s="32">
        <v>1.230288E-2</v>
      </c>
      <c r="H37" s="27" t="s">
        <v>142</v>
      </c>
    </row>
    <row r="38" spans="1:8" x14ac:dyDescent="0.2">
      <c r="A38" s="28">
        <v>32</v>
      </c>
      <c r="B38" s="29" t="s">
        <v>244</v>
      </c>
      <c r="C38" s="29" t="s">
        <v>245</v>
      </c>
      <c r="D38" s="29" t="s">
        <v>197</v>
      </c>
      <c r="E38" s="30">
        <v>290000</v>
      </c>
      <c r="F38" s="31">
        <v>8081.14</v>
      </c>
      <c r="G38" s="32">
        <v>1.2113820000000001E-2</v>
      </c>
      <c r="H38" s="27" t="s">
        <v>142</v>
      </c>
    </row>
    <row r="39" spans="1:8" x14ac:dyDescent="0.2">
      <c r="A39" s="28">
        <v>33</v>
      </c>
      <c r="B39" s="29" t="s">
        <v>274</v>
      </c>
      <c r="C39" s="29" t="s">
        <v>275</v>
      </c>
      <c r="D39" s="29" t="s">
        <v>270</v>
      </c>
      <c r="E39" s="30">
        <v>521344</v>
      </c>
      <c r="F39" s="31">
        <v>7834.2362880000001</v>
      </c>
      <c r="G39" s="32">
        <v>1.1743699999999999E-2</v>
      </c>
      <c r="H39" s="27" t="s">
        <v>142</v>
      </c>
    </row>
    <row r="40" spans="1:8" x14ac:dyDescent="0.2">
      <c r="A40" s="28">
        <v>34</v>
      </c>
      <c r="B40" s="29" t="s">
        <v>335</v>
      </c>
      <c r="C40" s="29" t="s">
        <v>336</v>
      </c>
      <c r="D40" s="29" t="s">
        <v>290</v>
      </c>
      <c r="E40" s="30">
        <v>540000</v>
      </c>
      <c r="F40" s="31">
        <v>7708.5</v>
      </c>
      <c r="G40" s="32">
        <v>1.155522E-2</v>
      </c>
      <c r="H40" s="27" t="s">
        <v>142</v>
      </c>
    </row>
    <row r="41" spans="1:8" x14ac:dyDescent="0.2">
      <c r="A41" s="28">
        <v>35</v>
      </c>
      <c r="B41" s="29" t="s">
        <v>308</v>
      </c>
      <c r="C41" s="29" t="s">
        <v>309</v>
      </c>
      <c r="D41" s="29" t="s">
        <v>229</v>
      </c>
      <c r="E41" s="30">
        <v>1000000</v>
      </c>
      <c r="F41" s="31">
        <v>7698.5</v>
      </c>
      <c r="G41" s="32">
        <v>1.154023E-2</v>
      </c>
      <c r="H41" s="27" t="s">
        <v>142</v>
      </c>
    </row>
    <row r="42" spans="1:8" x14ac:dyDescent="0.2">
      <c r="A42" s="28">
        <v>36</v>
      </c>
      <c r="B42" s="29" t="s">
        <v>337</v>
      </c>
      <c r="C42" s="29" t="s">
        <v>338</v>
      </c>
      <c r="D42" s="29" t="s">
        <v>263</v>
      </c>
      <c r="E42" s="30">
        <v>430000</v>
      </c>
      <c r="F42" s="31">
        <v>7463.08</v>
      </c>
      <c r="G42" s="32">
        <v>1.1187330000000001E-2</v>
      </c>
      <c r="H42" s="27" t="s">
        <v>142</v>
      </c>
    </row>
    <row r="43" spans="1:8" x14ac:dyDescent="0.2">
      <c r="A43" s="28">
        <v>37</v>
      </c>
      <c r="B43" s="29" t="s">
        <v>188</v>
      </c>
      <c r="C43" s="29" t="s">
        <v>189</v>
      </c>
      <c r="D43" s="29" t="s">
        <v>28</v>
      </c>
      <c r="E43" s="30">
        <v>3600000</v>
      </c>
      <c r="F43" s="31">
        <v>7274.16</v>
      </c>
      <c r="G43" s="32">
        <v>1.090414E-2</v>
      </c>
      <c r="H43" s="27" t="s">
        <v>142</v>
      </c>
    </row>
    <row r="44" spans="1:8" ht="25.5" x14ac:dyDescent="0.2">
      <c r="A44" s="28">
        <v>38</v>
      </c>
      <c r="B44" s="29" t="s">
        <v>339</v>
      </c>
      <c r="C44" s="29" t="s">
        <v>340</v>
      </c>
      <c r="D44" s="29" t="s">
        <v>25</v>
      </c>
      <c r="E44" s="30">
        <v>285000</v>
      </c>
      <c r="F44" s="31">
        <v>7255.53</v>
      </c>
      <c r="G44" s="32">
        <v>1.0876210000000001E-2</v>
      </c>
      <c r="H44" s="27" t="s">
        <v>142</v>
      </c>
    </row>
    <row r="45" spans="1:8" x14ac:dyDescent="0.2">
      <c r="A45" s="28">
        <v>39</v>
      </c>
      <c r="B45" s="29" t="s">
        <v>232</v>
      </c>
      <c r="C45" s="29" t="s">
        <v>233</v>
      </c>
      <c r="D45" s="29" t="s">
        <v>197</v>
      </c>
      <c r="E45" s="30">
        <v>640000</v>
      </c>
      <c r="F45" s="31">
        <v>7201.28</v>
      </c>
      <c r="G45" s="32">
        <v>1.079489E-2</v>
      </c>
      <c r="H45" s="27" t="s">
        <v>142</v>
      </c>
    </row>
    <row r="46" spans="1:8" x14ac:dyDescent="0.2">
      <c r="A46" s="28">
        <v>40</v>
      </c>
      <c r="B46" s="29" t="s">
        <v>37</v>
      </c>
      <c r="C46" s="29" t="s">
        <v>38</v>
      </c>
      <c r="D46" s="29" t="s">
        <v>16</v>
      </c>
      <c r="E46" s="30">
        <v>2250000</v>
      </c>
      <c r="F46" s="31">
        <v>7164</v>
      </c>
      <c r="G46" s="32">
        <v>1.0739E-2</v>
      </c>
      <c r="H46" s="27" t="s">
        <v>142</v>
      </c>
    </row>
    <row r="47" spans="1:8" x14ac:dyDescent="0.2">
      <c r="A47" s="28">
        <v>41</v>
      </c>
      <c r="B47" s="29" t="s">
        <v>97</v>
      </c>
      <c r="C47" s="29" t="s">
        <v>98</v>
      </c>
      <c r="D47" s="29" t="s">
        <v>73</v>
      </c>
      <c r="E47" s="30">
        <v>215500</v>
      </c>
      <c r="F47" s="31">
        <v>7042.7555000000002</v>
      </c>
      <c r="G47" s="32">
        <v>1.0557260000000001E-2</v>
      </c>
      <c r="H47" s="27" t="s">
        <v>142</v>
      </c>
    </row>
    <row r="48" spans="1:8" x14ac:dyDescent="0.2">
      <c r="A48" s="28">
        <v>42</v>
      </c>
      <c r="B48" s="29" t="s">
        <v>95</v>
      </c>
      <c r="C48" s="29" t="s">
        <v>96</v>
      </c>
      <c r="D48" s="29" t="s">
        <v>64</v>
      </c>
      <c r="E48" s="30">
        <v>165000</v>
      </c>
      <c r="F48" s="31">
        <v>6911.3549999999996</v>
      </c>
      <c r="G48" s="32">
        <v>1.0360279999999999E-2</v>
      </c>
      <c r="H48" s="27" t="s">
        <v>142</v>
      </c>
    </row>
    <row r="49" spans="1:8" x14ac:dyDescent="0.2">
      <c r="A49" s="28">
        <v>43</v>
      </c>
      <c r="B49" s="29" t="s">
        <v>246</v>
      </c>
      <c r="C49" s="29" t="s">
        <v>247</v>
      </c>
      <c r="D49" s="29" t="s">
        <v>73</v>
      </c>
      <c r="E49" s="30">
        <v>115000</v>
      </c>
      <c r="F49" s="31">
        <v>6889.65</v>
      </c>
      <c r="G49" s="32">
        <v>1.032775E-2</v>
      </c>
      <c r="H49" s="27" t="s">
        <v>142</v>
      </c>
    </row>
    <row r="50" spans="1:8" ht="25.5" x14ac:dyDescent="0.2">
      <c r="A50" s="28">
        <v>44</v>
      </c>
      <c r="B50" s="29" t="s">
        <v>341</v>
      </c>
      <c r="C50" s="29" t="s">
        <v>342</v>
      </c>
      <c r="D50" s="29" t="s">
        <v>132</v>
      </c>
      <c r="E50" s="30">
        <v>425000</v>
      </c>
      <c r="F50" s="31">
        <v>6804.25</v>
      </c>
      <c r="G50" s="32">
        <v>1.0199730000000001E-2</v>
      </c>
      <c r="H50" s="27" t="s">
        <v>142</v>
      </c>
    </row>
    <row r="51" spans="1:8" x14ac:dyDescent="0.2">
      <c r="A51" s="28">
        <v>45</v>
      </c>
      <c r="B51" s="29" t="s">
        <v>20</v>
      </c>
      <c r="C51" s="29" t="s">
        <v>21</v>
      </c>
      <c r="D51" s="29" t="s">
        <v>22</v>
      </c>
      <c r="E51" s="30">
        <v>2000000</v>
      </c>
      <c r="F51" s="31">
        <v>6678</v>
      </c>
      <c r="G51" s="32">
        <v>1.001048E-2</v>
      </c>
      <c r="H51" s="27" t="s">
        <v>142</v>
      </c>
    </row>
    <row r="52" spans="1:8" x14ac:dyDescent="0.2">
      <c r="A52" s="28">
        <v>46</v>
      </c>
      <c r="B52" s="29" t="s">
        <v>343</v>
      </c>
      <c r="C52" s="29" t="s">
        <v>344</v>
      </c>
      <c r="D52" s="29" t="s">
        <v>345</v>
      </c>
      <c r="E52" s="30">
        <v>1545000</v>
      </c>
      <c r="F52" s="31">
        <v>6458.8725000000004</v>
      </c>
      <c r="G52" s="32">
        <v>9.6819999999999996E-3</v>
      </c>
      <c r="H52" s="27" t="s">
        <v>142</v>
      </c>
    </row>
    <row r="53" spans="1:8" x14ac:dyDescent="0.2">
      <c r="A53" s="28">
        <v>47</v>
      </c>
      <c r="B53" s="29" t="s">
        <v>222</v>
      </c>
      <c r="C53" s="29" t="s">
        <v>223</v>
      </c>
      <c r="D53" s="29" t="s">
        <v>64</v>
      </c>
      <c r="E53" s="30">
        <v>1340100</v>
      </c>
      <c r="F53" s="31">
        <v>6305.8405499999999</v>
      </c>
      <c r="G53" s="32">
        <v>9.4526000000000002E-3</v>
      </c>
      <c r="H53" s="27" t="s">
        <v>142</v>
      </c>
    </row>
    <row r="54" spans="1:8" x14ac:dyDescent="0.2">
      <c r="A54" s="28">
        <v>48</v>
      </c>
      <c r="B54" s="29" t="s">
        <v>346</v>
      </c>
      <c r="C54" s="29" t="s">
        <v>347</v>
      </c>
      <c r="D54" s="29" t="s">
        <v>61</v>
      </c>
      <c r="E54" s="30">
        <v>500000</v>
      </c>
      <c r="F54" s="31">
        <v>6033.5</v>
      </c>
      <c r="G54" s="32">
        <v>9.0443599999999996E-3</v>
      </c>
      <c r="H54" s="27" t="s">
        <v>142</v>
      </c>
    </row>
    <row r="55" spans="1:8" x14ac:dyDescent="0.2">
      <c r="A55" s="28">
        <v>49</v>
      </c>
      <c r="B55" s="29" t="s">
        <v>348</v>
      </c>
      <c r="C55" s="29" t="s">
        <v>349</v>
      </c>
      <c r="D55" s="29" t="s">
        <v>290</v>
      </c>
      <c r="E55" s="30">
        <v>2500000</v>
      </c>
      <c r="F55" s="31">
        <v>5957.75</v>
      </c>
      <c r="G55" s="32">
        <v>8.9308100000000008E-3</v>
      </c>
      <c r="H55" s="27" t="s">
        <v>142</v>
      </c>
    </row>
    <row r="56" spans="1:8" x14ac:dyDescent="0.2">
      <c r="A56" s="28">
        <v>50</v>
      </c>
      <c r="B56" s="29" t="s">
        <v>350</v>
      </c>
      <c r="C56" s="29" t="s">
        <v>351</v>
      </c>
      <c r="D56" s="29" t="s">
        <v>226</v>
      </c>
      <c r="E56" s="30">
        <v>1250000</v>
      </c>
      <c r="F56" s="31">
        <v>5949.375</v>
      </c>
      <c r="G56" s="32">
        <v>8.9182500000000008E-3</v>
      </c>
      <c r="H56" s="27" t="s">
        <v>142</v>
      </c>
    </row>
    <row r="57" spans="1:8" x14ac:dyDescent="0.2">
      <c r="A57" s="28">
        <v>51</v>
      </c>
      <c r="B57" s="29" t="s">
        <v>306</v>
      </c>
      <c r="C57" s="29" t="s">
        <v>307</v>
      </c>
      <c r="D57" s="29" t="s">
        <v>64</v>
      </c>
      <c r="E57" s="30">
        <v>191869</v>
      </c>
      <c r="F57" s="31">
        <v>5875.2206489999999</v>
      </c>
      <c r="G57" s="32">
        <v>8.8070900000000001E-3</v>
      </c>
      <c r="H57" s="27" t="s">
        <v>142</v>
      </c>
    </row>
    <row r="58" spans="1:8" x14ac:dyDescent="0.2">
      <c r="A58" s="28">
        <v>52</v>
      </c>
      <c r="B58" s="29" t="s">
        <v>213</v>
      </c>
      <c r="C58" s="29" t="s">
        <v>214</v>
      </c>
      <c r="D58" s="29" t="s">
        <v>58</v>
      </c>
      <c r="E58" s="30">
        <v>375000</v>
      </c>
      <c r="F58" s="31">
        <v>5764.125</v>
      </c>
      <c r="G58" s="32">
        <v>8.6405600000000003E-3</v>
      </c>
      <c r="H58" s="27" t="s">
        <v>142</v>
      </c>
    </row>
    <row r="59" spans="1:8" x14ac:dyDescent="0.2">
      <c r="A59" s="28">
        <v>53</v>
      </c>
      <c r="B59" s="29" t="s">
        <v>352</v>
      </c>
      <c r="C59" s="29" t="s">
        <v>353</v>
      </c>
      <c r="D59" s="29" t="s">
        <v>254</v>
      </c>
      <c r="E59" s="30">
        <v>800000</v>
      </c>
      <c r="F59" s="31">
        <v>5756</v>
      </c>
      <c r="G59" s="32">
        <v>8.6283799999999997E-3</v>
      </c>
      <c r="H59" s="27" t="s">
        <v>142</v>
      </c>
    </row>
    <row r="60" spans="1:8" x14ac:dyDescent="0.2">
      <c r="A60" s="28">
        <v>54</v>
      </c>
      <c r="B60" s="29" t="s">
        <v>135</v>
      </c>
      <c r="C60" s="29" t="s">
        <v>136</v>
      </c>
      <c r="D60" s="29" t="s">
        <v>137</v>
      </c>
      <c r="E60" s="30">
        <v>600000</v>
      </c>
      <c r="F60" s="31">
        <v>5693.4</v>
      </c>
      <c r="G60" s="32">
        <v>8.5345400000000002E-3</v>
      </c>
      <c r="H60" s="27" t="s">
        <v>142</v>
      </c>
    </row>
    <row r="61" spans="1:8" x14ac:dyDescent="0.2">
      <c r="A61" s="28">
        <v>55</v>
      </c>
      <c r="B61" s="29" t="s">
        <v>115</v>
      </c>
      <c r="C61" s="29" t="s">
        <v>116</v>
      </c>
      <c r="D61" s="29" t="s">
        <v>22</v>
      </c>
      <c r="E61" s="30">
        <v>400000</v>
      </c>
      <c r="F61" s="31">
        <v>5496</v>
      </c>
      <c r="G61" s="32">
        <v>8.2386300000000003E-3</v>
      </c>
      <c r="H61" s="27" t="s">
        <v>142</v>
      </c>
    </row>
    <row r="62" spans="1:8" x14ac:dyDescent="0.2">
      <c r="A62" s="28">
        <v>56</v>
      </c>
      <c r="B62" s="29" t="s">
        <v>101</v>
      </c>
      <c r="C62" s="29" t="s">
        <v>102</v>
      </c>
      <c r="D62" s="29" t="s">
        <v>36</v>
      </c>
      <c r="E62" s="30">
        <v>90000</v>
      </c>
      <c r="F62" s="31">
        <v>5373.9</v>
      </c>
      <c r="G62" s="32">
        <v>8.0555999999999996E-3</v>
      </c>
      <c r="H62" s="27" t="s">
        <v>142</v>
      </c>
    </row>
    <row r="63" spans="1:8" x14ac:dyDescent="0.2">
      <c r="A63" s="28">
        <v>57</v>
      </c>
      <c r="B63" s="29" t="s">
        <v>41</v>
      </c>
      <c r="C63" s="29" t="s">
        <v>42</v>
      </c>
      <c r="D63" s="29" t="s">
        <v>22</v>
      </c>
      <c r="E63" s="30">
        <v>1330000</v>
      </c>
      <c r="F63" s="31">
        <v>5224.24</v>
      </c>
      <c r="G63" s="32">
        <v>7.8312599999999996E-3</v>
      </c>
      <c r="H63" s="27" t="s">
        <v>142</v>
      </c>
    </row>
    <row r="64" spans="1:8" x14ac:dyDescent="0.2">
      <c r="A64" s="28">
        <v>58</v>
      </c>
      <c r="B64" s="29" t="s">
        <v>354</v>
      </c>
      <c r="C64" s="29" t="s">
        <v>355</v>
      </c>
      <c r="D64" s="29" t="s">
        <v>61</v>
      </c>
      <c r="E64" s="30">
        <v>146498</v>
      </c>
      <c r="F64" s="31">
        <v>5208.0038999999997</v>
      </c>
      <c r="G64" s="32">
        <v>7.8069200000000002E-3</v>
      </c>
      <c r="H64" s="27" t="s">
        <v>142</v>
      </c>
    </row>
    <row r="65" spans="1:8" x14ac:dyDescent="0.2">
      <c r="A65" s="28">
        <v>59</v>
      </c>
      <c r="B65" s="29" t="s">
        <v>105</v>
      </c>
      <c r="C65" s="29" t="s">
        <v>106</v>
      </c>
      <c r="D65" s="29" t="s">
        <v>73</v>
      </c>
      <c r="E65" s="30">
        <v>574000</v>
      </c>
      <c r="F65" s="31">
        <v>5192.6909999999998</v>
      </c>
      <c r="G65" s="32">
        <v>7.7839700000000003E-3</v>
      </c>
      <c r="H65" s="27" t="s">
        <v>142</v>
      </c>
    </row>
    <row r="66" spans="1:8" x14ac:dyDescent="0.2">
      <c r="A66" s="28">
        <v>60</v>
      </c>
      <c r="B66" s="29" t="s">
        <v>288</v>
      </c>
      <c r="C66" s="29" t="s">
        <v>289</v>
      </c>
      <c r="D66" s="29" t="s">
        <v>290</v>
      </c>
      <c r="E66" s="30">
        <v>2450000</v>
      </c>
      <c r="F66" s="31">
        <v>4979.87</v>
      </c>
      <c r="G66" s="32">
        <v>7.4649399999999998E-3</v>
      </c>
      <c r="H66" s="27" t="s">
        <v>142</v>
      </c>
    </row>
    <row r="67" spans="1:8" ht="25.5" x14ac:dyDescent="0.2">
      <c r="A67" s="28">
        <v>61</v>
      </c>
      <c r="B67" s="29" t="s">
        <v>356</v>
      </c>
      <c r="C67" s="29" t="s">
        <v>357</v>
      </c>
      <c r="D67" s="29" t="s">
        <v>45</v>
      </c>
      <c r="E67" s="30">
        <v>1710000</v>
      </c>
      <c r="F67" s="31">
        <v>4973.5349999999999</v>
      </c>
      <c r="G67" s="32">
        <v>7.4554499999999998E-3</v>
      </c>
      <c r="H67" s="27" t="s">
        <v>142</v>
      </c>
    </row>
    <row r="68" spans="1:8" x14ac:dyDescent="0.2">
      <c r="A68" s="28">
        <v>62</v>
      </c>
      <c r="B68" s="29" t="s">
        <v>266</v>
      </c>
      <c r="C68" s="29" t="s">
        <v>267</v>
      </c>
      <c r="D68" s="29" t="s">
        <v>229</v>
      </c>
      <c r="E68" s="30">
        <v>2800000</v>
      </c>
      <c r="F68" s="31">
        <v>4692.5200000000004</v>
      </c>
      <c r="G68" s="32">
        <v>7.0342E-3</v>
      </c>
      <c r="H68" s="27" t="s">
        <v>142</v>
      </c>
    </row>
    <row r="69" spans="1:8" x14ac:dyDescent="0.2">
      <c r="A69" s="28">
        <v>63</v>
      </c>
      <c r="B69" s="29" t="s">
        <v>113</v>
      </c>
      <c r="C69" s="29" t="s">
        <v>114</v>
      </c>
      <c r="D69" s="29" t="s">
        <v>67</v>
      </c>
      <c r="E69" s="30">
        <v>1300000</v>
      </c>
      <c r="F69" s="31">
        <v>4654</v>
      </c>
      <c r="G69" s="32">
        <v>6.9764600000000003E-3</v>
      </c>
      <c r="H69" s="27" t="s">
        <v>142</v>
      </c>
    </row>
    <row r="70" spans="1:8" x14ac:dyDescent="0.2">
      <c r="A70" s="28">
        <v>64</v>
      </c>
      <c r="B70" s="29" t="s">
        <v>190</v>
      </c>
      <c r="C70" s="29" t="s">
        <v>191</v>
      </c>
      <c r="D70" s="29" t="s">
        <v>61</v>
      </c>
      <c r="E70" s="30">
        <v>829572</v>
      </c>
      <c r="F70" s="31">
        <v>4648.921488</v>
      </c>
      <c r="G70" s="32">
        <v>6.9688399999999996E-3</v>
      </c>
      <c r="H70" s="27" t="s">
        <v>142</v>
      </c>
    </row>
    <row r="71" spans="1:8" x14ac:dyDescent="0.2">
      <c r="A71" s="28">
        <v>65</v>
      </c>
      <c r="B71" s="29" t="s">
        <v>358</v>
      </c>
      <c r="C71" s="29" t="s">
        <v>359</v>
      </c>
      <c r="D71" s="29" t="s">
        <v>200</v>
      </c>
      <c r="E71" s="30">
        <v>130000</v>
      </c>
      <c r="F71" s="31">
        <v>4502.42</v>
      </c>
      <c r="G71" s="32">
        <v>6.7492300000000002E-3</v>
      </c>
      <c r="H71" s="27" t="s">
        <v>142</v>
      </c>
    </row>
    <row r="72" spans="1:8" x14ac:dyDescent="0.2">
      <c r="A72" s="28">
        <v>66</v>
      </c>
      <c r="B72" s="29" t="s">
        <v>78</v>
      </c>
      <c r="C72" s="29" t="s">
        <v>79</v>
      </c>
      <c r="D72" s="29" t="s">
        <v>13</v>
      </c>
      <c r="E72" s="30">
        <v>1150000</v>
      </c>
      <c r="F72" s="31">
        <v>4417.7250000000004</v>
      </c>
      <c r="G72" s="32">
        <v>6.6222700000000004E-3</v>
      </c>
      <c r="H72" s="27" t="s">
        <v>142</v>
      </c>
    </row>
    <row r="73" spans="1:8" ht="25.5" x14ac:dyDescent="0.2">
      <c r="A73" s="28">
        <v>67</v>
      </c>
      <c r="B73" s="29" t="s">
        <v>242</v>
      </c>
      <c r="C73" s="29" t="s">
        <v>243</v>
      </c>
      <c r="D73" s="29" t="s">
        <v>25</v>
      </c>
      <c r="E73" s="30">
        <v>233000</v>
      </c>
      <c r="F73" s="31">
        <v>4386.924</v>
      </c>
      <c r="G73" s="32">
        <v>6.5760999999999997E-3</v>
      </c>
      <c r="H73" s="27" t="s">
        <v>142</v>
      </c>
    </row>
    <row r="74" spans="1:8" x14ac:dyDescent="0.2">
      <c r="A74" s="28">
        <v>68</v>
      </c>
      <c r="B74" s="29" t="s">
        <v>310</v>
      </c>
      <c r="C74" s="29" t="s">
        <v>311</v>
      </c>
      <c r="D74" s="29" t="s">
        <v>200</v>
      </c>
      <c r="E74" s="30">
        <v>170000</v>
      </c>
      <c r="F74" s="31">
        <v>4349.96</v>
      </c>
      <c r="G74" s="32">
        <v>6.52069E-3</v>
      </c>
      <c r="H74" s="27" t="s">
        <v>142</v>
      </c>
    </row>
    <row r="75" spans="1:8" x14ac:dyDescent="0.2">
      <c r="A75" s="28">
        <v>69</v>
      </c>
      <c r="B75" s="29" t="s">
        <v>218</v>
      </c>
      <c r="C75" s="29" t="s">
        <v>219</v>
      </c>
      <c r="D75" s="29" t="s">
        <v>200</v>
      </c>
      <c r="E75" s="30">
        <v>40000</v>
      </c>
      <c r="F75" s="31">
        <v>3420.2</v>
      </c>
      <c r="G75" s="32">
        <v>5.1269599999999999E-3</v>
      </c>
      <c r="H75" s="27" t="s">
        <v>142</v>
      </c>
    </row>
    <row r="76" spans="1:8" x14ac:dyDescent="0.2">
      <c r="A76" s="28">
        <v>70</v>
      </c>
      <c r="B76" s="29" t="s">
        <v>303</v>
      </c>
      <c r="C76" s="29" t="s">
        <v>304</v>
      </c>
      <c r="D76" s="29" t="s">
        <v>305</v>
      </c>
      <c r="E76" s="30">
        <v>525687</v>
      </c>
      <c r="F76" s="31">
        <v>3071.0634540000001</v>
      </c>
      <c r="G76" s="32">
        <v>4.6036000000000002E-3</v>
      </c>
      <c r="H76" s="27" t="s">
        <v>142</v>
      </c>
    </row>
    <row r="77" spans="1:8" x14ac:dyDescent="0.2">
      <c r="A77" s="28">
        <v>71</v>
      </c>
      <c r="B77" s="29" t="s">
        <v>301</v>
      </c>
      <c r="C77" s="29" t="s">
        <v>302</v>
      </c>
      <c r="D77" s="29" t="s">
        <v>254</v>
      </c>
      <c r="E77" s="30">
        <v>5663245</v>
      </c>
      <c r="F77" s="31">
        <v>2885.9896520000002</v>
      </c>
      <c r="G77" s="32">
        <v>4.3261699999999998E-3</v>
      </c>
      <c r="H77" s="27" t="s">
        <v>142</v>
      </c>
    </row>
    <row r="78" spans="1:8" x14ac:dyDescent="0.2">
      <c r="A78" s="28">
        <v>72</v>
      </c>
      <c r="B78" s="29" t="s">
        <v>117</v>
      </c>
      <c r="C78" s="29" t="s">
        <v>118</v>
      </c>
      <c r="D78" s="29" t="s">
        <v>36</v>
      </c>
      <c r="E78" s="30">
        <v>300000</v>
      </c>
      <c r="F78" s="31">
        <v>1743.75</v>
      </c>
      <c r="G78" s="32">
        <v>2.61392E-3</v>
      </c>
      <c r="H78" s="27" t="s">
        <v>142</v>
      </c>
    </row>
    <row r="79" spans="1:8" x14ac:dyDescent="0.2">
      <c r="A79" s="25"/>
      <c r="B79" s="25"/>
      <c r="C79" s="26" t="s">
        <v>141</v>
      </c>
      <c r="D79" s="25"/>
      <c r="E79" s="25" t="s">
        <v>142</v>
      </c>
      <c r="F79" s="33">
        <v>642274.93707999995</v>
      </c>
      <c r="G79" s="34">
        <v>0.96278522</v>
      </c>
      <c r="H79" s="27" t="s">
        <v>142</v>
      </c>
    </row>
    <row r="80" spans="1:8" x14ac:dyDescent="0.2">
      <c r="A80" s="25"/>
      <c r="B80" s="25"/>
      <c r="C80" s="35"/>
      <c r="D80" s="25"/>
      <c r="E80" s="25"/>
      <c r="F80" s="36"/>
      <c r="G80" s="36"/>
      <c r="H80" s="27" t="s">
        <v>142</v>
      </c>
    </row>
    <row r="81" spans="1:8" x14ac:dyDescent="0.2">
      <c r="A81" s="25"/>
      <c r="B81" s="25"/>
      <c r="C81" s="26" t="s">
        <v>143</v>
      </c>
      <c r="D81" s="25"/>
      <c r="E81" s="25"/>
      <c r="F81" s="25"/>
      <c r="G81" s="25"/>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145</v>
      </c>
      <c r="D84" s="25"/>
      <c r="E84" s="25"/>
      <c r="F84" s="25"/>
      <c r="G84" s="25"/>
      <c r="H84" s="27" t="s">
        <v>142</v>
      </c>
    </row>
    <row r="85" spans="1:8" x14ac:dyDescent="0.2">
      <c r="A85" s="25"/>
      <c r="B85" s="25"/>
      <c r="C85" s="26" t="s">
        <v>141</v>
      </c>
      <c r="D85" s="25"/>
      <c r="E85" s="25" t="s">
        <v>142</v>
      </c>
      <c r="F85" s="37" t="s">
        <v>144</v>
      </c>
      <c r="G85" s="34">
        <v>0</v>
      </c>
      <c r="H85" s="27" t="s">
        <v>142</v>
      </c>
    </row>
    <row r="86" spans="1:8" x14ac:dyDescent="0.2">
      <c r="A86" s="25"/>
      <c r="B86" s="25"/>
      <c r="C86" s="35"/>
      <c r="D86" s="25"/>
      <c r="E86" s="25"/>
      <c r="F86" s="36"/>
      <c r="G86" s="36"/>
      <c r="H86" s="27" t="s">
        <v>142</v>
      </c>
    </row>
    <row r="87" spans="1:8" x14ac:dyDescent="0.2">
      <c r="A87" s="25"/>
      <c r="B87" s="25"/>
      <c r="C87" s="26" t="s">
        <v>146</v>
      </c>
      <c r="D87" s="25"/>
      <c r="E87" s="25"/>
      <c r="F87" s="25"/>
      <c r="G87" s="25"/>
      <c r="H87" s="27" t="s">
        <v>142</v>
      </c>
    </row>
    <row r="88" spans="1:8" x14ac:dyDescent="0.2">
      <c r="A88" s="28">
        <v>1</v>
      </c>
      <c r="B88" s="29" t="s">
        <v>314</v>
      </c>
      <c r="C88" s="29" t="s">
        <v>209</v>
      </c>
      <c r="D88" s="29" t="s">
        <v>132</v>
      </c>
      <c r="E88" s="30">
        <v>412500</v>
      </c>
      <c r="F88" s="31">
        <v>272.86874999999998</v>
      </c>
      <c r="G88" s="32">
        <v>4.0904E-4</v>
      </c>
      <c r="H88" s="27" t="s">
        <v>142</v>
      </c>
    </row>
    <row r="89" spans="1:8" x14ac:dyDescent="0.2">
      <c r="A89" s="25"/>
      <c r="B89" s="25"/>
      <c r="C89" s="26" t="s">
        <v>141</v>
      </c>
      <c r="D89" s="25"/>
      <c r="E89" s="25" t="s">
        <v>142</v>
      </c>
      <c r="F89" s="33">
        <v>272.86874999999998</v>
      </c>
      <c r="G89" s="34">
        <v>4.0904E-4</v>
      </c>
      <c r="H89" s="27" t="s">
        <v>142</v>
      </c>
    </row>
    <row r="90" spans="1:8" x14ac:dyDescent="0.2">
      <c r="A90" s="25"/>
      <c r="B90" s="25"/>
      <c r="C90" s="35"/>
      <c r="D90" s="25"/>
      <c r="E90" s="25"/>
      <c r="F90" s="36"/>
      <c r="G90" s="36"/>
      <c r="H90" s="27" t="s">
        <v>142</v>
      </c>
    </row>
    <row r="91" spans="1:8" x14ac:dyDescent="0.2">
      <c r="A91" s="25"/>
      <c r="B91" s="25"/>
      <c r="C91" s="26" t="s">
        <v>147</v>
      </c>
      <c r="D91" s="25"/>
      <c r="E91" s="25"/>
      <c r="F91" s="36"/>
      <c r="G91" s="36"/>
      <c r="H91" s="27" t="s">
        <v>142</v>
      </c>
    </row>
    <row r="92" spans="1:8" x14ac:dyDescent="0.2">
      <c r="A92" s="25"/>
      <c r="B92" s="25"/>
      <c r="C92" s="26" t="s">
        <v>141</v>
      </c>
      <c r="D92" s="25"/>
      <c r="E92" s="25" t="s">
        <v>142</v>
      </c>
      <c r="F92" s="37" t="s">
        <v>144</v>
      </c>
      <c r="G92" s="34">
        <v>0</v>
      </c>
      <c r="H92" s="27" t="s">
        <v>142</v>
      </c>
    </row>
    <row r="93" spans="1:8" x14ac:dyDescent="0.2">
      <c r="A93" s="25"/>
      <c r="B93" s="25"/>
      <c r="C93" s="35"/>
      <c r="D93" s="25"/>
      <c r="E93" s="25"/>
      <c r="F93" s="36"/>
      <c r="G93" s="36"/>
      <c r="H93" s="27" t="s">
        <v>142</v>
      </c>
    </row>
    <row r="94" spans="1:8" x14ac:dyDescent="0.2">
      <c r="A94" s="25"/>
      <c r="B94" s="25"/>
      <c r="C94" s="26" t="s">
        <v>148</v>
      </c>
      <c r="D94" s="25"/>
      <c r="E94" s="25"/>
      <c r="F94" s="36"/>
      <c r="G94" s="36"/>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8" x14ac:dyDescent="0.2">
      <c r="A97" s="25"/>
      <c r="B97" s="25"/>
      <c r="C97" s="26" t="s">
        <v>149</v>
      </c>
      <c r="D97" s="25"/>
      <c r="E97" s="25"/>
      <c r="F97" s="33">
        <v>642547.80582999997</v>
      </c>
      <c r="G97" s="34">
        <v>0.96319425999999997</v>
      </c>
      <c r="H97" s="27" t="s">
        <v>142</v>
      </c>
    </row>
    <row r="98" spans="1:8" x14ac:dyDescent="0.2">
      <c r="A98" s="25"/>
      <c r="B98" s="25"/>
      <c r="C98" s="35"/>
      <c r="D98" s="25"/>
      <c r="E98" s="25"/>
      <c r="F98" s="36"/>
      <c r="G98" s="36"/>
      <c r="H98" s="27" t="s">
        <v>142</v>
      </c>
    </row>
    <row r="99" spans="1:8" x14ac:dyDescent="0.2">
      <c r="A99" s="25"/>
      <c r="B99" s="25"/>
      <c r="C99" s="26" t="s">
        <v>150</v>
      </c>
      <c r="D99" s="25"/>
      <c r="E99" s="25"/>
      <c r="F99" s="36"/>
      <c r="G99" s="36"/>
      <c r="H99" s="27" t="s">
        <v>142</v>
      </c>
    </row>
    <row r="100" spans="1:8" x14ac:dyDescent="0.2">
      <c r="A100" s="25"/>
      <c r="B100" s="25"/>
      <c r="C100" s="26" t="s">
        <v>10</v>
      </c>
      <c r="D100" s="25"/>
      <c r="E100" s="25"/>
      <c r="F100" s="36"/>
      <c r="G100" s="36"/>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151</v>
      </c>
      <c r="D103" s="25"/>
      <c r="E103" s="25"/>
      <c r="F103" s="25"/>
      <c r="G103" s="25"/>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152</v>
      </c>
      <c r="D106" s="25"/>
      <c r="E106" s="25"/>
      <c r="F106" s="25"/>
      <c r="G106" s="25"/>
      <c r="H106" s="27" t="s">
        <v>142</v>
      </c>
    </row>
    <row r="107" spans="1:8" x14ac:dyDescent="0.2">
      <c r="A107" s="25"/>
      <c r="B107" s="25"/>
      <c r="C107" s="26" t="s">
        <v>141</v>
      </c>
      <c r="D107" s="25"/>
      <c r="E107" s="25" t="s">
        <v>142</v>
      </c>
      <c r="F107" s="37" t="s">
        <v>144</v>
      </c>
      <c r="G107" s="34">
        <v>0</v>
      </c>
      <c r="H107" s="27" t="s">
        <v>142</v>
      </c>
    </row>
    <row r="108" spans="1:8" x14ac:dyDescent="0.2">
      <c r="A108" s="25"/>
      <c r="B108" s="25"/>
      <c r="C108" s="35"/>
      <c r="D108" s="25"/>
      <c r="E108" s="25"/>
      <c r="F108" s="36"/>
      <c r="G108" s="36"/>
      <c r="H108" s="27" t="s">
        <v>142</v>
      </c>
    </row>
    <row r="109" spans="1:8" x14ac:dyDescent="0.2">
      <c r="A109" s="25"/>
      <c r="B109" s="25"/>
      <c r="C109" s="26" t="s">
        <v>153</v>
      </c>
      <c r="D109" s="25"/>
      <c r="E109" s="25"/>
      <c r="F109" s="36"/>
      <c r="G109" s="36"/>
      <c r="H109" s="27" t="s">
        <v>142</v>
      </c>
    </row>
    <row r="110" spans="1:8" x14ac:dyDescent="0.2">
      <c r="A110" s="25"/>
      <c r="B110" s="25"/>
      <c r="C110" s="26" t="s">
        <v>141</v>
      </c>
      <c r="D110" s="25"/>
      <c r="E110" s="25" t="s">
        <v>142</v>
      </c>
      <c r="F110" s="37" t="s">
        <v>144</v>
      </c>
      <c r="G110" s="34">
        <v>0</v>
      </c>
      <c r="H110" s="27" t="s">
        <v>142</v>
      </c>
    </row>
    <row r="111" spans="1:8" x14ac:dyDescent="0.2">
      <c r="A111" s="25"/>
      <c r="B111" s="25"/>
      <c r="C111" s="35"/>
      <c r="D111" s="25"/>
      <c r="E111" s="25"/>
      <c r="F111" s="36"/>
      <c r="G111" s="36"/>
      <c r="H111" s="27" t="s">
        <v>142</v>
      </c>
    </row>
    <row r="112" spans="1:8" x14ac:dyDescent="0.2">
      <c r="A112" s="25"/>
      <c r="B112" s="25"/>
      <c r="C112" s="26" t="s">
        <v>154</v>
      </c>
      <c r="D112" s="25"/>
      <c r="E112" s="25"/>
      <c r="F112" s="33">
        <v>0</v>
      </c>
      <c r="G112" s="34">
        <v>0</v>
      </c>
      <c r="H112" s="27" t="s">
        <v>142</v>
      </c>
    </row>
    <row r="113" spans="1:8" x14ac:dyDescent="0.2">
      <c r="A113" s="25"/>
      <c r="B113" s="25"/>
      <c r="C113" s="35"/>
      <c r="D113" s="25"/>
      <c r="E113" s="25"/>
      <c r="F113" s="36"/>
      <c r="G113" s="36"/>
      <c r="H113" s="27" t="s">
        <v>142</v>
      </c>
    </row>
    <row r="114" spans="1:8" x14ac:dyDescent="0.2">
      <c r="A114" s="25"/>
      <c r="B114" s="25"/>
      <c r="C114" s="26" t="s">
        <v>155</v>
      </c>
      <c r="D114" s="25"/>
      <c r="E114" s="25"/>
      <c r="F114" s="36"/>
      <c r="G114" s="36"/>
      <c r="H114" s="27" t="s">
        <v>142</v>
      </c>
    </row>
    <row r="115" spans="1:8" x14ac:dyDescent="0.2">
      <c r="A115" s="25"/>
      <c r="B115" s="25"/>
      <c r="C115" s="26" t="s">
        <v>156</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157</v>
      </c>
      <c r="D118" s="25"/>
      <c r="E118" s="25"/>
      <c r="F118" s="36"/>
      <c r="G118" s="36"/>
      <c r="H118" s="27" t="s">
        <v>142</v>
      </c>
    </row>
    <row r="119" spans="1:8" x14ac:dyDescent="0.2">
      <c r="A119" s="25"/>
      <c r="B119" s="25"/>
      <c r="C119" s="26" t="s">
        <v>141</v>
      </c>
      <c r="D119" s="25"/>
      <c r="E119" s="25" t="s">
        <v>142</v>
      </c>
      <c r="F119" s="37" t="s">
        <v>144</v>
      </c>
      <c r="G119" s="34">
        <v>0</v>
      </c>
      <c r="H119" s="27" t="s">
        <v>142</v>
      </c>
    </row>
    <row r="120" spans="1:8" x14ac:dyDescent="0.2">
      <c r="A120" s="25"/>
      <c r="B120" s="25"/>
      <c r="C120" s="35"/>
      <c r="D120" s="25"/>
      <c r="E120" s="25"/>
      <c r="F120" s="36"/>
      <c r="G120" s="36"/>
      <c r="H120" s="27" t="s">
        <v>142</v>
      </c>
    </row>
    <row r="121" spans="1:8" x14ac:dyDescent="0.2">
      <c r="A121" s="25"/>
      <c r="B121" s="25"/>
      <c r="C121" s="26" t="s">
        <v>158</v>
      </c>
      <c r="D121" s="25"/>
      <c r="E121" s="25"/>
      <c r="F121" s="36"/>
      <c r="G121" s="36"/>
      <c r="H121" s="27" t="s">
        <v>142</v>
      </c>
    </row>
    <row r="122" spans="1:8" x14ac:dyDescent="0.2">
      <c r="A122" s="25"/>
      <c r="B122" s="25"/>
      <c r="C122" s="26" t="s">
        <v>141</v>
      </c>
      <c r="D122" s="25"/>
      <c r="E122" s="25" t="s">
        <v>142</v>
      </c>
      <c r="F122" s="37" t="s">
        <v>144</v>
      </c>
      <c r="G122" s="34">
        <v>0</v>
      </c>
      <c r="H122" s="27" t="s">
        <v>142</v>
      </c>
    </row>
    <row r="123" spans="1:8" x14ac:dyDescent="0.2">
      <c r="A123" s="25"/>
      <c r="B123" s="25"/>
      <c r="C123" s="35"/>
      <c r="D123" s="25"/>
      <c r="E123" s="25"/>
      <c r="F123" s="36"/>
      <c r="G123" s="36"/>
      <c r="H123" s="27" t="s">
        <v>142</v>
      </c>
    </row>
    <row r="124" spans="1:8" x14ac:dyDescent="0.2">
      <c r="A124" s="25"/>
      <c r="B124" s="25"/>
      <c r="C124" s="26" t="s">
        <v>159</v>
      </c>
      <c r="D124" s="25"/>
      <c r="E124" s="25"/>
      <c r="F124" s="36"/>
      <c r="G124" s="36"/>
      <c r="H124" s="27" t="s">
        <v>142</v>
      </c>
    </row>
    <row r="125" spans="1:8" x14ac:dyDescent="0.2">
      <c r="A125" s="28">
        <v>1</v>
      </c>
      <c r="B125" s="29"/>
      <c r="C125" s="29" t="s">
        <v>160</v>
      </c>
      <c r="D125" s="29"/>
      <c r="E125" s="39"/>
      <c r="F125" s="31">
        <v>19256.187184730999</v>
      </c>
      <c r="G125" s="32">
        <v>2.8865479999999999E-2</v>
      </c>
      <c r="H125" s="27">
        <v>5.76</v>
      </c>
    </row>
    <row r="126" spans="1:8" x14ac:dyDescent="0.2">
      <c r="A126" s="25"/>
      <c r="B126" s="25"/>
      <c r="C126" s="26" t="s">
        <v>141</v>
      </c>
      <c r="D126" s="25"/>
      <c r="E126" s="25" t="s">
        <v>142</v>
      </c>
      <c r="F126" s="33">
        <v>19256.187184730999</v>
      </c>
      <c r="G126" s="34">
        <v>2.8865479999999999E-2</v>
      </c>
      <c r="H126" s="27" t="s">
        <v>142</v>
      </c>
    </row>
    <row r="127" spans="1:8" x14ac:dyDescent="0.2">
      <c r="A127" s="25"/>
      <c r="B127" s="25"/>
      <c r="C127" s="35"/>
      <c r="D127" s="25"/>
      <c r="E127" s="25"/>
      <c r="F127" s="36"/>
      <c r="G127" s="36"/>
      <c r="H127" s="27" t="s">
        <v>142</v>
      </c>
    </row>
    <row r="128" spans="1:8" x14ac:dyDescent="0.2">
      <c r="A128" s="25"/>
      <c r="B128" s="25"/>
      <c r="C128" s="26" t="s">
        <v>161</v>
      </c>
      <c r="D128" s="25"/>
      <c r="E128" s="25"/>
      <c r="F128" s="33">
        <v>19256.187184730999</v>
      </c>
      <c r="G128" s="34">
        <v>2.8865479999999999E-2</v>
      </c>
      <c r="H128" s="27" t="s">
        <v>142</v>
      </c>
    </row>
    <row r="129" spans="1:10" x14ac:dyDescent="0.2">
      <c r="A129" s="25"/>
      <c r="B129" s="25"/>
      <c r="C129" s="36"/>
      <c r="D129" s="25"/>
      <c r="E129" s="25"/>
      <c r="F129" s="25"/>
      <c r="G129" s="25"/>
      <c r="H129" s="27" t="s">
        <v>142</v>
      </c>
    </row>
    <row r="130" spans="1:10" x14ac:dyDescent="0.2">
      <c r="A130" s="25"/>
      <c r="B130" s="25"/>
      <c r="C130" s="26" t="s">
        <v>162</v>
      </c>
      <c r="D130" s="25"/>
      <c r="E130" s="25"/>
      <c r="F130" s="25"/>
      <c r="G130" s="25"/>
      <c r="H130" s="27" t="s">
        <v>142</v>
      </c>
    </row>
    <row r="131" spans="1:10" x14ac:dyDescent="0.2">
      <c r="A131" s="25"/>
      <c r="B131" s="25"/>
      <c r="C131" s="26" t="s">
        <v>163</v>
      </c>
      <c r="D131" s="25"/>
      <c r="E131" s="25"/>
      <c r="F131" s="25"/>
      <c r="G131" s="25"/>
      <c r="H131" s="27" t="s">
        <v>142</v>
      </c>
    </row>
    <row r="132" spans="1:10" x14ac:dyDescent="0.2">
      <c r="A132" s="25"/>
      <c r="B132" s="25"/>
      <c r="C132" s="26" t="s">
        <v>141</v>
      </c>
      <c r="D132" s="25"/>
      <c r="E132" s="25" t="s">
        <v>142</v>
      </c>
      <c r="F132" s="37" t="s">
        <v>144</v>
      </c>
      <c r="G132" s="34">
        <v>0</v>
      </c>
      <c r="H132" s="27" t="s">
        <v>142</v>
      </c>
    </row>
    <row r="133" spans="1:10" x14ac:dyDescent="0.2">
      <c r="A133" s="25"/>
      <c r="B133" s="25"/>
      <c r="C133" s="35"/>
      <c r="D133" s="25"/>
      <c r="E133" s="25"/>
      <c r="F133" s="36"/>
      <c r="G133" s="36"/>
      <c r="H133" s="27" t="s">
        <v>142</v>
      </c>
    </row>
    <row r="134" spans="1:10" x14ac:dyDescent="0.2">
      <c r="A134" s="25"/>
      <c r="B134" s="25"/>
      <c r="C134" s="26" t="s">
        <v>164</v>
      </c>
      <c r="D134" s="25"/>
      <c r="E134" s="25"/>
      <c r="F134" s="25"/>
      <c r="G134" s="25"/>
      <c r="H134" s="27" t="s">
        <v>142</v>
      </c>
    </row>
    <row r="135" spans="1:10" x14ac:dyDescent="0.2">
      <c r="A135" s="25"/>
      <c r="B135" s="25"/>
      <c r="C135" s="26" t="s">
        <v>165</v>
      </c>
      <c r="D135" s="25"/>
      <c r="E135" s="25"/>
      <c r="F135" s="25"/>
      <c r="G135" s="25"/>
      <c r="H135" s="27" t="s">
        <v>142</v>
      </c>
    </row>
    <row r="136" spans="1:10" x14ac:dyDescent="0.2">
      <c r="A136" s="25"/>
      <c r="B136" s="25"/>
      <c r="C136" s="26" t="s">
        <v>141</v>
      </c>
      <c r="D136" s="25"/>
      <c r="E136" s="25" t="s">
        <v>142</v>
      </c>
      <c r="F136" s="37" t="s">
        <v>144</v>
      </c>
      <c r="G136" s="34">
        <v>0</v>
      </c>
      <c r="H136" s="27" t="s">
        <v>142</v>
      </c>
    </row>
    <row r="137" spans="1:10" x14ac:dyDescent="0.2">
      <c r="A137" s="25"/>
      <c r="B137" s="25"/>
      <c r="C137" s="35"/>
      <c r="D137" s="25"/>
      <c r="E137" s="25"/>
      <c r="F137" s="36"/>
      <c r="G137" s="36"/>
      <c r="H137" s="27" t="s">
        <v>142</v>
      </c>
    </row>
    <row r="138" spans="1:10" x14ac:dyDescent="0.2">
      <c r="A138" s="25"/>
      <c r="B138" s="25"/>
      <c r="C138" s="26" t="s">
        <v>166</v>
      </c>
      <c r="D138" s="25"/>
      <c r="E138" s="25"/>
      <c r="F138" s="36"/>
      <c r="G138" s="36"/>
      <c r="H138" s="27" t="s">
        <v>142</v>
      </c>
    </row>
    <row r="139" spans="1:10" x14ac:dyDescent="0.2">
      <c r="A139" s="25"/>
      <c r="B139" s="25"/>
      <c r="C139" s="26" t="s">
        <v>141</v>
      </c>
      <c r="D139" s="25"/>
      <c r="E139" s="25" t="s">
        <v>142</v>
      </c>
      <c r="F139" s="37" t="s">
        <v>144</v>
      </c>
      <c r="G139" s="34">
        <v>0</v>
      </c>
      <c r="H139" s="27" t="s">
        <v>142</v>
      </c>
    </row>
    <row r="140" spans="1:10" x14ac:dyDescent="0.2">
      <c r="A140" s="25"/>
      <c r="B140" s="25"/>
      <c r="C140" s="35"/>
      <c r="D140" s="25"/>
      <c r="E140" s="25"/>
      <c r="F140" s="36"/>
      <c r="G140" s="36"/>
      <c r="H140" s="27" t="s">
        <v>142</v>
      </c>
    </row>
    <row r="141" spans="1:10" x14ac:dyDescent="0.2">
      <c r="A141" s="39"/>
      <c r="B141" s="29"/>
      <c r="C141" s="29" t="s">
        <v>167</v>
      </c>
      <c r="D141" s="29"/>
      <c r="E141" s="39"/>
      <c r="F141" s="31">
        <v>5296.96500423</v>
      </c>
      <c r="G141" s="32">
        <v>7.9402799999999992E-3</v>
      </c>
      <c r="H141" s="27" t="s">
        <v>142</v>
      </c>
    </row>
    <row r="142" spans="1:10" x14ac:dyDescent="0.2">
      <c r="A142" s="35"/>
      <c r="B142" s="35"/>
      <c r="C142" s="26" t="s">
        <v>168</v>
      </c>
      <c r="D142" s="36"/>
      <c r="E142" s="36"/>
      <c r="F142" s="33">
        <v>667100.95801896101</v>
      </c>
      <c r="G142" s="40">
        <v>1.0000000200000001</v>
      </c>
      <c r="H142" s="27" t="s">
        <v>142</v>
      </c>
    </row>
    <row r="143" spans="1:10" x14ac:dyDescent="0.2">
      <c r="A143" s="41"/>
      <c r="B143" s="41"/>
      <c r="C143" s="41"/>
      <c r="D143" s="42"/>
      <c r="E143" s="42"/>
      <c r="F143" s="42"/>
      <c r="G143" s="42"/>
    </row>
    <row r="144" spans="1:10" x14ac:dyDescent="0.2">
      <c r="A144" s="43"/>
      <c r="B144" s="210" t="s">
        <v>879</v>
      </c>
      <c r="C144" s="210"/>
      <c r="D144" s="210"/>
      <c r="E144" s="210"/>
      <c r="F144" s="210"/>
      <c r="G144" s="210"/>
      <c r="H144" s="210"/>
      <c r="J144" s="45"/>
    </row>
    <row r="145" spans="1:17" x14ac:dyDescent="0.2">
      <c r="A145" s="43"/>
      <c r="B145" s="210" t="s">
        <v>880</v>
      </c>
      <c r="C145" s="210"/>
      <c r="D145" s="210"/>
      <c r="E145" s="210"/>
      <c r="F145" s="210"/>
      <c r="G145" s="210"/>
      <c r="H145" s="210"/>
      <c r="J145" s="45"/>
    </row>
    <row r="146" spans="1:17" x14ac:dyDescent="0.2">
      <c r="A146" s="43"/>
      <c r="B146" s="210" t="s">
        <v>881</v>
      </c>
      <c r="C146" s="210"/>
      <c r="D146" s="210"/>
      <c r="E146" s="210"/>
      <c r="F146" s="210"/>
      <c r="G146" s="210"/>
      <c r="H146" s="210"/>
      <c r="J146" s="45"/>
    </row>
    <row r="147" spans="1:17" s="47" customFormat="1" ht="66.75" customHeight="1" x14ac:dyDescent="0.25">
      <c r="A147" s="46"/>
      <c r="B147" s="211" t="s">
        <v>882</v>
      </c>
      <c r="C147" s="211"/>
      <c r="D147" s="211"/>
      <c r="E147" s="211"/>
      <c r="F147" s="211"/>
      <c r="G147" s="211"/>
      <c r="H147" s="211"/>
      <c r="I147"/>
      <c r="J147" s="45"/>
      <c r="K147"/>
      <c r="L147"/>
      <c r="M147"/>
      <c r="N147"/>
      <c r="O147"/>
      <c r="P147"/>
      <c r="Q147"/>
    </row>
    <row r="148" spans="1:17" x14ac:dyDescent="0.2">
      <c r="A148" s="43"/>
      <c r="B148" s="210" t="s">
        <v>883</v>
      </c>
      <c r="C148" s="210"/>
      <c r="D148" s="210"/>
      <c r="E148" s="210"/>
      <c r="F148" s="210"/>
      <c r="G148" s="210"/>
      <c r="H148" s="210"/>
      <c r="J148" s="45"/>
    </row>
    <row r="149" spans="1:17" x14ac:dyDescent="0.2">
      <c r="A149" s="48"/>
      <c r="B149" s="48"/>
      <c r="C149" s="48"/>
      <c r="D149" s="49"/>
      <c r="E149" s="49"/>
      <c r="F149" s="49"/>
      <c r="G149" s="49"/>
    </row>
    <row r="150" spans="1:17" x14ac:dyDescent="0.2">
      <c r="A150" s="48"/>
      <c r="B150" s="212" t="s">
        <v>169</v>
      </c>
      <c r="C150" s="213"/>
      <c r="D150" s="214"/>
      <c r="E150" s="50"/>
      <c r="F150" s="49"/>
      <c r="G150" s="49"/>
    </row>
    <row r="151" spans="1:17" ht="27.75" customHeight="1" x14ac:dyDescent="0.2">
      <c r="A151" s="48"/>
      <c r="B151" s="215" t="s">
        <v>170</v>
      </c>
      <c r="C151" s="216"/>
      <c r="D151" s="26" t="s">
        <v>171</v>
      </c>
      <c r="E151" s="50"/>
      <c r="F151" s="49"/>
      <c r="G151" s="49"/>
    </row>
    <row r="152" spans="1:17" ht="12.75" customHeight="1" x14ac:dyDescent="0.2">
      <c r="A152" s="43"/>
      <c r="B152" s="217" t="s">
        <v>884</v>
      </c>
      <c r="C152" s="218"/>
      <c r="D152" s="26" t="s">
        <v>171</v>
      </c>
      <c r="E152" s="52"/>
      <c r="F152" s="53"/>
      <c r="G152" s="53"/>
    </row>
    <row r="153" spans="1:17" x14ac:dyDescent="0.2">
      <c r="A153" s="48"/>
      <c r="B153" s="215" t="s">
        <v>172</v>
      </c>
      <c r="C153" s="216"/>
      <c r="D153" s="36" t="s">
        <v>142</v>
      </c>
      <c r="E153" s="50"/>
      <c r="F153" s="49"/>
      <c r="G153" s="49"/>
    </row>
    <row r="154" spans="1:17" x14ac:dyDescent="0.2">
      <c r="A154" s="54"/>
      <c r="B154" s="55" t="s">
        <v>142</v>
      </c>
      <c r="C154" s="55" t="s">
        <v>885</v>
      </c>
      <c r="D154" s="55" t="s">
        <v>173</v>
      </c>
      <c r="E154" s="54"/>
      <c r="F154" s="54"/>
      <c r="G154" s="54"/>
      <c r="H154" s="54"/>
      <c r="J154" s="45"/>
    </row>
    <row r="155" spans="1:17" x14ac:dyDescent="0.2">
      <c r="A155" s="54"/>
      <c r="B155" s="56" t="s">
        <v>174</v>
      </c>
      <c r="C155" s="57">
        <v>45777</v>
      </c>
      <c r="D155" s="57">
        <v>45808</v>
      </c>
      <c r="E155" s="54"/>
      <c r="F155" s="54"/>
      <c r="G155" s="54"/>
      <c r="J155" s="45"/>
    </row>
    <row r="156" spans="1:17" x14ac:dyDescent="0.2">
      <c r="A156" s="58"/>
      <c r="B156" s="29" t="s">
        <v>175</v>
      </c>
      <c r="C156" s="59">
        <v>90.829499999999996</v>
      </c>
      <c r="D156" s="59">
        <v>92.856899999999996</v>
      </c>
      <c r="E156" s="58"/>
      <c r="F156" s="60"/>
      <c r="G156" s="61"/>
    </row>
    <row r="157" spans="1:17" x14ac:dyDescent="0.2">
      <c r="A157" s="58"/>
      <c r="B157" s="29" t="s">
        <v>1065</v>
      </c>
      <c r="C157" s="59">
        <v>33.575000000000003</v>
      </c>
      <c r="D157" s="59">
        <v>34.324399999999997</v>
      </c>
      <c r="E157" s="58"/>
      <c r="F157" s="60"/>
      <c r="G157" s="61"/>
    </row>
    <row r="158" spans="1:17" x14ac:dyDescent="0.2">
      <c r="A158" s="58"/>
      <c r="B158" s="29" t="s">
        <v>177</v>
      </c>
      <c r="C158" s="59">
        <v>80.940399999999997</v>
      </c>
      <c r="D158" s="59">
        <v>82.674000000000007</v>
      </c>
      <c r="E158" s="58"/>
      <c r="F158" s="60"/>
      <c r="G158" s="61"/>
    </row>
    <row r="159" spans="1:17" x14ac:dyDescent="0.2">
      <c r="A159" s="58"/>
      <c r="B159" s="29" t="s">
        <v>1066</v>
      </c>
      <c r="C159" s="59">
        <v>29.2864</v>
      </c>
      <c r="D159" s="59">
        <v>29.913599999999999</v>
      </c>
      <c r="E159" s="58"/>
      <c r="F159" s="60"/>
      <c r="G159" s="61"/>
    </row>
    <row r="160" spans="1:17" x14ac:dyDescent="0.2">
      <c r="A160" s="58"/>
      <c r="B160" s="58"/>
      <c r="C160" s="58"/>
      <c r="D160" s="58"/>
      <c r="E160" s="58"/>
      <c r="F160" s="58"/>
      <c r="G160" s="58"/>
    </row>
    <row r="161" spans="1:7" x14ac:dyDescent="0.2">
      <c r="A161" s="54"/>
      <c r="B161" s="217" t="s">
        <v>887</v>
      </c>
      <c r="C161" s="218"/>
      <c r="D161" s="51" t="s">
        <v>171</v>
      </c>
      <c r="E161" s="54"/>
      <c r="F161" s="54"/>
      <c r="G161" s="54"/>
    </row>
    <row r="162" spans="1:7" x14ac:dyDescent="0.2">
      <c r="A162" s="54"/>
      <c r="B162" s="44"/>
      <c r="C162" s="44"/>
      <c r="D162" s="54"/>
      <c r="E162" s="54"/>
      <c r="F162" s="54"/>
      <c r="G162" s="54"/>
    </row>
    <row r="163" spans="1:7" x14ac:dyDescent="0.2">
      <c r="A163" s="54"/>
      <c r="B163" s="217" t="s">
        <v>180</v>
      </c>
      <c r="C163" s="218"/>
      <c r="D163" s="51" t="s">
        <v>171</v>
      </c>
      <c r="E163" s="65"/>
      <c r="F163" s="54"/>
      <c r="G163" s="54"/>
    </row>
    <row r="164" spans="1:7" x14ac:dyDescent="0.2">
      <c r="A164" s="54"/>
      <c r="B164" s="217" t="s">
        <v>181</v>
      </c>
      <c r="C164" s="218"/>
      <c r="D164" s="51" t="s">
        <v>171</v>
      </c>
      <c r="E164" s="65"/>
      <c r="F164" s="54"/>
      <c r="G164" s="54"/>
    </row>
    <row r="165" spans="1:7" x14ac:dyDescent="0.2">
      <c r="A165" s="54"/>
      <c r="B165" s="217" t="s">
        <v>182</v>
      </c>
      <c r="C165" s="218"/>
      <c r="D165" s="51" t="s">
        <v>171</v>
      </c>
      <c r="E165" s="65"/>
      <c r="F165" s="54"/>
      <c r="G165" s="54"/>
    </row>
    <row r="166" spans="1:7" x14ac:dyDescent="0.2">
      <c r="A166" s="54"/>
      <c r="B166" s="217" t="s">
        <v>183</v>
      </c>
      <c r="C166" s="218"/>
      <c r="D166" s="66">
        <v>0.55978244973722613</v>
      </c>
      <c r="E166" s="54"/>
      <c r="F166" s="44"/>
      <c r="G166" s="64"/>
    </row>
    <row r="168" spans="1:7" x14ac:dyDescent="0.2">
      <c r="B168" s="219" t="s">
        <v>888</v>
      </c>
      <c r="C168" s="219"/>
    </row>
    <row r="183" spans="2:10" x14ac:dyDescent="0.2">
      <c r="B183" s="67" t="s">
        <v>889</v>
      </c>
      <c r="C183" s="68"/>
      <c r="D183" s="67"/>
    </row>
    <row r="184" spans="2:10" x14ac:dyDescent="0.2">
      <c r="B184" s="67" t="s">
        <v>895</v>
      </c>
      <c r="D184" s="67"/>
    </row>
    <row r="187" spans="2:10" x14ac:dyDescent="0.2">
      <c r="J187" s="24"/>
    </row>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sheetData>
  <mergeCells count="18">
    <mergeCell ref="B168:C168"/>
    <mergeCell ref="B161:C161"/>
    <mergeCell ref="B165:C165"/>
    <mergeCell ref="B166:C166"/>
    <mergeCell ref="B163:C163"/>
    <mergeCell ref="B164:C164"/>
    <mergeCell ref="A1:H1"/>
    <mergeCell ref="A2:H2"/>
    <mergeCell ref="A3:H3"/>
    <mergeCell ref="B144:H144"/>
    <mergeCell ref="B145:H145"/>
    <mergeCell ref="B152:C152"/>
    <mergeCell ref="B153:C153"/>
    <mergeCell ref="B146:H146"/>
    <mergeCell ref="B147:H147"/>
    <mergeCell ref="B148:H148"/>
    <mergeCell ref="B150:D150"/>
    <mergeCell ref="B151:C151"/>
  </mergeCells>
  <hyperlinks>
    <hyperlink ref="I1" location="Index!B2" display="Index" xr:uid="{13031C5E-F92D-4D70-B198-C931FDC492B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AB8B-6C99-40B9-B732-F843E1A978C7}">
  <sheetPr>
    <outlinePr summaryBelow="0" summaryRight="0"/>
  </sheetPr>
  <dimension ref="A1:Q159"/>
  <sheetViews>
    <sheetView showGridLines="0" topLeftCell="A104" workbookViewId="0">
      <selection activeCell="D116" sqref="D116"/>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360</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329</v>
      </c>
      <c r="C7" s="29" t="s">
        <v>330</v>
      </c>
      <c r="D7" s="29" t="s">
        <v>212</v>
      </c>
      <c r="E7" s="30">
        <v>2797</v>
      </c>
      <c r="F7" s="31">
        <v>184.65794</v>
      </c>
      <c r="G7" s="32">
        <v>5.5267280000000002E-2</v>
      </c>
      <c r="H7" s="27" t="s">
        <v>142</v>
      </c>
    </row>
    <row r="8" spans="1:9" x14ac:dyDescent="0.2">
      <c r="A8" s="28">
        <v>2</v>
      </c>
      <c r="B8" s="29" t="s">
        <v>361</v>
      </c>
      <c r="C8" s="29" t="s">
        <v>362</v>
      </c>
      <c r="D8" s="29" t="s">
        <v>197</v>
      </c>
      <c r="E8" s="30">
        <v>31964</v>
      </c>
      <c r="F8" s="31">
        <v>178.774652</v>
      </c>
      <c r="G8" s="32">
        <v>5.3506440000000002E-2</v>
      </c>
      <c r="H8" s="27" t="s">
        <v>142</v>
      </c>
    </row>
    <row r="9" spans="1:9" x14ac:dyDescent="0.2">
      <c r="A9" s="28">
        <v>3</v>
      </c>
      <c r="B9" s="29" t="s">
        <v>337</v>
      </c>
      <c r="C9" s="29" t="s">
        <v>338</v>
      </c>
      <c r="D9" s="29" t="s">
        <v>263</v>
      </c>
      <c r="E9" s="30">
        <v>9566</v>
      </c>
      <c r="F9" s="31">
        <v>166.02749600000001</v>
      </c>
      <c r="G9" s="32">
        <v>4.9691279999999997E-2</v>
      </c>
      <c r="H9" s="27" t="s">
        <v>142</v>
      </c>
    </row>
    <row r="10" spans="1:9" x14ac:dyDescent="0.2">
      <c r="A10" s="28">
        <v>4</v>
      </c>
      <c r="B10" s="29" t="s">
        <v>71</v>
      </c>
      <c r="C10" s="29" t="s">
        <v>72</v>
      </c>
      <c r="D10" s="29" t="s">
        <v>73</v>
      </c>
      <c r="E10" s="30">
        <v>18540</v>
      </c>
      <c r="F10" s="31">
        <v>156.88548</v>
      </c>
      <c r="G10" s="32">
        <v>4.6955110000000001E-2</v>
      </c>
      <c r="H10" s="27" t="s">
        <v>142</v>
      </c>
    </row>
    <row r="11" spans="1:9" x14ac:dyDescent="0.2">
      <c r="A11" s="28">
        <v>5</v>
      </c>
      <c r="B11" s="29" t="s">
        <v>363</v>
      </c>
      <c r="C11" s="29" t="s">
        <v>364</v>
      </c>
      <c r="D11" s="29" t="s">
        <v>229</v>
      </c>
      <c r="E11" s="30">
        <v>44850</v>
      </c>
      <c r="F11" s="31">
        <v>142.66784999999999</v>
      </c>
      <c r="G11" s="32">
        <v>4.2699840000000003E-2</v>
      </c>
      <c r="H11" s="27" t="s">
        <v>142</v>
      </c>
    </row>
    <row r="12" spans="1:9" x14ac:dyDescent="0.2">
      <c r="A12" s="28">
        <v>6</v>
      </c>
      <c r="B12" s="29" t="s">
        <v>365</v>
      </c>
      <c r="C12" s="29" t="s">
        <v>366</v>
      </c>
      <c r="D12" s="29" t="s">
        <v>61</v>
      </c>
      <c r="E12" s="30">
        <v>6144</v>
      </c>
      <c r="F12" s="31">
        <v>141.785088</v>
      </c>
      <c r="G12" s="32">
        <v>4.2435630000000002E-2</v>
      </c>
      <c r="H12" s="27" t="s">
        <v>142</v>
      </c>
    </row>
    <row r="13" spans="1:9" x14ac:dyDescent="0.2">
      <c r="A13" s="28">
        <v>7</v>
      </c>
      <c r="B13" s="29" t="s">
        <v>230</v>
      </c>
      <c r="C13" s="29" t="s">
        <v>231</v>
      </c>
      <c r="D13" s="29" t="s">
        <v>132</v>
      </c>
      <c r="E13" s="30">
        <v>1151</v>
      </c>
      <c r="F13" s="31">
        <v>136.560395</v>
      </c>
      <c r="G13" s="32">
        <v>4.0871909999999997E-2</v>
      </c>
      <c r="H13" s="27" t="s">
        <v>142</v>
      </c>
    </row>
    <row r="14" spans="1:9" x14ac:dyDescent="0.2">
      <c r="A14" s="28">
        <v>8</v>
      </c>
      <c r="B14" s="29" t="s">
        <v>367</v>
      </c>
      <c r="C14" s="29" t="s">
        <v>368</v>
      </c>
      <c r="D14" s="29" t="s">
        <v>28</v>
      </c>
      <c r="E14" s="30">
        <v>33313</v>
      </c>
      <c r="F14" s="31">
        <v>121.5424805</v>
      </c>
      <c r="G14" s="32">
        <v>3.6377109999999997E-2</v>
      </c>
      <c r="H14" s="27" t="s">
        <v>142</v>
      </c>
    </row>
    <row r="15" spans="1:9" x14ac:dyDescent="0.2">
      <c r="A15" s="28">
        <v>9</v>
      </c>
      <c r="B15" s="29" t="s">
        <v>369</v>
      </c>
      <c r="C15" s="29" t="s">
        <v>370</v>
      </c>
      <c r="D15" s="29" t="s">
        <v>28</v>
      </c>
      <c r="E15" s="30">
        <v>268914</v>
      </c>
      <c r="F15" s="31">
        <v>115.71369420000001</v>
      </c>
      <c r="G15" s="32">
        <v>3.4632580000000003E-2</v>
      </c>
      <c r="H15" s="27" t="s">
        <v>142</v>
      </c>
    </row>
    <row r="16" spans="1:9" x14ac:dyDescent="0.2">
      <c r="A16" s="28">
        <v>10</v>
      </c>
      <c r="B16" s="29" t="s">
        <v>371</v>
      </c>
      <c r="C16" s="29" t="s">
        <v>372</v>
      </c>
      <c r="D16" s="29" t="s">
        <v>212</v>
      </c>
      <c r="E16" s="30">
        <v>3672</v>
      </c>
      <c r="F16" s="31">
        <v>111.467232</v>
      </c>
      <c r="G16" s="32">
        <v>3.3361639999999998E-2</v>
      </c>
      <c r="H16" s="27" t="s">
        <v>142</v>
      </c>
    </row>
    <row r="17" spans="1:8" x14ac:dyDescent="0.2">
      <c r="A17" s="28">
        <v>11</v>
      </c>
      <c r="B17" s="29" t="s">
        <v>373</v>
      </c>
      <c r="C17" s="29" t="s">
        <v>374</v>
      </c>
      <c r="D17" s="29" t="s">
        <v>61</v>
      </c>
      <c r="E17" s="30">
        <v>43192</v>
      </c>
      <c r="F17" s="31">
        <v>110.2000688</v>
      </c>
      <c r="G17" s="32">
        <v>3.2982379999999999E-2</v>
      </c>
      <c r="H17" s="27" t="s">
        <v>142</v>
      </c>
    </row>
    <row r="18" spans="1:8" x14ac:dyDescent="0.2">
      <c r="A18" s="28">
        <v>12</v>
      </c>
      <c r="B18" s="29" t="s">
        <v>109</v>
      </c>
      <c r="C18" s="29" t="s">
        <v>110</v>
      </c>
      <c r="D18" s="29" t="s">
        <v>73</v>
      </c>
      <c r="E18" s="30">
        <v>3019</v>
      </c>
      <c r="F18" s="31">
        <v>108.991938</v>
      </c>
      <c r="G18" s="32">
        <v>3.2620789999999997E-2</v>
      </c>
      <c r="H18" s="27" t="s">
        <v>142</v>
      </c>
    </row>
    <row r="19" spans="1:8" ht="25.5" x14ac:dyDescent="0.2">
      <c r="A19" s="28">
        <v>13</v>
      </c>
      <c r="B19" s="29" t="s">
        <v>375</v>
      </c>
      <c r="C19" s="29" t="s">
        <v>376</v>
      </c>
      <c r="D19" s="29" t="s">
        <v>194</v>
      </c>
      <c r="E19" s="30">
        <v>1748</v>
      </c>
      <c r="F19" s="31">
        <v>100.47504000000001</v>
      </c>
      <c r="G19" s="32">
        <v>3.007172E-2</v>
      </c>
      <c r="H19" s="27" t="s">
        <v>142</v>
      </c>
    </row>
    <row r="20" spans="1:8" ht="25.5" x14ac:dyDescent="0.2">
      <c r="A20" s="28">
        <v>14</v>
      </c>
      <c r="B20" s="29" t="s">
        <v>39</v>
      </c>
      <c r="C20" s="29" t="s">
        <v>40</v>
      </c>
      <c r="D20" s="29" t="s">
        <v>25</v>
      </c>
      <c r="E20" s="30">
        <v>1736</v>
      </c>
      <c r="F20" s="31">
        <v>95.436599999999999</v>
      </c>
      <c r="G20" s="32">
        <v>2.8563740000000001E-2</v>
      </c>
      <c r="H20" s="27" t="s">
        <v>142</v>
      </c>
    </row>
    <row r="21" spans="1:8" x14ac:dyDescent="0.2">
      <c r="A21" s="28">
        <v>15</v>
      </c>
      <c r="B21" s="29" t="s">
        <v>377</v>
      </c>
      <c r="C21" s="29" t="s">
        <v>378</v>
      </c>
      <c r="D21" s="29" t="s">
        <v>28</v>
      </c>
      <c r="E21" s="30">
        <v>149355</v>
      </c>
      <c r="F21" s="31">
        <v>95.004715500000003</v>
      </c>
      <c r="G21" s="32">
        <v>2.8434480000000002E-2</v>
      </c>
      <c r="H21" s="27" t="s">
        <v>142</v>
      </c>
    </row>
    <row r="22" spans="1:8" ht="25.5" x14ac:dyDescent="0.2">
      <c r="A22" s="28">
        <v>16</v>
      </c>
      <c r="B22" s="29" t="s">
        <v>379</v>
      </c>
      <c r="C22" s="29" t="s">
        <v>380</v>
      </c>
      <c r="D22" s="29" t="s">
        <v>194</v>
      </c>
      <c r="E22" s="30">
        <v>5362</v>
      </c>
      <c r="F22" s="31">
        <v>89.883206000000001</v>
      </c>
      <c r="G22" s="32">
        <v>2.6901640000000001E-2</v>
      </c>
      <c r="H22" s="27" t="s">
        <v>142</v>
      </c>
    </row>
    <row r="23" spans="1:8" ht="25.5" x14ac:dyDescent="0.2">
      <c r="A23" s="28">
        <v>17</v>
      </c>
      <c r="B23" s="29" t="s">
        <v>381</v>
      </c>
      <c r="C23" s="29" t="s">
        <v>382</v>
      </c>
      <c r="D23" s="29" t="s">
        <v>273</v>
      </c>
      <c r="E23" s="30">
        <v>1908</v>
      </c>
      <c r="F23" s="31">
        <v>81.303696000000002</v>
      </c>
      <c r="G23" s="32">
        <v>2.4333830000000001E-2</v>
      </c>
      <c r="H23" s="27" t="s">
        <v>142</v>
      </c>
    </row>
    <row r="24" spans="1:8" ht="25.5" x14ac:dyDescent="0.2">
      <c r="A24" s="28">
        <v>18</v>
      </c>
      <c r="B24" s="29" t="s">
        <v>383</v>
      </c>
      <c r="C24" s="29" t="s">
        <v>384</v>
      </c>
      <c r="D24" s="29" t="s">
        <v>385</v>
      </c>
      <c r="E24" s="30">
        <v>22120</v>
      </c>
      <c r="F24" s="31">
        <v>78.669780000000003</v>
      </c>
      <c r="G24" s="32">
        <v>2.3545509999999999E-2</v>
      </c>
      <c r="H24" s="27" t="s">
        <v>142</v>
      </c>
    </row>
    <row r="25" spans="1:8" x14ac:dyDescent="0.2">
      <c r="A25" s="28">
        <v>19</v>
      </c>
      <c r="B25" s="29" t="s">
        <v>386</v>
      </c>
      <c r="C25" s="29" t="s">
        <v>387</v>
      </c>
      <c r="D25" s="29" t="s">
        <v>132</v>
      </c>
      <c r="E25" s="30">
        <v>9319</v>
      </c>
      <c r="F25" s="31">
        <v>73.447698500000001</v>
      </c>
      <c r="G25" s="32">
        <v>2.1982560000000002E-2</v>
      </c>
      <c r="H25" s="27" t="s">
        <v>142</v>
      </c>
    </row>
    <row r="26" spans="1:8" x14ac:dyDescent="0.2">
      <c r="A26" s="28">
        <v>20</v>
      </c>
      <c r="B26" s="29" t="s">
        <v>388</v>
      </c>
      <c r="C26" s="29" t="s">
        <v>389</v>
      </c>
      <c r="D26" s="29" t="s">
        <v>132</v>
      </c>
      <c r="E26" s="30">
        <v>3675</v>
      </c>
      <c r="F26" s="31">
        <v>68.582849999999993</v>
      </c>
      <c r="G26" s="32">
        <v>2.0526539999999999E-2</v>
      </c>
      <c r="H26" s="27" t="s">
        <v>142</v>
      </c>
    </row>
    <row r="27" spans="1:8" x14ac:dyDescent="0.2">
      <c r="A27" s="28">
        <v>21</v>
      </c>
      <c r="B27" s="29" t="s">
        <v>390</v>
      </c>
      <c r="C27" s="29" t="s">
        <v>391</v>
      </c>
      <c r="D27" s="29" t="s">
        <v>392</v>
      </c>
      <c r="E27" s="30">
        <v>6861</v>
      </c>
      <c r="F27" s="31">
        <v>67.598002500000007</v>
      </c>
      <c r="G27" s="32">
        <v>2.0231780000000001E-2</v>
      </c>
      <c r="H27" s="27" t="s">
        <v>142</v>
      </c>
    </row>
    <row r="28" spans="1:8" x14ac:dyDescent="0.2">
      <c r="A28" s="28">
        <v>22</v>
      </c>
      <c r="B28" s="29" t="s">
        <v>393</v>
      </c>
      <c r="C28" s="29" t="s">
        <v>394</v>
      </c>
      <c r="D28" s="29" t="s">
        <v>200</v>
      </c>
      <c r="E28" s="30">
        <v>14636</v>
      </c>
      <c r="F28" s="31">
        <v>64.954567999999995</v>
      </c>
      <c r="G28" s="32">
        <v>1.9440610000000001E-2</v>
      </c>
      <c r="H28" s="27" t="s">
        <v>142</v>
      </c>
    </row>
    <row r="29" spans="1:8" x14ac:dyDescent="0.2">
      <c r="A29" s="28">
        <v>23</v>
      </c>
      <c r="B29" s="29" t="s">
        <v>395</v>
      </c>
      <c r="C29" s="29" t="s">
        <v>396</v>
      </c>
      <c r="D29" s="29" t="s">
        <v>132</v>
      </c>
      <c r="E29" s="30">
        <v>5806</v>
      </c>
      <c r="F29" s="31">
        <v>60.666893999999999</v>
      </c>
      <c r="G29" s="32">
        <v>1.8157329999999999E-2</v>
      </c>
      <c r="H29" s="27" t="s">
        <v>142</v>
      </c>
    </row>
    <row r="30" spans="1:8" x14ac:dyDescent="0.2">
      <c r="A30" s="28">
        <v>24</v>
      </c>
      <c r="B30" s="29" t="s">
        <v>397</v>
      </c>
      <c r="C30" s="29" t="s">
        <v>398</v>
      </c>
      <c r="D30" s="29" t="s">
        <v>73</v>
      </c>
      <c r="E30" s="30">
        <v>12724</v>
      </c>
      <c r="F30" s="31">
        <v>58.657640000000001</v>
      </c>
      <c r="G30" s="32">
        <v>1.7555970000000001E-2</v>
      </c>
      <c r="H30" s="27" t="s">
        <v>142</v>
      </c>
    </row>
    <row r="31" spans="1:8" ht="25.5" x14ac:dyDescent="0.2">
      <c r="A31" s="28">
        <v>25</v>
      </c>
      <c r="B31" s="29" t="s">
        <v>399</v>
      </c>
      <c r="C31" s="29" t="s">
        <v>400</v>
      </c>
      <c r="D31" s="29" t="s">
        <v>194</v>
      </c>
      <c r="E31" s="30">
        <v>9463</v>
      </c>
      <c r="F31" s="31">
        <v>57.686447999999999</v>
      </c>
      <c r="G31" s="32">
        <v>1.7265289999999999E-2</v>
      </c>
      <c r="H31" s="27" t="s">
        <v>142</v>
      </c>
    </row>
    <row r="32" spans="1:8" x14ac:dyDescent="0.2">
      <c r="A32" s="28">
        <v>26</v>
      </c>
      <c r="B32" s="29" t="s">
        <v>401</v>
      </c>
      <c r="C32" s="29" t="s">
        <v>402</v>
      </c>
      <c r="D32" s="29" t="s">
        <v>229</v>
      </c>
      <c r="E32" s="30">
        <v>8151</v>
      </c>
      <c r="F32" s="31">
        <v>54.5505675</v>
      </c>
      <c r="G32" s="32">
        <v>1.6326739999999999E-2</v>
      </c>
      <c r="H32" s="27" t="s">
        <v>142</v>
      </c>
    </row>
    <row r="33" spans="1:8" x14ac:dyDescent="0.2">
      <c r="A33" s="28">
        <v>27</v>
      </c>
      <c r="B33" s="29" t="s">
        <v>403</v>
      </c>
      <c r="C33" s="29" t="s">
        <v>404</v>
      </c>
      <c r="D33" s="29" t="s">
        <v>132</v>
      </c>
      <c r="E33" s="30">
        <v>4638</v>
      </c>
      <c r="F33" s="31">
        <v>53.081910000000001</v>
      </c>
      <c r="G33" s="32">
        <v>1.5887180000000001E-2</v>
      </c>
      <c r="H33" s="27" t="s">
        <v>142</v>
      </c>
    </row>
    <row r="34" spans="1:8" x14ac:dyDescent="0.2">
      <c r="A34" s="28">
        <v>28</v>
      </c>
      <c r="B34" s="29" t="s">
        <v>56</v>
      </c>
      <c r="C34" s="29" t="s">
        <v>57</v>
      </c>
      <c r="D34" s="29" t="s">
        <v>58</v>
      </c>
      <c r="E34" s="30">
        <v>4383</v>
      </c>
      <c r="F34" s="31">
        <v>47.967551999999998</v>
      </c>
      <c r="G34" s="32">
        <v>1.435647E-2</v>
      </c>
      <c r="H34" s="27" t="s">
        <v>142</v>
      </c>
    </row>
    <row r="35" spans="1:8" x14ac:dyDescent="0.2">
      <c r="A35" s="28">
        <v>29</v>
      </c>
      <c r="B35" s="29" t="s">
        <v>405</v>
      </c>
      <c r="C35" s="29" t="s">
        <v>406</v>
      </c>
      <c r="D35" s="29" t="s">
        <v>200</v>
      </c>
      <c r="E35" s="30">
        <v>11397</v>
      </c>
      <c r="F35" s="31">
        <v>45.644984999999998</v>
      </c>
      <c r="G35" s="32">
        <v>1.3661339999999999E-2</v>
      </c>
      <c r="H35" s="27" t="s">
        <v>142</v>
      </c>
    </row>
    <row r="36" spans="1:8" x14ac:dyDescent="0.2">
      <c r="A36" s="28">
        <v>30</v>
      </c>
      <c r="B36" s="29" t="s">
        <v>407</v>
      </c>
      <c r="C36" s="29" t="s">
        <v>408</v>
      </c>
      <c r="D36" s="29" t="s">
        <v>137</v>
      </c>
      <c r="E36" s="30">
        <v>27808</v>
      </c>
      <c r="F36" s="31">
        <v>44.776441599999998</v>
      </c>
      <c r="G36" s="32">
        <v>1.3401389999999999E-2</v>
      </c>
      <c r="H36" s="27" t="s">
        <v>142</v>
      </c>
    </row>
    <row r="37" spans="1:8" x14ac:dyDescent="0.2">
      <c r="A37" s="28">
        <v>31</v>
      </c>
      <c r="B37" s="29" t="s">
        <v>409</v>
      </c>
      <c r="C37" s="29" t="s">
        <v>410</v>
      </c>
      <c r="D37" s="29" t="s">
        <v>263</v>
      </c>
      <c r="E37" s="30">
        <v>11897</v>
      </c>
      <c r="F37" s="31">
        <v>43.596556499999998</v>
      </c>
      <c r="G37" s="32">
        <v>1.3048250000000001E-2</v>
      </c>
      <c r="H37" s="27" t="s">
        <v>142</v>
      </c>
    </row>
    <row r="38" spans="1:8" x14ac:dyDescent="0.2">
      <c r="A38" s="28">
        <v>32</v>
      </c>
      <c r="B38" s="29" t="s">
        <v>411</v>
      </c>
      <c r="C38" s="29" t="s">
        <v>412</v>
      </c>
      <c r="D38" s="29" t="s">
        <v>61</v>
      </c>
      <c r="E38" s="30">
        <v>5239</v>
      </c>
      <c r="F38" s="31">
        <v>40.754181000000003</v>
      </c>
      <c r="G38" s="32">
        <v>1.219754E-2</v>
      </c>
      <c r="H38" s="27" t="s">
        <v>142</v>
      </c>
    </row>
    <row r="39" spans="1:8" x14ac:dyDescent="0.2">
      <c r="A39" s="28">
        <v>33</v>
      </c>
      <c r="B39" s="29" t="s">
        <v>128</v>
      </c>
      <c r="C39" s="29" t="s">
        <v>129</v>
      </c>
      <c r="D39" s="29" t="s">
        <v>73</v>
      </c>
      <c r="E39" s="30">
        <v>2184</v>
      </c>
      <c r="F39" s="31">
        <v>39.237743999999999</v>
      </c>
      <c r="G39" s="32">
        <v>1.1743679999999999E-2</v>
      </c>
      <c r="H39" s="27" t="s">
        <v>142</v>
      </c>
    </row>
    <row r="40" spans="1:8" x14ac:dyDescent="0.2">
      <c r="A40" s="28">
        <v>34</v>
      </c>
      <c r="B40" s="29" t="s">
        <v>413</v>
      </c>
      <c r="C40" s="29" t="s">
        <v>414</v>
      </c>
      <c r="D40" s="29" t="s">
        <v>61</v>
      </c>
      <c r="E40" s="30">
        <v>4433</v>
      </c>
      <c r="F40" s="31">
        <v>34.076470999999998</v>
      </c>
      <c r="G40" s="32">
        <v>1.019893E-2</v>
      </c>
      <c r="H40" s="27" t="s">
        <v>142</v>
      </c>
    </row>
    <row r="41" spans="1:8" x14ac:dyDescent="0.2">
      <c r="A41" s="28">
        <v>35</v>
      </c>
      <c r="B41" s="29" t="s">
        <v>213</v>
      </c>
      <c r="C41" s="29" t="s">
        <v>214</v>
      </c>
      <c r="D41" s="29" t="s">
        <v>58</v>
      </c>
      <c r="E41" s="30">
        <v>2178</v>
      </c>
      <c r="F41" s="31">
        <v>33.478037999999998</v>
      </c>
      <c r="G41" s="32">
        <v>1.001983E-2</v>
      </c>
      <c r="H41" s="27" t="s">
        <v>142</v>
      </c>
    </row>
    <row r="42" spans="1:8" x14ac:dyDescent="0.2">
      <c r="A42" s="28">
        <v>36</v>
      </c>
      <c r="B42" s="29" t="s">
        <v>415</v>
      </c>
      <c r="C42" s="29" t="s">
        <v>416</v>
      </c>
      <c r="D42" s="29" t="s">
        <v>73</v>
      </c>
      <c r="E42" s="30">
        <v>2283</v>
      </c>
      <c r="F42" s="31">
        <v>22.642793999999999</v>
      </c>
      <c r="G42" s="32">
        <v>6.7768899999999998E-3</v>
      </c>
      <c r="H42" s="27" t="s">
        <v>142</v>
      </c>
    </row>
    <row r="43" spans="1:8" x14ac:dyDescent="0.2">
      <c r="A43" s="28">
        <v>37</v>
      </c>
      <c r="B43" s="29" t="s">
        <v>417</v>
      </c>
      <c r="C43" s="29" t="s">
        <v>418</v>
      </c>
      <c r="D43" s="29" t="s">
        <v>64</v>
      </c>
      <c r="E43" s="30">
        <v>4214</v>
      </c>
      <c r="F43" s="31">
        <v>15.364243999999999</v>
      </c>
      <c r="G43" s="32">
        <v>4.5984499999999996E-3</v>
      </c>
      <c r="H43" s="27" t="s">
        <v>142</v>
      </c>
    </row>
    <row r="44" spans="1:8" x14ac:dyDescent="0.2">
      <c r="A44" s="25"/>
      <c r="B44" s="25"/>
      <c r="C44" s="26" t="s">
        <v>141</v>
      </c>
      <c r="D44" s="25"/>
      <c r="E44" s="25" t="s">
        <v>142</v>
      </c>
      <c r="F44" s="33">
        <v>3142.8129376000002</v>
      </c>
      <c r="G44" s="34">
        <v>0.94062968000000002</v>
      </c>
      <c r="H44" s="27" t="s">
        <v>142</v>
      </c>
    </row>
    <row r="45" spans="1:8" x14ac:dyDescent="0.2">
      <c r="A45" s="25"/>
      <c r="B45" s="25"/>
      <c r="C45" s="35"/>
      <c r="D45" s="25"/>
      <c r="E45" s="25"/>
      <c r="F45" s="36"/>
      <c r="G45" s="36"/>
      <c r="H45" s="27" t="s">
        <v>142</v>
      </c>
    </row>
    <row r="46" spans="1:8" x14ac:dyDescent="0.2">
      <c r="A46" s="25"/>
      <c r="B46" s="25"/>
      <c r="C46" s="26" t="s">
        <v>143</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145</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146</v>
      </c>
      <c r="D52" s="25"/>
      <c r="E52" s="25"/>
      <c r="F52" s="25"/>
      <c r="G52" s="25"/>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147</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148</v>
      </c>
      <c r="D58" s="25"/>
      <c r="E58" s="25"/>
      <c r="F58" s="36"/>
      <c r="G58" s="36"/>
      <c r="H58" s="27" t="s">
        <v>142</v>
      </c>
    </row>
    <row r="59" spans="1:8" x14ac:dyDescent="0.2">
      <c r="A59" s="25"/>
      <c r="B59" s="25"/>
      <c r="C59" s="26" t="s">
        <v>141</v>
      </c>
      <c r="D59" s="25"/>
      <c r="E59" s="25" t="s">
        <v>142</v>
      </c>
      <c r="F59" s="37" t="s">
        <v>144</v>
      </c>
      <c r="G59" s="34">
        <v>0</v>
      </c>
      <c r="H59" s="27" t="s">
        <v>142</v>
      </c>
    </row>
    <row r="60" spans="1:8" x14ac:dyDescent="0.2">
      <c r="A60" s="25"/>
      <c r="B60" s="25"/>
      <c r="C60" s="35"/>
      <c r="D60" s="25"/>
      <c r="E60" s="25"/>
      <c r="F60" s="36"/>
      <c r="G60" s="36"/>
      <c r="H60" s="27" t="s">
        <v>142</v>
      </c>
    </row>
    <row r="61" spans="1:8" x14ac:dyDescent="0.2">
      <c r="A61" s="25"/>
      <c r="B61" s="25"/>
      <c r="C61" s="26" t="s">
        <v>149</v>
      </c>
      <c r="D61" s="25"/>
      <c r="E61" s="25"/>
      <c r="F61" s="33">
        <v>3142.8129376000002</v>
      </c>
      <c r="G61" s="34">
        <v>0.94062968000000002</v>
      </c>
      <c r="H61" s="27" t="s">
        <v>142</v>
      </c>
    </row>
    <row r="62" spans="1:8" x14ac:dyDescent="0.2">
      <c r="A62" s="25"/>
      <c r="B62" s="25"/>
      <c r="C62" s="35"/>
      <c r="D62" s="25"/>
      <c r="E62" s="25"/>
      <c r="F62" s="36"/>
      <c r="G62" s="36"/>
      <c r="H62" s="27" t="s">
        <v>142</v>
      </c>
    </row>
    <row r="63" spans="1:8" x14ac:dyDescent="0.2">
      <c r="A63" s="25"/>
      <c r="B63" s="25"/>
      <c r="C63" s="26" t="s">
        <v>150</v>
      </c>
      <c r="D63" s="25"/>
      <c r="E63" s="25"/>
      <c r="F63" s="36"/>
      <c r="G63" s="36"/>
      <c r="H63" s="27" t="s">
        <v>142</v>
      </c>
    </row>
    <row r="64" spans="1:8" x14ac:dyDescent="0.2">
      <c r="A64" s="25"/>
      <c r="B64" s="25"/>
      <c r="C64" s="26" t="s">
        <v>10</v>
      </c>
      <c r="D64" s="25"/>
      <c r="E64" s="25"/>
      <c r="F64" s="36"/>
      <c r="G64" s="36"/>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151</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152</v>
      </c>
      <c r="D70" s="25"/>
      <c r="E70" s="25"/>
      <c r="F70" s="25"/>
      <c r="G70" s="25"/>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153</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154</v>
      </c>
      <c r="D76" s="25"/>
      <c r="E76" s="25"/>
      <c r="F76" s="33">
        <v>0</v>
      </c>
      <c r="G76" s="34">
        <v>0</v>
      </c>
      <c r="H76" s="27" t="s">
        <v>142</v>
      </c>
    </row>
    <row r="77" spans="1:8" x14ac:dyDescent="0.2">
      <c r="A77" s="25"/>
      <c r="B77" s="25"/>
      <c r="C77" s="35"/>
      <c r="D77" s="25"/>
      <c r="E77" s="25"/>
      <c r="F77" s="36"/>
      <c r="G77" s="36"/>
      <c r="H77" s="27" t="s">
        <v>142</v>
      </c>
    </row>
    <row r="78" spans="1:8" x14ac:dyDescent="0.2">
      <c r="A78" s="25"/>
      <c r="B78" s="25"/>
      <c r="C78" s="26" t="s">
        <v>155</v>
      </c>
      <c r="D78" s="25"/>
      <c r="E78" s="25"/>
      <c r="F78" s="36"/>
      <c r="G78" s="36"/>
      <c r="H78" s="27" t="s">
        <v>142</v>
      </c>
    </row>
    <row r="79" spans="1:8" x14ac:dyDescent="0.2">
      <c r="A79" s="25"/>
      <c r="B79" s="25"/>
      <c r="C79" s="26" t="s">
        <v>156</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157</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158</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159</v>
      </c>
      <c r="D88" s="25"/>
      <c r="E88" s="25"/>
      <c r="F88" s="36"/>
      <c r="G88" s="36"/>
      <c r="H88" s="27" t="s">
        <v>142</v>
      </c>
    </row>
    <row r="89" spans="1:8" x14ac:dyDescent="0.2">
      <c r="A89" s="28">
        <v>1</v>
      </c>
      <c r="B89" s="29"/>
      <c r="C89" s="29" t="s">
        <v>160</v>
      </c>
      <c r="D89" s="29"/>
      <c r="E89" s="39"/>
      <c r="F89" s="31">
        <v>197.44081410000001</v>
      </c>
      <c r="G89" s="32">
        <v>5.9093140000000002E-2</v>
      </c>
      <c r="H89" s="27">
        <v>5.76</v>
      </c>
    </row>
    <row r="90" spans="1:8" x14ac:dyDescent="0.2">
      <c r="A90" s="25"/>
      <c r="B90" s="25"/>
      <c r="C90" s="26" t="s">
        <v>141</v>
      </c>
      <c r="D90" s="25"/>
      <c r="E90" s="25" t="s">
        <v>142</v>
      </c>
      <c r="F90" s="33">
        <v>197.44081410000001</v>
      </c>
      <c r="G90" s="34">
        <v>5.9093140000000002E-2</v>
      </c>
      <c r="H90" s="27" t="s">
        <v>142</v>
      </c>
    </row>
    <row r="91" spans="1:8" x14ac:dyDescent="0.2">
      <c r="A91" s="25"/>
      <c r="B91" s="25"/>
      <c r="C91" s="35"/>
      <c r="D91" s="25"/>
      <c r="E91" s="25"/>
      <c r="F91" s="36"/>
      <c r="G91" s="36"/>
      <c r="H91" s="27" t="s">
        <v>142</v>
      </c>
    </row>
    <row r="92" spans="1:8" x14ac:dyDescent="0.2">
      <c r="A92" s="25"/>
      <c r="B92" s="25"/>
      <c r="C92" s="26" t="s">
        <v>161</v>
      </c>
      <c r="D92" s="25"/>
      <c r="E92" s="25"/>
      <c r="F92" s="33">
        <v>197.44081410000001</v>
      </c>
      <c r="G92" s="34">
        <v>5.9093140000000002E-2</v>
      </c>
      <c r="H92" s="27" t="s">
        <v>142</v>
      </c>
    </row>
    <row r="93" spans="1:8" x14ac:dyDescent="0.2">
      <c r="A93" s="25"/>
      <c r="B93" s="25"/>
      <c r="C93" s="36"/>
      <c r="D93" s="25"/>
      <c r="E93" s="25"/>
      <c r="F93" s="25"/>
      <c r="G93" s="25"/>
      <c r="H93" s="27" t="s">
        <v>142</v>
      </c>
    </row>
    <row r="94" spans="1:8" x14ac:dyDescent="0.2">
      <c r="A94" s="25"/>
      <c r="B94" s="25"/>
      <c r="C94" s="26" t="s">
        <v>162</v>
      </c>
      <c r="D94" s="25"/>
      <c r="E94" s="25"/>
      <c r="F94" s="25"/>
      <c r="G94" s="25"/>
      <c r="H94" s="27" t="s">
        <v>142</v>
      </c>
    </row>
    <row r="95" spans="1:8" x14ac:dyDescent="0.2">
      <c r="A95" s="25"/>
      <c r="B95" s="25"/>
      <c r="C95" s="26" t="s">
        <v>163</v>
      </c>
      <c r="D95" s="25"/>
      <c r="E95" s="25"/>
      <c r="F95" s="25"/>
      <c r="G95" s="25"/>
      <c r="H95" s="27" t="s">
        <v>142</v>
      </c>
    </row>
    <row r="96" spans="1:8" x14ac:dyDescent="0.2">
      <c r="A96" s="25"/>
      <c r="B96" s="25"/>
      <c r="C96" s="26" t="s">
        <v>141</v>
      </c>
      <c r="D96" s="25"/>
      <c r="E96" s="25" t="s">
        <v>142</v>
      </c>
      <c r="F96" s="37" t="s">
        <v>144</v>
      </c>
      <c r="G96" s="34">
        <v>0</v>
      </c>
      <c r="H96" s="27" t="s">
        <v>142</v>
      </c>
    </row>
    <row r="97" spans="1:17" x14ac:dyDescent="0.2">
      <c r="A97" s="25"/>
      <c r="B97" s="25"/>
      <c r="C97" s="35"/>
      <c r="D97" s="25"/>
      <c r="E97" s="25"/>
      <c r="F97" s="36"/>
      <c r="G97" s="36"/>
      <c r="H97" s="27" t="s">
        <v>142</v>
      </c>
    </row>
    <row r="98" spans="1:17" x14ac:dyDescent="0.2">
      <c r="A98" s="25"/>
      <c r="B98" s="25"/>
      <c r="C98" s="26" t="s">
        <v>164</v>
      </c>
      <c r="D98" s="25"/>
      <c r="E98" s="25"/>
      <c r="F98" s="25"/>
      <c r="G98" s="25"/>
      <c r="H98" s="27" t="s">
        <v>142</v>
      </c>
    </row>
    <row r="99" spans="1:17" x14ac:dyDescent="0.2">
      <c r="A99" s="25"/>
      <c r="B99" s="25"/>
      <c r="C99" s="26" t="s">
        <v>165</v>
      </c>
      <c r="D99" s="25"/>
      <c r="E99" s="25"/>
      <c r="F99" s="25"/>
      <c r="G99" s="25"/>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25"/>
      <c r="B102" s="25"/>
      <c r="C102" s="26" t="s">
        <v>166</v>
      </c>
      <c r="D102" s="25"/>
      <c r="E102" s="25"/>
      <c r="F102" s="36"/>
      <c r="G102" s="36"/>
      <c r="H102" s="27" t="s">
        <v>142</v>
      </c>
    </row>
    <row r="103" spans="1:17" x14ac:dyDescent="0.2">
      <c r="A103" s="25"/>
      <c r="B103" s="25"/>
      <c r="C103" s="26" t="s">
        <v>141</v>
      </c>
      <c r="D103" s="25"/>
      <c r="E103" s="25" t="s">
        <v>142</v>
      </c>
      <c r="F103" s="37" t="s">
        <v>144</v>
      </c>
      <c r="G103" s="34">
        <v>0</v>
      </c>
      <c r="H103" s="27" t="s">
        <v>142</v>
      </c>
    </row>
    <row r="104" spans="1:17" x14ac:dyDescent="0.2">
      <c r="A104" s="25"/>
      <c r="B104" s="25"/>
      <c r="C104" s="35"/>
      <c r="D104" s="25"/>
      <c r="E104" s="25"/>
      <c r="F104" s="36"/>
      <c r="G104" s="36"/>
      <c r="H104" s="27" t="s">
        <v>142</v>
      </c>
    </row>
    <row r="105" spans="1:17" x14ac:dyDescent="0.2">
      <c r="A105" s="39"/>
      <c r="B105" s="29"/>
      <c r="C105" s="29" t="s">
        <v>167</v>
      </c>
      <c r="D105" s="29"/>
      <c r="E105" s="39"/>
      <c r="F105" s="31">
        <v>0.92617640999999995</v>
      </c>
      <c r="G105" s="32">
        <v>2.7720000000000002E-4</v>
      </c>
      <c r="H105" s="27" t="s">
        <v>142</v>
      </c>
    </row>
    <row r="106" spans="1:17" x14ac:dyDescent="0.2">
      <c r="A106" s="35"/>
      <c r="B106" s="35"/>
      <c r="C106" s="26" t="s">
        <v>168</v>
      </c>
      <c r="D106" s="36"/>
      <c r="E106" s="36"/>
      <c r="F106" s="33">
        <v>3341.1799281100002</v>
      </c>
      <c r="G106" s="40">
        <v>1.0000000200000001</v>
      </c>
      <c r="H106" s="27" t="s">
        <v>142</v>
      </c>
    </row>
    <row r="107" spans="1:17" x14ac:dyDescent="0.2">
      <c r="A107" s="41"/>
      <c r="B107" s="41"/>
      <c r="C107" s="41"/>
      <c r="D107" s="42"/>
      <c r="E107" s="42"/>
      <c r="F107" s="42"/>
      <c r="G107" s="42"/>
    </row>
    <row r="108" spans="1:17" x14ac:dyDescent="0.2">
      <c r="A108" s="43"/>
      <c r="B108" s="210" t="s">
        <v>879</v>
      </c>
      <c r="C108" s="210"/>
      <c r="D108" s="210"/>
      <c r="E108" s="210"/>
      <c r="F108" s="210"/>
      <c r="G108" s="210"/>
      <c r="H108" s="210"/>
      <c r="J108" s="45"/>
    </row>
    <row r="109" spans="1:17" x14ac:dyDescent="0.2">
      <c r="A109" s="43"/>
      <c r="B109" s="210" t="s">
        <v>880</v>
      </c>
      <c r="C109" s="210"/>
      <c r="D109" s="210"/>
      <c r="E109" s="210"/>
      <c r="F109" s="210"/>
      <c r="G109" s="210"/>
      <c r="H109" s="210"/>
      <c r="J109" s="45"/>
    </row>
    <row r="110" spans="1:17" x14ac:dyDescent="0.2">
      <c r="A110" s="43"/>
      <c r="B110" s="210" t="s">
        <v>881</v>
      </c>
      <c r="C110" s="210"/>
      <c r="D110" s="210"/>
      <c r="E110" s="210"/>
      <c r="F110" s="210"/>
      <c r="G110" s="210"/>
      <c r="H110" s="210"/>
      <c r="J110" s="45"/>
    </row>
    <row r="111" spans="1:17" s="47" customFormat="1" ht="66.75" customHeight="1" x14ac:dyDescent="0.25">
      <c r="A111" s="46"/>
      <c r="B111" s="211" t="s">
        <v>882</v>
      </c>
      <c r="C111" s="211"/>
      <c r="D111" s="211"/>
      <c r="E111" s="211"/>
      <c r="F111" s="211"/>
      <c r="G111" s="211"/>
      <c r="H111" s="211"/>
      <c r="I111"/>
      <c r="J111" s="45"/>
      <c r="K111"/>
      <c r="L111"/>
      <c r="M111"/>
      <c r="N111"/>
      <c r="O111"/>
      <c r="P111"/>
      <c r="Q111"/>
    </row>
    <row r="112" spans="1:17" x14ac:dyDescent="0.2">
      <c r="A112" s="43"/>
      <c r="B112" s="210" t="s">
        <v>883</v>
      </c>
      <c r="C112" s="210"/>
      <c r="D112" s="210"/>
      <c r="E112" s="210"/>
      <c r="F112" s="210"/>
      <c r="G112" s="210"/>
      <c r="H112" s="210"/>
      <c r="J112" s="45"/>
    </row>
    <row r="113" spans="1:10" x14ac:dyDescent="0.2">
      <c r="A113" s="48"/>
      <c r="B113" s="48"/>
      <c r="C113" s="48"/>
      <c r="D113" s="49"/>
      <c r="E113" s="49"/>
      <c r="F113" s="49"/>
      <c r="G113" s="49"/>
    </row>
    <row r="114" spans="1:10" x14ac:dyDescent="0.2">
      <c r="A114" s="48"/>
      <c r="B114" s="212" t="s">
        <v>169</v>
      </c>
      <c r="C114" s="213"/>
      <c r="D114" s="214"/>
      <c r="E114" s="50"/>
      <c r="F114" s="49"/>
      <c r="G114" s="49"/>
    </row>
    <row r="115" spans="1:10" ht="27.75" customHeight="1" x14ac:dyDescent="0.2">
      <c r="A115" s="48"/>
      <c r="B115" s="215" t="s">
        <v>170</v>
      </c>
      <c r="C115" s="216"/>
      <c r="D115" s="26" t="s">
        <v>171</v>
      </c>
      <c r="E115" s="50"/>
      <c r="F115" s="49"/>
      <c r="G115" s="49"/>
    </row>
    <row r="116" spans="1:10" ht="12.75" customHeight="1" x14ac:dyDescent="0.2">
      <c r="A116" s="43"/>
      <c r="B116" s="217" t="s">
        <v>884</v>
      </c>
      <c r="C116" s="218"/>
      <c r="D116" s="26" t="s">
        <v>171</v>
      </c>
      <c r="E116" s="52"/>
      <c r="F116" s="53"/>
      <c r="G116" s="53"/>
    </row>
    <row r="117" spans="1:10" x14ac:dyDescent="0.2">
      <c r="A117" s="48"/>
      <c r="B117" s="215" t="s">
        <v>172</v>
      </c>
      <c r="C117" s="216"/>
      <c r="D117" s="36" t="s">
        <v>142</v>
      </c>
      <c r="E117" s="50"/>
      <c r="F117" s="49"/>
      <c r="G117" s="49"/>
    </row>
    <row r="118" spans="1:10" x14ac:dyDescent="0.2">
      <c r="A118" s="54"/>
      <c r="B118" s="55" t="s">
        <v>142</v>
      </c>
      <c r="C118" s="55" t="s">
        <v>885</v>
      </c>
      <c r="D118" s="55" t="s">
        <v>173</v>
      </c>
      <c r="E118" s="54"/>
      <c r="F118" s="54"/>
      <c r="G118" s="54"/>
      <c r="H118" s="54"/>
      <c r="J118" s="45"/>
    </row>
    <row r="119" spans="1:10" x14ac:dyDescent="0.2">
      <c r="A119" s="54"/>
      <c r="B119" s="56" t="s">
        <v>174</v>
      </c>
      <c r="C119" s="57">
        <v>45777</v>
      </c>
      <c r="D119" s="57">
        <v>45808</v>
      </c>
      <c r="E119" s="54"/>
      <c r="F119" s="54"/>
      <c r="G119" s="54"/>
      <c r="J119" s="45"/>
    </row>
    <row r="120" spans="1:10" x14ac:dyDescent="0.2">
      <c r="A120" s="58"/>
      <c r="B120" s="29" t="s">
        <v>175</v>
      </c>
      <c r="C120" s="59">
        <v>25.937100000000001</v>
      </c>
      <c r="D120" s="59">
        <v>27.9834</v>
      </c>
      <c r="E120" s="58"/>
      <c r="F120" s="60"/>
      <c r="G120" s="61"/>
    </row>
    <row r="121" spans="1:10" x14ac:dyDescent="0.2">
      <c r="A121" s="58"/>
      <c r="B121" s="29" t="s">
        <v>1065</v>
      </c>
      <c r="C121" s="59">
        <v>24.692</v>
      </c>
      <c r="D121" s="59">
        <v>26.6401</v>
      </c>
      <c r="E121" s="58"/>
      <c r="F121" s="60"/>
      <c r="G121" s="61"/>
    </row>
    <row r="122" spans="1:10" x14ac:dyDescent="0.2">
      <c r="A122" s="58"/>
      <c r="B122" s="29" t="s">
        <v>177</v>
      </c>
      <c r="C122" s="59">
        <v>25.141100000000002</v>
      </c>
      <c r="D122" s="59">
        <v>27.119299999999999</v>
      </c>
      <c r="E122" s="58"/>
      <c r="F122" s="60"/>
      <c r="G122" s="61"/>
    </row>
    <row r="123" spans="1:10" x14ac:dyDescent="0.2">
      <c r="A123" s="58"/>
      <c r="B123" s="29" t="s">
        <v>1066</v>
      </c>
      <c r="C123" s="59">
        <v>23.900099999999998</v>
      </c>
      <c r="D123" s="59">
        <v>25.7806</v>
      </c>
      <c r="E123" s="58"/>
      <c r="F123" s="60"/>
      <c r="G123" s="61"/>
    </row>
    <row r="124" spans="1:10" x14ac:dyDescent="0.2">
      <c r="A124" s="58"/>
      <c r="B124" s="58"/>
      <c r="C124" s="58"/>
      <c r="D124" s="58"/>
      <c r="E124" s="58"/>
      <c r="F124" s="58"/>
      <c r="G124" s="58"/>
    </row>
    <row r="125" spans="1:10" x14ac:dyDescent="0.2">
      <c r="A125" s="54"/>
      <c r="B125" s="217" t="s">
        <v>887</v>
      </c>
      <c r="C125" s="218"/>
      <c r="D125" s="51" t="s">
        <v>171</v>
      </c>
      <c r="E125" s="54"/>
      <c r="F125" s="54"/>
      <c r="G125" s="54"/>
    </row>
    <row r="126" spans="1:10" x14ac:dyDescent="0.2">
      <c r="A126" s="54"/>
      <c r="B126" s="70"/>
      <c r="C126" s="70"/>
      <c r="D126" s="70"/>
      <c r="E126" s="54"/>
      <c r="F126" s="54"/>
      <c r="G126" s="54"/>
    </row>
    <row r="127" spans="1:10" x14ac:dyDescent="0.2">
      <c r="A127" s="54"/>
      <c r="B127" s="217" t="s">
        <v>180</v>
      </c>
      <c r="C127" s="218"/>
      <c r="D127" s="51" t="s">
        <v>171</v>
      </c>
      <c r="E127" s="65"/>
      <c r="F127" s="54"/>
      <c r="G127" s="54"/>
    </row>
    <row r="128" spans="1:10" x14ac:dyDescent="0.2">
      <c r="A128" s="54"/>
      <c r="B128" s="217" t="s">
        <v>181</v>
      </c>
      <c r="C128" s="218"/>
      <c r="D128" s="51" t="s">
        <v>171</v>
      </c>
      <c r="E128" s="65"/>
      <c r="F128" s="54"/>
      <c r="G128" s="54"/>
    </row>
    <row r="129" spans="1:10" x14ac:dyDescent="0.2">
      <c r="A129" s="54"/>
      <c r="B129" s="217" t="s">
        <v>182</v>
      </c>
      <c r="C129" s="218"/>
      <c r="D129" s="51" t="s">
        <v>171</v>
      </c>
      <c r="E129" s="65"/>
      <c r="F129" s="54"/>
      <c r="G129" s="54"/>
    </row>
    <row r="130" spans="1:10" x14ac:dyDescent="0.2">
      <c r="A130" s="54"/>
      <c r="B130" s="217" t="s">
        <v>183</v>
      </c>
      <c r="C130" s="218"/>
      <c r="D130" s="66">
        <v>0.22102659570385635</v>
      </c>
      <c r="E130" s="54"/>
      <c r="F130" s="44"/>
      <c r="G130" s="64"/>
    </row>
    <row r="132" spans="1:10" x14ac:dyDescent="0.2">
      <c r="B132" s="219" t="s">
        <v>888</v>
      </c>
      <c r="C132" s="219"/>
    </row>
    <row r="134" spans="1:10" ht="153.75" customHeight="1" x14ac:dyDescent="0.2"/>
    <row r="137" spans="1:10" x14ac:dyDescent="0.2">
      <c r="B137" s="67" t="s">
        <v>889</v>
      </c>
      <c r="C137" s="68"/>
      <c r="D137" s="67"/>
    </row>
    <row r="138" spans="1:10" x14ac:dyDescent="0.2">
      <c r="B138" s="67" t="s">
        <v>896</v>
      </c>
      <c r="D138" s="67"/>
    </row>
    <row r="139" spans="1:10" ht="165" customHeight="1" x14ac:dyDescent="0.2"/>
    <row r="141" spans="1:10" x14ac:dyDescent="0.2">
      <c r="J141"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sheetData>
  <mergeCells count="18">
    <mergeCell ref="B132:C132"/>
    <mergeCell ref="B125:C125"/>
    <mergeCell ref="B129:C129"/>
    <mergeCell ref="B130:C130"/>
    <mergeCell ref="B127:C127"/>
    <mergeCell ref="B128:C128"/>
    <mergeCell ref="A1:H1"/>
    <mergeCell ref="A2:H2"/>
    <mergeCell ref="A3:H3"/>
    <mergeCell ref="B108:H108"/>
    <mergeCell ref="B109:H109"/>
    <mergeCell ref="B116:C116"/>
    <mergeCell ref="B117:C117"/>
    <mergeCell ref="B110:H110"/>
    <mergeCell ref="B111:H111"/>
    <mergeCell ref="B112:H112"/>
    <mergeCell ref="B114:D114"/>
    <mergeCell ref="B115:C115"/>
  </mergeCells>
  <hyperlinks>
    <hyperlink ref="I1" location="Index!B2" display="Index" xr:uid="{6065B017-D82D-4D46-A7CB-929C09F6671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54FB-72F4-41D3-BC2C-F163542F9B4A}">
  <sheetPr>
    <outlinePr summaryBelow="0" summaryRight="0"/>
  </sheetPr>
  <dimension ref="A1:Q143"/>
  <sheetViews>
    <sheetView showGridLines="0" workbookViewId="0">
      <selection activeCell="F119" sqref="F119"/>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419</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365</v>
      </c>
      <c r="C7" s="29" t="s">
        <v>366</v>
      </c>
      <c r="D7" s="29" t="s">
        <v>61</v>
      </c>
      <c r="E7" s="30">
        <v>5638</v>
      </c>
      <c r="F7" s="31">
        <v>130.108126</v>
      </c>
      <c r="G7" s="32">
        <v>5.9598890000000002E-2</v>
      </c>
      <c r="H7" s="27" t="s">
        <v>142</v>
      </c>
    </row>
    <row r="8" spans="1:9" x14ac:dyDescent="0.2">
      <c r="A8" s="28">
        <v>2</v>
      </c>
      <c r="B8" s="29" t="s">
        <v>329</v>
      </c>
      <c r="C8" s="29" t="s">
        <v>330</v>
      </c>
      <c r="D8" s="29" t="s">
        <v>212</v>
      </c>
      <c r="E8" s="30">
        <v>1895</v>
      </c>
      <c r="F8" s="31">
        <v>125.1079</v>
      </c>
      <c r="G8" s="32">
        <v>5.730843E-2</v>
      </c>
      <c r="H8" s="27" t="s">
        <v>142</v>
      </c>
    </row>
    <row r="9" spans="1:9" x14ac:dyDescent="0.2">
      <c r="A9" s="28">
        <v>3</v>
      </c>
      <c r="B9" s="29" t="s">
        <v>361</v>
      </c>
      <c r="C9" s="29" t="s">
        <v>362</v>
      </c>
      <c r="D9" s="29" t="s">
        <v>197</v>
      </c>
      <c r="E9" s="30">
        <v>21323</v>
      </c>
      <c r="F9" s="31">
        <v>119.259539</v>
      </c>
      <c r="G9" s="32">
        <v>5.4629459999999998E-2</v>
      </c>
      <c r="H9" s="27" t="s">
        <v>142</v>
      </c>
    </row>
    <row r="10" spans="1:9" x14ac:dyDescent="0.2">
      <c r="A10" s="28">
        <v>4</v>
      </c>
      <c r="B10" s="29" t="s">
        <v>337</v>
      </c>
      <c r="C10" s="29" t="s">
        <v>338</v>
      </c>
      <c r="D10" s="29" t="s">
        <v>263</v>
      </c>
      <c r="E10" s="30">
        <v>6568</v>
      </c>
      <c r="F10" s="31">
        <v>113.994208</v>
      </c>
      <c r="G10" s="32">
        <v>5.2217560000000003E-2</v>
      </c>
      <c r="H10" s="27" t="s">
        <v>142</v>
      </c>
    </row>
    <row r="11" spans="1:9" x14ac:dyDescent="0.2">
      <c r="A11" s="28">
        <v>5</v>
      </c>
      <c r="B11" s="29" t="s">
        <v>363</v>
      </c>
      <c r="C11" s="29" t="s">
        <v>364</v>
      </c>
      <c r="D11" s="29" t="s">
        <v>229</v>
      </c>
      <c r="E11" s="30">
        <v>30085</v>
      </c>
      <c r="F11" s="31">
        <v>95.700384999999997</v>
      </c>
      <c r="G11" s="32">
        <v>4.3837670000000002E-2</v>
      </c>
      <c r="H11" s="27" t="s">
        <v>142</v>
      </c>
    </row>
    <row r="12" spans="1:9" x14ac:dyDescent="0.2">
      <c r="A12" s="28">
        <v>6</v>
      </c>
      <c r="B12" s="29" t="s">
        <v>71</v>
      </c>
      <c r="C12" s="29" t="s">
        <v>72</v>
      </c>
      <c r="D12" s="29" t="s">
        <v>73</v>
      </c>
      <c r="E12" s="30">
        <v>10955</v>
      </c>
      <c r="F12" s="31">
        <v>92.701210000000003</v>
      </c>
      <c r="G12" s="32">
        <v>4.2463830000000001E-2</v>
      </c>
      <c r="H12" s="27" t="s">
        <v>142</v>
      </c>
    </row>
    <row r="13" spans="1:9" x14ac:dyDescent="0.2">
      <c r="A13" s="28">
        <v>7</v>
      </c>
      <c r="B13" s="29" t="s">
        <v>230</v>
      </c>
      <c r="C13" s="29" t="s">
        <v>231</v>
      </c>
      <c r="D13" s="29" t="s">
        <v>132</v>
      </c>
      <c r="E13" s="30">
        <v>700</v>
      </c>
      <c r="F13" s="31">
        <v>83.051500000000004</v>
      </c>
      <c r="G13" s="32">
        <v>3.8043569999999999E-2</v>
      </c>
      <c r="H13" s="27" t="s">
        <v>142</v>
      </c>
    </row>
    <row r="14" spans="1:9" x14ac:dyDescent="0.2">
      <c r="A14" s="28">
        <v>8</v>
      </c>
      <c r="B14" s="29" t="s">
        <v>367</v>
      </c>
      <c r="C14" s="29" t="s">
        <v>368</v>
      </c>
      <c r="D14" s="29" t="s">
        <v>28</v>
      </c>
      <c r="E14" s="30">
        <v>22305</v>
      </c>
      <c r="F14" s="31">
        <v>81.379792499999994</v>
      </c>
      <c r="G14" s="32">
        <v>3.7277810000000002E-2</v>
      </c>
      <c r="H14" s="27" t="s">
        <v>142</v>
      </c>
    </row>
    <row r="15" spans="1:9" x14ac:dyDescent="0.2">
      <c r="A15" s="28">
        <v>9</v>
      </c>
      <c r="B15" s="29" t="s">
        <v>369</v>
      </c>
      <c r="C15" s="29" t="s">
        <v>370</v>
      </c>
      <c r="D15" s="29" t="s">
        <v>28</v>
      </c>
      <c r="E15" s="30">
        <v>178820</v>
      </c>
      <c r="F15" s="31">
        <v>76.946246000000002</v>
      </c>
      <c r="G15" s="32">
        <v>3.5246920000000001E-2</v>
      </c>
      <c r="H15" s="27" t="s">
        <v>142</v>
      </c>
    </row>
    <row r="16" spans="1:9" ht="25.5" x14ac:dyDescent="0.2">
      <c r="A16" s="28">
        <v>10</v>
      </c>
      <c r="B16" s="29" t="s">
        <v>381</v>
      </c>
      <c r="C16" s="29" t="s">
        <v>382</v>
      </c>
      <c r="D16" s="29" t="s">
        <v>273</v>
      </c>
      <c r="E16" s="30">
        <v>1756</v>
      </c>
      <c r="F16" s="31">
        <v>74.826672000000002</v>
      </c>
      <c r="G16" s="32">
        <v>3.4276010000000003E-2</v>
      </c>
      <c r="H16" s="27" t="s">
        <v>142</v>
      </c>
    </row>
    <row r="17" spans="1:8" x14ac:dyDescent="0.2">
      <c r="A17" s="28">
        <v>11</v>
      </c>
      <c r="B17" s="29" t="s">
        <v>109</v>
      </c>
      <c r="C17" s="29" t="s">
        <v>110</v>
      </c>
      <c r="D17" s="29" t="s">
        <v>73</v>
      </c>
      <c r="E17" s="30">
        <v>1987</v>
      </c>
      <c r="F17" s="31">
        <v>71.734673999999998</v>
      </c>
      <c r="G17" s="32">
        <v>3.2859649999999997E-2</v>
      </c>
      <c r="H17" s="27" t="s">
        <v>142</v>
      </c>
    </row>
    <row r="18" spans="1:8" x14ac:dyDescent="0.2">
      <c r="A18" s="28">
        <v>12</v>
      </c>
      <c r="B18" s="29" t="s">
        <v>373</v>
      </c>
      <c r="C18" s="29" t="s">
        <v>374</v>
      </c>
      <c r="D18" s="29" t="s">
        <v>61</v>
      </c>
      <c r="E18" s="30">
        <v>27896</v>
      </c>
      <c r="F18" s="31">
        <v>71.173854399999996</v>
      </c>
      <c r="G18" s="32">
        <v>3.260275E-2</v>
      </c>
      <c r="H18" s="27" t="s">
        <v>142</v>
      </c>
    </row>
    <row r="19" spans="1:8" ht="25.5" x14ac:dyDescent="0.2">
      <c r="A19" s="28">
        <v>13</v>
      </c>
      <c r="B19" s="29" t="s">
        <v>375</v>
      </c>
      <c r="C19" s="29" t="s">
        <v>376</v>
      </c>
      <c r="D19" s="29" t="s">
        <v>194</v>
      </c>
      <c r="E19" s="30">
        <v>1238</v>
      </c>
      <c r="F19" s="31">
        <v>71.160240000000002</v>
      </c>
      <c r="G19" s="32">
        <v>3.2596519999999997E-2</v>
      </c>
      <c r="H19" s="27" t="s">
        <v>142</v>
      </c>
    </row>
    <row r="20" spans="1:8" x14ac:dyDescent="0.2">
      <c r="A20" s="28">
        <v>14</v>
      </c>
      <c r="B20" s="29" t="s">
        <v>377</v>
      </c>
      <c r="C20" s="29" t="s">
        <v>378</v>
      </c>
      <c r="D20" s="29" t="s">
        <v>28</v>
      </c>
      <c r="E20" s="30">
        <v>101192</v>
      </c>
      <c r="F20" s="31">
        <v>64.368231199999997</v>
      </c>
      <c r="G20" s="32">
        <v>2.9485290000000001E-2</v>
      </c>
      <c r="H20" s="27" t="s">
        <v>142</v>
      </c>
    </row>
    <row r="21" spans="1:8" x14ac:dyDescent="0.2">
      <c r="A21" s="28">
        <v>15</v>
      </c>
      <c r="B21" s="29" t="s">
        <v>371</v>
      </c>
      <c r="C21" s="29" t="s">
        <v>372</v>
      </c>
      <c r="D21" s="29" t="s">
        <v>212</v>
      </c>
      <c r="E21" s="30">
        <v>1988</v>
      </c>
      <c r="F21" s="31">
        <v>60.347727999999996</v>
      </c>
      <c r="G21" s="32">
        <v>2.7643609999999999E-2</v>
      </c>
      <c r="H21" s="27" t="s">
        <v>142</v>
      </c>
    </row>
    <row r="22" spans="1:8" ht="25.5" x14ac:dyDescent="0.2">
      <c r="A22" s="28">
        <v>16</v>
      </c>
      <c r="B22" s="29" t="s">
        <v>399</v>
      </c>
      <c r="C22" s="29" t="s">
        <v>400</v>
      </c>
      <c r="D22" s="29" t="s">
        <v>194</v>
      </c>
      <c r="E22" s="30">
        <v>9440</v>
      </c>
      <c r="F22" s="31">
        <v>57.546239999999997</v>
      </c>
      <c r="G22" s="32">
        <v>2.636032E-2</v>
      </c>
      <c r="H22" s="27" t="s">
        <v>142</v>
      </c>
    </row>
    <row r="23" spans="1:8" ht="25.5" x14ac:dyDescent="0.2">
      <c r="A23" s="28">
        <v>17</v>
      </c>
      <c r="B23" s="29" t="s">
        <v>383</v>
      </c>
      <c r="C23" s="29" t="s">
        <v>384</v>
      </c>
      <c r="D23" s="29" t="s">
        <v>385</v>
      </c>
      <c r="E23" s="30">
        <v>14767</v>
      </c>
      <c r="F23" s="31">
        <v>52.518835500000002</v>
      </c>
      <c r="G23" s="32">
        <v>2.4057410000000001E-2</v>
      </c>
      <c r="H23" s="27" t="s">
        <v>142</v>
      </c>
    </row>
    <row r="24" spans="1:8" ht="25.5" x14ac:dyDescent="0.2">
      <c r="A24" s="28">
        <v>18</v>
      </c>
      <c r="B24" s="29" t="s">
        <v>39</v>
      </c>
      <c r="C24" s="29" t="s">
        <v>40</v>
      </c>
      <c r="D24" s="29" t="s">
        <v>25</v>
      </c>
      <c r="E24" s="30">
        <v>936</v>
      </c>
      <c r="F24" s="31">
        <v>51.456600000000002</v>
      </c>
      <c r="G24" s="32">
        <v>2.3570830000000001E-2</v>
      </c>
      <c r="H24" s="27" t="s">
        <v>142</v>
      </c>
    </row>
    <row r="25" spans="1:8" x14ac:dyDescent="0.2">
      <c r="A25" s="28">
        <v>19</v>
      </c>
      <c r="B25" s="29" t="s">
        <v>388</v>
      </c>
      <c r="C25" s="29" t="s">
        <v>389</v>
      </c>
      <c r="D25" s="29" t="s">
        <v>132</v>
      </c>
      <c r="E25" s="30">
        <v>2453</v>
      </c>
      <c r="F25" s="31">
        <v>45.777886000000002</v>
      </c>
      <c r="G25" s="32">
        <v>2.096957E-2</v>
      </c>
      <c r="H25" s="27" t="s">
        <v>142</v>
      </c>
    </row>
    <row r="26" spans="1:8" x14ac:dyDescent="0.2">
      <c r="A26" s="28">
        <v>20</v>
      </c>
      <c r="B26" s="29" t="s">
        <v>390</v>
      </c>
      <c r="C26" s="29" t="s">
        <v>391</v>
      </c>
      <c r="D26" s="29" t="s">
        <v>392</v>
      </c>
      <c r="E26" s="30">
        <v>4462</v>
      </c>
      <c r="F26" s="31">
        <v>43.961855</v>
      </c>
      <c r="G26" s="32">
        <v>2.0137700000000001E-2</v>
      </c>
      <c r="H26" s="27" t="s">
        <v>142</v>
      </c>
    </row>
    <row r="27" spans="1:8" x14ac:dyDescent="0.2">
      <c r="A27" s="28">
        <v>21</v>
      </c>
      <c r="B27" s="29" t="s">
        <v>393</v>
      </c>
      <c r="C27" s="29" t="s">
        <v>394</v>
      </c>
      <c r="D27" s="29" t="s">
        <v>200</v>
      </c>
      <c r="E27" s="30">
        <v>9732</v>
      </c>
      <c r="F27" s="31">
        <v>43.190615999999999</v>
      </c>
      <c r="G27" s="32">
        <v>1.9784409999999999E-2</v>
      </c>
      <c r="H27" s="27" t="s">
        <v>142</v>
      </c>
    </row>
    <row r="28" spans="1:8" ht="25.5" x14ac:dyDescent="0.2">
      <c r="A28" s="28">
        <v>22</v>
      </c>
      <c r="B28" s="29" t="s">
        <v>379</v>
      </c>
      <c r="C28" s="29" t="s">
        <v>380</v>
      </c>
      <c r="D28" s="29" t="s">
        <v>194</v>
      </c>
      <c r="E28" s="30">
        <v>2376</v>
      </c>
      <c r="F28" s="31">
        <v>39.828887999999999</v>
      </c>
      <c r="G28" s="32">
        <v>1.82445E-2</v>
      </c>
      <c r="H28" s="27" t="s">
        <v>142</v>
      </c>
    </row>
    <row r="29" spans="1:8" x14ac:dyDescent="0.2">
      <c r="A29" s="28">
        <v>23</v>
      </c>
      <c r="B29" s="29" t="s">
        <v>395</v>
      </c>
      <c r="C29" s="29" t="s">
        <v>396</v>
      </c>
      <c r="D29" s="29" t="s">
        <v>132</v>
      </c>
      <c r="E29" s="30">
        <v>3800</v>
      </c>
      <c r="F29" s="31">
        <v>39.706200000000003</v>
      </c>
      <c r="G29" s="32">
        <v>1.8188300000000001E-2</v>
      </c>
      <c r="H29" s="27" t="s">
        <v>142</v>
      </c>
    </row>
    <row r="30" spans="1:8" x14ac:dyDescent="0.2">
      <c r="A30" s="28">
        <v>24</v>
      </c>
      <c r="B30" s="29" t="s">
        <v>397</v>
      </c>
      <c r="C30" s="29" t="s">
        <v>398</v>
      </c>
      <c r="D30" s="29" t="s">
        <v>73</v>
      </c>
      <c r="E30" s="30">
        <v>8416</v>
      </c>
      <c r="F30" s="31">
        <v>38.797759999999997</v>
      </c>
      <c r="G30" s="32">
        <v>1.777217E-2</v>
      </c>
      <c r="H30" s="27" t="s">
        <v>142</v>
      </c>
    </row>
    <row r="31" spans="1:8" x14ac:dyDescent="0.2">
      <c r="A31" s="28">
        <v>25</v>
      </c>
      <c r="B31" s="29" t="s">
        <v>403</v>
      </c>
      <c r="C31" s="29" t="s">
        <v>404</v>
      </c>
      <c r="D31" s="29" t="s">
        <v>132</v>
      </c>
      <c r="E31" s="30">
        <v>3328</v>
      </c>
      <c r="F31" s="31">
        <v>38.08896</v>
      </c>
      <c r="G31" s="32">
        <v>1.744749E-2</v>
      </c>
      <c r="H31" s="27" t="s">
        <v>142</v>
      </c>
    </row>
    <row r="32" spans="1:8" x14ac:dyDescent="0.2">
      <c r="A32" s="28">
        <v>26</v>
      </c>
      <c r="B32" s="29" t="s">
        <v>401</v>
      </c>
      <c r="C32" s="29" t="s">
        <v>402</v>
      </c>
      <c r="D32" s="29" t="s">
        <v>229</v>
      </c>
      <c r="E32" s="30">
        <v>5099</v>
      </c>
      <c r="F32" s="31">
        <v>34.125057499999997</v>
      </c>
      <c r="G32" s="32">
        <v>1.563173E-2</v>
      </c>
      <c r="H32" s="27" t="s">
        <v>142</v>
      </c>
    </row>
    <row r="33" spans="1:8" x14ac:dyDescent="0.2">
      <c r="A33" s="28">
        <v>27</v>
      </c>
      <c r="B33" s="29" t="s">
        <v>128</v>
      </c>
      <c r="C33" s="29" t="s">
        <v>129</v>
      </c>
      <c r="D33" s="29" t="s">
        <v>73</v>
      </c>
      <c r="E33" s="30">
        <v>1691</v>
      </c>
      <c r="F33" s="31">
        <v>30.380506</v>
      </c>
      <c r="G33" s="32">
        <v>1.391646E-2</v>
      </c>
      <c r="H33" s="27" t="s">
        <v>142</v>
      </c>
    </row>
    <row r="34" spans="1:8" x14ac:dyDescent="0.2">
      <c r="A34" s="28">
        <v>28</v>
      </c>
      <c r="B34" s="29" t="s">
        <v>405</v>
      </c>
      <c r="C34" s="29" t="s">
        <v>406</v>
      </c>
      <c r="D34" s="29" t="s">
        <v>200</v>
      </c>
      <c r="E34" s="30">
        <v>7579</v>
      </c>
      <c r="F34" s="31">
        <v>30.353895000000001</v>
      </c>
      <c r="G34" s="32">
        <v>1.390427E-2</v>
      </c>
      <c r="H34" s="27" t="s">
        <v>142</v>
      </c>
    </row>
    <row r="35" spans="1:8" x14ac:dyDescent="0.2">
      <c r="A35" s="28">
        <v>29</v>
      </c>
      <c r="B35" s="29" t="s">
        <v>407</v>
      </c>
      <c r="C35" s="29" t="s">
        <v>408</v>
      </c>
      <c r="D35" s="29" t="s">
        <v>137</v>
      </c>
      <c r="E35" s="30">
        <v>18454</v>
      </c>
      <c r="F35" s="31">
        <v>29.714630799999998</v>
      </c>
      <c r="G35" s="32">
        <v>1.3611440000000001E-2</v>
      </c>
      <c r="H35" s="27" t="s">
        <v>142</v>
      </c>
    </row>
    <row r="36" spans="1:8" x14ac:dyDescent="0.2">
      <c r="A36" s="28">
        <v>30</v>
      </c>
      <c r="B36" s="29" t="s">
        <v>409</v>
      </c>
      <c r="C36" s="29" t="s">
        <v>410</v>
      </c>
      <c r="D36" s="29" t="s">
        <v>263</v>
      </c>
      <c r="E36" s="30">
        <v>7431</v>
      </c>
      <c r="F36" s="31">
        <v>27.2308995</v>
      </c>
      <c r="G36" s="32">
        <v>1.2473710000000001E-2</v>
      </c>
      <c r="H36" s="27" t="s">
        <v>142</v>
      </c>
    </row>
    <row r="37" spans="1:8" x14ac:dyDescent="0.2">
      <c r="A37" s="28">
        <v>31</v>
      </c>
      <c r="B37" s="29" t="s">
        <v>413</v>
      </c>
      <c r="C37" s="29" t="s">
        <v>414</v>
      </c>
      <c r="D37" s="29" t="s">
        <v>61</v>
      </c>
      <c r="E37" s="30">
        <v>2934</v>
      </c>
      <c r="F37" s="31">
        <v>22.553657999999999</v>
      </c>
      <c r="G37" s="32">
        <v>1.03312E-2</v>
      </c>
      <c r="H37" s="27" t="s">
        <v>142</v>
      </c>
    </row>
    <row r="38" spans="1:8" x14ac:dyDescent="0.2">
      <c r="A38" s="28">
        <v>32</v>
      </c>
      <c r="B38" s="29" t="s">
        <v>213</v>
      </c>
      <c r="C38" s="29" t="s">
        <v>214</v>
      </c>
      <c r="D38" s="29" t="s">
        <v>58</v>
      </c>
      <c r="E38" s="30">
        <v>1390</v>
      </c>
      <c r="F38" s="31">
        <v>21.365690000000001</v>
      </c>
      <c r="G38" s="32">
        <v>9.7870300000000004E-3</v>
      </c>
      <c r="H38" s="27" t="s">
        <v>142</v>
      </c>
    </row>
    <row r="39" spans="1:8" x14ac:dyDescent="0.2">
      <c r="A39" s="28">
        <v>33</v>
      </c>
      <c r="B39" s="29" t="s">
        <v>411</v>
      </c>
      <c r="C39" s="29" t="s">
        <v>412</v>
      </c>
      <c r="D39" s="29" t="s">
        <v>61</v>
      </c>
      <c r="E39" s="30">
        <v>2745</v>
      </c>
      <c r="F39" s="31">
        <v>21.353355000000001</v>
      </c>
      <c r="G39" s="32">
        <v>9.7813699999999993E-3</v>
      </c>
      <c r="H39" s="27" t="s">
        <v>142</v>
      </c>
    </row>
    <row r="40" spans="1:8" x14ac:dyDescent="0.2">
      <c r="A40" s="28">
        <v>34</v>
      </c>
      <c r="B40" s="29" t="s">
        <v>386</v>
      </c>
      <c r="C40" s="29" t="s">
        <v>387</v>
      </c>
      <c r="D40" s="29" t="s">
        <v>132</v>
      </c>
      <c r="E40" s="30">
        <v>2512</v>
      </c>
      <c r="F40" s="31">
        <v>19.798328000000001</v>
      </c>
      <c r="G40" s="32">
        <v>9.0690600000000003E-3</v>
      </c>
      <c r="H40" s="27" t="s">
        <v>142</v>
      </c>
    </row>
    <row r="41" spans="1:8" x14ac:dyDescent="0.2">
      <c r="A41" s="28">
        <v>35</v>
      </c>
      <c r="B41" s="29" t="s">
        <v>56</v>
      </c>
      <c r="C41" s="29" t="s">
        <v>57</v>
      </c>
      <c r="D41" s="29" t="s">
        <v>58</v>
      </c>
      <c r="E41" s="30">
        <v>1521</v>
      </c>
      <c r="F41" s="31">
        <v>16.645824000000001</v>
      </c>
      <c r="G41" s="32">
        <v>7.6249899999999999E-3</v>
      </c>
      <c r="H41" s="27" t="s">
        <v>142</v>
      </c>
    </row>
    <row r="42" spans="1:8" x14ac:dyDescent="0.2">
      <c r="A42" s="28">
        <v>36</v>
      </c>
      <c r="B42" s="29" t="s">
        <v>415</v>
      </c>
      <c r="C42" s="29" t="s">
        <v>416</v>
      </c>
      <c r="D42" s="29" t="s">
        <v>73</v>
      </c>
      <c r="E42" s="30">
        <v>1475</v>
      </c>
      <c r="F42" s="31">
        <v>14.629049999999999</v>
      </c>
      <c r="G42" s="32">
        <v>6.7011600000000003E-3</v>
      </c>
      <c r="H42" s="27" t="s">
        <v>142</v>
      </c>
    </row>
    <row r="43" spans="1:8" x14ac:dyDescent="0.2">
      <c r="A43" s="28">
        <v>37</v>
      </c>
      <c r="B43" s="29" t="s">
        <v>417</v>
      </c>
      <c r="C43" s="29" t="s">
        <v>418</v>
      </c>
      <c r="D43" s="29" t="s">
        <v>64</v>
      </c>
      <c r="E43" s="30">
        <v>2606</v>
      </c>
      <c r="F43" s="31">
        <v>9.5014760000000003</v>
      </c>
      <c r="G43" s="32">
        <v>4.3523600000000004E-3</v>
      </c>
      <c r="H43" s="27" t="s">
        <v>142</v>
      </c>
    </row>
    <row r="44" spans="1:8" x14ac:dyDescent="0.2">
      <c r="A44" s="25"/>
      <c r="B44" s="25"/>
      <c r="C44" s="26" t="s">
        <v>141</v>
      </c>
      <c r="D44" s="25"/>
      <c r="E44" s="25" t="s">
        <v>142</v>
      </c>
      <c r="F44" s="33">
        <v>2060.3865163999999</v>
      </c>
      <c r="G44" s="34">
        <v>0.94380545000000005</v>
      </c>
      <c r="H44" s="27" t="s">
        <v>142</v>
      </c>
    </row>
    <row r="45" spans="1:8" x14ac:dyDescent="0.2">
      <c r="A45" s="25"/>
      <c r="B45" s="25"/>
      <c r="C45" s="35"/>
      <c r="D45" s="25"/>
      <c r="E45" s="25"/>
      <c r="F45" s="36"/>
      <c r="G45" s="36"/>
      <c r="H45" s="27" t="s">
        <v>142</v>
      </c>
    </row>
    <row r="46" spans="1:8" x14ac:dyDescent="0.2">
      <c r="A46" s="25"/>
      <c r="B46" s="25"/>
      <c r="C46" s="26" t="s">
        <v>143</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145</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146</v>
      </c>
      <c r="D52" s="25"/>
      <c r="E52" s="25"/>
      <c r="F52" s="25"/>
      <c r="G52" s="25"/>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147</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148</v>
      </c>
      <c r="D58" s="25"/>
      <c r="E58" s="25"/>
      <c r="F58" s="36"/>
      <c r="G58" s="36"/>
      <c r="H58" s="27" t="s">
        <v>142</v>
      </c>
    </row>
    <row r="59" spans="1:8" x14ac:dyDescent="0.2">
      <c r="A59" s="25"/>
      <c r="B59" s="25"/>
      <c r="C59" s="26" t="s">
        <v>141</v>
      </c>
      <c r="D59" s="25"/>
      <c r="E59" s="25" t="s">
        <v>142</v>
      </c>
      <c r="F59" s="37" t="s">
        <v>144</v>
      </c>
      <c r="G59" s="34">
        <v>0</v>
      </c>
      <c r="H59" s="27" t="s">
        <v>142</v>
      </c>
    </row>
    <row r="60" spans="1:8" x14ac:dyDescent="0.2">
      <c r="A60" s="25"/>
      <c r="B60" s="25"/>
      <c r="C60" s="35"/>
      <c r="D60" s="25"/>
      <c r="E60" s="25"/>
      <c r="F60" s="36"/>
      <c r="G60" s="36"/>
      <c r="H60" s="27" t="s">
        <v>142</v>
      </c>
    </row>
    <row r="61" spans="1:8" x14ac:dyDescent="0.2">
      <c r="A61" s="25"/>
      <c r="B61" s="25"/>
      <c r="C61" s="26" t="s">
        <v>149</v>
      </c>
      <c r="D61" s="25"/>
      <c r="E61" s="25"/>
      <c r="F61" s="33">
        <v>2060.3865163999999</v>
      </c>
      <c r="G61" s="34">
        <v>0.94380545000000005</v>
      </c>
      <c r="H61" s="27" t="s">
        <v>142</v>
      </c>
    </row>
    <row r="62" spans="1:8" x14ac:dyDescent="0.2">
      <c r="A62" s="25"/>
      <c r="B62" s="25"/>
      <c r="C62" s="35"/>
      <c r="D62" s="25"/>
      <c r="E62" s="25"/>
      <c r="F62" s="36"/>
      <c r="G62" s="36"/>
      <c r="H62" s="27" t="s">
        <v>142</v>
      </c>
    </row>
    <row r="63" spans="1:8" x14ac:dyDescent="0.2">
      <c r="A63" s="25"/>
      <c r="B63" s="25"/>
      <c r="C63" s="26" t="s">
        <v>150</v>
      </c>
      <c r="D63" s="25"/>
      <c r="E63" s="25"/>
      <c r="F63" s="36"/>
      <c r="G63" s="36"/>
      <c r="H63" s="27" t="s">
        <v>142</v>
      </c>
    </row>
    <row r="64" spans="1:8" x14ac:dyDescent="0.2">
      <c r="A64" s="25"/>
      <c r="B64" s="25"/>
      <c r="C64" s="26" t="s">
        <v>10</v>
      </c>
      <c r="D64" s="25"/>
      <c r="E64" s="25"/>
      <c r="F64" s="36"/>
      <c r="G64" s="36"/>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151</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152</v>
      </c>
      <c r="D70" s="25"/>
      <c r="E70" s="25"/>
      <c r="F70" s="25"/>
      <c r="G70" s="25"/>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153</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154</v>
      </c>
      <c r="D76" s="25"/>
      <c r="E76" s="25"/>
      <c r="F76" s="33">
        <v>0</v>
      </c>
      <c r="G76" s="34">
        <v>0</v>
      </c>
      <c r="H76" s="27" t="s">
        <v>142</v>
      </c>
    </row>
    <row r="77" spans="1:8" x14ac:dyDescent="0.2">
      <c r="A77" s="25"/>
      <c r="B77" s="25"/>
      <c r="C77" s="35"/>
      <c r="D77" s="25"/>
      <c r="E77" s="25"/>
      <c r="F77" s="36"/>
      <c r="G77" s="36"/>
      <c r="H77" s="27" t="s">
        <v>142</v>
      </c>
    </row>
    <row r="78" spans="1:8" x14ac:dyDescent="0.2">
      <c r="A78" s="25"/>
      <c r="B78" s="25"/>
      <c r="C78" s="26" t="s">
        <v>155</v>
      </c>
      <c r="D78" s="25"/>
      <c r="E78" s="25"/>
      <c r="F78" s="36"/>
      <c r="G78" s="36"/>
      <c r="H78" s="27" t="s">
        <v>142</v>
      </c>
    </row>
    <row r="79" spans="1:8" x14ac:dyDescent="0.2">
      <c r="A79" s="25"/>
      <c r="B79" s="25"/>
      <c r="C79" s="26" t="s">
        <v>156</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157</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158</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159</v>
      </c>
      <c r="D88" s="25"/>
      <c r="E88" s="25"/>
      <c r="F88" s="36"/>
      <c r="G88" s="36"/>
      <c r="H88" s="27" t="s">
        <v>142</v>
      </c>
    </row>
    <row r="89" spans="1:8" x14ac:dyDescent="0.2">
      <c r="A89" s="28">
        <v>1</v>
      </c>
      <c r="B89" s="29"/>
      <c r="C89" s="29" t="s">
        <v>160</v>
      </c>
      <c r="D89" s="29"/>
      <c r="E89" s="39"/>
      <c r="F89" s="31">
        <v>121.178858901</v>
      </c>
      <c r="G89" s="32">
        <v>5.550865E-2</v>
      </c>
      <c r="H89" s="27">
        <v>5.76</v>
      </c>
    </row>
    <row r="90" spans="1:8" x14ac:dyDescent="0.2">
      <c r="A90" s="25"/>
      <c r="B90" s="25"/>
      <c r="C90" s="26" t="s">
        <v>141</v>
      </c>
      <c r="D90" s="25"/>
      <c r="E90" s="25" t="s">
        <v>142</v>
      </c>
      <c r="F90" s="33">
        <v>121.178858901</v>
      </c>
      <c r="G90" s="34">
        <v>5.550865E-2</v>
      </c>
      <c r="H90" s="27" t="s">
        <v>142</v>
      </c>
    </row>
    <row r="91" spans="1:8" x14ac:dyDescent="0.2">
      <c r="A91" s="25"/>
      <c r="B91" s="25"/>
      <c r="C91" s="35"/>
      <c r="D91" s="25"/>
      <c r="E91" s="25"/>
      <c r="F91" s="36"/>
      <c r="G91" s="36"/>
      <c r="H91" s="27" t="s">
        <v>142</v>
      </c>
    </row>
    <row r="92" spans="1:8" x14ac:dyDescent="0.2">
      <c r="A92" s="25"/>
      <c r="B92" s="25"/>
      <c r="C92" s="26" t="s">
        <v>161</v>
      </c>
      <c r="D92" s="25"/>
      <c r="E92" s="25"/>
      <c r="F92" s="33">
        <v>121.178858901</v>
      </c>
      <c r="G92" s="34">
        <v>5.550865E-2</v>
      </c>
      <c r="H92" s="27" t="s">
        <v>142</v>
      </c>
    </row>
    <row r="93" spans="1:8" x14ac:dyDescent="0.2">
      <c r="A93" s="25"/>
      <c r="B93" s="25"/>
      <c r="C93" s="36"/>
      <c r="D93" s="25"/>
      <c r="E93" s="25"/>
      <c r="F93" s="25"/>
      <c r="G93" s="25"/>
      <c r="H93" s="27" t="s">
        <v>142</v>
      </c>
    </row>
    <row r="94" spans="1:8" x14ac:dyDescent="0.2">
      <c r="A94" s="25"/>
      <c r="B94" s="25"/>
      <c r="C94" s="26" t="s">
        <v>162</v>
      </c>
      <c r="D94" s="25"/>
      <c r="E94" s="25"/>
      <c r="F94" s="25"/>
      <c r="G94" s="25"/>
      <c r="H94" s="27" t="s">
        <v>142</v>
      </c>
    </row>
    <row r="95" spans="1:8" x14ac:dyDescent="0.2">
      <c r="A95" s="25"/>
      <c r="B95" s="25"/>
      <c r="C95" s="26" t="s">
        <v>163</v>
      </c>
      <c r="D95" s="25"/>
      <c r="E95" s="25"/>
      <c r="F95" s="25"/>
      <c r="G95" s="25"/>
      <c r="H95" s="27" t="s">
        <v>142</v>
      </c>
    </row>
    <row r="96" spans="1:8" x14ac:dyDescent="0.2">
      <c r="A96" s="25"/>
      <c r="B96" s="25"/>
      <c r="C96" s="26" t="s">
        <v>141</v>
      </c>
      <c r="D96" s="25"/>
      <c r="E96" s="25" t="s">
        <v>142</v>
      </c>
      <c r="F96" s="37" t="s">
        <v>144</v>
      </c>
      <c r="G96" s="34">
        <v>0</v>
      </c>
      <c r="H96" s="27" t="s">
        <v>142</v>
      </c>
    </row>
    <row r="97" spans="1:17" x14ac:dyDescent="0.2">
      <c r="A97" s="25"/>
      <c r="B97" s="25"/>
      <c r="C97" s="35"/>
      <c r="D97" s="25"/>
      <c r="E97" s="25"/>
      <c r="F97" s="36"/>
      <c r="G97" s="36"/>
      <c r="H97" s="27" t="s">
        <v>142</v>
      </c>
    </row>
    <row r="98" spans="1:17" x14ac:dyDescent="0.2">
      <c r="A98" s="25"/>
      <c r="B98" s="25"/>
      <c r="C98" s="26" t="s">
        <v>164</v>
      </c>
      <c r="D98" s="25"/>
      <c r="E98" s="25"/>
      <c r="F98" s="25"/>
      <c r="G98" s="25"/>
      <c r="H98" s="27" t="s">
        <v>142</v>
      </c>
    </row>
    <row r="99" spans="1:17" x14ac:dyDescent="0.2">
      <c r="A99" s="25"/>
      <c r="B99" s="25"/>
      <c r="C99" s="26" t="s">
        <v>165</v>
      </c>
      <c r="D99" s="25"/>
      <c r="E99" s="25"/>
      <c r="F99" s="25"/>
      <c r="G99" s="25"/>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25"/>
      <c r="B102" s="25"/>
      <c r="C102" s="26" t="s">
        <v>166</v>
      </c>
      <c r="D102" s="25"/>
      <c r="E102" s="25"/>
      <c r="F102" s="36"/>
      <c r="G102" s="36"/>
      <c r="H102" s="27" t="s">
        <v>142</v>
      </c>
    </row>
    <row r="103" spans="1:17" x14ac:dyDescent="0.2">
      <c r="A103" s="25"/>
      <c r="B103" s="25"/>
      <c r="C103" s="26" t="s">
        <v>141</v>
      </c>
      <c r="D103" s="25"/>
      <c r="E103" s="25" t="s">
        <v>142</v>
      </c>
      <c r="F103" s="37" t="s">
        <v>144</v>
      </c>
      <c r="G103" s="34">
        <v>0</v>
      </c>
      <c r="H103" s="27" t="s">
        <v>142</v>
      </c>
    </row>
    <row r="104" spans="1:17" x14ac:dyDescent="0.2">
      <c r="A104" s="25"/>
      <c r="B104" s="25"/>
      <c r="C104" s="35"/>
      <c r="D104" s="25"/>
      <c r="E104" s="25"/>
      <c r="F104" s="36"/>
      <c r="G104" s="36"/>
      <c r="H104" s="27" t="s">
        <v>142</v>
      </c>
    </row>
    <row r="105" spans="1:17" x14ac:dyDescent="0.2">
      <c r="A105" s="25"/>
      <c r="B105" s="29"/>
      <c r="C105" s="29"/>
      <c r="D105" s="26"/>
      <c r="E105" s="25"/>
      <c r="F105" s="29"/>
      <c r="G105" s="39"/>
      <c r="H105" s="27" t="s">
        <v>142</v>
      </c>
    </row>
    <row r="106" spans="1:17" x14ac:dyDescent="0.2">
      <c r="A106" s="39"/>
      <c r="B106" s="29"/>
      <c r="C106" s="29" t="s">
        <v>167</v>
      </c>
      <c r="D106" s="29"/>
      <c r="E106" s="39"/>
      <c r="F106" s="31">
        <v>1.4974591100000001</v>
      </c>
      <c r="G106" s="32">
        <v>6.8594000000000001E-4</v>
      </c>
      <c r="H106" s="27" t="s">
        <v>142</v>
      </c>
    </row>
    <row r="107" spans="1:17" x14ac:dyDescent="0.2">
      <c r="A107" s="35"/>
      <c r="B107" s="35"/>
      <c r="C107" s="26" t="s">
        <v>168</v>
      </c>
      <c r="D107" s="36"/>
      <c r="E107" s="36"/>
      <c r="F107" s="33">
        <v>2183.062834411</v>
      </c>
      <c r="G107" s="40">
        <v>1.00000004</v>
      </c>
      <c r="H107" s="27" t="s">
        <v>142</v>
      </c>
    </row>
    <row r="108" spans="1:17" x14ac:dyDescent="0.2">
      <c r="A108" s="41"/>
      <c r="B108" s="41"/>
      <c r="C108" s="41"/>
      <c r="D108" s="42"/>
      <c r="E108" s="42"/>
      <c r="F108" s="42"/>
      <c r="G108" s="42"/>
    </row>
    <row r="109" spans="1:17" x14ac:dyDescent="0.2">
      <c r="A109" s="43"/>
      <c r="B109" s="210" t="s">
        <v>879</v>
      </c>
      <c r="C109" s="210"/>
      <c r="D109" s="210"/>
      <c r="E109" s="210"/>
      <c r="F109" s="210"/>
      <c r="G109" s="210"/>
      <c r="H109" s="210"/>
      <c r="J109" s="45"/>
    </row>
    <row r="110" spans="1:17" x14ac:dyDescent="0.2">
      <c r="A110" s="43"/>
      <c r="B110" s="210" t="s">
        <v>880</v>
      </c>
      <c r="C110" s="210"/>
      <c r="D110" s="210"/>
      <c r="E110" s="210"/>
      <c r="F110" s="210"/>
      <c r="G110" s="210"/>
      <c r="H110" s="210"/>
      <c r="J110" s="45"/>
    </row>
    <row r="111" spans="1:17" x14ac:dyDescent="0.2">
      <c r="A111" s="43"/>
      <c r="B111" s="210" t="s">
        <v>881</v>
      </c>
      <c r="C111" s="210"/>
      <c r="D111" s="210"/>
      <c r="E111" s="210"/>
      <c r="F111" s="210"/>
      <c r="G111" s="210"/>
      <c r="H111" s="210"/>
      <c r="J111" s="45"/>
    </row>
    <row r="112" spans="1:17" s="47" customFormat="1" ht="66.75" customHeight="1" x14ac:dyDescent="0.25">
      <c r="A112" s="46"/>
      <c r="B112" s="211" t="s">
        <v>882</v>
      </c>
      <c r="C112" s="211"/>
      <c r="D112" s="211"/>
      <c r="E112" s="211"/>
      <c r="F112" s="211"/>
      <c r="G112" s="211"/>
      <c r="H112" s="211"/>
      <c r="I112"/>
      <c r="J112" s="45"/>
      <c r="K112"/>
      <c r="L112"/>
      <c r="M112"/>
      <c r="N112"/>
      <c r="O112"/>
      <c r="P112"/>
      <c r="Q112"/>
    </row>
    <row r="113" spans="1:10" x14ac:dyDescent="0.2">
      <c r="A113" s="43"/>
      <c r="B113" s="210" t="s">
        <v>883</v>
      </c>
      <c r="C113" s="210"/>
      <c r="D113" s="210"/>
      <c r="E113" s="210"/>
      <c r="F113" s="210"/>
      <c r="G113" s="210"/>
      <c r="H113" s="210"/>
      <c r="J113" s="45"/>
    </row>
    <row r="114" spans="1:10" x14ac:dyDescent="0.2">
      <c r="A114" s="48"/>
      <c r="B114" s="48"/>
      <c r="C114" s="48"/>
      <c r="D114" s="49"/>
      <c r="E114" s="49"/>
      <c r="F114" s="49"/>
      <c r="G114" s="49"/>
    </row>
    <row r="115" spans="1:10" x14ac:dyDescent="0.2">
      <c r="A115" s="48"/>
      <c r="B115" s="212" t="s">
        <v>169</v>
      </c>
      <c r="C115" s="213"/>
      <c r="D115" s="214"/>
      <c r="E115" s="50"/>
      <c r="F115" s="49"/>
      <c r="G115" s="49"/>
    </row>
    <row r="116" spans="1:10" ht="27.75" customHeight="1" x14ac:dyDescent="0.2">
      <c r="A116" s="48"/>
      <c r="B116" s="215" t="s">
        <v>170</v>
      </c>
      <c r="C116" s="216"/>
      <c r="D116" s="26" t="s">
        <v>171</v>
      </c>
      <c r="E116" s="50"/>
      <c r="F116" s="49"/>
      <c r="G116" s="49"/>
    </row>
    <row r="117" spans="1:10" ht="12.75" customHeight="1" x14ac:dyDescent="0.2">
      <c r="A117" s="43"/>
      <c r="B117" s="217" t="s">
        <v>884</v>
      </c>
      <c r="C117" s="218"/>
      <c r="D117" s="26" t="s">
        <v>171</v>
      </c>
      <c r="E117" s="52"/>
      <c r="F117" s="53"/>
      <c r="G117" s="53"/>
    </row>
    <row r="118" spans="1:10" x14ac:dyDescent="0.2">
      <c r="A118" s="48"/>
      <c r="B118" s="215" t="s">
        <v>172</v>
      </c>
      <c r="C118" s="216"/>
      <c r="D118" s="36" t="s">
        <v>142</v>
      </c>
      <c r="E118" s="50"/>
      <c r="F118" s="49"/>
      <c r="G118" s="49"/>
    </row>
    <row r="119" spans="1:10" x14ac:dyDescent="0.2">
      <c r="A119" s="54"/>
      <c r="B119" s="55" t="s">
        <v>142</v>
      </c>
      <c r="C119" s="55" t="s">
        <v>885</v>
      </c>
      <c r="D119" s="55" t="s">
        <v>173</v>
      </c>
      <c r="E119" s="54"/>
      <c r="F119" s="54"/>
      <c r="G119" s="54"/>
      <c r="H119" s="54"/>
      <c r="J119" s="45"/>
    </row>
    <row r="120" spans="1:10" x14ac:dyDescent="0.2">
      <c r="A120" s="54"/>
      <c r="B120" s="56" t="s">
        <v>174</v>
      </c>
      <c r="C120" s="57">
        <v>45777</v>
      </c>
      <c r="D120" s="57">
        <v>45808</v>
      </c>
      <c r="E120" s="54"/>
      <c r="F120" s="54"/>
      <c r="G120" s="54"/>
      <c r="J120" s="45"/>
    </row>
    <row r="121" spans="1:10" x14ac:dyDescent="0.2">
      <c r="A121" s="58"/>
      <c r="B121" s="29" t="s">
        <v>175</v>
      </c>
      <c r="C121" s="59">
        <v>29.814</v>
      </c>
      <c r="D121" s="59">
        <v>32.069600000000001</v>
      </c>
      <c r="E121" s="58"/>
      <c r="F121" s="60"/>
      <c r="G121" s="61"/>
    </row>
    <row r="122" spans="1:10" x14ac:dyDescent="0.2">
      <c r="A122" s="58"/>
      <c r="B122" s="29" t="s">
        <v>1065</v>
      </c>
      <c r="C122" s="59">
        <v>27.392499999999998</v>
      </c>
      <c r="D122" s="59">
        <v>29.4649</v>
      </c>
      <c r="E122" s="58"/>
      <c r="F122" s="60"/>
      <c r="G122" s="61"/>
    </row>
    <row r="123" spans="1:10" x14ac:dyDescent="0.2">
      <c r="A123" s="58"/>
      <c r="B123" s="29" t="s">
        <v>177</v>
      </c>
      <c r="C123" s="59">
        <v>29.248999999999999</v>
      </c>
      <c r="D123" s="59">
        <v>31.456</v>
      </c>
      <c r="E123" s="58"/>
      <c r="F123" s="60"/>
      <c r="G123" s="61"/>
    </row>
    <row r="124" spans="1:10" x14ac:dyDescent="0.2">
      <c r="A124" s="58"/>
      <c r="B124" s="29" t="s">
        <v>1066</v>
      </c>
      <c r="C124" s="59">
        <v>26.840699999999998</v>
      </c>
      <c r="D124" s="59">
        <v>28.8659</v>
      </c>
      <c r="E124" s="58"/>
      <c r="F124" s="60"/>
      <c r="G124" s="61"/>
    </row>
    <row r="125" spans="1:10" x14ac:dyDescent="0.2">
      <c r="A125" s="58"/>
      <c r="B125" s="58"/>
      <c r="C125" s="58"/>
      <c r="D125" s="58"/>
      <c r="E125" s="58"/>
      <c r="F125" s="58"/>
      <c r="G125" s="58"/>
    </row>
    <row r="126" spans="1:10" x14ac:dyDescent="0.2">
      <c r="A126" s="54"/>
      <c r="B126" s="217" t="s">
        <v>887</v>
      </c>
      <c r="C126" s="218"/>
      <c r="D126" s="51" t="s">
        <v>171</v>
      </c>
      <c r="E126" s="54"/>
      <c r="F126" s="54"/>
      <c r="G126" s="54"/>
    </row>
    <row r="127" spans="1:10" x14ac:dyDescent="0.2">
      <c r="A127" s="54"/>
      <c r="B127" s="70"/>
      <c r="C127" s="70"/>
      <c r="D127" s="70"/>
      <c r="E127" s="54"/>
      <c r="F127" s="54"/>
      <c r="G127" s="54"/>
    </row>
    <row r="128" spans="1:10" x14ac:dyDescent="0.2">
      <c r="A128" s="54"/>
      <c r="B128" s="217" t="s">
        <v>180</v>
      </c>
      <c r="C128" s="218"/>
      <c r="D128" s="51" t="s">
        <v>171</v>
      </c>
      <c r="E128" s="70"/>
      <c r="F128" s="70"/>
      <c r="G128" s="70"/>
    </row>
    <row r="129" spans="1:10" x14ac:dyDescent="0.2">
      <c r="A129" s="54"/>
      <c r="B129" s="217" t="s">
        <v>181</v>
      </c>
      <c r="C129" s="218"/>
      <c r="D129" s="51" t="s">
        <v>171</v>
      </c>
      <c r="E129" s="54"/>
      <c r="F129" s="54"/>
      <c r="G129" s="54"/>
    </row>
    <row r="130" spans="1:10" ht="12.75" customHeight="1" x14ac:dyDescent="0.2">
      <c r="A130" s="54"/>
      <c r="B130" s="217" t="s">
        <v>182</v>
      </c>
      <c r="C130" s="218"/>
      <c r="D130" s="51" t="s">
        <v>171</v>
      </c>
      <c r="E130" s="65"/>
      <c r="F130" s="54"/>
      <c r="G130" s="54"/>
    </row>
    <row r="131" spans="1:10" ht="12.75" customHeight="1" x14ac:dyDescent="0.2">
      <c r="A131" s="54"/>
      <c r="B131" s="217" t="s">
        <v>183</v>
      </c>
      <c r="C131" s="218"/>
      <c r="D131" s="66">
        <v>0.22660612364959773</v>
      </c>
      <c r="E131" s="65"/>
      <c r="F131" s="54"/>
      <c r="G131" s="54"/>
    </row>
    <row r="134" spans="1:10" x14ac:dyDescent="0.2">
      <c r="B134" s="219" t="s">
        <v>888</v>
      </c>
      <c r="C134" s="219"/>
    </row>
    <row r="136" spans="1:10" ht="153.75" customHeight="1" x14ac:dyDescent="0.2"/>
    <row r="139" spans="1:10" x14ac:dyDescent="0.2">
      <c r="B139" s="67" t="s">
        <v>889</v>
      </c>
      <c r="C139" s="68"/>
      <c r="D139" s="67"/>
    </row>
    <row r="140" spans="1:10" x14ac:dyDescent="0.2">
      <c r="B140" s="67" t="s">
        <v>897</v>
      </c>
      <c r="D140" s="67"/>
    </row>
    <row r="141" spans="1:10" ht="165" customHeight="1" x14ac:dyDescent="0.2"/>
    <row r="143" spans="1:10" x14ac:dyDescent="0.2">
      <c r="J143" s="24"/>
    </row>
  </sheetData>
  <mergeCells count="18">
    <mergeCell ref="B134:C134"/>
    <mergeCell ref="B126:C126"/>
    <mergeCell ref="B130:C130"/>
    <mergeCell ref="B131:C131"/>
    <mergeCell ref="B128:C128"/>
    <mergeCell ref="B129:C129"/>
    <mergeCell ref="A1:H1"/>
    <mergeCell ref="A2:H2"/>
    <mergeCell ref="A3:H3"/>
    <mergeCell ref="B109:H109"/>
    <mergeCell ref="B110:H110"/>
    <mergeCell ref="B117:C117"/>
    <mergeCell ref="B118:C118"/>
    <mergeCell ref="B111:H111"/>
    <mergeCell ref="B112:H112"/>
    <mergeCell ref="B113:H113"/>
    <mergeCell ref="B115:D115"/>
    <mergeCell ref="B116:C116"/>
  </mergeCells>
  <hyperlinks>
    <hyperlink ref="I1" location="Index!B2" display="Index" xr:uid="{F27E3A68-D7DF-4A3F-A95A-1A4201C8097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42FF-D6E3-43D9-868B-1DE3C85E1466}">
  <sheetPr>
    <outlinePr summaryBelow="0" summaryRight="0"/>
  </sheetPr>
  <dimension ref="A1:Q153"/>
  <sheetViews>
    <sheetView showGridLines="0" workbookViewId="0">
      <selection activeCell="F111" sqref="F11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420</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26</v>
      </c>
      <c r="C7" s="29" t="s">
        <v>27</v>
      </c>
      <c r="D7" s="29" t="s">
        <v>28</v>
      </c>
      <c r="E7" s="30">
        <v>8911</v>
      </c>
      <c r="F7" s="31">
        <v>128.835238</v>
      </c>
      <c r="G7" s="32">
        <v>9.8509920000000001E-2</v>
      </c>
      <c r="H7" s="27" t="s">
        <v>142</v>
      </c>
    </row>
    <row r="8" spans="1:9" x14ac:dyDescent="0.2">
      <c r="A8" s="28">
        <v>2</v>
      </c>
      <c r="B8" s="29" t="s">
        <v>317</v>
      </c>
      <c r="C8" s="29" t="s">
        <v>318</v>
      </c>
      <c r="D8" s="29" t="s">
        <v>28</v>
      </c>
      <c r="E8" s="30">
        <v>6465</v>
      </c>
      <c r="F8" s="31">
        <v>125.737785</v>
      </c>
      <c r="G8" s="32">
        <v>9.6141550000000006E-2</v>
      </c>
      <c r="H8" s="27" t="s">
        <v>142</v>
      </c>
    </row>
    <row r="9" spans="1:9" x14ac:dyDescent="0.2">
      <c r="A9" s="28">
        <v>3</v>
      </c>
      <c r="B9" s="29" t="s">
        <v>14</v>
      </c>
      <c r="C9" s="29" t="s">
        <v>15</v>
      </c>
      <c r="D9" s="29" t="s">
        <v>16</v>
      </c>
      <c r="E9" s="30">
        <v>6978</v>
      </c>
      <c r="F9" s="31">
        <v>99.150402</v>
      </c>
      <c r="G9" s="32">
        <v>7.5812320000000002E-2</v>
      </c>
      <c r="H9" s="27" t="s">
        <v>142</v>
      </c>
    </row>
    <row r="10" spans="1:9" x14ac:dyDescent="0.2">
      <c r="A10" s="28">
        <v>4</v>
      </c>
      <c r="B10" s="29" t="s">
        <v>46</v>
      </c>
      <c r="C10" s="29" t="s">
        <v>47</v>
      </c>
      <c r="D10" s="29" t="s">
        <v>28</v>
      </c>
      <c r="E10" s="30">
        <v>11730</v>
      </c>
      <c r="F10" s="31">
        <v>95.282790000000006</v>
      </c>
      <c r="G10" s="32">
        <v>7.2855069999999994E-2</v>
      </c>
      <c r="H10" s="27" t="s">
        <v>142</v>
      </c>
    </row>
    <row r="11" spans="1:9" x14ac:dyDescent="0.2">
      <c r="A11" s="28">
        <v>5</v>
      </c>
      <c r="B11" s="29" t="s">
        <v>323</v>
      </c>
      <c r="C11" s="29" t="s">
        <v>324</v>
      </c>
      <c r="D11" s="29" t="s">
        <v>200</v>
      </c>
      <c r="E11" s="30">
        <v>5430</v>
      </c>
      <c r="F11" s="31">
        <v>84.854609999999994</v>
      </c>
      <c r="G11" s="32">
        <v>6.4881480000000005E-2</v>
      </c>
      <c r="H11" s="27" t="s">
        <v>142</v>
      </c>
    </row>
    <row r="12" spans="1:9" x14ac:dyDescent="0.2">
      <c r="A12" s="28">
        <v>6</v>
      </c>
      <c r="B12" s="29" t="s">
        <v>11</v>
      </c>
      <c r="C12" s="29" t="s">
        <v>12</v>
      </c>
      <c r="D12" s="29" t="s">
        <v>13</v>
      </c>
      <c r="E12" s="30">
        <v>4294</v>
      </c>
      <c r="F12" s="31">
        <v>79.705228000000005</v>
      </c>
      <c r="G12" s="32">
        <v>6.0944159999999997E-2</v>
      </c>
      <c r="H12" s="27" t="s">
        <v>142</v>
      </c>
    </row>
    <row r="13" spans="1:9" x14ac:dyDescent="0.2">
      <c r="A13" s="28">
        <v>7</v>
      </c>
      <c r="B13" s="29" t="s">
        <v>17</v>
      </c>
      <c r="C13" s="29" t="s">
        <v>18</v>
      </c>
      <c r="D13" s="29" t="s">
        <v>19</v>
      </c>
      <c r="E13" s="30">
        <v>1772</v>
      </c>
      <c r="F13" s="31">
        <v>65.122771999999998</v>
      </c>
      <c r="G13" s="32">
        <v>4.9794129999999999E-2</v>
      </c>
      <c r="H13" s="27" t="s">
        <v>142</v>
      </c>
    </row>
    <row r="14" spans="1:9" ht="25.5" x14ac:dyDescent="0.2">
      <c r="A14" s="28">
        <v>8</v>
      </c>
      <c r="B14" s="29" t="s">
        <v>23</v>
      </c>
      <c r="C14" s="29" t="s">
        <v>24</v>
      </c>
      <c r="D14" s="29" t="s">
        <v>25</v>
      </c>
      <c r="E14" s="30">
        <v>424</v>
      </c>
      <c r="F14" s="31">
        <v>47.5304</v>
      </c>
      <c r="G14" s="32">
        <v>3.6342670000000001E-2</v>
      </c>
      <c r="H14" s="27" t="s">
        <v>142</v>
      </c>
    </row>
    <row r="15" spans="1:9" x14ac:dyDescent="0.2">
      <c r="A15" s="28">
        <v>9</v>
      </c>
      <c r="B15" s="29" t="s">
        <v>319</v>
      </c>
      <c r="C15" s="29" t="s">
        <v>320</v>
      </c>
      <c r="D15" s="29" t="s">
        <v>28</v>
      </c>
      <c r="E15" s="30">
        <v>3621</v>
      </c>
      <c r="F15" s="31">
        <v>43.169561999999999</v>
      </c>
      <c r="G15" s="32">
        <v>3.3008280000000001E-2</v>
      </c>
      <c r="H15" s="27" t="s">
        <v>142</v>
      </c>
    </row>
    <row r="16" spans="1:9" x14ac:dyDescent="0.2">
      <c r="A16" s="28">
        <v>10</v>
      </c>
      <c r="B16" s="29" t="s">
        <v>204</v>
      </c>
      <c r="C16" s="29" t="s">
        <v>205</v>
      </c>
      <c r="D16" s="29" t="s">
        <v>16</v>
      </c>
      <c r="E16" s="30">
        <v>9124</v>
      </c>
      <c r="F16" s="31">
        <v>37.504201999999999</v>
      </c>
      <c r="G16" s="32">
        <v>2.8676440000000001E-2</v>
      </c>
      <c r="H16" s="27" t="s">
        <v>142</v>
      </c>
    </row>
    <row r="17" spans="1:8" ht="25.5" x14ac:dyDescent="0.2">
      <c r="A17" s="28">
        <v>11</v>
      </c>
      <c r="B17" s="29" t="s">
        <v>185</v>
      </c>
      <c r="C17" s="29" t="s">
        <v>186</v>
      </c>
      <c r="D17" s="29" t="s">
        <v>187</v>
      </c>
      <c r="E17" s="30">
        <v>1637</v>
      </c>
      <c r="F17" s="31">
        <v>37.477477999999998</v>
      </c>
      <c r="G17" s="32">
        <v>2.8656009999999999E-2</v>
      </c>
      <c r="H17" s="27" t="s">
        <v>142</v>
      </c>
    </row>
    <row r="18" spans="1:8" x14ac:dyDescent="0.2">
      <c r="A18" s="28">
        <v>12</v>
      </c>
      <c r="B18" s="29" t="s">
        <v>352</v>
      </c>
      <c r="C18" s="29" t="s">
        <v>353</v>
      </c>
      <c r="D18" s="29" t="s">
        <v>254</v>
      </c>
      <c r="E18" s="30">
        <v>4883</v>
      </c>
      <c r="F18" s="31">
        <v>35.133184999999997</v>
      </c>
      <c r="G18" s="32">
        <v>2.6863519999999998E-2</v>
      </c>
      <c r="H18" s="27" t="s">
        <v>142</v>
      </c>
    </row>
    <row r="19" spans="1:8" x14ac:dyDescent="0.2">
      <c r="A19" s="28">
        <v>13</v>
      </c>
      <c r="B19" s="29" t="s">
        <v>135</v>
      </c>
      <c r="C19" s="29" t="s">
        <v>136</v>
      </c>
      <c r="D19" s="29" t="s">
        <v>137</v>
      </c>
      <c r="E19" s="30">
        <v>3580</v>
      </c>
      <c r="F19" s="31">
        <v>33.970619999999997</v>
      </c>
      <c r="G19" s="32">
        <v>2.59746E-2</v>
      </c>
      <c r="H19" s="27" t="s">
        <v>142</v>
      </c>
    </row>
    <row r="20" spans="1:8" x14ac:dyDescent="0.2">
      <c r="A20" s="28">
        <v>14</v>
      </c>
      <c r="B20" s="29" t="s">
        <v>354</v>
      </c>
      <c r="C20" s="29" t="s">
        <v>355</v>
      </c>
      <c r="D20" s="29" t="s">
        <v>61</v>
      </c>
      <c r="E20" s="30">
        <v>901</v>
      </c>
      <c r="F20" s="31">
        <v>32.030549999999998</v>
      </c>
      <c r="G20" s="32">
        <v>2.4491180000000001E-2</v>
      </c>
      <c r="H20" s="27" t="s">
        <v>142</v>
      </c>
    </row>
    <row r="21" spans="1:8" x14ac:dyDescent="0.2">
      <c r="A21" s="28">
        <v>15</v>
      </c>
      <c r="B21" s="29" t="s">
        <v>343</v>
      </c>
      <c r="C21" s="29" t="s">
        <v>344</v>
      </c>
      <c r="D21" s="29" t="s">
        <v>345</v>
      </c>
      <c r="E21" s="30">
        <v>7286</v>
      </c>
      <c r="F21" s="31">
        <v>30.459123000000002</v>
      </c>
      <c r="G21" s="32">
        <v>2.328964E-2</v>
      </c>
      <c r="H21" s="27" t="s">
        <v>142</v>
      </c>
    </row>
    <row r="22" spans="1:8" x14ac:dyDescent="0.2">
      <c r="A22" s="28">
        <v>16</v>
      </c>
      <c r="B22" s="29" t="s">
        <v>421</v>
      </c>
      <c r="C22" s="29" t="s">
        <v>422</v>
      </c>
      <c r="D22" s="29" t="s">
        <v>200</v>
      </c>
      <c r="E22" s="30">
        <v>1555</v>
      </c>
      <c r="F22" s="31">
        <v>25.44913</v>
      </c>
      <c r="G22" s="32">
        <v>1.9458900000000001E-2</v>
      </c>
      <c r="H22" s="27" t="s">
        <v>142</v>
      </c>
    </row>
    <row r="23" spans="1:8" x14ac:dyDescent="0.2">
      <c r="A23" s="28">
        <v>17</v>
      </c>
      <c r="B23" s="29" t="s">
        <v>95</v>
      </c>
      <c r="C23" s="29" t="s">
        <v>96</v>
      </c>
      <c r="D23" s="29" t="s">
        <v>64</v>
      </c>
      <c r="E23" s="30">
        <v>587</v>
      </c>
      <c r="F23" s="31">
        <v>24.587669000000002</v>
      </c>
      <c r="G23" s="32">
        <v>1.8800210000000001E-2</v>
      </c>
      <c r="H23" s="27" t="s">
        <v>142</v>
      </c>
    </row>
    <row r="24" spans="1:8" x14ac:dyDescent="0.2">
      <c r="A24" s="28">
        <v>18</v>
      </c>
      <c r="B24" s="29" t="s">
        <v>37</v>
      </c>
      <c r="C24" s="29" t="s">
        <v>38</v>
      </c>
      <c r="D24" s="29" t="s">
        <v>16</v>
      </c>
      <c r="E24" s="30">
        <v>7496</v>
      </c>
      <c r="F24" s="31">
        <v>23.867263999999999</v>
      </c>
      <c r="G24" s="32">
        <v>1.8249370000000001E-2</v>
      </c>
      <c r="H24" s="27" t="s">
        <v>142</v>
      </c>
    </row>
    <row r="25" spans="1:8" x14ac:dyDescent="0.2">
      <c r="A25" s="28">
        <v>19</v>
      </c>
      <c r="B25" s="29" t="s">
        <v>325</v>
      </c>
      <c r="C25" s="29" t="s">
        <v>326</v>
      </c>
      <c r="D25" s="29" t="s">
        <v>28</v>
      </c>
      <c r="E25" s="30">
        <v>9495</v>
      </c>
      <c r="F25" s="31">
        <v>23.694772499999999</v>
      </c>
      <c r="G25" s="32">
        <v>1.8117479999999998E-2</v>
      </c>
      <c r="H25" s="27" t="s">
        <v>142</v>
      </c>
    </row>
    <row r="26" spans="1:8" ht="25.5" x14ac:dyDescent="0.2">
      <c r="A26" s="28">
        <v>20</v>
      </c>
      <c r="B26" s="29" t="s">
        <v>381</v>
      </c>
      <c r="C26" s="29" t="s">
        <v>382</v>
      </c>
      <c r="D26" s="29" t="s">
        <v>273</v>
      </c>
      <c r="E26" s="30">
        <v>526</v>
      </c>
      <c r="F26" s="31">
        <v>22.413912</v>
      </c>
      <c r="G26" s="32">
        <v>1.7138110000000002E-2</v>
      </c>
      <c r="H26" s="27" t="s">
        <v>142</v>
      </c>
    </row>
    <row r="27" spans="1:8" x14ac:dyDescent="0.2">
      <c r="A27" s="28">
        <v>21</v>
      </c>
      <c r="B27" s="29" t="s">
        <v>358</v>
      </c>
      <c r="C27" s="29" t="s">
        <v>359</v>
      </c>
      <c r="D27" s="29" t="s">
        <v>200</v>
      </c>
      <c r="E27" s="30">
        <v>617</v>
      </c>
      <c r="F27" s="31">
        <v>21.369178000000002</v>
      </c>
      <c r="G27" s="32">
        <v>1.6339289999999999E-2</v>
      </c>
      <c r="H27" s="27" t="s">
        <v>142</v>
      </c>
    </row>
    <row r="28" spans="1:8" x14ac:dyDescent="0.2">
      <c r="A28" s="28">
        <v>22</v>
      </c>
      <c r="B28" s="29" t="s">
        <v>423</v>
      </c>
      <c r="C28" s="29" t="s">
        <v>424</v>
      </c>
      <c r="D28" s="29" t="s">
        <v>270</v>
      </c>
      <c r="E28" s="30">
        <v>1169</v>
      </c>
      <c r="F28" s="31">
        <v>21.184618</v>
      </c>
      <c r="G28" s="32">
        <v>1.6198170000000001E-2</v>
      </c>
      <c r="H28" s="27" t="s">
        <v>142</v>
      </c>
    </row>
    <row r="29" spans="1:8" ht="25.5" x14ac:dyDescent="0.2">
      <c r="A29" s="28">
        <v>23</v>
      </c>
      <c r="B29" s="29" t="s">
        <v>425</v>
      </c>
      <c r="C29" s="29" t="s">
        <v>426</v>
      </c>
      <c r="D29" s="29" t="s">
        <v>203</v>
      </c>
      <c r="E29" s="30">
        <v>1612</v>
      </c>
      <c r="F29" s="31">
        <v>17.833556000000002</v>
      </c>
      <c r="G29" s="32">
        <v>1.363588E-2</v>
      </c>
      <c r="H29" s="27" t="s">
        <v>142</v>
      </c>
    </row>
    <row r="30" spans="1:8" x14ac:dyDescent="0.2">
      <c r="A30" s="28">
        <v>24</v>
      </c>
      <c r="B30" s="29" t="s">
        <v>427</v>
      </c>
      <c r="C30" s="29" t="s">
        <v>428</v>
      </c>
      <c r="D30" s="29" t="s">
        <v>429</v>
      </c>
      <c r="E30" s="30">
        <v>2810</v>
      </c>
      <c r="F30" s="31">
        <v>17.801349999999999</v>
      </c>
      <c r="G30" s="32">
        <v>1.361126E-2</v>
      </c>
      <c r="H30" s="27" t="s">
        <v>142</v>
      </c>
    </row>
    <row r="31" spans="1:8" ht="25.5" x14ac:dyDescent="0.2">
      <c r="A31" s="28">
        <v>25</v>
      </c>
      <c r="B31" s="29" t="s">
        <v>430</v>
      </c>
      <c r="C31" s="29" t="s">
        <v>431</v>
      </c>
      <c r="D31" s="29" t="s">
        <v>194</v>
      </c>
      <c r="E31" s="30">
        <v>1140</v>
      </c>
      <c r="F31" s="31">
        <v>16.70898</v>
      </c>
      <c r="G31" s="32">
        <v>1.2776010000000001E-2</v>
      </c>
      <c r="H31" s="27" t="s">
        <v>142</v>
      </c>
    </row>
    <row r="32" spans="1:8" ht="25.5" x14ac:dyDescent="0.2">
      <c r="A32" s="28">
        <v>26</v>
      </c>
      <c r="B32" s="29" t="s">
        <v>432</v>
      </c>
      <c r="C32" s="29" t="s">
        <v>433</v>
      </c>
      <c r="D32" s="29" t="s">
        <v>25</v>
      </c>
      <c r="E32" s="30">
        <v>1190</v>
      </c>
      <c r="F32" s="31">
        <v>16.355360000000001</v>
      </c>
      <c r="G32" s="32">
        <v>1.250563E-2</v>
      </c>
      <c r="H32" s="27" t="s">
        <v>142</v>
      </c>
    </row>
    <row r="33" spans="1:8" x14ac:dyDescent="0.2">
      <c r="A33" s="28">
        <v>27</v>
      </c>
      <c r="B33" s="29" t="s">
        <v>321</v>
      </c>
      <c r="C33" s="29" t="s">
        <v>322</v>
      </c>
      <c r="D33" s="29" t="s">
        <v>28</v>
      </c>
      <c r="E33" s="30">
        <v>731</v>
      </c>
      <c r="F33" s="31">
        <v>15.166057</v>
      </c>
      <c r="G33" s="32">
        <v>1.1596260000000001E-2</v>
      </c>
      <c r="H33" s="27" t="s">
        <v>142</v>
      </c>
    </row>
    <row r="34" spans="1:8" x14ac:dyDescent="0.2">
      <c r="A34" s="28">
        <v>28</v>
      </c>
      <c r="B34" s="29" t="s">
        <v>434</v>
      </c>
      <c r="C34" s="29" t="s">
        <v>435</v>
      </c>
      <c r="D34" s="29" t="s">
        <v>345</v>
      </c>
      <c r="E34" s="30">
        <v>517</v>
      </c>
      <c r="F34" s="31">
        <v>12.140711</v>
      </c>
      <c r="G34" s="32">
        <v>9.2830199999999995E-3</v>
      </c>
      <c r="H34" s="27" t="s">
        <v>142</v>
      </c>
    </row>
    <row r="35" spans="1:8" x14ac:dyDescent="0.2">
      <c r="A35" s="28">
        <v>29</v>
      </c>
      <c r="B35" s="29" t="s">
        <v>124</v>
      </c>
      <c r="C35" s="29" t="s">
        <v>125</v>
      </c>
      <c r="D35" s="29" t="s">
        <v>67</v>
      </c>
      <c r="E35" s="30">
        <v>1497</v>
      </c>
      <c r="F35" s="31">
        <v>11.742468000000001</v>
      </c>
      <c r="G35" s="32">
        <v>8.9785200000000003E-3</v>
      </c>
      <c r="H35" s="27" t="s">
        <v>142</v>
      </c>
    </row>
    <row r="36" spans="1:8" x14ac:dyDescent="0.2">
      <c r="A36" s="28">
        <v>30</v>
      </c>
      <c r="B36" s="29" t="s">
        <v>436</v>
      </c>
      <c r="C36" s="29" t="s">
        <v>437</v>
      </c>
      <c r="D36" s="29" t="s">
        <v>28</v>
      </c>
      <c r="E36" s="30">
        <v>989</v>
      </c>
      <c r="F36" s="31">
        <v>8.0796355000000002</v>
      </c>
      <c r="G36" s="32">
        <v>6.1778500000000004E-3</v>
      </c>
      <c r="H36" s="27" t="s">
        <v>142</v>
      </c>
    </row>
    <row r="37" spans="1:8" x14ac:dyDescent="0.2">
      <c r="A37" s="28">
        <v>31</v>
      </c>
      <c r="B37" s="29" t="s">
        <v>438</v>
      </c>
      <c r="C37" s="29" t="s">
        <v>439</v>
      </c>
      <c r="D37" s="29" t="s">
        <v>200</v>
      </c>
      <c r="E37" s="30">
        <v>3116</v>
      </c>
      <c r="F37" s="31">
        <v>7.7797172000000003</v>
      </c>
      <c r="G37" s="32">
        <v>5.9485199999999997E-3</v>
      </c>
      <c r="H37" s="27" t="s">
        <v>142</v>
      </c>
    </row>
    <row r="38" spans="1:8" x14ac:dyDescent="0.2">
      <c r="A38" s="25"/>
      <c r="B38" s="25"/>
      <c r="C38" s="26" t="s">
        <v>141</v>
      </c>
      <c r="D38" s="25"/>
      <c r="E38" s="25" t="s">
        <v>142</v>
      </c>
      <c r="F38" s="33">
        <v>1262.1383232000001</v>
      </c>
      <c r="G38" s="34">
        <v>0.96505545000000004</v>
      </c>
      <c r="H38" s="27" t="s">
        <v>142</v>
      </c>
    </row>
    <row r="39" spans="1:8" x14ac:dyDescent="0.2">
      <c r="A39" s="25"/>
      <c r="B39" s="25"/>
      <c r="C39" s="35"/>
      <c r="D39" s="25"/>
      <c r="E39" s="25"/>
      <c r="F39" s="36"/>
      <c r="G39" s="36"/>
      <c r="H39" s="27" t="s">
        <v>142</v>
      </c>
    </row>
    <row r="40" spans="1:8" x14ac:dyDescent="0.2">
      <c r="A40" s="25"/>
      <c r="B40" s="25"/>
      <c r="C40" s="26" t="s">
        <v>143</v>
      </c>
      <c r="D40" s="25"/>
      <c r="E40" s="25"/>
      <c r="F40" s="25"/>
      <c r="G40" s="25"/>
      <c r="H40" s="27" t="s">
        <v>142</v>
      </c>
    </row>
    <row r="41" spans="1:8" x14ac:dyDescent="0.2">
      <c r="A41" s="25"/>
      <c r="B41" s="25"/>
      <c r="C41" s="26" t="s">
        <v>141</v>
      </c>
      <c r="D41" s="25"/>
      <c r="E41" s="25" t="s">
        <v>142</v>
      </c>
      <c r="F41" s="37" t="s">
        <v>144</v>
      </c>
      <c r="G41" s="34">
        <v>0</v>
      </c>
      <c r="H41" s="27" t="s">
        <v>142</v>
      </c>
    </row>
    <row r="42" spans="1:8" x14ac:dyDescent="0.2">
      <c r="A42" s="25"/>
      <c r="B42" s="25"/>
      <c r="C42" s="35"/>
      <c r="D42" s="25"/>
      <c r="E42" s="25"/>
      <c r="F42" s="36"/>
      <c r="G42" s="36"/>
      <c r="H42" s="27" t="s">
        <v>142</v>
      </c>
    </row>
    <row r="43" spans="1:8" x14ac:dyDescent="0.2">
      <c r="A43" s="25"/>
      <c r="B43" s="25"/>
      <c r="C43" s="26" t="s">
        <v>145</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146</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147</v>
      </c>
      <c r="D49" s="25"/>
      <c r="E49" s="25"/>
      <c r="F49" s="36"/>
      <c r="G49" s="36"/>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148</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149</v>
      </c>
      <c r="D55" s="25"/>
      <c r="E55" s="25"/>
      <c r="F55" s="33">
        <v>1262.1383232000001</v>
      </c>
      <c r="G55" s="34">
        <v>0.96505545000000004</v>
      </c>
      <c r="H55" s="27" t="s">
        <v>142</v>
      </c>
    </row>
    <row r="56" spans="1:8" x14ac:dyDescent="0.2">
      <c r="A56" s="25"/>
      <c r="B56" s="25"/>
      <c r="C56" s="35"/>
      <c r="D56" s="25"/>
      <c r="E56" s="25"/>
      <c r="F56" s="36"/>
      <c r="G56" s="36"/>
      <c r="H56" s="27" t="s">
        <v>142</v>
      </c>
    </row>
    <row r="57" spans="1:8" x14ac:dyDescent="0.2">
      <c r="A57" s="25"/>
      <c r="B57" s="25"/>
      <c r="C57" s="26" t="s">
        <v>150</v>
      </c>
      <c r="D57" s="25"/>
      <c r="E57" s="25"/>
      <c r="F57" s="36"/>
      <c r="G57" s="36"/>
      <c r="H57" s="27" t="s">
        <v>142</v>
      </c>
    </row>
    <row r="58" spans="1:8" x14ac:dyDescent="0.2">
      <c r="A58" s="25"/>
      <c r="B58" s="25"/>
      <c r="C58" s="26" t="s">
        <v>10</v>
      </c>
      <c r="D58" s="25"/>
      <c r="E58" s="25"/>
      <c r="F58" s="36"/>
      <c r="G58" s="36"/>
      <c r="H58" s="27" t="s">
        <v>142</v>
      </c>
    </row>
    <row r="59" spans="1:8" x14ac:dyDescent="0.2">
      <c r="A59" s="25"/>
      <c r="B59" s="25"/>
      <c r="C59" s="26" t="s">
        <v>141</v>
      </c>
      <c r="D59" s="25"/>
      <c r="E59" s="25" t="s">
        <v>142</v>
      </c>
      <c r="F59" s="37" t="s">
        <v>144</v>
      </c>
      <c r="G59" s="34">
        <v>0</v>
      </c>
      <c r="H59" s="27" t="s">
        <v>142</v>
      </c>
    </row>
    <row r="60" spans="1:8" x14ac:dyDescent="0.2">
      <c r="A60" s="25"/>
      <c r="B60" s="25"/>
      <c r="C60" s="35"/>
      <c r="D60" s="25"/>
      <c r="E60" s="25"/>
      <c r="F60" s="36"/>
      <c r="G60" s="36"/>
      <c r="H60" s="27" t="s">
        <v>142</v>
      </c>
    </row>
    <row r="61" spans="1:8" x14ac:dyDescent="0.2">
      <c r="A61" s="25"/>
      <c r="B61" s="25"/>
      <c r="C61" s="26" t="s">
        <v>151</v>
      </c>
      <c r="D61" s="25"/>
      <c r="E61" s="25"/>
      <c r="F61" s="25"/>
      <c r="G61" s="25"/>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152</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153</v>
      </c>
      <c r="D67" s="25"/>
      <c r="E67" s="25"/>
      <c r="F67" s="36"/>
      <c r="G67" s="36"/>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154</v>
      </c>
      <c r="D70" s="25"/>
      <c r="E70" s="25"/>
      <c r="F70" s="33">
        <v>0</v>
      </c>
      <c r="G70" s="34">
        <v>0</v>
      </c>
      <c r="H70" s="27" t="s">
        <v>142</v>
      </c>
    </row>
    <row r="71" spans="1:8" x14ac:dyDescent="0.2">
      <c r="A71" s="25"/>
      <c r="B71" s="25"/>
      <c r="C71" s="35"/>
      <c r="D71" s="25"/>
      <c r="E71" s="25"/>
      <c r="F71" s="36"/>
      <c r="G71" s="36"/>
      <c r="H71" s="27" t="s">
        <v>142</v>
      </c>
    </row>
    <row r="72" spans="1:8" x14ac:dyDescent="0.2">
      <c r="A72" s="25"/>
      <c r="B72" s="25"/>
      <c r="C72" s="26" t="s">
        <v>155</v>
      </c>
      <c r="D72" s="25"/>
      <c r="E72" s="25"/>
      <c r="F72" s="36"/>
      <c r="G72" s="36"/>
      <c r="H72" s="27" t="s">
        <v>142</v>
      </c>
    </row>
    <row r="73" spans="1:8" x14ac:dyDescent="0.2">
      <c r="A73" s="25"/>
      <c r="B73" s="25"/>
      <c r="C73" s="26" t="s">
        <v>156</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157</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158</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159</v>
      </c>
      <c r="D82" s="25"/>
      <c r="E82" s="25"/>
      <c r="F82" s="36"/>
      <c r="G82" s="36"/>
      <c r="H82" s="27" t="s">
        <v>142</v>
      </c>
    </row>
    <row r="83" spans="1:8" x14ac:dyDescent="0.2">
      <c r="A83" s="28">
        <v>1</v>
      </c>
      <c r="B83" s="29"/>
      <c r="C83" s="29" t="s">
        <v>160</v>
      </c>
      <c r="D83" s="29"/>
      <c r="E83" s="39"/>
      <c r="F83" s="31">
        <v>41.213702499999997</v>
      </c>
      <c r="G83" s="32">
        <v>3.1512800000000001E-2</v>
      </c>
      <c r="H83" s="27">
        <v>5.76</v>
      </c>
    </row>
    <row r="84" spans="1:8" x14ac:dyDescent="0.2">
      <c r="A84" s="25"/>
      <c r="B84" s="25"/>
      <c r="C84" s="26" t="s">
        <v>141</v>
      </c>
      <c r="D84" s="25"/>
      <c r="E84" s="25" t="s">
        <v>142</v>
      </c>
      <c r="F84" s="33">
        <v>41.213702499999997</v>
      </c>
      <c r="G84" s="34">
        <v>3.1512800000000001E-2</v>
      </c>
      <c r="H84" s="27" t="s">
        <v>142</v>
      </c>
    </row>
    <row r="85" spans="1:8" x14ac:dyDescent="0.2">
      <c r="A85" s="25"/>
      <c r="B85" s="25"/>
      <c r="C85" s="35"/>
      <c r="D85" s="25"/>
      <c r="E85" s="25"/>
      <c r="F85" s="36"/>
      <c r="G85" s="36"/>
      <c r="H85" s="27" t="s">
        <v>142</v>
      </c>
    </row>
    <row r="86" spans="1:8" x14ac:dyDescent="0.2">
      <c r="A86" s="25"/>
      <c r="B86" s="25"/>
      <c r="C86" s="26" t="s">
        <v>161</v>
      </c>
      <c r="D86" s="25"/>
      <c r="E86" s="25"/>
      <c r="F86" s="33">
        <v>41.213702499999997</v>
      </c>
      <c r="G86" s="34">
        <v>3.1512800000000001E-2</v>
      </c>
      <c r="H86" s="27" t="s">
        <v>142</v>
      </c>
    </row>
    <row r="87" spans="1:8" x14ac:dyDescent="0.2">
      <c r="A87" s="25"/>
      <c r="B87" s="25"/>
      <c r="C87" s="36"/>
      <c r="D87" s="25"/>
      <c r="E87" s="25"/>
      <c r="F87" s="25"/>
      <c r="G87" s="25"/>
      <c r="H87" s="27" t="s">
        <v>142</v>
      </c>
    </row>
    <row r="88" spans="1:8" x14ac:dyDescent="0.2">
      <c r="A88" s="25"/>
      <c r="B88" s="25"/>
      <c r="C88" s="26" t="s">
        <v>162</v>
      </c>
      <c r="D88" s="25"/>
      <c r="E88" s="25"/>
      <c r="F88" s="25"/>
      <c r="G88" s="25"/>
      <c r="H88" s="27" t="s">
        <v>142</v>
      </c>
    </row>
    <row r="89" spans="1:8" x14ac:dyDescent="0.2">
      <c r="A89" s="25"/>
      <c r="B89" s="25"/>
      <c r="C89" s="26" t="s">
        <v>163</v>
      </c>
      <c r="D89" s="25"/>
      <c r="E89" s="25"/>
      <c r="F89" s="25"/>
      <c r="G89" s="25"/>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164</v>
      </c>
      <c r="D92" s="25"/>
      <c r="E92" s="25"/>
      <c r="F92" s="25"/>
      <c r="G92" s="25"/>
      <c r="H92" s="27" t="s">
        <v>142</v>
      </c>
    </row>
    <row r="93" spans="1:8" x14ac:dyDescent="0.2">
      <c r="A93" s="25"/>
      <c r="B93" s="25"/>
      <c r="C93" s="26" t="s">
        <v>165</v>
      </c>
      <c r="D93" s="25"/>
      <c r="E93" s="25"/>
      <c r="F93" s="25"/>
      <c r="G93" s="25"/>
      <c r="H93" s="27" t="s">
        <v>142</v>
      </c>
    </row>
    <row r="94" spans="1:8" x14ac:dyDescent="0.2">
      <c r="A94" s="25"/>
      <c r="B94" s="25"/>
      <c r="C94" s="26" t="s">
        <v>141</v>
      </c>
      <c r="D94" s="25"/>
      <c r="E94" s="25" t="s">
        <v>142</v>
      </c>
      <c r="F94" s="37" t="s">
        <v>144</v>
      </c>
      <c r="G94" s="34">
        <v>0</v>
      </c>
      <c r="H94" s="27" t="s">
        <v>142</v>
      </c>
    </row>
    <row r="95" spans="1:8" x14ac:dyDescent="0.2">
      <c r="A95" s="25"/>
      <c r="B95" s="25"/>
      <c r="C95" s="35"/>
      <c r="D95" s="25"/>
      <c r="E95" s="25"/>
      <c r="F95" s="36"/>
      <c r="G95" s="36"/>
      <c r="H95" s="27" t="s">
        <v>142</v>
      </c>
    </row>
    <row r="96" spans="1:8" x14ac:dyDescent="0.2">
      <c r="A96" s="25"/>
      <c r="B96" s="25"/>
      <c r="C96" s="26" t="s">
        <v>166</v>
      </c>
      <c r="D96" s="25"/>
      <c r="E96" s="25"/>
      <c r="F96" s="36"/>
      <c r="G96" s="36"/>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39"/>
      <c r="B99" s="29"/>
      <c r="C99" s="29" t="s">
        <v>167</v>
      </c>
      <c r="D99" s="29"/>
      <c r="E99" s="39"/>
      <c r="F99" s="31">
        <v>4.4881998599999999</v>
      </c>
      <c r="G99" s="32">
        <v>3.4317699999999998E-3</v>
      </c>
      <c r="H99" s="27" t="s">
        <v>142</v>
      </c>
    </row>
    <row r="100" spans="1:17" x14ac:dyDescent="0.2">
      <c r="A100" s="35"/>
      <c r="B100" s="35"/>
      <c r="C100" s="26" t="s">
        <v>168</v>
      </c>
      <c r="D100" s="36"/>
      <c r="E100" s="36"/>
      <c r="F100" s="33">
        <v>1307.8402255599999</v>
      </c>
      <c r="G100" s="40">
        <v>1.0000000200000001</v>
      </c>
      <c r="H100" s="27" t="s">
        <v>142</v>
      </c>
    </row>
    <row r="101" spans="1:17" x14ac:dyDescent="0.2">
      <c r="A101" s="41"/>
      <c r="B101" s="41"/>
      <c r="C101" s="41"/>
      <c r="D101" s="42"/>
      <c r="E101" s="42"/>
      <c r="F101" s="42"/>
      <c r="G101" s="42"/>
    </row>
    <row r="102" spans="1:17" x14ac:dyDescent="0.2">
      <c r="A102" s="43"/>
      <c r="B102" s="210" t="s">
        <v>879</v>
      </c>
      <c r="C102" s="210"/>
      <c r="D102" s="210"/>
      <c r="E102" s="210"/>
      <c r="F102" s="210"/>
      <c r="G102" s="210"/>
      <c r="H102" s="210"/>
      <c r="J102" s="45"/>
    </row>
    <row r="103" spans="1:17" x14ac:dyDescent="0.2">
      <c r="A103" s="43"/>
      <c r="B103" s="210" t="s">
        <v>880</v>
      </c>
      <c r="C103" s="210"/>
      <c r="D103" s="210"/>
      <c r="E103" s="210"/>
      <c r="F103" s="210"/>
      <c r="G103" s="210"/>
      <c r="H103" s="210"/>
      <c r="J103" s="45"/>
    </row>
    <row r="104" spans="1:17" x14ac:dyDescent="0.2">
      <c r="A104" s="43"/>
      <c r="B104" s="210" t="s">
        <v>881</v>
      </c>
      <c r="C104" s="210"/>
      <c r="D104" s="210"/>
      <c r="E104" s="210"/>
      <c r="F104" s="210"/>
      <c r="G104" s="210"/>
      <c r="H104" s="210"/>
      <c r="J104" s="45"/>
    </row>
    <row r="105" spans="1:17" s="47" customFormat="1" ht="66.75" customHeight="1" x14ac:dyDescent="0.25">
      <c r="A105" s="46"/>
      <c r="B105" s="211" t="s">
        <v>882</v>
      </c>
      <c r="C105" s="211"/>
      <c r="D105" s="211"/>
      <c r="E105" s="211"/>
      <c r="F105" s="211"/>
      <c r="G105" s="211"/>
      <c r="H105" s="211"/>
      <c r="I105"/>
      <c r="J105" s="45"/>
      <c r="K105"/>
      <c r="L105"/>
      <c r="M105"/>
      <c r="N105"/>
      <c r="O105"/>
      <c r="P105"/>
      <c r="Q105"/>
    </row>
    <row r="106" spans="1:17" x14ac:dyDescent="0.2">
      <c r="A106" s="43"/>
      <c r="B106" s="210" t="s">
        <v>883</v>
      </c>
      <c r="C106" s="210"/>
      <c r="D106" s="210"/>
      <c r="E106" s="210"/>
      <c r="F106" s="210"/>
      <c r="G106" s="210"/>
      <c r="H106" s="210"/>
      <c r="J106" s="45"/>
    </row>
    <row r="107" spans="1:17" x14ac:dyDescent="0.2">
      <c r="A107" s="48"/>
      <c r="B107" s="48"/>
      <c r="C107" s="48"/>
      <c r="D107" s="49"/>
      <c r="E107" s="49"/>
      <c r="F107" s="49"/>
      <c r="G107" s="49"/>
    </row>
    <row r="108" spans="1:17" x14ac:dyDescent="0.2">
      <c r="A108" s="48"/>
      <c r="B108" s="212" t="s">
        <v>169</v>
      </c>
      <c r="C108" s="213"/>
      <c r="D108" s="214"/>
      <c r="E108" s="50"/>
      <c r="F108" s="49"/>
      <c r="G108" s="49"/>
    </row>
    <row r="109" spans="1:17" ht="27.75" customHeight="1" x14ac:dyDescent="0.2">
      <c r="A109" s="48"/>
      <c r="B109" s="215" t="s">
        <v>170</v>
      </c>
      <c r="C109" s="216"/>
      <c r="D109" s="26" t="s">
        <v>171</v>
      </c>
      <c r="E109" s="50"/>
      <c r="F109" s="49"/>
      <c r="G109" s="49"/>
    </row>
    <row r="110" spans="1:17" ht="12.75" customHeight="1" x14ac:dyDescent="0.2">
      <c r="A110" s="43"/>
      <c r="B110" s="217" t="s">
        <v>884</v>
      </c>
      <c r="C110" s="218"/>
      <c r="D110" s="26" t="s">
        <v>171</v>
      </c>
      <c r="E110" s="52"/>
      <c r="F110" s="53"/>
      <c r="G110" s="53"/>
    </row>
    <row r="111" spans="1:17" x14ac:dyDescent="0.2">
      <c r="A111" s="48"/>
      <c r="B111" s="215" t="s">
        <v>172</v>
      </c>
      <c r="C111" s="216"/>
      <c r="D111" s="36" t="s">
        <v>142</v>
      </c>
      <c r="E111" s="50"/>
      <c r="F111" s="49"/>
      <c r="G111" s="49"/>
    </row>
    <row r="112" spans="1:17" x14ac:dyDescent="0.2">
      <c r="A112" s="54"/>
      <c r="B112" s="55" t="s">
        <v>142</v>
      </c>
      <c r="C112" s="55" t="s">
        <v>885</v>
      </c>
      <c r="D112" s="55" t="s">
        <v>173</v>
      </c>
      <c r="E112" s="54"/>
      <c r="F112" s="54"/>
      <c r="G112" s="54"/>
      <c r="H112" s="45"/>
      <c r="J112" s="45"/>
    </row>
    <row r="113" spans="1:10" x14ac:dyDescent="0.2">
      <c r="A113" s="54"/>
      <c r="B113" s="56" t="s">
        <v>174</v>
      </c>
      <c r="C113" s="57">
        <v>45777</v>
      </c>
      <c r="D113" s="57">
        <v>45808</v>
      </c>
      <c r="E113" s="54"/>
      <c r="F113" s="54"/>
      <c r="G113" s="54"/>
      <c r="J113" s="45"/>
    </row>
    <row r="114" spans="1:10" x14ac:dyDescent="0.2">
      <c r="A114" s="58"/>
      <c r="B114" s="29" t="s">
        <v>175</v>
      </c>
      <c r="C114" s="59">
        <v>35.825800000000001</v>
      </c>
      <c r="D114" s="59">
        <v>36.828499999999998</v>
      </c>
      <c r="E114" s="58"/>
      <c r="F114" s="60"/>
      <c r="G114" s="61"/>
    </row>
    <row r="115" spans="1:10" x14ac:dyDescent="0.2">
      <c r="A115" s="58"/>
      <c r="B115" s="29" t="s">
        <v>1065</v>
      </c>
      <c r="C115" s="59">
        <v>27.678599999999999</v>
      </c>
      <c r="D115" s="59">
        <v>28.453199999999999</v>
      </c>
      <c r="E115" s="58"/>
      <c r="F115" s="60"/>
      <c r="G115" s="61"/>
    </row>
    <row r="116" spans="1:10" x14ac:dyDescent="0.2">
      <c r="A116" s="58"/>
      <c r="B116" s="29" t="s">
        <v>177</v>
      </c>
      <c r="C116" s="59">
        <v>34.762799999999999</v>
      </c>
      <c r="D116" s="59">
        <v>35.729399999999998</v>
      </c>
      <c r="E116" s="58"/>
      <c r="F116" s="60"/>
      <c r="G116" s="61"/>
    </row>
    <row r="117" spans="1:10" x14ac:dyDescent="0.2">
      <c r="A117" s="58"/>
      <c r="B117" s="29" t="s">
        <v>1066</v>
      </c>
      <c r="C117" s="59">
        <v>26.7133</v>
      </c>
      <c r="D117" s="59">
        <v>27.456</v>
      </c>
      <c r="E117" s="58"/>
      <c r="F117" s="60"/>
      <c r="G117" s="61"/>
    </row>
    <row r="118" spans="1:10" x14ac:dyDescent="0.2">
      <c r="A118" s="58"/>
      <c r="B118" s="58"/>
      <c r="C118" s="58"/>
      <c r="D118" s="58"/>
      <c r="E118" s="58"/>
      <c r="F118" s="58"/>
      <c r="G118" s="58"/>
    </row>
    <row r="119" spans="1:10" x14ac:dyDescent="0.2">
      <c r="A119" s="54"/>
      <c r="B119" s="217" t="s">
        <v>887</v>
      </c>
      <c r="C119" s="218"/>
      <c r="D119" s="51" t="s">
        <v>171</v>
      </c>
      <c r="E119" s="54"/>
      <c r="F119" s="54"/>
      <c r="G119" s="54"/>
    </row>
    <row r="120" spans="1:10" x14ac:dyDescent="0.2">
      <c r="A120" s="54"/>
      <c r="B120" s="70"/>
      <c r="C120" s="70"/>
      <c r="D120" s="70"/>
      <c r="E120" s="54"/>
      <c r="F120" s="54"/>
      <c r="G120" s="54"/>
    </row>
    <row r="121" spans="1:10" x14ac:dyDescent="0.2">
      <c r="A121" s="54"/>
      <c r="B121" s="217" t="s">
        <v>180</v>
      </c>
      <c r="C121" s="218"/>
      <c r="D121" s="51" t="s">
        <v>171</v>
      </c>
      <c r="E121" s="65"/>
      <c r="F121" s="54"/>
      <c r="G121" s="54"/>
    </row>
    <row r="122" spans="1:10" x14ac:dyDescent="0.2">
      <c r="A122" s="54"/>
      <c r="B122" s="217" t="s">
        <v>181</v>
      </c>
      <c r="C122" s="218"/>
      <c r="D122" s="51" t="s">
        <v>171</v>
      </c>
      <c r="E122" s="65"/>
      <c r="F122" s="54"/>
      <c r="G122" s="54"/>
    </row>
    <row r="123" spans="1:10" x14ac:dyDescent="0.2">
      <c r="A123" s="54"/>
      <c r="B123" s="217" t="s">
        <v>182</v>
      </c>
      <c r="C123" s="218"/>
      <c r="D123" s="51" t="s">
        <v>171</v>
      </c>
      <c r="E123" s="65"/>
      <c r="F123" s="54"/>
      <c r="G123" s="54"/>
    </row>
    <row r="124" spans="1:10" x14ac:dyDescent="0.2">
      <c r="A124" s="54"/>
      <c r="B124" s="217" t="s">
        <v>183</v>
      </c>
      <c r="C124" s="218"/>
      <c r="D124" s="66">
        <v>1.1537357374637723E-4</v>
      </c>
      <c r="E124" s="54"/>
      <c r="F124" s="44"/>
      <c r="G124" s="64"/>
    </row>
    <row r="126" spans="1:10" x14ac:dyDescent="0.2">
      <c r="B126" s="219" t="s">
        <v>888</v>
      </c>
      <c r="C126" s="219"/>
    </row>
    <row r="128" spans="1:10" ht="153.75" customHeight="1" x14ac:dyDescent="0.2"/>
    <row r="131" spans="2:10" x14ac:dyDescent="0.2">
      <c r="B131" s="67" t="s">
        <v>889</v>
      </c>
      <c r="C131" s="68"/>
      <c r="D131" s="67"/>
    </row>
    <row r="132" spans="2:10" x14ac:dyDescent="0.2">
      <c r="B132" s="67" t="s">
        <v>898</v>
      </c>
      <c r="D132" s="67"/>
    </row>
    <row r="133" spans="2:10" ht="165" customHeight="1" x14ac:dyDescent="0.2"/>
    <row r="134" spans="2:10" x14ac:dyDescent="0.2">
      <c r="J134"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sheetData>
  <mergeCells count="18">
    <mergeCell ref="B126:C126"/>
    <mergeCell ref="B119:C119"/>
    <mergeCell ref="B123:C123"/>
    <mergeCell ref="B124:C124"/>
    <mergeCell ref="B121:C121"/>
    <mergeCell ref="B122:C122"/>
    <mergeCell ref="A1:H1"/>
    <mergeCell ref="A2:H2"/>
    <mergeCell ref="A3:H3"/>
    <mergeCell ref="B102:H102"/>
    <mergeCell ref="B103:H103"/>
    <mergeCell ref="B110:C110"/>
    <mergeCell ref="B111:C111"/>
    <mergeCell ref="B104:H104"/>
    <mergeCell ref="B105:H105"/>
    <mergeCell ref="B106:H106"/>
    <mergeCell ref="B108:D108"/>
    <mergeCell ref="B109:C109"/>
  </mergeCells>
  <hyperlinks>
    <hyperlink ref="I1" location="Index!B2" display="Index" xr:uid="{2D501EFD-9E31-4577-9315-117FC6C012E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DB2C0-985B-4CB5-A6F1-2B2EA7D2378D}">
  <sheetPr>
    <outlinePr summaryBelow="0" summaryRight="0"/>
  </sheetPr>
  <dimension ref="A1:Q156"/>
  <sheetViews>
    <sheetView showGridLines="0" workbookViewId="0">
      <selection activeCell="F116" sqref="F116"/>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440</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329</v>
      </c>
      <c r="C7" s="29" t="s">
        <v>330</v>
      </c>
      <c r="D7" s="29" t="s">
        <v>212</v>
      </c>
      <c r="E7" s="30">
        <v>7806</v>
      </c>
      <c r="F7" s="31">
        <v>515.35212000000001</v>
      </c>
      <c r="G7" s="32">
        <v>6.7835419999999994E-2</v>
      </c>
      <c r="H7" s="27" t="s">
        <v>142</v>
      </c>
    </row>
    <row r="8" spans="1:9" x14ac:dyDescent="0.2">
      <c r="A8" s="28">
        <v>2</v>
      </c>
      <c r="B8" s="29" t="s">
        <v>365</v>
      </c>
      <c r="C8" s="29" t="s">
        <v>366</v>
      </c>
      <c r="D8" s="29" t="s">
        <v>61</v>
      </c>
      <c r="E8" s="30">
        <v>19836</v>
      </c>
      <c r="F8" s="31">
        <v>457.75537200000002</v>
      </c>
      <c r="G8" s="32">
        <v>6.0254000000000002E-2</v>
      </c>
      <c r="H8" s="27" t="s">
        <v>142</v>
      </c>
    </row>
    <row r="9" spans="1:9" x14ac:dyDescent="0.2">
      <c r="A9" s="28">
        <v>3</v>
      </c>
      <c r="B9" s="29" t="s">
        <v>361</v>
      </c>
      <c r="C9" s="29" t="s">
        <v>362</v>
      </c>
      <c r="D9" s="29" t="s">
        <v>197</v>
      </c>
      <c r="E9" s="30">
        <v>71973</v>
      </c>
      <c r="F9" s="31">
        <v>402.54498899999999</v>
      </c>
      <c r="G9" s="32">
        <v>5.2986699999999998E-2</v>
      </c>
      <c r="H9" s="27" t="s">
        <v>142</v>
      </c>
    </row>
    <row r="10" spans="1:9" x14ac:dyDescent="0.2">
      <c r="A10" s="28">
        <v>4</v>
      </c>
      <c r="B10" s="29" t="s">
        <v>371</v>
      </c>
      <c r="C10" s="29" t="s">
        <v>372</v>
      </c>
      <c r="D10" s="29" t="s">
        <v>212</v>
      </c>
      <c r="E10" s="30">
        <v>13073</v>
      </c>
      <c r="F10" s="31">
        <v>396.84398800000002</v>
      </c>
      <c r="G10" s="32">
        <v>5.2236280000000003E-2</v>
      </c>
      <c r="H10" s="27" t="s">
        <v>142</v>
      </c>
    </row>
    <row r="11" spans="1:9" x14ac:dyDescent="0.2">
      <c r="A11" s="28">
        <v>5</v>
      </c>
      <c r="B11" s="29" t="s">
        <v>337</v>
      </c>
      <c r="C11" s="29" t="s">
        <v>338</v>
      </c>
      <c r="D11" s="29" t="s">
        <v>263</v>
      </c>
      <c r="E11" s="30">
        <v>21388</v>
      </c>
      <c r="F11" s="31">
        <v>371.210128</v>
      </c>
      <c r="G11" s="32">
        <v>4.8862120000000002E-2</v>
      </c>
      <c r="H11" s="27" t="s">
        <v>142</v>
      </c>
    </row>
    <row r="12" spans="1:9" x14ac:dyDescent="0.2">
      <c r="A12" s="28">
        <v>6</v>
      </c>
      <c r="B12" s="29" t="s">
        <v>363</v>
      </c>
      <c r="C12" s="29" t="s">
        <v>364</v>
      </c>
      <c r="D12" s="29" t="s">
        <v>229</v>
      </c>
      <c r="E12" s="30">
        <v>106345</v>
      </c>
      <c r="F12" s="31">
        <v>338.28344499999997</v>
      </c>
      <c r="G12" s="32">
        <v>4.4527999999999998E-2</v>
      </c>
      <c r="H12" s="27" t="s">
        <v>142</v>
      </c>
    </row>
    <row r="13" spans="1:9" x14ac:dyDescent="0.2">
      <c r="A13" s="28">
        <v>7</v>
      </c>
      <c r="B13" s="29" t="s">
        <v>71</v>
      </c>
      <c r="C13" s="29" t="s">
        <v>72</v>
      </c>
      <c r="D13" s="29" t="s">
        <v>73</v>
      </c>
      <c r="E13" s="30">
        <v>38992</v>
      </c>
      <c r="F13" s="31">
        <v>329.95030400000002</v>
      </c>
      <c r="G13" s="32">
        <v>4.3431119999999997E-2</v>
      </c>
      <c r="H13" s="27" t="s">
        <v>142</v>
      </c>
    </row>
    <row r="14" spans="1:9" x14ac:dyDescent="0.2">
      <c r="A14" s="28">
        <v>8</v>
      </c>
      <c r="B14" s="29" t="s">
        <v>109</v>
      </c>
      <c r="C14" s="29" t="s">
        <v>110</v>
      </c>
      <c r="D14" s="29" t="s">
        <v>73</v>
      </c>
      <c r="E14" s="30">
        <v>8402</v>
      </c>
      <c r="F14" s="31">
        <v>303.329004</v>
      </c>
      <c r="G14" s="32">
        <v>3.9926969999999999E-2</v>
      </c>
      <c r="H14" s="27" t="s">
        <v>142</v>
      </c>
    </row>
    <row r="15" spans="1:9" x14ac:dyDescent="0.2">
      <c r="A15" s="28">
        <v>9</v>
      </c>
      <c r="B15" s="29" t="s">
        <v>367</v>
      </c>
      <c r="C15" s="29" t="s">
        <v>368</v>
      </c>
      <c r="D15" s="29" t="s">
        <v>28</v>
      </c>
      <c r="E15" s="30">
        <v>76163</v>
      </c>
      <c r="F15" s="31">
        <v>277.88070549999998</v>
      </c>
      <c r="G15" s="32">
        <v>3.6577230000000002E-2</v>
      </c>
      <c r="H15" s="27" t="s">
        <v>142</v>
      </c>
    </row>
    <row r="16" spans="1:9" x14ac:dyDescent="0.2">
      <c r="A16" s="28">
        <v>10</v>
      </c>
      <c r="B16" s="29" t="s">
        <v>369</v>
      </c>
      <c r="C16" s="29" t="s">
        <v>370</v>
      </c>
      <c r="D16" s="29" t="s">
        <v>28</v>
      </c>
      <c r="E16" s="30">
        <v>604881</v>
      </c>
      <c r="F16" s="31">
        <v>260.28029429999998</v>
      </c>
      <c r="G16" s="32">
        <v>3.4260499999999999E-2</v>
      </c>
      <c r="H16" s="27" t="s">
        <v>142</v>
      </c>
    </row>
    <row r="17" spans="1:8" x14ac:dyDescent="0.2">
      <c r="A17" s="28">
        <v>11</v>
      </c>
      <c r="B17" s="29" t="s">
        <v>373</v>
      </c>
      <c r="C17" s="29" t="s">
        <v>374</v>
      </c>
      <c r="D17" s="29" t="s">
        <v>61</v>
      </c>
      <c r="E17" s="30">
        <v>96717</v>
      </c>
      <c r="F17" s="31">
        <v>246.76375379999999</v>
      </c>
      <c r="G17" s="32">
        <v>3.2481330000000003E-2</v>
      </c>
      <c r="H17" s="27" t="s">
        <v>142</v>
      </c>
    </row>
    <row r="18" spans="1:8" x14ac:dyDescent="0.2">
      <c r="A18" s="28">
        <v>12</v>
      </c>
      <c r="B18" s="29" t="s">
        <v>377</v>
      </c>
      <c r="C18" s="29" t="s">
        <v>378</v>
      </c>
      <c r="D18" s="29" t="s">
        <v>28</v>
      </c>
      <c r="E18" s="30">
        <v>382570</v>
      </c>
      <c r="F18" s="31">
        <v>243.352777</v>
      </c>
      <c r="G18" s="32">
        <v>3.2032350000000001E-2</v>
      </c>
      <c r="H18" s="27" t="s">
        <v>142</v>
      </c>
    </row>
    <row r="19" spans="1:8" ht="25.5" x14ac:dyDescent="0.2">
      <c r="A19" s="28">
        <v>13</v>
      </c>
      <c r="B19" s="29" t="s">
        <v>375</v>
      </c>
      <c r="C19" s="29" t="s">
        <v>376</v>
      </c>
      <c r="D19" s="29" t="s">
        <v>194</v>
      </c>
      <c r="E19" s="30">
        <v>3653</v>
      </c>
      <c r="F19" s="31">
        <v>209.97443999999999</v>
      </c>
      <c r="G19" s="32">
        <v>2.7638780000000002E-2</v>
      </c>
      <c r="H19" s="27" t="s">
        <v>142</v>
      </c>
    </row>
    <row r="20" spans="1:8" ht="25.5" x14ac:dyDescent="0.2">
      <c r="A20" s="28">
        <v>14</v>
      </c>
      <c r="B20" s="29" t="s">
        <v>39</v>
      </c>
      <c r="C20" s="29" t="s">
        <v>40</v>
      </c>
      <c r="D20" s="29" t="s">
        <v>25</v>
      </c>
      <c r="E20" s="30">
        <v>3683</v>
      </c>
      <c r="F20" s="31">
        <v>202.472925</v>
      </c>
      <c r="G20" s="32">
        <v>2.6651359999999999E-2</v>
      </c>
      <c r="H20" s="27" t="s">
        <v>142</v>
      </c>
    </row>
    <row r="21" spans="1:8" ht="25.5" x14ac:dyDescent="0.2">
      <c r="A21" s="28">
        <v>15</v>
      </c>
      <c r="B21" s="29" t="s">
        <v>383</v>
      </c>
      <c r="C21" s="29" t="s">
        <v>384</v>
      </c>
      <c r="D21" s="29" t="s">
        <v>385</v>
      </c>
      <c r="E21" s="30">
        <v>54534</v>
      </c>
      <c r="F21" s="31">
        <v>193.95017100000001</v>
      </c>
      <c r="G21" s="32">
        <v>2.552952E-2</v>
      </c>
      <c r="H21" s="27" t="s">
        <v>142</v>
      </c>
    </row>
    <row r="22" spans="1:8" x14ac:dyDescent="0.2">
      <c r="A22" s="28">
        <v>16</v>
      </c>
      <c r="B22" s="29" t="s">
        <v>128</v>
      </c>
      <c r="C22" s="29" t="s">
        <v>129</v>
      </c>
      <c r="D22" s="29" t="s">
        <v>73</v>
      </c>
      <c r="E22" s="30">
        <v>10116</v>
      </c>
      <c r="F22" s="31">
        <v>181.744056</v>
      </c>
      <c r="G22" s="32">
        <v>2.3922840000000001E-2</v>
      </c>
      <c r="H22" s="27" t="s">
        <v>142</v>
      </c>
    </row>
    <row r="23" spans="1:8" x14ac:dyDescent="0.2">
      <c r="A23" s="28">
        <v>17</v>
      </c>
      <c r="B23" s="29" t="s">
        <v>56</v>
      </c>
      <c r="C23" s="29" t="s">
        <v>57</v>
      </c>
      <c r="D23" s="29" t="s">
        <v>58</v>
      </c>
      <c r="E23" s="30">
        <v>16288</v>
      </c>
      <c r="F23" s="31">
        <v>178.25587200000001</v>
      </c>
      <c r="G23" s="32">
        <v>2.3463689999999999E-2</v>
      </c>
      <c r="H23" s="27" t="s">
        <v>142</v>
      </c>
    </row>
    <row r="24" spans="1:8" ht="25.5" x14ac:dyDescent="0.2">
      <c r="A24" s="28">
        <v>18</v>
      </c>
      <c r="B24" s="29" t="s">
        <v>381</v>
      </c>
      <c r="C24" s="29" t="s">
        <v>382</v>
      </c>
      <c r="D24" s="29" t="s">
        <v>273</v>
      </c>
      <c r="E24" s="30">
        <v>4183</v>
      </c>
      <c r="F24" s="31">
        <v>178.24599599999999</v>
      </c>
      <c r="G24" s="32">
        <v>2.346239E-2</v>
      </c>
      <c r="H24" s="27" t="s">
        <v>142</v>
      </c>
    </row>
    <row r="25" spans="1:8" x14ac:dyDescent="0.2">
      <c r="A25" s="28">
        <v>19</v>
      </c>
      <c r="B25" s="29" t="s">
        <v>386</v>
      </c>
      <c r="C25" s="29" t="s">
        <v>387</v>
      </c>
      <c r="D25" s="29" t="s">
        <v>132</v>
      </c>
      <c r="E25" s="30">
        <v>22434</v>
      </c>
      <c r="F25" s="31">
        <v>176.813571</v>
      </c>
      <c r="G25" s="32">
        <v>2.327384E-2</v>
      </c>
      <c r="H25" s="27" t="s">
        <v>142</v>
      </c>
    </row>
    <row r="26" spans="1:8" x14ac:dyDescent="0.2">
      <c r="A26" s="28">
        <v>20</v>
      </c>
      <c r="B26" s="29" t="s">
        <v>48</v>
      </c>
      <c r="C26" s="29" t="s">
        <v>49</v>
      </c>
      <c r="D26" s="29" t="s">
        <v>19</v>
      </c>
      <c r="E26" s="30">
        <v>15091</v>
      </c>
      <c r="F26" s="31">
        <v>171.84876249999999</v>
      </c>
      <c r="G26" s="32">
        <v>2.2620330000000001E-2</v>
      </c>
      <c r="H26" s="27" t="s">
        <v>142</v>
      </c>
    </row>
    <row r="27" spans="1:8" x14ac:dyDescent="0.2">
      <c r="A27" s="28">
        <v>21</v>
      </c>
      <c r="B27" s="29" t="s">
        <v>230</v>
      </c>
      <c r="C27" s="29" t="s">
        <v>231</v>
      </c>
      <c r="D27" s="29" t="s">
        <v>132</v>
      </c>
      <c r="E27" s="30">
        <v>1412</v>
      </c>
      <c r="F27" s="31">
        <v>167.52673999999999</v>
      </c>
      <c r="G27" s="32">
        <v>2.2051419999999999E-2</v>
      </c>
      <c r="H27" s="27" t="s">
        <v>142</v>
      </c>
    </row>
    <row r="28" spans="1:8" x14ac:dyDescent="0.2">
      <c r="A28" s="28">
        <v>22</v>
      </c>
      <c r="B28" s="29" t="s">
        <v>405</v>
      </c>
      <c r="C28" s="29" t="s">
        <v>406</v>
      </c>
      <c r="D28" s="29" t="s">
        <v>200</v>
      </c>
      <c r="E28" s="30">
        <v>38673</v>
      </c>
      <c r="F28" s="31">
        <v>154.88536500000001</v>
      </c>
      <c r="G28" s="32">
        <v>2.0387450000000001E-2</v>
      </c>
      <c r="H28" s="27" t="s">
        <v>142</v>
      </c>
    </row>
    <row r="29" spans="1:8" x14ac:dyDescent="0.2">
      <c r="A29" s="28">
        <v>23</v>
      </c>
      <c r="B29" s="29" t="s">
        <v>388</v>
      </c>
      <c r="C29" s="29" t="s">
        <v>389</v>
      </c>
      <c r="D29" s="29" t="s">
        <v>132</v>
      </c>
      <c r="E29" s="30">
        <v>8289</v>
      </c>
      <c r="F29" s="31">
        <v>154.68931799999999</v>
      </c>
      <c r="G29" s="32">
        <v>2.036164E-2</v>
      </c>
      <c r="H29" s="27" t="s">
        <v>142</v>
      </c>
    </row>
    <row r="30" spans="1:8" x14ac:dyDescent="0.2">
      <c r="A30" s="28">
        <v>24</v>
      </c>
      <c r="B30" s="29" t="s">
        <v>76</v>
      </c>
      <c r="C30" s="29" t="s">
        <v>77</v>
      </c>
      <c r="D30" s="29" t="s">
        <v>73</v>
      </c>
      <c r="E30" s="30">
        <v>3065</v>
      </c>
      <c r="F30" s="31">
        <v>154.10207</v>
      </c>
      <c r="G30" s="32">
        <v>2.0284340000000001E-2</v>
      </c>
      <c r="H30" s="27" t="s">
        <v>142</v>
      </c>
    </row>
    <row r="31" spans="1:8" x14ac:dyDescent="0.2">
      <c r="A31" s="28">
        <v>25</v>
      </c>
      <c r="B31" s="29" t="s">
        <v>393</v>
      </c>
      <c r="C31" s="29" t="s">
        <v>394</v>
      </c>
      <c r="D31" s="29" t="s">
        <v>200</v>
      </c>
      <c r="E31" s="30">
        <v>33039</v>
      </c>
      <c r="F31" s="31">
        <v>146.627082</v>
      </c>
      <c r="G31" s="32">
        <v>1.930041E-2</v>
      </c>
      <c r="H31" s="27" t="s">
        <v>142</v>
      </c>
    </row>
    <row r="32" spans="1:8" x14ac:dyDescent="0.2">
      <c r="A32" s="28">
        <v>26</v>
      </c>
      <c r="B32" s="29" t="s">
        <v>397</v>
      </c>
      <c r="C32" s="29" t="s">
        <v>398</v>
      </c>
      <c r="D32" s="29" t="s">
        <v>73</v>
      </c>
      <c r="E32" s="30">
        <v>28519</v>
      </c>
      <c r="F32" s="31">
        <v>131.47259</v>
      </c>
      <c r="G32" s="32">
        <v>1.7305640000000001E-2</v>
      </c>
      <c r="H32" s="27" t="s">
        <v>142</v>
      </c>
    </row>
    <row r="33" spans="1:8" x14ac:dyDescent="0.2">
      <c r="A33" s="28">
        <v>27</v>
      </c>
      <c r="B33" s="29" t="s">
        <v>390</v>
      </c>
      <c r="C33" s="29" t="s">
        <v>391</v>
      </c>
      <c r="D33" s="29" t="s">
        <v>392</v>
      </c>
      <c r="E33" s="30">
        <v>12930</v>
      </c>
      <c r="F33" s="31">
        <v>127.392825</v>
      </c>
      <c r="G33" s="32">
        <v>1.6768620000000001E-2</v>
      </c>
      <c r="H33" s="27" t="s">
        <v>142</v>
      </c>
    </row>
    <row r="34" spans="1:8" x14ac:dyDescent="0.2">
      <c r="A34" s="28">
        <v>28</v>
      </c>
      <c r="B34" s="29" t="s">
        <v>401</v>
      </c>
      <c r="C34" s="29" t="s">
        <v>402</v>
      </c>
      <c r="D34" s="29" t="s">
        <v>229</v>
      </c>
      <c r="E34" s="30">
        <v>18794</v>
      </c>
      <c r="F34" s="31">
        <v>125.778845</v>
      </c>
      <c r="G34" s="32">
        <v>1.655618E-2</v>
      </c>
      <c r="H34" s="27" t="s">
        <v>142</v>
      </c>
    </row>
    <row r="35" spans="1:8" x14ac:dyDescent="0.2">
      <c r="A35" s="28">
        <v>29</v>
      </c>
      <c r="B35" s="29" t="s">
        <v>441</v>
      </c>
      <c r="C35" s="29" t="s">
        <v>442</v>
      </c>
      <c r="D35" s="29" t="s">
        <v>73</v>
      </c>
      <c r="E35" s="30">
        <v>20968</v>
      </c>
      <c r="F35" s="31">
        <v>104.13757200000001</v>
      </c>
      <c r="G35" s="32">
        <v>1.3707550000000001E-2</v>
      </c>
      <c r="H35" s="27" t="s">
        <v>142</v>
      </c>
    </row>
    <row r="36" spans="1:8" x14ac:dyDescent="0.2">
      <c r="A36" s="28">
        <v>30</v>
      </c>
      <c r="B36" s="29" t="s">
        <v>409</v>
      </c>
      <c r="C36" s="29" t="s">
        <v>410</v>
      </c>
      <c r="D36" s="29" t="s">
        <v>263</v>
      </c>
      <c r="E36" s="30">
        <v>26290</v>
      </c>
      <c r="F36" s="31">
        <v>96.339704999999995</v>
      </c>
      <c r="G36" s="32">
        <v>1.2681120000000001E-2</v>
      </c>
      <c r="H36" s="27" t="s">
        <v>142</v>
      </c>
    </row>
    <row r="37" spans="1:8" x14ac:dyDescent="0.2">
      <c r="A37" s="28">
        <v>31</v>
      </c>
      <c r="B37" s="29" t="s">
        <v>407</v>
      </c>
      <c r="C37" s="29" t="s">
        <v>408</v>
      </c>
      <c r="D37" s="29" t="s">
        <v>137</v>
      </c>
      <c r="E37" s="30">
        <v>56603</v>
      </c>
      <c r="F37" s="31">
        <v>91.142150599999994</v>
      </c>
      <c r="G37" s="32">
        <v>1.1996969999999999E-2</v>
      </c>
      <c r="H37" s="27" t="s">
        <v>142</v>
      </c>
    </row>
    <row r="38" spans="1:8" x14ac:dyDescent="0.2">
      <c r="A38" s="28">
        <v>32</v>
      </c>
      <c r="B38" s="29" t="s">
        <v>413</v>
      </c>
      <c r="C38" s="29" t="s">
        <v>414</v>
      </c>
      <c r="D38" s="29" t="s">
        <v>61</v>
      </c>
      <c r="E38" s="30">
        <v>8099</v>
      </c>
      <c r="F38" s="31">
        <v>62.257013000000001</v>
      </c>
      <c r="G38" s="32">
        <v>8.1948500000000001E-3</v>
      </c>
      <c r="H38" s="27" t="s">
        <v>142</v>
      </c>
    </row>
    <row r="39" spans="1:8" x14ac:dyDescent="0.2">
      <c r="A39" s="28">
        <v>33</v>
      </c>
      <c r="B39" s="29" t="s">
        <v>411</v>
      </c>
      <c r="C39" s="29" t="s">
        <v>412</v>
      </c>
      <c r="D39" s="29" t="s">
        <v>61</v>
      </c>
      <c r="E39" s="30">
        <v>7334</v>
      </c>
      <c r="F39" s="31">
        <v>57.051186000000001</v>
      </c>
      <c r="G39" s="32">
        <v>7.5096099999999999E-3</v>
      </c>
      <c r="H39" s="27" t="s">
        <v>142</v>
      </c>
    </row>
    <row r="40" spans="1:8" x14ac:dyDescent="0.2">
      <c r="A40" s="28">
        <v>34</v>
      </c>
      <c r="B40" s="29" t="s">
        <v>417</v>
      </c>
      <c r="C40" s="29" t="s">
        <v>418</v>
      </c>
      <c r="D40" s="29" t="s">
        <v>64</v>
      </c>
      <c r="E40" s="30">
        <v>8886</v>
      </c>
      <c r="F40" s="31">
        <v>32.398356</v>
      </c>
      <c r="G40" s="32">
        <v>4.2645699999999996E-3</v>
      </c>
      <c r="H40" s="27" t="s">
        <v>142</v>
      </c>
    </row>
    <row r="41" spans="1:8" x14ac:dyDescent="0.2">
      <c r="A41" s="25"/>
      <c r="B41" s="25"/>
      <c r="C41" s="26" t="s">
        <v>141</v>
      </c>
      <c r="D41" s="25"/>
      <c r="E41" s="25" t="s">
        <v>142</v>
      </c>
      <c r="F41" s="33">
        <v>7242.6534916999999</v>
      </c>
      <c r="G41" s="34">
        <v>0.95334514000000004</v>
      </c>
      <c r="H41" s="27" t="s">
        <v>142</v>
      </c>
    </row>
    <row r="42" spans="1:8" x14ac:dyDescent="0.2">
      <c r="A42" s="25"/>
      <c r="B42" s="25"/>
      <c r="C42" s="35"/>
      <c r="D42" s="25"/>
      <c r="E42" s="25"/>
      <c r="F42" s="36"/>
      <c r="G42" s="36"/>
      <c r="H42" s="27" t="s">
        <v>142</v>
      </c>
    </row>
    <row r="43" spans="1:8" x14ac:dyDescent="0.2">
      <c r="A43" s="25"/>
      <c r="B43" s="25"/>
      <c r="C43" s="26" t="s">
        <v>143</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145</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146</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147</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148</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149</v>
      </c>
      <c r="D58" s="25"/>
      <c r="E58" s="25"/>
      <c r="F58" s="33">
        <v>7242.6534916999999</v>
      </c>
      <c r="G58" s="34">
        <v>0.95334514000000004</v>
      </c>
      <c r="H58" s="27" t="s">
        <v>142</v>
      </c>
    </row>
    <row r="59" spans="1:8" x14ac:dyDescent="0.2">
      <c r="A59" s="25"/>
      <c r="B59" s="25"/>
      <c r="C59" s="35"/>
      <c r="D59" s="25"/>
      <c r="E59" s="25"/>
      <c r="F59" s="36"/>
      <c r="G59" s="36"/>
      <c r="H59" s="27" t="s">
        <v>142</v>
      </c>
    </row>
    <row r="60" spans="1:8" x14ac:dyDescent="0.2">
      <c r="A60" s="25"/>
      <c r="B60" s="25"/>
      <c r="C60" s="26" t="s">
        <v>150</v>
      </c>
      <c r="D60" s="25"/>
      <c r="E60" s="25"/>
      <c r="F60" s="36"/>
      <c r="G60" s="36"/>
      <c r="H60" s="27" t="s">
        <v>142</v>
      </c>
    </row>
    <row r="61" spans="1:8" x14ac:dyDescent="0.2">
      <c r="A61" s="25"/>
      <c r="B61" s="25"/>
      <c r="C61" s="26" t="s">
        <v>10</v>
      </c>
      <c r="D61" s="25"/>
      <c r="E61" s="25"/>
      <c r="F61" s="36"/>
      <c r="G61" s="36"/>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151</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152</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153</v>
      </c>
      <c r="D70" s="25"/>
      <c r="E70" s="25"/>
      <c r="F70" s="36"/>
      <c r="G70" s="36"/>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154</v>
      </c>
      <c r="D73" s="25"/>
      <c r="E73" s="25"/>
      <c r="F73" s="33">
        <v>0</v>
      </c>
      <c r="G73" s="34">
        <v>0</v>
      </c>
      <c r="H73" s="27" t="s">
        <v>142</v>
      </c>
    </row>
    <row r="74" spans="1:8" x14ac:dyDescent="0.2">
      <c r="A74" s="25"/>
      <c r="B74" s="25"/>
      <c r="C74" s="35"/>
      <c r="D74" s="25"/>
      <c r="E74" s="25"/>
      <c r="F74" s="36"/>
      <c r="G74" s="36"/>
      <c r="H74" s="27" t="s">
        <v>142</v>
      </c>
    </row>
    <row r="75" spans="1:8" x14ac:dyDescent="0.2">
      <c r="A75" s="25"/>
      <c r="B75" s="25"/>
      <c r="C75" s="26" t="s">
        <v>155</v>
      </c>
      <c r="D75" s="25"/>
      <c r="E75" s="25"/>
      <c r="F75" s="36"/>
      <c r="G75" s="36"/>
      <c r="H75" s="27" t="s">
        <v>142</v>
      </c>
    </row>
    <row r="76" spans="1:8" x14ac:dyDescent="0.2">
      <c r="A76" s="25"/>
      <c r="B76" s="25"/>
      <c r="C76" s="26" t="s">
        <v>156</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157</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158</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159</v>
      </c>
      <c r="D85" s="25"/>
      <c r="E85" s="25"/>
      <c r="F85" s="36"/>
      <c r="G85" s="36"/>
      <c r="H85" s="27" t="s">
        <v>142</v>
      </c>
    </row>
    <row r="86" spans="1:8" x14ac:dyDescent="0.2">
      <c r="A86" s="28">
        <v>1</v>
      </c>
      <c r="B86" s="29"/>
      <c r="C86" s="29" t="s">
        <v>160</v>
      </c>
      <c r="D86" s="29"/>
      <c r="E86" s="39"/>
      <c r="F86" s="31">
        <v>352.83081869900002</v>
      </c>
      <c r="G86" s="32">
        <v>4.6442860000000002E-2</v>
      </c>
      <c r="H86" s="27">
        <v>5.76</v>
      </c>
    </row>
    <row r="87" spans="1:8" x14ac:dyDescent="0.2">
      <c r="A87" s="25"/>
      <c r="B87" s="25"/>
      <c r="C87" s="26" t="s">
        <v>141</v>
      </c>
      <c r="D87" s="25"/>
      <c r="E87" s="25" t="s">
        <v>142</v>
      </c>
      <c r="F87" s="33">
        <v>352.83081869900002</v>
      </c>
      <c r="G87" s="34">
        <v>4.6442860000000002E-2</v>
      </c>
      <c r="H87" s="27" t="s">
        <v>142</v>
      </c>
    </row>
    <row r="88" spans="1:8" x14ac:dyDescent="0.2">
      <c r="A88" s="25"/>
      <c r="B88" s="25"/>
      <c r="C88" s="35"/>
      <c r="D88" s="25"/>
      <c r="E88" s="25"/>
      <c r="F88" s="36"/>
      <c r="G88" s="36"/>
      <c r="H88" s="27" t="s">
        <v>142</v>
      </c>
    </row>
    <row r="89" spans="1:8" x14ac:dyDescent="0.2">
      <c r="A89" s="25"/>
      <c r="B89" s="25"/>
      <c r="C89" s="26" t="s">
        <v>161</v>
      </c>
      <c r="D89" s="25"/>
      <c r="E89" s="25"/>
      <c r="F89" s="33">
        <v>352.83081869900002</v>
      </c>
      <c r="G89" s="34">
        <v>4.6442860000000002E-2</v>
      </c>
      <c r="H89" s="27" t="s">
        <v>142</v>
      </c>
    </row>
    <row r="90" spans="1:8" x14ac:dyDescent="0.2">
      <c r="A90" s="25"/>
      <c r="B90" s="25"/>
      <c r="C90" s="36"/>
      <c r="D90" s="25"/>
      <c r="E90" s="25"/>
      <c r="F90" s="25"/>
      <c r="G90" s="25"/>
      <c r="H90" s="27" t="s">
        <v>142</v>
      </c>
    </row>
    <row r="91" spans="1:8" x14ac:dyDescent="0.2">
      <c r="A91" s="25"/>
      <c r="B91" s="25"/>
      <c r="C91" s="26" t="s">
        <v>162</v>
      </c>
      <c r="D91" s="25"/>
      <c r="E91" s="25"/>
      <c r="F91" s="25"/>
      <c r="G91" s="25"/>
      <c r="H91" s="27" t="s">
        <v>142</v>
      </c>
    </row>
    <row r="92" spans="1:8" x14ac:dyDescent="0.2">
      <c r="A92" s="25"/>
      <c r="B92" s="25"/>
      <c r="C92" s="26" t="s">
        <v>163</v>
      </c>
      <c r="D92" s="25"/>
      <c r="E92" s="25"/>
      <c r="F92" s="25"/>
      <c r="G92" s="25"/>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164</v>
      </c>
      <c r="D95" s="25"/>
      <c r="E95" s="25"/>
      <c r="F95" s="25"/>
      <c r="G95" s="25"/>
      <c r="H95" s="27" t="s">
        <v>142</v>
      </c>
    </row>
    <row r="96" spans="1:8" x14ac:dyDescent="0.2">
      <c r="A96" s="25"/>
      <c r="B96" s="25"/>
      <c r="C96" s="26" t="s">
        <v>165</v>
      </c>
      <c r="D96" s="25"/>
      <c r="E96" s="25"/>
      <c r="F96" s="25"/>
      <c r="G96" s="25"/>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25"/>
      <c r="B99" s="25"/>
      <c r="C99" s="26" t="s">
        <v>166</v>
      </c>
      <c r="D99" s="25"/>
      <c r="E99" s="25"/>
      <c r="F99" s="36"/>
      <c r="G99" s="36"/>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39"/>
      <c r="B102" s="29"/>
      <c r="C102" s="29" t="s">
        <v>167</v>
      </c>
      <c r="D102" s="29"/>
      <c r="E102" s="39"/>
      <c r="F102" s="31">
        <v>1.61071081</v>
      </c>
      <c r="G102" s="32">
        <v>2.1201999999999999E-4</v>
      </c>
      <c r="H102" s="27" t="s">
        <v>142</v>
      </c>
    </row>
    <row r="103" spans="1:17" x14ac:dyDescent="0.2">
      <c r="A103" s="35"/>
      <c r="B103" s="35"/>
      <c r="C103" s="26" t="s">
        <v>168</v>
      </c>
      <c r="D103" s="36"/>
      <c r="E103" s="36"/>
      <c r="F103" s="33">
        <v>7597.0950212090002</v>
      </c>
      <c r="G103" s="40">
        <v>1.0000000200000001</v>
      </c>
      <c r="H103" s="27" t="s">
        <v>142</v>
      </c>
    </row>
    <row r="104" spans="1:17" x14ac:dyDescent="0.2">
      <c r="A104" s="41"/>
      <c r="B104" s="41"/>
      <c r="C104" s="41"/>
      <c r="D104" s="42"/>
      <c r="E104" s="42"/>
      <c r="F104" s="42"/>
      <c r="G104" s="42"/>
    </row>
    <row r="105" spans="1:17" x14ac:dyDescent="0.2">
      <c r="A105" s="43"/>
      <c r="B105" s="210" t="s">
        <v>879</v>
      </c>
      <c r="C105" s="210"/>
      <c r="D105" s="210"/>
      <c r="E105" s="210"/>
      <c r="F105" s="210"/>
      <c r="G105" s="210"/>
      <c r="H105" s="210"/>
      <c r="J105" s="45"/>
    </row>
    <row r="106" spans="1:17" x14ac:dyDescent="0.2">
      <c r="A106" s="43"/>
      <c r="B106" s="210" t="s">
        <v>880</v>
      </c>
      <c r="C106" s="210"/>
      <c r="D106" s="210"/>
      <c r="E106" s="210"/>
      <c r="F106" s="210"/>
      <c r="G106" s="210"/>
      <c r="H106" s="210"/>
      <c r="J106" s="45"/>
    </row>
    <row r="107" spans="1:17" x14ac:dyDescent="0.2">
      <c r="A107" s="43"/>
      <c r="B107" s="210" t="s">
        <v>881</v>
      </c>
      <c r="C107" s="210"/>
      <c r="D107" s="210"/>
      <c r="E107" s="210"/>
      <c r="F107" s="210"/>
      <c r="G107" s="210"/>
      <c r="H107" s="210"/>
      <c r="J107" s="45"/>
    </row>
    <row r="108" spans="1:17" s="47" customFormat="1" ht="66.75" customHeight="1" x14ac:dyDescent="0.25">
      <c r="A108" s="46"/>
      <c r="B108" s="211" t="s">
        <v>882</v>
      </c>
      <c r="C108" s="211"/>
      <c r="D108" s="211"/>
      <c r="E108" s="211"/>
      <c r="F108" s="211"/>
      <c r="G108" s="211"/>
      <c r="H108" s="211"/>
      <c r="I108"/>
      <c r="J108" s="45"/>
      <c r="K108"/>
      <c r="L108"/>
      <c r="M108"/>
      <c r="N108"/>
      <c r="O108"/>
      <c r="P108"/>
      <c r="Q108"/>
    </row>
    <row r="109" spans="1:17" x14ac:dyDescent="0.2">
      <c r="A109" s="43"/>
      <c r="B109" s="210" t="s">
        <v>883</v>
      </c>
      <c r="C109" s="210"/>
      <c r="D109" s="210"/>
      <c r="E109" s="210"/>
      <c r="F109" s="210"/>
      <c r="G109" s="210"/>
      <c r="H109" s="210"/>
      <c r="J109" s="45"/>
    </row>
    <row r="110" spans="1:17" x14ac:dyDescent="0.2">
      <c r="A110" s="48"/>
      <c r="B110" s="48"/>
      <c r="C110" s="48"/>
      <c r="D110" s="49"/>
      <c r="E110" s="49"/>
      <c r="F110" s="49"/>
      <c r="G110" s="49"/>
    </row>
    <row r="111" spans="1:17" x14ac:dyDescent="0.2">
      <c r="A111" s="48"/>
      <c r="B111" s="212" t="s">
        <v>169</v>
      </c>
      <c r="C111" s="213"/>
      <c r="D111" s="214"/>
      <c r="E111" s="50"/>
      <c r="F111" s="49"/>
      <c r="G111" s="49"/>
    </row>
    <row r="112" spans="1:17" ht="27.75" customHeight="1" x14ac:dyDescent="0.2">
      <c r="A112" s="48"/>
      <c r="B112" s="215" t="s">
        <v>170</v>
      </c>
      <c r="C112" s="216"/>
      <c r="D112" s="26" t="s">
        <v>171</v>
      </c>
      <c r="E112" s="50"/>
      <c r="F112" s="49"/>
      <c r="G112" s="49"/>
    </row>
    <row r="113" spans="1:10" ht="12.75" customHeight="1" x14ac:dyDescent="0.2">
      <c r="A113" s="43"/>
      <c r="B113" s="217" t="s">
        <v>884</v>
      </c>
      <c r="C113" s="218"/>
      <c r="D113" s="26" t="s">
        <v>171</v>
      </c>
      <c r="E113" s="52"/>
      <c r="F113" s="53"/>
      <c r="G113" s="53"/>
    </row>
    <row r="114" spans="1:10" x14ac:dyDescent="0.2">
      <c r="A114" s="48"/>
      <c r="B114" s="215" t="s">
        <v>172</v>
      </c>
      <c r="C114" s="216"/>
      <c r="D114" s="36" t="s">
        <v>142</v>
      </c>
      <c r="E114" s="50"/>
      <c r="F114" s="49"/>
      <c r="G114" s="49"/>
    </row>
    <row r="115" spans="1:10" x14ac:dyDescent="0.2">
      <c r="A115" s="54"/>
      <c r="B115" s="55" t="s">
        <v>142</v>
      </c>
      <c r="C115" s="55" t="s">
        <v>885</v>
      </c>
      <c r="D115" s="55" t="s">
        <v>173</v>
      </c>
      <c r="E115" s="54"/>
      <c r="F115" s="54"/>
      <c r="G115" s="54"/>
      <c r="H115" s="45"/>
      <c r="J115" s="45"/>
    </row>
    <row r="116" spans="1:10" x14ac:dyDescent="0.2">
      <c r="A116" s="54"/>
      <c r="B116" s="56" t="s">
        <v>174</v>
      </c>
      <c r="C116" s="57">
        <v>45777</v>
      </c>
      <c r="D116" s="57">
        <v>45808</v>
      </c>
      <c r="E116" s="54"/>
      <c r="F116" s="54"/>
      <c r="G116" s="54"/>
      <c r="J116" s="45"/>
    </row>
    <row r="117" spans="1:10" x14ac:dyDescent="0.2">
      <c r="A117" s="58"/>
      <c r="B117" s="29" t="s">
        <v>175</v>
      </c>
      <c r="C117" s="59">
        <v>30.278600000000001</v>
      </c>
      <c r="D117" s="59">
        <v>32.913899999999998</v>
      </c>
      <c r="E117" s="58"/>
      <c r="F117" s="60"/>
      <c r="G117" s="61"/>
    </row>
    <row r="118" spans="1:10" x14ac:dyDescent="0.2">
      <c r="A118" s="58"/>
      <c r="B118" s="29" t="s">
        <v>1065</v>
      </c>
      <c r="C118" s="59">
        <v>26.5532</v>
      </c>
      <c r="D118" s="59">
        <v>28.8643</v>
      </c>
      <c r="E118" s="58"/>
      <c r="F118" s="60"/>
      <c r="G118" s="61"/>
    </row>
    <row r="119" spans="1:10" x14ac:dyDescent="0.2">
      <c r="A119" s="58"/>
      <c r="B119" s="29" t="s">
        <v>177</v>
      </c>
      <c r="C119" s="59">
        <v>29.4115</v>
      </c>
      <c r="D119" s="59">
        <v>31.9664</v>
      </c>
      <c r="E119" s="58"/>
      <c r="F119" s="60"/>
      <c r="G119" s="61"/>
    </row>
    <row r="120" spans="1:10" x14ac:dyDescent="0.2">
      <c r="A120" s="58"/>
      <c r="B120" s="29" t="s">
        <v>1066</v>
      </c>
      <c r="C120" s="59">
        <v>25.732900000000001</v>
      </c>
      <c r="D120" s="59">
        <v>27.9682</v>
      </c>
      <c r="E120" s="58"/>
      <c r="F120" s="60"/>
      <c r="G120" s="61"/>
    </row>
    <row r="121" spans="1:10" x14ac:dyDescent="0.2">
      <c r="A121" s="58"/>
      <c r="B121" s="58"/>
      <c r="C121" s="58"/>
      <c r="D121" s="58"/>
      <c r="E121" s="58"/>
      <c r="F121" s="58"/>
      <c r="G121" s="58"/>
    </row>
    <row r="122" spans="1:10" x14ac:dyDescent="0.2">
      <c r="A122" s="54"/>
      <c r="B122" s="217" t="s">
        <v>887</v>
      </c>
      <c r="C122" s="218"/>
      <c r="D122" s="51" t="s">
        <v>171</v>
      </c>
      <c r="E122" s="54"/>
      <c r="F122" s="54"/>
      <c r="G122" s="54"/>
    </row>
    <row r="123" spans="1:10" x14ac:dyDescent="0.2">
      <c r="A123" s="54"/>
      <c r="B123" s="70"/>
      <c r="C123" s="70"/>
      <c r="D123" s="70"/>
      <c r="E123" s="54"/>
      <c r="F123" s="54"/>
      <c r="G123" s="54"/>
    </row>
    <row r="124" spans="1:10" x14ac:dyDescent="0.2">
      <c r="A124" s="54"/>
      <c r="B124" s="217" t="s">
        <v>180</v>
      </c>
      <c r="C124" s="218"/>
      <c r="D124" s="51" t="s">
        <v>171</v>
      </c>
      <c r="E124" s="65"/>
      <c r="F124" s="54"/>
      <c r="G124" s="54"/>
    </row>
    <row r="125" spans="1:10" x14ac:dyDescent="0.2">
      <c r="A125" s="54"/>
      <c r="B125" s="217" t="s">
        <v>181</v>
      </c>
      <c r="C125" s="218"/>
      <c r="D125" s="51" t="s">
        <v>171</v>
      </c>
      <c r="E125" s="65"/>
      <c r="F125" s="54"/>
      <c r="G125" s="54"/>
    </row>
    <row r="126" spans="1:10" x14ac:dyDescent="0.2">
      <c r="A126" s="54"/>
      <c r="B126" s="217" t="s">
        <v>182</v>
      </c>
      <c r="C126" s="218"/>
      <c r="D126" s="51" t="s">
        <v>171</v>
      </c>
      <c r="E126" s="65"/>
      <c r="F126" s="54"/>
      <c r="G126" s="54"/>
    </row>
    <row r="127" spans="1:10" x14ac:dyDescent="0.2">
      <c r="A127" s="54"/>
      <c r="B127" s="217" t="s">
        <v>183</v>
      </c>
      <c r="C127" s="218"/>
      <c r="D127" s="66">
        <v>0.27890994525440199</v>
      </c>
      <c r="E127" s="54"/>
      <c r="F127" s="44"/>
      <c r="G127" s="64"/>
    </row>
    <row r="129" spans="2:10" x14ac:dyDescent="0.2">
      <c r="B129" s="219" t="s">
        <v>888</v>
      </c>
      <c r="C129" s="219"/>
    </row>
    <row r="131" spans="2:10" ht="153.75" customHeight="1" x14ac:dyDescent="0.2"/>
    <row r="134" spans="2:10" x14ac:dyDescent="0.2">
      <c r="B134" s="67" t="s">
        <v>889</v>
      </c>
      <c r="C134" s="68"/>
      <c r="D134" s="67"/>
    </row>
    <row r="135" spans="2:10" x14ac:dyDescent="0.2">
      <c r="B135" s="67" t="s">
        <v>899</v>
      </c>
      <c r="D135" s="67"/>
    </row>
    <row r="136" spans="2:10" ht="165" customHeight="1" x14ac:dyDescent="0.2"/>
    <row r="137" spans="2:10" x14ac:dyDescent="0.2">
      <c r="B137" s="67"/>
      <c r="D137" s="67"/>
    </row>
    <row r="138" spans="2:10" x14ac:dyDescent="0.2">
      <c r="J138"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sheetData>
  <mergeCells count="18">
    <mergeCell ref="B129:C129"/>
    <mergeCell ref="B122:C122"/>
    <mergeCell ref="B126:C126"/>
    <mergeCell ref="B127:C127"/>
    <mergeCell ref="B124:C124"/>
    <mergeCell ref="B125:C125"/>
    <mergeCell ref="A1:H1"/>
    <mergeCell ref="A2:H2"/>
    <mergeCell ref="A3:H3"/>
    <mergeCell ref="B105:H105"/>
    <mergeCell ref="B106:H106"/>
    <mergeCell ref="B113:C113"/>
    <mergeCell ref="B114:C114"/>
    <mergeCell ref="B107:H107"/>
    <mergeCell ref="B108:H108"/>
    <mergeCell ref="B109:H109"/>
    <mergeCell ref="B111:D111"/>
    <mergeCell ref="B112:C112"/>
  </mergeCells>
  <hyperlinks>
    <hyperlink ref="I1" location="Index!B2" display="Index" xr:uid="{14F810DF-3CE2-4A07-AE24-0AEBAACE312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319B3-8084-4C3F-9FEF-EB41C355DA43}">
  <sheetPr>
    <outlinePr summaryBelow="0" summaryRight="0"/>
  </sheetPr>
  <dimension ref="A1:Q156"/>
  <sheetViews>
    <sheetView showGridLines="0" workbookViewId="0">
      <selection activeCell="D113" sqref="D113"/>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443</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329</v>
      </c>
      <c r="C7" s="29" t="s">
        <v>330</v>
      </c>
      <c r="D7" s="29" t="s">
        <v>212</v>
      </c>
      <c r="E7" s="30">
        <v>3588</v>
      </c>
      <c r="F7" s="31">
        <v>236.87976</v>
      </c>
      <c r="G7" s="32">
        <v>6.6111450000000002E-2</v>
      </c>
      <c r="H7" s="27" t="s">
        <v>142</v>
      </c>
    </row>
    <row r="8" spans="1:9" x14ac:dyDescent="0.2">
      <c r="A8" s="28">
        <v>2</v>
      </c>
      <c r="B8" s="29" t="s">
        <v>365</v>
      </c>
      <c r="C8" s="29" t="s">
        <v>366</v>
      </c>
      <c r="D8" s="29" t="s">
        <v>61</v>
      </c>
      <c r="E8" s="30">
        <v>9824</v>
      </c>
      <c r="F8" s="31">
        <v>226.708448</v>
      </c>
      <c r="G8" s="32">
        <v>6.3272709999999996E-2</v>
      </c>
      <c r="H8" s="27" t="s">
        <v>142</v>
      </c>
    </row>
    <row r="9" spans="1:9" x14ac:dyDescent="0.2">
      <c r="A9" s="28">
        <v>3</v>
      </c>
      <c r="B9" s="29" t="s">
        <v>371</v>
      </c>
      <c r="C9" s="29" t="s">
        <v>372</v>
      </c>
      <c r="D9" s="29" t="s">
        <v>212</v>
      </c>
      <c r="E9" s="30">
        <v>6306</v>
      </c>
      <c r="F9" s="31">
        <v>191.424936</v>
      </c>
      <c r="G9" s="32">
        <v>5.342533E-2</v>
      </c>
      <c r="H9" s="27" t="s">
        <v>142</v>
      </c>
    </row>
    <row r="10" spans="1:9" x14ac:dyDescent="0.2">
      <c r="A10" s="28">
        <v>4</v>
      </c>
      <c r="B10" s="29" t="s">
        <v>361</v>
      </c>
      <c r="C10" s="29" t="s">
        <v>362</v>
      </c>
      <c r="D10" s="29" t="s">
        <v>197</v>
      </c>
      <c r="E10" s="30">
        <v>33900</v>
      </c>
      <c r="F10" s="31">
        <v>189.6027</v>
      </c>
      <c r="G10" s="32">
        <v>5.291676E-2</v>
      </c>
      <c r="H10" s="27" t="s">
        <v>142</v>
      </c>
    </row>
    <row r="11" spans="1:9" x14ac:dyDescent="0.2">
      <c r="A11" s="28">
        <v>5</v>
      </c>
      <c r="B11" s="29" t="s">
        <v>337</v>
      </c>
      <c r="C11" s="29" t="s">
        <v>338</v>
      </c>
      <c r="D11" s="29" t="s">
        <v>263</v>
      </c>
      <c r="E11" s="30">
        <v>9043</v>
      </c>
      <c r="F11" s="31">
        <v>156.95030800000001</v>
      </c>
      <c r="G11" s="32">
        <v>4.3803710000000003E-2</v>
      </c>
      <c r="H11" s="27" t="s">
        <v>142</v>
      </c>
    </row>
    <row r="12" spans="1:9" x14ac:dyDescent="0.2">
      <c r="A12" s="28">
        <v>6</v>
      </c>
      <c r="B12" s="29" t="s">
        <v>363</v>
      </c>
      <c r="C12" s="29" t="s">
        <v>364</v>
      </c>
      <c r="D12" s="29" t="s">
        <v>229</v>
      </c>
      <c r="E12" s="30">
        <v>48585</v>
      </c>
      <c r="F12" s="31">
        <v>154.54888500000001</v>
      </c>
      <c r="G12" s="32">
        <v>4.3133489999999997E-2</v>
      </c>
      <c r="H12" s="27" t="s">
        <v>142</v>
      </c>
    </row>
    <row r="13" spans="1:9" x14ac:dyDescent="0.2">
      <c r="A13" s="28">
        <v>7</v>
      </c>
      <c r="B13" s="29" t="s">
        <v>71</v>
      </c>
      <c r="C13" s="29" t="s">
        <v>72</v>
      </c>
      <c r="D13" s="29" t="s">
        <v>73</v>
      </c>
      <c r="E13" s="30">
        <v>16174</v>
      </c>
      <c r="F13" s="31">
        <v>136.86438799999999</v>
      </c>
      <c r="G13" s="32">
        <v>3.8197870000000002E-2</v>
      </c>
      <c r="H13" s="27" t="s">
        <v>142</v>
      </c>
    </row>
    <row r="14" spans="1:9" ht="25.5" x14ac:dyDescent="0.2">
      <c r="A14" s="28">
        <v>8</v>
      </c>
      <c r="B14" s="29" t="s">
        <v>39</v>
      </c>
      <c r="C14" s="29" t="s">
        <v>40</v>
      </c>
      <c r="D14" s="29" t="s">
        <v>25</v>
      </c>
      <c r="E14" s="30">
        <v>2480</v>
      </c>
      <c r="F14" s="31">
        <v>136.33799999999999</v>
      </c>
      <c r="G14" s="32">
        <v>3.8050960000000002E-2</v>
      </c>
      <c r="H14" s="27" t="s">
        <v>142</v>
      </c>
    </row>
    <row r="15" spans="1:9" x14ac:dyDescent="0.2">
      <c r="A15" s="28">
        <v>9</v>
      </c>
      <c r="B15" s="29" t="s">
        <v>367</v>
      </c>
      <c r="C15" s="29" t="s">
        <v>368</v>
      </c>
      <c r="D15" s="29" t="s">
        <v>28</v>
      </c>
      <c r="E15" s="30">
        <v>36437</v>
      </c>
      <c r="F15" s="31">
        <v>132.9403945</v>
      </c>
      <c r="G15" s="32">
        <v>3.7102719999999999E-2</v>
      </c>
      <c r="H15" s="27" t="s">
        <v>142</v>
      </c>
    </row>
    <row r="16" spans="1:9" x14ac:dyDescent="0.2">
      <c r="A16" s="28">
        <v>10</v>
      </c>
      <c r="B16" s="29" t="s">
        <v>369</v>
      </c>
      <c r="C16" s="29" t="s">
        <v>370</v>
      </c>
      <c r="D16" s="29" t="s">
        <v>28</v>
      </c>
      <c r="E16" s="30">
        <v>290098</v>
      </c>
      <c r="F16" s="31">
        <v>124.8291694</v>
      </c>
      <c r="G16" s="32">
        <v>3.4838929999999997E-2</v>
      </c>
      <c r="H16" s="27" t="s">
        <v>142</v>
      </c>
    </row>
    <row r="17" spans="1:8" x14ac:dyDescent="0.2">
      <c r="A17" s="28">
        <v>11</v>
      </c>
      <c r="B17" s="29" t="s">
        <v>373</v>
      </c>
      <c r="C17" s="29" t="s">
        <v>374</v>
      </c>
      <c r="D17" s="29" t="s">
        <v>61</v>
      </c>
      <c r="E17" s="30">
        <v>47004</v>
      </c>
      <c r="F17" s="31">
        <v>119.9260056</v>
      </c>
      <c r="G17" s="32">
        <v>3.3470489999999999E-2</v>
      </c>
      <c r="H17" s="27" t="s">
        <v>142</v>
      </c>
    </row>
    <row r="18" spans="1:8" x14ac:dyDescent="0.2">
      <c r="A18" s="28">
        <v>12</v>
      </c>
      <c r="B18" s="29" t="s">
        <v>377</v>
      </c>
      <c r="C18" s="29" t="s">
        <v>378</v>
      </c>
      <c r="D18" s="29" t="s">
        <v>28</v>
      </c>
      <c r="E18" s="30">
        <v>187038</v>
      </c>
      <c r="F18" s="31">
        <v>118.9748718</v>
      </c>
      <c r="G18" s="32">
        <v>3.3205039999999998E-2</v>
      </c>
      <c r="H18" s="27" t="s">
        <v>142</v>
      </c>
    </row>
    <row r="19" spans="1:8" x14ac:dyDescent="0.2">
      <c r="A19" s="28">
        <v>13</v>
      </c>
      <c r="B19" s="29" t="s">
        <v>109</v>
      </c>
      <c r="C19" s="29" t="s">
        <v>110</v>
      </c>
      <c r="D19" s="29" t="s">
        <v>73</v>
      </c>
      <c r="E19" s="30">
        <v>2964</v>
      </c>
      <c r="F19" s="31">
        <v>107.006328</v>
      </c>
      <c r="G19" s="32">
        <v>2.9864700000000001E-2</v>
      </c>
      <c r="H19" s="27" t="s">
        <v>142</v>
      </c>
    </row>
    <row r="20" spans="1:8" ht="25.5" x14ac:dyDescent="0.2">
      <c r="A20" s="28">
        <v>14</v>
      </c>
      <c r="B20" s="29" t="s">
        <v>381</v>
      </c>
      <c r="C20" s="29" t="s">
        <v>382</v>
      </c>
      <c r="D20" s="29" t="s">
        <v>273</v>
      </c>
      <c r="E20" s="30">
        <v>2426</v>
      </c>
      <c r="F20" s="31">
        <v>103.376712</v>
      </c>
      <c r="G20" s="32">
        <v>2.8851700000000001E-2</v>
      </c>
      <c r="H20" s="27" t="s">
        <v>142</v>
      </c>
    </row>
    <row r="21" spans="1:8" ht="25.5" x14ac:dyDescent="0.2">
      <c r="A21" s="28">
        <v>15</v>
      </c>
      <c r="B21" s="29" t="s">
        <v>375</v>
      </c>
      <c r="C21" s="29" t="s">
        <v>376</v>
      </c>
      <c r="D21" s="29" t="s">
        <v>194</v>
      </c>
      <c r="E21" s="30">
        <v>1708</v>
      </c>
      <c r="F21" s="31">
        <v>98.175839999999994</v>
      </c>
      <c r="G21" s="32">
        <v>2.740018E-2</v>
      </c>
      <c r="H21" s="27" t="s">
        <v>142</v>
      </c>
    </row>
    <row r="22" spans="1:8" ht="25.5" x14ac:dyDescent="0.2">
      <c r="A22" s="28">
        <v>16</v>
      </c>
      <c r="B22" s="29" t="s">
        <v>383</v>
      </c>
      <c r="C22" s="29" t="s">
        <v>384</v>
      </c>
      <c r="D22" s="29" t="s">
        <v>385</v>
      </c>
      <c r="E22" s="30">
        <v>25470</v>
      </c>
      <c r="F22" s="31">
        <v>90.584055000000006</v>
      </c>
      <c r="G22" s="32">
        <v>2.5281359999999999E-2</v>
      </c>
      <c r="H22" s="27" t="s">
        <v>142</v>
      </c>
    </row>
    <row r="23" spans="1:8" x14ac:dyDescent="0.2">
      <c r="A23" s="28">
        <v>17</v>
      </c>
      <c r="B23" s="29" t="s">
        <v>386</v>
      </c>
      <c r="C23" s="29" t="s">
        <v>387</v>
      </c>
      <c r="D23" s="29" t="s">
        <v>132</v>
      </c>
      <c r="E23" s="30">
        <v>10638</v>
      </c>
      <c r="F23" s="31">
        <v>83.843396999999996</v>
      </c>
      <c r="G23" s="32">
        <v>2.3400089999999998E-2</v>
      </c>
      <c r="H23" s="27" t="s">
        <v>142</v>
      </c>
    </row>
    <row r="24" spans="1:8" x14ac:dyDescent="0.2">
      <c r="A24" s="28">
        <v>18</v>
      </c>
      <c r="B24" s="29" t="s">
        <v>230</v>
      </c>
      <c r="C24" s="29" t="s">
        <v>231</v>
      </c>
      <c r="D24" s="29" t="s">
        <v>132</v>
      </c>
      <c r="E24" s="30">
        <v>692</v>
      </c>
      <c r="F24" s="31">
        <v>82.102339999999998</v>
      </c>
      <c r="G24" s="32">
        <v>2.2914179999999999E-2</v>
      </c>
      <c r="H24" s="27" t="s">
        <v>142</v>
      </c>
    </row>
    <row r="25" spans="1:8" x14ac:dyDescent="0.2">
      <c r="A25" s="28">
        <v>19</v>
      </c>
      <c r="B25" s="29" t="s">
        <v>48</v>
      </c>
      <c r="C25" s="29" t="s">
        <v>49</v>
      </c>
      <c r="D25" s="29" t="s">
        <v>19</v>
      </c>
      <c r="E25" s="30">
        <v>7151</v>
      </c>
      <c r="F25" s="31">
        <v>81.432012499999999</v>
      </c>
      <c r="G25" s="32">
        <v>2.2727089999999998E-2</v>
      </c>
      <c r="H25" s="27" t="s">
        <v>142</v>
      </c>
    </row>
    <row r="26" spans="1:8" x14ac:dyDescent="0.2">
      <c r="A26" s="28">
        <v>20</v>
      </c>
      <c r="B26" s="29" t="s">
        <v>128</v>
      </c>
      <c r="C26" s="29" t="s">
        <v>129</v>
      </c>
      <c r="D26" s="29" t="s">
        <v>73</v>
      </c>
      <c r="E26" s="30">
        <v>4465</v>
      </c>
      <c r="F26" s="31">
        <v>80.218190000000007</v>
      </c>
      <c r="G26" s="32">
        <v>2.238832E-2</v>
      </c>
      <c r="H26" s="27" t="s">
        <v>142</v>
      </c>
    </row>
    <row r="27" spans="1:8" x14ac:dyDescent="0.2">
      <c r="A27" s="28">
        <v>21</v>
      </c>
      <c r="B27" s="29" t="s">
        <v>56</v>
      </c>
      <c r="C27" s="29" t="s">
        <v>57</v>
      </c>
      <c r="D27" s="29" t="s">
        <v>58</v>
      </c>
      <c r="E27" s="30">
        <v>6875</v>
      </c>
      <c r="F27" s="31">
        <v>75.239999999999995</v>
      </c>
      <c r="G27" s="32">
        <v>2.0998949999999999E-2</v>
      </c>
      <c r="H27" s="27" t="s">
        <v>142</v>
      </c>
    </row>
    <row r="28" spans="1:8" x14ac:dyDescent="0.2">
      <c r="A28" s="28">
        <v>22</v>
      </c>
      <c r="B28" s="29" t="s">
        <v>388</v>
      </c>
      <c r="C28" s="29" t="s">
        <v>389</v>
      </c>
      <c r="D28" s="29" t="s">
        <v>132</v>
      </c>
      <c r="E28" s="30">
        <v>4021</v>
      </c>
      <c r="F28" s="31">
        <v>75.039901999999998</v>
      </c>
      <c r="G28" s="32">
        <v>2.0943099999999999E-2</v>
      </c>
      <c r="H28" s="27" t="s">
        <v>142</v>
      </c>
    </row>
    <row r="29" spans="1:8" x14ac:dyDescent="0.2">
      <c r="A29" s="28">
        <v>23</v>
      </c>
      <c r="B29" s="29" t="s">
        <v>405</v>
      </c>
      <c r="C29" s="29" t="s">
        <v>406</v>
      </c>
      <c r="D29" s="29" t="s">
        <v>200</v>
      </c>
      <c r="E29" s="30">
        <v>18242</v>
      </c>
      <c r="F29" s="31">
        <v>73.059209999999993</v>
      </c>
      <c r="G29" s="32">
        <v>2.03903E-2</v>
      </c>
      <c r="H29" s="27" t="s">
        <v>142</v>
      </c>
    </row>
    <row r="30" spans="1:8" x14ac:dyDescent="0.2">
      <c r="A30" s="28">
        <v>24</v>
      </c>
      <c r="B30" s="29" t="s">
        <v>76</v>
      </c>
      <c r="C30" s="29" t="s">
        <v>77</v>
      </c>
      <c r="D30" s="29" t="s">
        <v>73</v>
      </c>
      <c r="E30" s="30">
        <v>1446</v>
      </c>
      <c r="F30" s="31">
        <v>72.701988</v>
      </c>
      <c r="G30" s="32">
        <v>2.0290610000000001E-2</v>
      </c>
      <c r="H30" s="27" t="s">
        <v>142</v>
      </c>
    </row>
    <row r="31" spans="1:8" x14ac:dyDescent="0.2">
      <c r="A31" s="28">
        <v>25</v>
      </c>
      <c r="B31" s="29" t="s">
        <v>393</v>
      </c>
      <c r="C31" s="29" t="s">
        <v>394</v>
      </c>
      <c r="D31" s="29" t="s">
        <v>200</v>
      </c>
      <c r="E31" s="30">
        <v>15581</v>
      </c>
      <c r="F31" s="31">
        <v>69.148477999999997</v>
      </c>
      <c r="G31" s="32">
        <v>1.9298849999999999E-2</v>
      </c>
      <c r="H31" s="27" t="s">
        <v>142</v>
      </c>
    </row>
    <row r="32" spans="1:8" x14ac:dyDescent="0.2">
      <c r="A32" s="28">
        <v>26</v>
      </c>
      <c r="B32" s="29" t="s">
        <v>397</v>
      </c>
      <c r="C32" s="29" t="s">
        <v>398</v>
      </c>
      <c r="D32" s="29" t="s">
        <v>73</v>
      </c>
      <c r="E32" s="30">
        <v>13623</v>
      </c>
      <c r="F32" s="31">
        <v>62.802030000000002</v>
      </c>
      <c r="G32" s="32">
        <v>1.7527600000000001E-2</v>
      </c>
      <c r="H32" s="27" t="s">
        <v>142</v>
      </c>
    </row>
    <row r="33" spans="1:8" x14ac:dyDescent="0.2">
      <c r="A33" s="28">
        <v>27</v>
      </c>
      <c r="B33" s="29" t="s">
        <v>401</v>
      </c>
      <c r="C33" s="29" t="s">
        <v>402</v>
      </c>
      <c r="D33" s="29" t="s">
        <v>229</v>
      </c>
      <c r="E33" s="30">
        <v>9165</v>
      </c>
      <c r="F33" s="31">
        <v>61.336762499999999</v>
      </c>
      <c r="G33" s="32">
        <v>1.7118649999999999E-2</v>
      </c>
      <c r="H33" s="27" t="s">
        <v>142</v>
      </c>
    </row>
    <row r="34" spans="1:8" x14ac:dyDescent="0.2">
      <c r="A34" s="28">
        <v>28</v>
      </c>
      <c r="B34" s="29" t="s">
        <v>390</v>
      </c>
      <c r="C34" s="29" t="s">
        <v>391</v>
      </c>
      <c r="D34" s="29" t="s">
        <v>392</v>
      </c>
      <c r="E34" s="30">
        <v>6011</v>
      </c>
      <c r="F34" s="31">
        <v>59.223377499999998</v>
      </c>
      <c r="G34" s="32">
        <v>1.652882E-2</v>
      </c>
      <c r="H34" s="27" t="s">
        <v>142</v>
      </c>
    </row>
    <row r="35" spans="1:8" x14ac:dyDescent="0.2">
      <c r="A35" s="28">
        <v>29</v>
      </c>
      <c r="B35" s="29" t="s">
        <v>441</v>
      </c>
      <c r="C35" s="29" t="s">
        <v>442</v>
      </c>
      <c r="D35" s="29" t="s">
        <v>73</v>
      </c>
      <c r="E35" s="30">
        <v>9769</v>
      </c>
      <c r="F35" s="31">
        <v>48.5177385</v>
      </c>
      <c r="G35" s="32">
        <v>1.3540959999999999E-2</v>
      </c>
      <c r="H35" s="27" t="s">
        <v>142</v>
      </c>
    </row>
    <row r="36" spans="1:8" x14ac:dyDescent="0.2">
      <c r="A36" s="28">
        <v>30</v>
      </c>
      <c r="B36" s="29" t="s">
        <v>409</v>
      </c>
      <c r="C36" s="29" t="s">
        <v>410</v>
      </c>
      <c r="D36" s="29" t="s">
        <v>263</v>
      </c>
      <c r="E36" s="30">
        <v>12245</v>
      </c>
      <c r="F36" s="31">
        <v>44.871802500000001</v>
      </c>
      <c r="G36" s="32">
        <v>1.2523400000000001E-2</v>
      </c>
      <c r="H36" s="27" t="s">
        <v>142</v>
      </c>
    </row>
    <row r="37" spans="1:8" x14ac:dyDescent="0.2">
      <c r="A37" s="28">
        <v>31</v>
      </c>
      <c r="B37" s="29" t="s">
        <v>407</v>
      </c>
      <c r="C37" s="29" t="s">
        <v>408</v>
      </c>
      <c r="D37" s="29" t="s">
        <v>137</v>
      </c>
      <c r="E37" s="30">
        <v>25659</v>
      </c>
      <c r="F37" s="31">
        <v>41.316121799999998</v>
      </c>
      <c r="G37" s="32">
        <v>1.1531039999999999E-2</v>
      </c>
      <c r="H37" s="27" t="s">
        <v>142</v>
      </c>
    </row>
    <row r="38" spans="1:8" x14ac:dyDescent="0.2">
      <c r="A38" s="28">
        <v>32</v>
      </c>
      <c r="B38" s="29" t="s">
        <v>413</v>
      </c>
      <c r="C38" s="29" t="s">
        <v>414</v>
      </c>
      <c r="D38" s="29" t="s">
        <v>61</v>
      </c>
      <c r="E38" s="30">
        <v>4000</v>
      </c>
      <c r="F38" s="31">
        <v>30.748000000000001</v>
      </c>
      <c r="G38" s="32">
        <v>8.5815500000000003E-3</v>
      </c>
      <c r="H38" s="27" t="s">
        <v>142</v>
      </c>
    </row>
    <row r="39" spans="1:8" x14ac:dyDescent="0.2">
      <c r="A39" s="28">
        <v>33</v>
      </c>
      <c r="B39" s="29" t="s">
        <v>411</v>
      </c>
      <c r="C39" s="29" t="s">
        <v>412</v>
      </c>
      <c r="D39" s="29" t="s">
        <v>61</v>
      </c>
      <c r="E39" s="30">
        <v>3447</v>
      </c>
      <c r="F39" s="31">
        <v>26.814212999999999</v>
      </c>
      <c r="G39" s="32">
        <v>7.4836599999999996E-3</v>
      </c>
      <c r="H39" s="27" t="s">
        <v>142</v>
      </c>
    </row>
    <row r="40" spans="1:8" x14ac:dyDescent="0.2">
      <c r="A40" s="28">
        <v>34</v>
      </c>
      <c r="B40" s="29" t="s">
        <v>417</v>
      </c>
      <c r="C40" s="29" t="s">
        <v>418</v>
      </c>
      <c r="D40" s="29" t="s">
        <v>64</v>
      </c>
      <c r="E40" s="30">
        <v>4314</v>
      </c>
      <c r="F40" s="31">
        <v>15.728844</v>
      </c>
      <c r="G40" s="32">
        <v>4.3898100000000001E-3</v>
      </c>
      <c r="H40" s="27" t="s">
        <v>142</v>
      </c>
    </row>
    <row r="41" spans="1:8" x14ac:dyDescent="0.2">
      <c r="A41" s="25"/>
      <c r="B41" s="25"/>
      <c r="C41" s="26" t="s">
        <v>141</v>
      </c>
      <c r="D41" s="25"/>
      <c r="E41" s="25" t="s">
        <v>142</v>
      </c>
      <c r="F41" s="33">
        <v>3409.2752086</v>
      </c>
      <c r="G41" s="34">
        <v>0.95150438000000004</v>
      </c>
      <c r="H41" s="27" t="s">
        <v>142</v>
      </c>
    </row>
    <row r="42" spans="1:8" x14ac:dyDescent="0.2">
      <c r="A42" s="25"/>
      <c r="B42" s="25"/>
      <c r="C42" s="35"/>
      <c r="D42" s="25"/>
      <c r="E42" s="25"/>
      <c r="F42" s="36"/>
      <c r="G42" s="36"/>
      <c r="H42" s="27" t="s">
        <v>142</v>
      </c>
    </row>
    <row r="43" spans="1:8" x14ac:dyDescent="0.2">
      <c r="A43" s="25"/>
      <c r="B43" s="25"/>
      <c r="C43" s="26" t="s">
        <v>143</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145</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146</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147</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148</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149</v>
      </c>
      <c r="D58" s="25"/>
      <c r="E58" s="25"/>
      <c r="F58" s="33">
        <v>3409.2752086</v>
      </c>
      <c r="G58" s="34">
        <v>0.95150438000000004</v>
      </c>
      <c r="H58" s="27" t="s">
        <v>142</v>
      </c>
    </row>
    <row r="59" spans="1:8" x14ac:dyDescent="0.2">
      <c r="A59" s="25"/>
      <c r="B59" s="25"/>
      <c r="C59" s="35"/>
      <c r="D59" s="25"/>
      <c r="E59" s="25"/>
      <c r="F59" s="36"/>
      <c r="G59" s="36"/>
      <c r="H59" s="27" t="s">
        <v>142</v>
      </c>
    </row>
    <row r="60" spans="1:8" x14ac:dyDescent="0.2">
      <c r="A60" s="25"/>
      <c r="B60" s="25"/>
      <c r="C60" s="26" t="s">
        <v>150</v>
      </c>
      <c r="D60" s="25"/>
      <c r="E60" s="25"/>
      <c r="F60" s="36"/>
      <c r="G60" s="36"/>
      <c r="H60" s="27" t="s">
        <v>142</v>
      </c>
    </row>
    <row r="61" spans="1:8" x14ac:dyDescent="0.2">
      <c r="A61" s="25"/>
      <c r="B61" s="25"/>
      <c r="C61" s="26" t="s">
        <v>10</v>
      </c>
      <c r="D61" s="25"/>
      <c r="E61" s="25"/>
      <c r="F61" s="36"/>
      <c r="G61" s="36"/>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151</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152</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153</v>
      </c>
      <c r="D70" s="25"/>
      <c r="E70" s="25"/>
      <c r="F70" s="36"/>
      <c r="G70" s="36"/>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154</v>
      </c>
      <c r="D73" s="25"/>
      <c r="E73" s="25"/>
      <c r="F73" s="33">
        <v>0</v>
      </c>
      <c r="G73" s="34">
        <v>0</v>
      </c>
      <c r="H73" s="27" t="s">
        <v>142</v>
      </c>
    </row>
    <row r="74" spans="1:8" x14ac:dyDescent="0.2">
      <c r="A74" s="25"/>
      <c r="B74" s="25"/>
      <c r="C74" s="35"/>
      <c r="D74" s="25"/>
      <c r="E74" s="25"/>
      <c r="F74" s="36"/>
      <c r="G74" s="36"/>
      <c r="H74" s="27" t="s">
        <v>142</v>
      </c>
    </row>
    <row r="75" spans="1:8" x14ac:dyDescent="0.2">
      <c r="A75" s="25"/>
      <c r="B75" s="25"/>
      <c r="C75" s="26" t="s">
        <v>155</v>
      </c>
      <c r="D75" s="25"/>
      <c r="E75" s="25"/>
      <c r="F75" s="36"/>
      <c r="G75" s="36"/>
      <c r="H75" s="27" t="s">
        <v>142</v>
      </c>
    </row>
    <row r="76" spans="1:8" x14ac:dyDescent="0.2">
      <c r="A76" s="25"/>
      <c r="B76" s="25"/>
      <c r="C76" s="26" t="s">
        <v>156</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157</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158</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159</v>
      </c>
      <c r="D85" s="25"/>
      <c r="E85" s="25"/>
      <c r="F85" s="36"/>
      <c r="G85" s="36"/>
      <c r="H85" s="27" t="s">
        <v>142</v>
      </c>
    </row>
    <row r="86" spans="1:8" x14ac:dyDescent="0.2">
      <c r="A86" s="28">
        <v>1</v>
      </c>
      <c r="B86" s="29"/>
      <c r="C86" s="29" t="s">
        <v>160</v>
      </c>
      <c r="D86" s="29"/>
      <c r="E86" s="39"/>
      <c r="F86" s="31">
        <v>175.68214149900001</v>
      </c>
      <c r="G86" s="32">
        <v>4.903163E-2</v>
      </c>
      <c r="H86" s="27">
        <v>5.76</v>
      </c>
    </row>
    <row r="87" spans="1:8" x14ac:dyDescent="0.2">
      <c r="A87" s="25"/>
      <c r="B87" s="25"/>
      <c r="C87" s="26" t="s">
        <v>141</v>
      </c>
      <c r="D87" s="25"/>
      <c r="E87" s="25" t="s">
        <v>142</v>
      </c>
      <c r="F87" s="33">
        <v>175.68214149900001</v>
      </c>
      <c r="G87" s="34">
        <v>4.903163E-2</v>
      </c>
      <c r="H87" s="27" t="s">
        <v>142</v>
      </c>
    </row>
    <row r="88" spans="1:8" x14ac:dyDescent="0.2">
      <c r="A88" s="25"/>
      <c r="B88" s="25"/>
      <c r="C88" s="35"/>
      <c r="D88" s="25"/>
      <c r="E88" s="25"/>
      <c r="F88" s="36"/>
      <c r="G88" s="36"/>
      <c r="H88" s="27" t="s">
        <v>142</v>
      </c>
    </row>
    <row r="89" spans="1:8" x14ac:dyDescent="0.2">
      <c r="A89" s="25"/>
      <c r="B89" s="25"/>
      <c r="C89" s="26" t="s">
        <v>161</v>
      </c>
      <c r="D89" s="25"/>
      <c r="E89" s="25"/>
      <c r="F89" s="33">
        <v>175.68214149900001</v>
      </c>
      <c r="G89" s="34">
        <v>4.903163E-2</v>
      </c>
      <c r="H89" s="27" t="s">
        <v>142</v>
      </c>
    </row>
    <row r="90" spans="1:8" x14ac:dyDescent="0.2">
      <c r="A90" s="25"/>
      <c r="B90" s="25"/>
      <c r="C90" s="36"/>
      <c r="D90" s="25"/>
      <c r="E90" s="25"/>
      <c r="F90" s="25"/>
      <c r="G90" s="25"/>
      <c r="H90" s="27" t="s">
        <v>142</v>
      </c>
    </row>
    <row r="91" spans="1:8" x14ac:dyDescent="0.2">
      <c r="A91" s="25"/>
      <c r="B91" s="25"/>
      <c r="C91" s="26" t="s">
        <v>162</v>
      </c>
      <c r="D91" s="25"/>
      <c r="E91" s="25"/>
      <c r="F91" s="25"/>
      <c r="G91" s="25"/>
      <c r="H91" s="27" t="s">
        <v>142</v>
      </c>
    </row>
    <row r="92" spans="1:8" x14ac:dyDescent="0.2">
      <c r="A92" s="25"/>
      <c r="B92" s="25"/>
      <c r="C92" s="26" t="s">
        <v>163</v>
      </c>
      <c r="D92" s="25"/>
      <c r="E92" s="25"/>
      <c r="F92" s="25"/>
      <c r="G92" s="25"/>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164</v>
      </c>
      <c r="D95" s="25"/>
      <c r="E95" s="25"/>
      <c r="F95" s="25"/>
      <c r="G95" s="25"/>
      <c r="H95" s="27" t="s">
        <v>142</v>
      </c>
    </row>
    <row r="96" spans="1:8" x14ac:dyDescent="0.2">
      <c r="A96" s="25"/>
      <c r="B96" s="25"/>
      <c r="C96" s="26" t="s">
        <v>165</v>
      </c>
      <c r="D96" s="25"/>
      <c r="E96" s="25"/>
      <c r="F96" s="25"/>
      <c r="G96" s="25"/>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25"/>
      <c r="B99" s="25"/>
      <c r="C99" s="26" t="s">
        <v>166</v>
      </c>
      <c r="D99" s="25"/>
      <c r="E99" s="25"/>
      <c r="F99" s="36"/>
      <c r="G99" s="36"/>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39"/>
      <c r="B102" s="29"/>
      <c r="C102" s="29" t="s">
        <v>167</v>
      </c>
      <c r="D102" s="29"/>
      <c r="E102" s="39"/>
      <c r="F102" s="31">
        <v>-1.92055822</v>
      </c>
      <c r="G102" s="32">
        <v>-5.3600999999999996E-4</v>
      </c>
      <c r="H102" s="27" t="s">
        <v>142</v>
      </c>
    </row>
    <row r="103" spans="1:17" x14ac:dyDescent="0.2">
      <c r="A103" s="35"/>
      <c r="B103" s="35"/>
      <c r="C103" s="26" t="s">
        <v>168</v>
      </c>
      <c r="D103" s="36"/>
      <c r="E103" s="36"/>
      <c r="F103" s="33">
        <v>3583.0367918789998</v>
      </c>
      <c r="G103" s="40">
        <v>1</v>
      </c>
      <c r="H103" s="27" t="s">
        <v>142</v>
      </c>
    </row>
    <row r="104" spans="1:17" x14ac:dyDescent="0.2">
      <c r="A104" s="41"/>
      <c r="B104" s="41"/>
      <c r="C104" s="41"/>
      <c r="D104" s="42"/>
      <c r="E104" s="42"/>
      <c r="F104" s="42"/>
      <c r="G104" s="42"/>
    </row>
    <row r="105" spans="1:17" x14ac:dyDescent="0.2">
      <c r="A105" s="43"/>
      <c r="B105" s="210" t="s">
        <v>879</v>
      </c>
      <c r="C105" s="210"/>
      <c r="D105" s="210"/>
      <c r="E105" s="210"/>
      <c r="F105" s="210"/>
      <c r="G105" s="210"/>
      <c r="H105" s="210"/>
      <c r="J105" s="45"/>
    </row>
    <row r="106" spans="1:17" x14ac:dyDescent="0.2">
      <c r="A106" s="43"/>
      <c r="B106" s="210" t="s">
        <v>880</v>
      </c>
      <c r="C106" s="210"/>
      <c r="D106" s="210"/>
      <c r="E106" s="210"/>
      <c r="F106" s="210"/>
      <c r="G106" s="210"/>
      <c r="H106" s="210"/>
      <c r="J106" s="45"/>
    </row>
    <row r="107" spans="1:17" x14ac:dyDescent="0.2">
      <c r="A107" s="43"/>
      <c r="B107" s="210" t="s">
        <v>881</v>
      </c>
      <c r="C107" s="210"/>
      <c r="D107" s="210"/>
      <c r="E107" s="210"/>
      <c r="F107" s="210"/>
      <c r="G107" s="210"/>
      <c r="H107" s="210"/>
      <c r="J107" s="45"/>
    </row>
    <row r="108" spans="1:17" s="47" customFormat="1" ht="66.75" customHeight="1" x14ac:dyDescent="0.25">
      <c r="A108" s="46"/>
      <c r="B108" s="211" t="s">
        <v>882</v>
      </c>
      <c r="C108" s="211"/>
      <c r="D108" s="211"/>
      <c r="E108" s="211"/>
      <c r="F108" s="211"/>
      <c r="G108" s="211"/>
      <c r="H108" s="211"/>
      <c r="I108"/>
      <c r="J108" s="45"/>
      <c r="K108"/>
      <c r="L108"/>
      <c r="M108"/>
      <c r="N108"/>
      <c r="O108"/>
      <c r="P108"/>
      <c r="Q108"/>
    </row>
    <row r="109" spans="1:17" x14ac:dyDescent="0.2">
      <c r="A109" s="43"/>
      <c r="B109" s="210" t="s">
        <v>883</v>
      </c>
      <c r="C109" s="210"/>
      <c r="D109" s="210"/>
      <c r="E109" s="210"/>
      <c r="F109" s="210"/>
      <c r="G109" s="210"/>
      <c r="H109" s="210"/>
      <c r="J109" s="45"/>
    </row>
    <row r="110" spans="1:17" x14ac:dyDescent="0.2">
      <c r="A110" s="48"/>
      <c r="B110" s="48"/>
      <c r="C110" s="48"/>
      <c r="D110" s="49"/>
      <c r="E110" s="49"/>
      <c r="F110" s="49"/>
      <c r="G110" s="49"/>
    </row>
    <row r="111" spans="1:17" x14ac:dyDescent="0.2">
      <c r="A111" s="48"/>
      <c r="B111" s="212" t="s">
        <v>169</v>
      </c>
      <c r="C111" s="213"/>
      <c r="D111" s="214"/>
      <c r="E111" s="50"/>
      <c r="F111" s="49"/>
      <c r="G111" s="49"/>
    </row>
    <row r="112" spans="1:17" ht="27.75" customHeight="1" x14ac:dyDescent="0.2">
      <c r="A112" s="48"/>
      <c r="B112" s="215" t="s">
        <v>170</v>
      </c>
      <c r="C112" s="216"/>
      <c r="D112" s="26" t="s">
        <v>171</v>
      </c>
      <c r="E112" s="50"/>
      <c r="F112" s="49"/>
      <c r="G112" s="49"/>
    </row>
    <row r="113" spans="1:10" ht="12.75" customHeight="1" x14ac:dyDescent="0.2">
      <c r="A113" s="43"/>
      <c r="B113" s="217" t="s">
        <v>884</v>
      </c>
      <c r="C113" s="218"/>
      <c r="D113" s="26" t="s">
        <v>171</v>
      </c>
      <c r="E113" s="52"/>
      <c r="F113" s="53"/>
      <c r="G113" s="53"/>
    </row>
    <row r="114" spans="1:10" x14ac:dyDescent="0.2">
      <c r="A114" s="48"/>
      <c r="B114" s="215" t="s">
        <v>172</v>
      </c>
      <c r="C114" s="216"/>
      <c r="D114" s="36" t="s">
        <v>142</v>
      </c>
      <c r="E114" s="50"/>
      <c r="F114" s="49"/>
      <c r="G114" s="49"/>
    </row>
    <row r="115" spans="1:10" x14ac:dyDescent="0.2">
      <c r="A115" s="54"/>
      <c r="B115" s="55" t="s">
        <v>142</v>
      </c>
      <c r="C115" s="55" t="s">
        <v>885</v>
      </c>
      <c r="D115" s="55" t="s">
        <v>173</v>
      </c>
      <c r="E115" s="54"/>
      <c r="F115" s="54"/>
      <c r="G115" s="54"/>
      <c r="H115" s="54"/>
      <c r="J115" s="45"/>
    </row>
    <row r="116" spans="1:10" x14ac:dyDescent="0.2">
      <c r="A116" s="54"/>
      <c r="B116" s="56" t="s">
        <v>174</v>
      </c>
      <c r="C116" s="57">
        <v>45777</v>
      </c>
      <c r="D116" s="57">
        <v>45808</v>
      </c>
      <c r="E116" s="54"/>
      <c r="F116" s="54"/>
      <c r="G116" s="54"/>
      <c r="J116" s="45"/>
    </row>
    <row r="117" spans="1:10" x14ac:dyDescent="0.2">
      <c r="A117" s="58"/>
      <c r="B117" s="29" t="s">
        <v>175</v>
      </c>
      <c r="C117" s="59">
        <v>26.192299999999999</v>
      </c>
      <c r="D117" s="59">
        <v>28.4269</v>
      </c>
      <c r="E117" s="58"/>
      <c r="F117" s="60"/>
      <c r="G117" s="61"/>
    </row>
    <row r="118" spans="1:10" x14ac:dyDescent="0.2">
      <c r="A118" s="58"/>
      <c r="B118" s="29" t="s">
        <v>1065</v>
      </c>
      <c r="C118" s="59">
        <v>24.9297</v>
      </c>
      <c r="D118" s="59">
        <v>27.056699999999999</v>
      </c>
      <c r="E118" s="58"/>
      <c r="F118" s="60"/>
      <c r="G118" s="61"/>
    </row>
    <row r="119" spans="1:10" x14ac:dyDescent="0.2">
      <c r="A119" s="58"/>
      <c r="B119" s="29" t="s">
        <v>177</v>
      </c>
      <c r="C119" s="59">
        <v>25.621500000000001</v>
      </c>
      <c r="D119" s="59">
        <v>27.8049</v>
      </c>
      <c r="E119" s="58"/>
      <c r="F119" s="60"/>
      <c r="G119" s="61"/>
    </row>
    <row r="120" spans="1:10" x14ac:dyDescent="0.2">
      <c r="A120" s="58"/>
      <c r="B120" s="29" t="s">
        <v>1066</v>
      </c>
      <c r="C120" s="59">
        <v>24.360600000000002</v>
      </c>
      <c r="D120" s="59">
        <v>26.436499999999999</v>
      </c>
      <c r="E120" s="58"/>
      <c r="F120" s="60"/>
      <c r="G120" s="61"/>
    </row>
    <row r="121" spans="1:10" x14ac:dyDescent="0.2">
      <c r="A121" s="58"/>
      <c r="B121" s="58"/>
      <c r="C121" s="58"/>
      <c r="D121" s="58"/>
      <c r="E121" s="58"/>
      <c r="F121" s="58"/>
      <c r="G121" s="58"/>
    </row>
    <row r="122" spans="1:10" x14ac:dyDescent="0.2">
      <c r="A122" s="54"/>
      <c r="B122" s="217" t="s">
        <v>887</v>
      </c>
      <c r="C122" s="218"/>
      <c r="D122" s="51" t="s">
        <v>171</v>
      </c>
      <c r="E122" s="54"/>
      <c r="F122" s="54"/>
      <c r="G122" s="54"/>
    </row>
    <row r="123" spans="1:10" x14ac:dyDescent="0.2">
      <c r="A123" s="54"/>
      <c r="B123" s="70"/>
      <c r="C123" s="70"/>
      <c r="D123" s="70"/>
      <c r="E123" s="54"/>
      <c r="F123" s="54"/>
      <c r="G123" s="54"/>
    </row>
    <row r="124" spans="1:10" x14ac:dyDescent="0.2">
      <c r="A124" s="54"/>
      <c r="B124" s="217" t="s">
        <v>180</v>
      </c>
      <c r="C124" s="218"/>
      <c r="D124" s="51" t="s">
        <v>171</v>
      </c>
      <c r="E124" s="65"/>
      <c r="F124" s="54"/>
      <c r="G124" s="54"/>
    </row>
    <row r="125" spans="1:10" x14ac:dyDescent="0.2">
      <c r="A125" s="54"/>
      <c r="B125" s="217" t="s">
        <v>181</v>
      </c>
      <c r="C125" s="218"/>
      <c r="D125" s="51" t="s">
        <v>171</v>
      </c>
      <c r="E125" s="65"/>
      <c r="F125" s="54"/>
      <c r="G125" s="54"/>
    </row>
    <row r="126" spans="1:10" x14ac:dyDescent="0.2">
      <c r="A126" s="54"/>
      <c r="B126" s="217" t="s">
        <v>182</v>
      </c>
      <c r="C126" s="218"/>
      <c r="D126" s="51" t="s">
        <v>171</v>
      </c>
      <c r="E126" s="65"/>
      <c r="F126" s="54"/>
      <c r="G126" s="54"/>
    </row>
    <row r="127" spans="1:10" x14ac:dyDescent="0.2">
      <c r="A127" s="54"/>
      <c r="B127" s="217" t="s">
        <v>183</v>
      </c>
      <c r="C127" s="218"/>
      <c r="D127" s="66">
        <v>0.27846775053417339</v>
      </c>
      <c r="E127" s="54"/>
      <c r="F127" s="44"/>
      <c r="G127" s="64"/>
    </row>
    <row r="129" spans="2:10" x14ac:dyDescent="0.2">
      <c r="B129" s="219" t="s">
        <v>888</v>
      </c>
      <c r="C129" s="219"/>
    </row>
    <row r="131" spans="2:10" ht="153.75" customHeight="1" x14ac:dyDescent="0.2"/>
    <row r="134" spans="2:10" x14ac:dyDescent="0.2">
      <c r="B134" s="67" t="s">
        <v>889</v>
      </c>
      <c r="C134" s="68"/>
      <c r="D134" s="67"/>
    </row>
    <row r="135" spans="2:10" x14ac:dyDescent="0.2">
      <c r="B135" s="67" t="s">
        <v>900</v>
      </c>
      <c r="D135" s="67"/>
    </row>
    <row r="136" spans="2:10" ht="165" customHeight="1" x14ac:dyDescent="0.2"/>
    <row r="137" spans="2:10" x14ac:dyDescent="0.2">
      <c r="J137"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sheetData>
  <mergeCells count="18">
    <mergeCell ref="B129:C129"/>
    <mergeCell ref="B122:C122"/>
    <mergeCell ref="B126:C126"/>
    <mergeCell ref="B127:C127"/>
    <mergeCell ref="B124:C124"/>
    <mergeCell ref="B125:C125"/>
    <mergeCell ref="A1:H1"/>
    <mergeCell ref="A2:H2"/>
    <mergeCell ref="A3:H3"/>
    <mergeCell ref="B105:H105"/>
    <mergeCell ref="B106:H106"/>
    <mergeCell ref="B113:C113"/>
    <mergeCell ref="B114:C114"/>
    <mergeCell ref="B107:H107"/>
    <mergeCell ref="B108:H108"/>
    <mergeCell ref="B109:H109"/>
    <mergeCell ref="B111:D111"/>
    <mergeCell ref="B112:C112"/>
  </mergeCells>
  <hyperlinks>
    <hyperlink ref="I1" location="Index!B2" display="Index" xr:uid="{0423C57B-C114-4DA2-9BBE-89DFCF09785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9571-BE20-471E-B454-E186F6A8EED3}">
  <sheetPr>
    <outlinePr summaryBelow="0" summaryRight="0"/>
  </sheetPr>
  <dimension ref="A1:Q139"/>
  <sheetViews>
    <sheetView showGridLines="0" workbookViewId="0">
      <selection activeCell="D115" sqref="D115"/>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444</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329</v>
      </c>
      <c r="C7" s="29" t="s">
        <v>330</v>
      </c>
      <c r="D7" s="29" t="s">
        <v>212</v>
      </c>
      <c r="E7" s="30">
        <v>2923</v>
      </c>
      <c r="F7" s="31">
        <v>192.97646</v>
      </c>
      <c r="G7" s="32">
        <v>6.3966850000000006E-2</v>
      </c>
      <c r="H7" s="27" t="s">
        <v>142</v>
      </c>
    </row>
    <row r="8" spans="1:9" x14ac:dyDescent="0.2">
      <c r="A8" s="28">
        <v>2</v>
      </c>
      <c r="B8" s="29" t="s">
        <v>361</v>
      </c>
      <c r="C8" s="29" t="s">
        <v>362</v>
      </c>
      <c r="D8" s="29" t="s">
        <v>197</v>
      </c>
      <c r="E8" s="30">
        <v>28701</v>
      </c>
      <c r="F8" s="31">
        <v>160.52469300000001</v>
      </c>
      <c r="G8" s="32">
        <v>5.3209909999999999E-2</v>
      </c>
      <c r="H8" s="27" t="s">
        <v>142</v>
      </c>
    </row>
    <row r="9" spans="1:9" x14ac:dyDescent="0.2">
      <c r="A9" s="28">
        <v>3</v>
      </c>
      <c r="B9" s="29" t="s">
        <v>365</v>
      </c>
      <c r="C9" s="29" t="s">
        <v>366</v>
      </c>
      <c r="D9" s="29" t="s">
        <v>61</v>
      </c>
      <c r="E9" s="30">
        <v>6658</v>
      </c>
      <c r="F9" s="31">
        <v>153.64666600000001</v>
      </c>
      <c r="G9" s="32">
        <v>5.0930009999999998E-2</v>
      </c>
      <c r="H9" s="27" t="s">
        <v>142</v>
      </c>
    </row>
    <row r="10" spans="1:9" x14ac:dyDescent="0.2">
      <c r="A10" s="28">
        <v>4</v>
      </c>
      <c r="B10" s="29" t="s">
        <v>337</v>
      </c>
      <c r="C10" s="29" t="s">
        <v>338</v>
      </c>
      <c r="D10" s="29" t="s">
        <v>263</v>
      </c>
      <c r="E10" s="30">
        <v>8793</v>
      </c>
      <c r="F10" s="31">
        <v>152.61130800000001</v>
      </c>
      <c r="G10" s="32">
        <v>5.0586819999999998E-2</v>
      </c>
      <c r="H10" s="27" t="s">
        <v>142</v>
      </c>
    </row>
    <row r="11" spans="1:9" x14ac:dyDescent="0.2">
      <c r="A11" s="28">
        <v>5</v>
      </c>
      <c r="B11" s="29" t="s">
        <v>363</v>
      </c>
      <c r="C11" s="29" t="s">
        <v>364</v>
      </c>
      <c r="D11" s="29" t="s">
        <v>229</v>
      </c>
      <c r="E11" s="30">
        <v>43035</v>
      </c>
      <c r="F11" s="31">
        <v>136.89433500000001</v>
      </c>
      <c r="G11" s="32">
        <v>4.537704E-2</v>
      </c>
      <c r="H11" s="27" t="s">
        <v>142</v>
      </c>
    </row>
    <row r="12" spans="1:9" x14ac:dyDescent="0.2">
      <c r="A12" s="28">
        <v>6</v>
      </c>
      <c r="B12" s="29" t="s">
        <v>371</v>
      </c>
      <c r="C12" s="29" t="s">
        <v>372</v>
      </c>
      <c r="D12" s="29" t="s">
        <v>212</v>
      </c>
      <c r="E12" s="30">
        <v>4435</v>
      </c>
      <c r="F12" s="31">
        <v>134.62886</v>
      </c>
      <c r="G12" s="32">
        <v>4.462609E-2</v>
      </c>
      <c r="H12" s="27" t="s">
        <v>142</v>
      </c>
    </row>
    <row r="13" spans="1:9" x14ac:dyDescent="0.2">
      <c r="A13" s="28">
        <v>7</v>
      </c>
      <c r="B13" s="29" t="s">
        <v>71</v>
      </c>
      <c r="C13" s="29" t="s">
        <v>72</v>
      </c>
      <c r="D13" s="29" t="s">
        <v>73</v>
      </c>
      <c r="E13" s="30">
        <v>15343</v>
      </c>
      <c r="F13" s="31">
        <v>129.83246600000001</v>
      </c>
      <c r="G13" s="32">
        <v>4.3036199999999997E-2</v>
      </c>
      <c r="H13" s="27" t="s">
        <v>142</v>
      </c>
    </row>
    <row r="14" spans="1:9" x14ac:dyDescent="0.2">
      <c r="A14" s="28">
        <v>8</v>
      </c>
      <c r="B14" s="29" t="s">
        <v>367</v>
      </c>
      <c r="C14" s="29" t="s">
        <v>368</v>
      </c>
      <c r="D14" s="29" t="s">
        <v>28</v>
      </c>
      <c r="E14" s="30">
        <v>31040</v>
      </c>
      <c r="F14" s="31">
        <v>113.24944000000001</v>
      </c>
      <c r="G14" s="32">
        <v>3.7539349999999999E-2</v>
      </c>
      <c r="H14" s="27" t="s">
        <v>142</v>
      </c>
    </row>
    <row r="15" spans="1:9" x14ac:dyDescent="0.2">
      <c r="A15" s="28">
        <v>9</v>
      </c>
      <c r="B15" s="29" t="s">
        <v>369</v>
      </c>
      <c r="C15" s="29" t="s">
        <v>370</v>
      </c>
      <c r="D15" s="29" t="s">
        <v>28</v>
      </c>
      <c r="E15" s="30">
        <v>241296</v>
      </c>
      <c r="F15" s="31">
        <v>103.82966879999999</v>
      </c>
      <c r="G15" s="32">
        <v>3.4416929999999998E-2</v>
      </c>
      <c r="H15" s="27" t="s">
        <v>142</v>
      </c>
    </row>
    <row r="16" spans="1:9" x14ac:dyDescent="0.2">
      <c r="A16" s="28">
        <v>10</v>
      </c>
      <c r="B16" s="29" t="s">
        <v>373</v>
      </c>
      <c r="C16" s="29" t="s">
        <v>374</v>
      </c>
      <c r="D16" s="29" t="s">
        <v>61</v>
      </c>
      <c r="E16" s="30">
        <v>39512</v>
      </c>
      <c r="F16" s="31">
        <v>100.8109168</v>
      </c>
      <c r="G16" s="32">
        <v>3.3416290000000001E-2</v>
      </c>
      <c r="H16" s="27" t="s">
        <v>142</v>
      </c>
    </row>
    <row r="17" spans="1:8" ht="25.5" x14ac:dyDescent="0.2">
      <c r="A17" s="28">
        <v>11</v>
      </c>
      <c r="B17" s="29" t="s">
        <v>375</v>
      </c>
      <c r="C17" s="29" t="s">
        <v>376</v>
      </c>
      <c r="D17" s="29" t="s">
        <v>194</v>
      </c>
      <c r="E17" s="30">
        <v>1573</v>
      </c>
      <c r="F17" s="31">
        <v>90.416039999999995</v>
      </c>
      <c r="G17" s="32">
        <v>2.9970650000000001E-2</v>
      </c>
      <c r="H17" s="27" t="s">
        <v>142</v>
      </c>
    </row>
    <row r="18" spans="1:8" x14ac:dyDescent="0.2">
      <c r="A18" s="28">
        <v>12</v>
      </c>
      <c r="B18" s="29" t="s">
        <v>377</v>
      </c>
      <c r="C18" s="29" t="s">
        <v>378</v>
      </c>
      <c r="D18" s="29" t="s">
        <v>28</v>
      </c>
      <c r="E18" s="30">
        <v>141618</v>
      </c>
      <c r="F18" s="31">
        <v>90.083209800000006</v>
      </c>
      <c r="G18" s="32">
        <v>2.9860319999999999E-2</v>
      </c>
      <c r="H18" s="27" t="s">
        <v>142</v>
      </c>
    </row>
    <row r="19" spans="1:8" x14ac:dyDescent="0.2">
      <c r="A19" s="28">
        <v>13</v>
      </c>
      <c r="B19" s="29" t="s">
        <v>109</v>
      </c>
      <c r="C19" s="29" t="s">
        <v>110</v>
      </c>
      <c r="D19" s="29" t="s">
        <v>73</v>
      </c>
      <c r="E19" s="30">
        <v>2337</v>
      </c>
      <c r="F19" s="31">
        <v>84.370373999999998</v>
      </c>
      <c r="G19" s="32">
        <v>2.7966660000000001E-2</v>
      </c>
      <c r="H19" s="27" t="s">
        <v>142</v>
      </c>
    </row>
    <row r="20" spans="1:8" x14ac:dyDescent="0.2">
      <c r="A20" s="28">
        <v>14</v>
      </c>
      <c r="B20" s="29" t="s">
        <v>386</v>
      </c>
      <c r="C20" s="29" t="s">
        <v>387</v>
      </c>
      <c r="D20" s="29" t="s">
        <v>132</v>
      </c>
      <c r="E20" s="30">
        <v>10672</v>
      </c>
      <c r="F20" s="31">
        <v>84.111367999999999</v>
      </c>
      <c r="G20" s="32">
        <v>2.7880809999999999E-2</v>
      </c>
      <c r="H20" s="27" t="s">
        <v>142</v>
      </c>
    </row>
    <row r="21" spans="1:8" ht="25.5" x14ac:dyDescent="0.2">
      <c r="A21" s="28">
        <v>15</v>
      </c>
      <c r="B21" s="29" t="s">
        <v>399</v>
      </c>
      <c r="C21" s="29" t="s">
        <v>400</v>
      </c>
      <c r="D21" s="29" t="s">
        <v>194</v>
      </c>
      <c r="E21" s="30">
        <v>12887</v>
      </c>
      <c r="F21" s="31">
        <v>78.559151999999997</v>
      </c>
      <c r="G21" s="32">
        <v>2.604039E-2</v>
      </c>
      <c r="H21" s="27" t="s">
        <v>142</v>
      </c>
    </row>
    <row r="22" spans="1:8" ht="25.5" x14ac:dyDescent="0.2">
      <c r="A22" s="28">
        <v>16</v>
      </c>
      <c r="B22" s="29" t="s">
        <v>383</v>
      </c>
      <c r="C22" s="29" t="s">
        <v>384</v>
      </c>
      <c r="D22" s="29" t="s">
        <v>385</v>
      </c>
      <c r="E22" s="30">
        <v>21854</v>
      </c>
      <c r="F22" s="31">
        <v>77.723750999999993</v>
      </c>
      <c r="G22" s="32">
        <v>2.576347E-2</v>
      </c>
      <c r="H22" s="27" t="s">
        <v>142</v>
      </c>
    </row>
    <row r="23" spans="1:8" x14ac:dyDescent="0.2">
      <c r="A23" s="28">
        <v>17</v>
      </c>
      <c r="B23" s="29" t="s">
        <v>230</v>
      </c>
      <c r="C23" s="29" t="s">
        <v>231</v>
      </c>
      <c r="D23" s="29" t="s">
        <v>132</v>
      </c>
      <c r="E23" s="30">
        <v>601</v>
      </c>
      <c r="F23" s="31">
        <v>71.305644999999998</v>
      </c>
      <c r="G23" s="32">
        <v>2.3636029999999999E-2</v>
      </c>
      <c r="H23" s="27" t="s">
        <v>142</v>
      </c>
    </row>
    <row r="24" spans="1:8" ht="25.5" x14ac:dyDescent="0.2">
      <c r="A24" s="28">
        <v>18</v>
      </c>
      <c r="B24" s="29" t="s">
        <v>39</v>
      </c>
      <c r="C24" s="29" t="s">
        <v>40</v>
      </c>
      <c r="D24" s="29" t="s">
        <v>25</v>
      </c>
      <c r="E24" s="30">
        <v>1255</v>
      </c>
      <c r="F24" s="31">
        <v>68.993624999999994</v>
      </c>
      <c r="G24" s="32">
        <v>2.2869649999999998E-2</v>
      </c>
      <c r="H24" s="27" t="s">
        <v>142</v>
      </c>
    </row>
    <row r="25" spans="1:8" x14ac:dyDescent="0.2">
      <c r="A25" s="28">
        <v>19</v>
      </c>
      <c r="B25" s="29" t="s">
        <v>48</v>
      </c>
      <c r="C25" s="29" t="s">
        <v>49</v>
      </c>
      <c r="D25" s="29" t="s">
        <v>19</v>
      </c>
      <c r="E25" s="30">
        <v>6049</v>
      </c>
      <c r="F25" s="31">
        <v>68.882987499999999</v>
      </c>
      <c r="G25" s="32">
        <v>2.2832979999999999E-2</v>
      </c>
      <c r="H25" s="27" t="s">
        <v>142</v>
      </c>
    </row>
    <row r="26" spans="1:8" x14ac:dyDescent="0.2">
      <c r="A26" s="28">
        <v>20</v>
      </c>
      <c r="B26" s="29" t="s">
        <v>405</v>
      </c>
      <c r="C26" s="29" t="s">
        <v>406</v>
      </c>
      <c r="D26" s="29" t="s">
        <v>200</v>
      </c>
      <c r="E26" s="30">
        <v>15429</v>
      </c>
      <c r="F26" s="31">
        <v>61.793145000000003</v>
      </c>
      <c r="G26" s="32">
        <v>2.0482879999999998E-2</v>
      </c>
      <c r="H26" s="27" t="s">
        <v>142</v>
      </c>
    </row>
    <row r="27" spans="1:8" x14ac:dyDescent="0.2">
      <c r="A27" s="28">
        <v>21</v>
      </c>
      <c r="B27" s="29" t="s">
        <v>76</v>
      </c>
      <c r="C27" s="29" t="s">
        <v>77</v>
      </c>
      <c r="D27" s="29" t="s">
        <v>73</v>
      </c>
      <c r="E27" s="30">
        <v>1222</v>
      </c>
      <c r="F27" s="31">
        <v>61.439715999999997</v>
      </c>
      <c r="G27" s="32">
        <v>2.036572E-2</v>
      </c>
      <c r="H27" s="27" t="s">
        <v>142</v>
      </c>
    </row>
    <row r="28" spans="1:8" x14ac:dyDescent="0.2">
      <c r="A28" s="28">
        <v>22</v>
      </c>
      <c r="B28" s="29" t="s">
        <v>388</v>
      </c>
      <c r="C28" s="29" t="s">
        <v>389</v>
      </c>
      <c r="D28" s="29" t="s">
        <v>132</v>
      </c>
      <c r="E28" s="30">
        <v>3287</v>
      </c>
      <c r="F28" s="31">
        <v>61.341994</v>
      </c>
      <c r="G28" s="32">
        <v>2.033333E-2</v>
      </c>
      <c r="H28" s="27" t="s">
        <v>142</v>
      </c>
    </row>
    <row r="29" spans="1:8" x14ac:dyDescent="0.2">
      <c r="A29" s="28">
        <v>23</v>
      </c>
      <c r="B29" s="29" t="s">
        <v>56</v>
      </c>
      <c r="C29" s="29" t="s">
        <v>57</v>
      </c>
      <c r="D29" s="29" t="s">
        <v>58</v>
      </c>
      <c r="E29" s="30">
        <v>5587</v>
      </c>
      <c r="F29" s="31">
        <v>61.144128000000002</v>
      </c>
      <c r="G29" s="32">
        <v>2.0267739999999999E-2</v>
      </c>
      <c r="H29" s="27" t="s">
        <v>142</v>
      </c>
    </row>
    <row r="30" spans="1:8" x14ac:dyDescent="0.2">
      <c r="A30" s="28">
        <v>24</v>
      </c>
      <c r="B30" s="29" t="s">
        <v>393</v>
      </c>
      <c r="C30" s="29" t="s">
        <v>394</v>
      </c>
      <c r="D30" s="29" t="s">
        <v>200</v>
      </c>
      <c r="E30" s="30">
        <v>13180</v>
      </c>
      <c r="F30" s="31">
        <v>58.492840000000001</v>
      </c>
      <c r="G30" s="32">
        <v>1.9388909999999999E-2</v>
      </c>
      <c r="H30" s="27" t="s">
        <v>142</v>
      </c>
    </row>
    <row r="31" spans="1:8" x14ac:dyDescent="0.2">
      <c r="A31" s="28">
        <v>25</v>
      </c>
      <c r="B31" s="29" t="s">
        <v>390</v>
      </c>
      <c r="C31" s="29" t="s">
        <v>391</v>
      </c>
      <c r="D31" s="29" t="s">
        <v>392</v>
      </c>
      <c r="E31" s="30">
        <v>5857</v>
      </c>
      <c r="F31" s="31">
        <v>57.706092499999997</v>
      </c>
      <c r="G31" s="32">
        <v>1.9128119999999998E-2</v>
      </c>
      <c r="H31" s="27" t="s">
        <v>142</v>
      </c>
    </row>
    <row r="32" spans="1:8" x14ac:dyDescent="0.2">
      <c r="A32" s="28">
        <v>26</v>
      </c>
      <c r="B32" s="29" t="s">
        <v>395</v>
      </c>
      <c r="C32" s="29" t="s">
        <v>396</v>
      </c>
      <c r="D32" s="29" t="s">
        <v>132</v>
      </c>
      <c r="E32" s="30">
        <v>5234</v>
      </c>
      <c r="F32" s="31">
        <v>54.690066000000002</v>
      </c>
      <c r="G32" s="32">
        <v>1.8128379999999999E-2</v>
      </c>
      <c r="H32" s="27" t="s">
        <v>142</v>
      </c>
    </row>
    <row r="33" spans="1:8" x14ac:dyDescent="0.2">
      <c r="A33" s="28">
        <v>27</v>
      </c>
      <c r="B33" s="29" t="s">
        <v>128</v>
      </c>
      <c r="C33" s="29" t="s">
        <v>129</v>
      </c>
      <c r="D33" s="29" t="s">
        <v>73</v>
      </c>
      <c r="E33" s="30">
        <v>3026</v>
      </c>
      <c r="F33" s="31">
        <v>54.365116</v>
      </c>
      <c r="G33" s="32">
        <v>1.8020669999999999E-2</v>
      </c>
      <c r="H33" s="27" t="s">
        <v>142</v>
      </c>
    </row>
    <row r="34" spans="1:8" x14ac:dyDescent="0.2">
      <c r="A34" s="28">
        <v>28</v>
      </c>
      <c r="B34" s="29" t="s">
        <v>401</v>
      </c>
      <c r="C34" s="29" t="s">
        <v>402</v>
      </c>
      <c r="D34" s="29" t="s">
        <v>229</v>
      </c>
      <c r="E34" s="30">
        <v>8090</v>
      </c>
      <c r="F34" s="31">
        <v>54.142325</v>
      </c>
      <c r="G34" s="32">
        <v>1.7946819999999999E-2</v>
      </c>
      <c r="H34" s="27" t="s">
        <v>142</v>
      </c>
    </row>
    <row r="35" spans="1:8" x14ac:dyDescent="0.2">
      <c r="A35" s="28">
        <v>29</v>
      </c>
      <c r="B35" s="29" t="s">
        <v>397</v>
      </c>
      <c r="C35" s="29" t="s">
        <v>398</v>
      </c>
      <c r="D35" s="29" t="s">
        <v>73</v>
      </c>
      <c r="E35" s="30">
        <v>11627</v>
      </c>
      <c r="F35" s="31">
        <v>53.600470000000001</v>
      </c>
      <c r="G35" s="32">
        <v>1.7767209999999999E-2</v>
      </c>
      <c r="H35" s="27" t="s">
        <v>142</v>
      </c>
    </row>
    <row r="36" spans="1:8" ht="25.5" x14ac:dyDescent="0.2">
      <c r="A36" s="28">
        <v>30</v>
      </c>
      <c r="B36" s="29" t="s">
        <v>381</v>
      </c>
      <c r="C36" s="29" t="s">
        <v>382</v>
      </c>
      <c r="D36" s="29" t="s">
        <v>273</v>
      </c>
      <c r="E36" s="30">
        <v>1060</v>
      </c>
      <c r="F36" s="31">
        <v>45.16872</v>
      </c>
      <c r="G36" s="32">
        <v>1.4972299999999999E-2</v>
      </c>
      <c r="H36" s="27" t="s">
        <v>142</v>
      </c>
    </row>
    <row r="37" spans="1:8" x14ac:dyDescent="0.2">
      <c r="A37" s="28">
        <v>31</v>
      </c>
      <c r="B37" s="29" t="s">
        <v>441</v>
      </c>
      <c r="C37" s="29" t="s">
        <v>442</v>
      </c>
      <c r="D37" s="29" t="s">
        <v>73</v>
      </c>
      <c r="E37" s="30">
        <v>8418</v>
      </c>
      <c r="F37" s="31">
        <v>41.807997</v>
      </c>
      <c r="G37" s="32">
        <v>1.38583E-2</v>
      </c>
      <c r="H37" s="27" t="s">
        <v>142</v>
      </c>
    </row>
    <row r="38" spans="1:8" x14ac:dyDescent="0.2">
      <c r="A38" s="28">
        <v>32</v>
      </c>
      <c r="B38" s="29" t="s">
        <v>409</v>
      </c>
      <c r="C38" s="29" t="s">
        <v>410</v>
      </c>
      <c r="D38" s="29" t="s">
        <v>263</v>
      </c>
      <c r="E38" s="30">
        <v>10471</v>
      </c>
      <c r="F38" s="31">
        <v>38.370979499999997</v>
      </c>
      <c r="G38" s="32">
        <v>1.2719019999999999E-2</v>
      </c>
      <c r="H38" s="27" t="s">
        <v>142</v>
      </c>
    </row>
    <row r="39" spans="1:8" x14ac:dyDescent="0.2">
      <c r="A39" s="28">
        <v>33</v>
      </c>
      <c r="B39" s="29" t="s">
        <v>407</v>
      </c>
      <c r="C39" s="29" t="s">
        <v>408</v>
      </c>
      <c r="D39" s="29" t="s">
        <v>137</v>
      </c>
      <c r="E39" s="30">
        <v>19513</v>
      </c>
      <c r="F39" s="31">
        <v>31.419832599999999</v>
      </c>
      <c r="G39" s="32">
        <v>1.041489E-2</v>
      </c>
      <c r="H39" s="27" t="s">
        <v>142</v>
      </c>
    </row>
    <row r="40" spans="1:8" x14ac:dyDescent="0.2">
      <c r="A40" s="28">
        <v>34</v>
      </c>
      <c r="B40" s="29" t="s">
        <v>413</v>
      </c>
      <c r="C40" s="29" t="s">
        <v>414</v>
      </c>
      <c r="D40" s="29" t="s">
        <v>61</v>
      </c>
      <c r="E40" s="30">
        <v>3354</v>
      </c>
      <c r="F40" s="31">
        <v>25.782198000000001</v>
      </c>
      <c r="G40" s="32">
        <v>8.5461500000000006E-3</v>
      </c>
      <c r="H40" s="27" t="s">
        <v>142</v>
      </c>
    </row>
    <row r="41" spans="1:8" x14ac:dyDescent="0.2">
      <c r="A41" s="28">
        <v>35</v>
      </c>
      <c r="B41" s="29" t="s">
        <v>411</v>
      </c>
      <c r="C41" s="29" t="s">
        <v>412</v>
      </c>
      <c r="D41" s="29" t="s">
        <v>61</v>
      </c>
      <c r="E41" s="30">
        <v>3000</v>
      </c>
      <c r="F41" s="31">
        <v>23.337</v>
      </c>
      <c r="G41" s="32">
        <v>7.7356300000000003E-3</v>
      </c>
      <c r="H41" s="27" t="s">
        <v>142</v>
      </c>
    </row>
    <row r="42" spans="1:8" x14ac:dyDescent="0.2">
      <c r="A42" s="28">
        <v>36</v>
      </c>
      <c r="B42" s="29" t="s">
        <v>417</v>
      </c>
      <c r="C42" s="29" t="s">
        <v>418</v>
      </c>
      <c r="D42" s="29" t="s">
        <v>64</v>
      </c>
      <c r="E42" s="30">
        <v>4242</v>
      </c>
      <c r="F42" s="31">
        <v>15.466332</v>
      </c>
      <c r="G42" s="32">
        <v>5.1266999999999997E-3</v>
      </c>
      <c r="H42" s="27" t="s">
        <v>142</v>
      </c>
    </row>
    <row r="43" spans="1:8" x14ac:dyDescent="0.2">
      <c r="A43" s="25"/>
      <c r="B43" s="25"/>
      <c r="C43" s="26" t="s">
        <v>141</v>
      </c>
      <c r="D43" s="25"/>
      <c r="E43" s="25" t="s">
        <v>142</v>
      </c>
      <c r="F43" s="33">
        <v>2893.5199174999998</v>
      </c>
      <c r="G43" s="34">
        <v>0.95912922</v>
      </c>
      <c r="H43" s="27" t="s">
        <v>142</v>
      </c>
    </row>
    <row r="44" spans="1:8" x14ac:dyDescent="0.2">
      <c r="A44" s="25"/>
      <c r="B44" s="25"/>
      <c r="C44" s="35"/>
      <c r="D44" s="25"/>
      <c r="E44" s="25"/>
      <c r="F44" s="36"/>
      <c r="G44" s="36"/>
      <c r="H44" s="27" t="s">
        <v>142</v>
      </c>
    </row>
    <row r="45" spans="1:8" x14ac:dyDescent="0.2">
      <c r="A45" s="25"/>
      <c r="B45" s="25"/>
      <c r="C45" s="26" t="s">
        <v>143</v>
      </c>
      <c r="D45" s="25"/>
      <c r="E45" s="25"/>
      <c r="F45" s="25"/>
      <c r="G45" s="25"/>
      <c r="H45" s="27" t="s">
        <v>142</v>
      </c>
    </row>
    <row r="46" spans="1:8" x14ac:dyDescent="0.2">
      <c r="A46" s="25"/>
      <c r="B46" s="25"/>
      <c r="C46" s="26" t="s">
        <v>141</v>
      </c>
      <c r="D46" s="25"/>
      <c r="E46" s="25" t="s">
        <v>142</v>
      </c>
      <c r="F46" s="37" t="s">
        <v>144</v>
      </c>
      <c r="G46" s="34">
        <v>0</v>
      </c>
      <c r="H46" s="27" t="s">
        <v>142</v>
      </c>
    </row>
    <row r="47" spans="1:8" x14ac:dyDescent="0.2">
      <c r="A47" s="25"/>
      <c r="B47" s="25"/>
      <c r="C47" s="35"/>
      <c r="D47" s="25"/>
      <c r="E47" s="25"/>
      <c r="F47" s="36"/>
      <c r="G47" s="36"/>
      <c r="H47" s="27" t="s">
        <v>142</v>
      </c>
    </row>
    <row r="48" spans="1:8" x14ac:dyDescent="0.2">
      <c r="A48" s="25"/>
      <c r="B48" s="25"/>
      <c r="C48" s="26" t="s">
        <v>145</v>
      </c>
      <c r="D48" s="25"/>
      <c r="E48" s="25"/>
      <c r="F48" s="25"/>
      <c r="G48" s="25"/>
      <c r="H48" s="27" t="s">
        <v>142</v>
      </c>
    </row>
    <row r="49" spans="1:8" x14ac:dyDescent="0.2">
      <c r="A49" s="25"/>
      <c r="B49" s="25"/>
      <c r="C49" s="26" t="s">
        <v>141</v>
      </c>
      <c r="D49" s="25"/>
      <c r="E49" s="25" t="s">
        <v>142</v>
      </c>
      <c r="F49" s="37" t="s">
        <v>144</v>
      </c>
      <c r="G49" s="34">
        <v>0</v>
      </c>
      <c r="H49" s="27" t="s">
        <v>142</v>
      </c>
    </row>
    <row r="50" spans="1:8" x14ac:dyDescent="0.2">
      <c r="A50" s="25"/>
      <c r="B50" s="25"/>
      <c r="C50" s="35"/>
      <c r="D50" s="25"/>
      <c r="E50" s="25"/>
      <c r="F50" s="36"/>
      <c r="G50" s="36"/>
      <c r="H50" s="27" t="s">
        <v>142</v>
      </c>
    </row>
    <row r="51" spans="1:8" x14ac:dyDescent="0.2">
      <c r="A51" s="25"/>
      <c r="B51" s="25"/>
      <c r="C51" s="26" t="s">
        <v>146</v>
      </c>
      <c r="D51" s="25"/>
      <c r="E51" s="25"/>
      <c r="F51" s="25"/>
      <c r="G51" s="25"/>
      <c r="H51" s="27" t="s">
        <v>142</v>
      </c>
    </row>
    <row r="52" spans="1:8" x14ac:dyDescent="0.2">
      <c r="A52" s="25"/>
      <c r="B52" s="25"/>
      <c r="C52" s="26" t="s">
        <v>141</v>
      </c>
      <c r="D52" s="25"/>
      <c r="E52" s="25" t="s">
        <v>142</v>
      </c>
      <c r="F52" s="37" t="s">
        <v>144</v>
      </c>
      <c r="G52" s="34">
        <v>0</v>
      </c>
      <c r="H52" s="27" t="s">
        <v>142</v>
      </c>
    </row>
    <row r="53" spans="1:8" x14ac:dyDescent="0.2">
      <c r="A53" s="25"/>
      <c r="B53" s="25"/>
      <c r="C53" s="35"/>
      <c r="D53" s="25"/>
      <c r="E53" s="25"/>
      <c r="F53" s="36"/>
      <c r="G53" s="36"/>
      <c r="H53" s="27" t="s">
        <v>142</v>
      </c>
    </row>
    <row r="54" spans="1:8" x14ac:dyDescent="0.2">
      <c r="A54" s="25"/>
      <c r="B54" s="25"/>
      <c r="C54" s="26" t="s">
        <v>147</v>
      </c>
      <c r="D54" s="25"/>
      <c r="E54" s="25"/>
      <c r="F54" s="36"/>
      <c r="G54" s="36"/>
      <c r="H54" s="27" t="s">
        <v>142</v>
      </c>
    </row>
    <row r="55" spans="1:8" x14ac:dyDescent="0.2">
      <c r="A55" s="25"/>
      <c r="B55" s="25"/>
      <c r="C55" s="26" t="s">
        <v>141</v>
      </c>
      <c r="D55" s="25"/>
      <c r="E55" s="25" t="s">
        <v>142</v>
      </c>
      <c r="F55" s="37" t="s">
        <v>144</v>
      </c>
      <c r="G55" s="34">
        <v>0</v>
      </c>
      <c r="H55" s="27" t="s">
        <v>142</v>
      </c>
    </row>
    <row r="56" spans="1:8" x14ac:dyDescent="0.2">
      <c r="A56" s="25"/>
      <c r="B56" s="25"/>
      <c r="C56" s="35"/>
      <c r="D56" s="25"/>
      <c r="E56" s="25"/>
      <c r="F56" s="36"/>
      <c r="G56" s="36"/>
      <c r="H56" s="27" t="s">
        <v>142</v>
      </c>
    </row>
    <row r="57" spans="1:8" x14ac:dyDescent="0.2">
      <c r="A57" s="25"/>
      <c r="B57" s="25"/>
      <c r="C57" s="26" t="s">
        <v>148</v>
      </c>
      <c r="D57" s="25"/>
      <c r="E57" s="25"/>
      <c r="F57" s="36"/>
      <c r="G57" s="36"/>
      <c r="H57" s="27" t="s">
        <v>142</v>
      </c>
    </row>
    <row r="58" spans="1:8" x14ac:dyDescent="0.2">
      <c r="A58" s="25"/>
      <c r="B58" s="25"/>
      <c r="C58" s="26" t="s">
        <v>141</v>
      </c>
      <c r="D58" s="25"/>
      <c r="E58" s="25" t="s">
        <v>142</v>
      </c>
      <c r="F58" s="37" t="s">
        <v>144</v>
      </c>
      <c r="G58" s="34">
        <v>0</v>
      </c>
      <c r="H58" s="27" t="s">
        <v>142</v>
      </c>
    </row>
    <row r="59" spans="1:8" x14ac:dyDescent="0.2">
      <c r="A59" s="25"/>
      <c r="B59" s="25"/>
      <c r="C59" s="35"/>
      <c r="D59" s="25"/>
      <c r="E59" s="25"/>
      <c r="F59" s="36"/>
      <c r="G59" s="36"/>
      <c r="H59" s="27" t="s">
        <v>142</v>
      </c>
    </row>
    <row r="60" spans="1:8" x14ac:dyDescent="0.2">
      <c r="A60" s="25"/>
      <c r="B60" s="25"/>
      <c r="C60" s="26" t="s">
        <v>149</v>
      </c>
      <c r="D60" s="25"/>
      <c r="E60" s="25"/>
      <c r="F60" s="33">
        <v>2893.5199174999998</v>
      </c>
      <c r="G60" s="34">
        <v>0.95912922</v>
      </c>
      <c r="H60" s="27" t="s">
        <v>142</v>
      </c>
    </row>
    <row r="61" spans="1:8" x14ac:dyDescent="0.2">
      <c r="A61" s="25"/>
      <c r="B61" s="25"/>
      <c r="C61" s="35"/>
      <c r="D61" s="25"/>
      <c r="E61" s="25"/>
      <c r="F61" s="36"/>
      <c r="G61" s="36"/>
      <c r="H61" s="27" t="s">
        <v>142</v>
      </c>
    </row>
    <row r="62" spans="1:8" x14ac:dyDescent="0.2">
      <c r="A62" s="25"/>
      <c r="B62" s="25"/>
      <c r="C62" s="26" t="s">
        <v>150</v>
      </c>
      <c r="D62" s="25"/>
      <c r="E62" s="25"/>
      <c r="F62" s="36"/>
      <c r="G62" s="36"/>
      <c r="H62" s="27" t="s">
        <v>142</v>
      </c>
    </row>
    <row r="63" spans="1:8" x14ac:dyDescent="0.2">
      <c r="A63" s="25"/>
      <c r="B63" s="25"/>
      <c r="C63" s="26" t="s">
        <v>10</v>
      </c>
      <c r="D63" s="25"/>
      <c r="E63" s="25"/>
      <c r="F63" s="36"/>
      <c r="G63" s="36"/>
      <c r="H63" s="27" t="s">
        <v>142</v>
      </c>
    </row>
    <row r="64" spans="1:8" x14ac:dyDescent="0.2">
      <c r="A64" s="25"/>
      <c r="B64" s="25"/>
      <c r="C64" s="26" t="s">
        <v>141</v>
      </c>
      <c r="D64" s="25"/>
      <c r="E64" s="25" t="s">
        <v>142</v>
      </c>
      <c r="F64" s="37" t="s">
        <v>144</v>
      </c>
      <c r="G64" s="34">
        <v>0</v>
      </c>
      <c r="H64" s="27" t="s">
        <v>142</v>
      </c>
    </row>
    <row r="65" spans="1:8" x14ac:dyDescent="0.2">
      <c r="A65" s="25"/>
      <c r="B65" s="25"/>
      <c r="C65" s="35"/>
      <c r="D65" s="25"/>
      <c r="E65" s="25"/>
      <c r="F65" s="36"/>
      <c r="G65" s="36"/>
      <c r="H65" s="27" t="s">
        <v>142</v>
      </c>
    </row>
    <row r="66" spans="1:8" x14ac:dyDescent="0.2">
      <c r="A66" s="25"/>
      <c r="B66" s="25"/>
      <c r="C66" s="26" t="s">
        <v>151</v>
      </c>
      <c r="D66" s="25"/>
      <c r="E66" s="25"/>
      <c r="F66" s="25"/>
      <c r="G66" s="25"/>
      <c r="H66" s="27" t="s">
        <v>142</v>
      </c>
    </row>
    <row r="67" spans="1:8" x14ac:dyDescent="0.2">
      <c r="A67" s="25"/>
      <c r="B67" s="25"/>
      <c r="C67" s="26" t="s">
        <v>141</v>
      </c>
      <c r="D67" s="25"/>
      <c r="E67" s="25" t="s">
        <v>142</v>
      </c>
      <c r="F67" s="37" t="s">
        <v>144</v>
      </c>
      <c r="G67" s="34">
        <v>0</v>
      </c>
      <c r="H67" s="27" t="s">
        <v>142</v>
      </c>
    </row>
    <row r="68" spans="1:8" x14ac:dyDescent="0.2">
      <c r="A68" s="25"/>
      <c r="B68" s="25"/>
      <c r="C68" s="35"/>
      <c r="D68" s="25"/>
      <c r="E68" s="25"/>
      <c r="F68" s="36"/>
      <c r="G68" s="36"/>
      <c r="H68" s="27" t="s">
        <v>142</v>
      </c>
    </row>
    <row r="69" spans="1:8" x14ac:dyDescent="0.2">
      <c r="A69" s="25"/>
      <c r="B69" s="25"/>
      <c r="C69" s="26" t="s">
        <v>152</v>
      </c>
      <c r="D69" s="25"/>
      <c r="E69" s="25"/>
      <c r="F69" s="25"/>
      <c r="G69" s="25"/>
      <c r="H69" s="27" t="s">
        <v>142</v>
      </c>
    </row>
    <row r="70" spans="1:8" x14ac:dyDescent="0.2">
      <c r="A70" s="25"/>
      <c r="B70" s="25"/>
      <c r="C70" s="26" t="s">
        <v>141</v>
      </c>
      <c r="D70" s="25"/>
      <c r="E70" s="25" t="s">
        <v>142</v>
      </c>
      <c r="F70" s="37" t="s">
        <v>144</v>
      </c>
      <c r="G70" s="34">
        <v>0</v>
      </c>
      <c r="H70" s="27" t="s">
        <v>142</v>
      </c>
    </row>
    <row r="71" spans="1:8" x14ac:dyDescent="0.2">
      <c r="A71" s="25"/>
      <c r="B71" s="25"/>
      <c r="C71" s="35"/>
      <c r="D71" s="25"/>
      <c r="E71" s="25"/>
      <c r="F71" s="36"/>
      <c r="G71" s="36"/>
      <c r="H71" s="27" t="s">
        <v>142</v>
      </c>
    </row>
    <row r="72" spans="1:8" x14ac:dyDescent="0.2">
      <c r="A72" s="25"/>
      <c r="B72" s="25"/>
      <c r="C72" s="26" t="s">
        <v>153</v>
      </c>
      <c r="D72" s="25"/>
      <c r="E72" s="25"/>
      <c r="F72" s="36"/>
      <c r="G72" s="36"/>
      <c r="H72" s="27" t="s">
        <v>142</v>
      </c>
    </row>
    <row r="73" spans="1:8" x14ac:dyDescent="0.2">
      <c r="A73" s="25"/>
      <c r="B73" s="25"/>
      <c r="C73" s="26" t="s">
        <v>141</v>
      </c>
      <c r="D73" s="25"/>
      <c r="E73" s="25" t="s">
        <v>142</v>
      </c>
      <c r="F73" s="37" t="s">
        <v>144</v>
      </c>
      <c r="G73" s="34">
        <v>0</v>
      </c>
      <c r="H73" s="27" t="s">
        <v>142</v>
      </c>
    </row>
    <row r="74" spans="1:8" x14ac:dyDescent="0.2">
      <c r="A74" s="25"/>
      <c r="B74" s="25"/>
      <c r="C74" s="35"/>
      <c r="D74" s="25"/>
      <c r="E74" s="25"/>
      <c r="F74" s="36"/>
      <c r="G74" s="36"/>
      <c r="H74" s="27" t="s">
        <v>142</v>
      </c>
    </row>
    <row r="75" spans="1:8" x14ac:dyDescent="0.2">
      <c r="A75" s="25"/>
      <c r="B75" s="25"/>
      <c r="C75" s="26" t="s">
        <v>154</v>
      </c>
      <c r="D75" s="25"/>
      <c r="E75" s="25"/>
      <c r="F75" s="33">
        <v>0</v>
      </c>
      <c r="G75" s="34">
        <v>0</v>
      </c>
      <c r="H75" s="27" t="s">
        <v>142</v>
      </c>
    </row>
    <row r="76" spans="1:8" x14ac:dyDescent="0.2">
      <c r="A76" s="25"/>
      <c r="B76" s="25"/>
      <c r="C76" s="35"/>
      <c r="D76" s="25"/>
      <c r="E76" s="25"/>
      <c r="F76" s="36"/>
      <c r="G76" s="36"/>
      <c r="H76" s="27" t="s">
        <v>142</v>
      </c>
    </row>
    <row r="77" spans="1:8" x14ac:dyDescent="0.2">
      <c r="A77" s="25"/>
      <c r="B77" s="25"/>
      <c r="C77" s="26" t="s">
        <v>155</v>
      </c>
      <c r="D77" s="25"/>
      <c r="E77" s="25"/>
      <c r="F77" s="36"/>
      <c r="G77" s="36"/>
      <c r="H77" s="27" t="s">
        <v>142</v>
      </c>
    </row>
    <row r="78" spans="1:8" x14ac:dyDescent="0.2">
      <c r="A78" s="25"/>
      <c r="B78" s="25"/>
      <c r="C78" s="26" t="s">
        <v>156</v>
      </c>
      <c r="D78" s="25"/>
      <c r="E78" s="25"/>
      <c r="F78" s="36"/>
      <c r="G78" s="36"/>
      <c r="H78" s="27" t="s">
        <v>142</v>
      </c>
    </row>
    <row r="79" spans="1:8" x14ac:dyDescent="0.2">
      <c r="A79" s="25"/>
      <c r="B79" s="25"/>
      <c r="C79" s="26" t="s">
        <v>141</v>
      </c>
      <c r="D79" s="25"/>
      <c r="E79" s="25" t="s">
        <v>142</v>
      </c>
      <c r="F79" s="37" t="s">
        <v>144</v>
      </c>
      <c r="G79" s="34">
        <v>0</v>
      </c>
      <c r="H79" s="27" t="s">
        <v>142</v>
      </c>
    </row>
    <row r="80" spans="1:8" x14ac:dyDescent="0.2">
      <c r="A80" s="25"/>
      <c r="B80" s="25"/>
      <c r="C80" s="35"/>
      <c r="D80" s="25"/>
      <c r="E80" s="25"/>
      <c r="F80" s="36"/>
      <c r="G80" s="36"/>
      <c r="H80" s="27" t="s">
        <v>142</v>
      </c>
    </row>
    <row r="81" spans="1:8" x14ac:dyDescent="0.2">
      <c r="A81" s="25"/>
      <c r="B81" s="25"/>
      <c r="C81" s="26" t="s">
        <v>157</v>
      </c>
      <c r="D81" s="25"/>
      <c r="E81" s="25"/>
      <c r="F81" s="36"/>
      <c r="G81" s="36"/>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158</v>
      </c>
      <c r="D84" s="25"/>
      <c r="E84" s="25"/>
      <c r="F84" s="36"/>
      <c r="G84" s="36"/>
      <c r="H84" s="27" t="s">
        <v>142</v>
      </c>
    </row>
    <row r="85" spans="1:8" x14ac:dyDescent="0.2">
      <c r="A85" s="25"/>
      <c r="B85" s="25"/>
      <c r="C85" s="26" t="s">
        <v>141</v>
      </c>
      <c r="D85" s="25"/>
      <c r="E85" s="25" t="s">
        <v>142</v>
      </c>
      <c r="F85" s="37" t="s">
        <v>144</v>
      </c>
      <c r="G85" s="34">
        <v>0</v>
      </c>
      <c r="H85" s="27" t="s">
        <v>142</v>
      </c>
    </row>
    <row r="86" spans="1:8" x14ac:dyDescent="0.2">
      <c r="A86" s="25"/>
      <c r="B86" s="25"/>
      <c r="C86" s="35"/>
      <c r="D86" s="25"/>
      <c r="E86" s="25"/>
      <c r="F86" s="36"/>
      <c r="G86" s="36"/>
      <c r="H86" s="27" t="s">
        <v>142</v>
      </c>
    </row>
    <row r="87" spans="1:8" x14ac:dyDescent="0.2">
      <c r="A87" s="25"/>
      <c r="B87" s="25"/>
      <c r="C87" s="26" t="s">
        <v>159</v>
      </c>
      <c r="D87" s="25"/>
      <c r="E87" s="25"/>
      <c r="F87" s="36"/>
      <c r="G87" s="36"/>
      <c r="H87" s="27" t="s">
        <v>142</v>
      </c>
    </row>
    <row r="88" spans="1:8" x14ac:dyDescent="0.2">
      <c r="A88" s="28">
        <v>1</v>
      </c>
      <c r="B88" s="29"/>
      <c r="C88" s="29" t="s">
        <v>160</v>
      </c>
      <c r="D88" s="29"/>
      <c r="E88" s="39"/>
      <c r="F88" s="31">
        <v>122.9574743</v>
      </c>
      <c r="G88" s="32">
        <v>4.075732E-2</v>
      </c>
      <c r="H88" s="27">
        <v>5.76</v>
      </c>
    </row>
    <row r="89" spans="1:8" x14ac:dyDescent="0.2">
      <c r="A89" s="25"/>
      <c r="B89" s="25"/>
      <c r="C89" s="26" t="s">
        <v>141</v>
      </c>
      <c r="D89" s="25"/>
      <c r="E89" s="25" t="s">
        <v>142</v>
      </c>
      <c r="F89" s="33">
        <v>122.9574743</v>
      </c>
      <c r="G89" s="34">
        <v>4.075732E-2</v>
      </c>
      <c r="H89" s="27" t="s">
        <v>142</v>
      </c>
    </row>
    <row r="90" spans="1:8" x14ac:dyDescent="0.2">
      <c r="A90" s="25"/>
      <c r="B90" s="25"/>
      <c r="C90" s="35"/>
      <c r="D90" s="25"/>
      <c r="E90" s="25"/>
      <c r="F90" s="36"/>
      <c r="G90" s="36"/>
      <c r="H90" s="27" t="s">
        <v>142</v>
      </c>
    </row>
    <row r="91" spans="1:8" x14ac:dyDescent="0.2">
      <c r="A91" s="25"/>
      <c r="B91" s="25"/>
      <c r="C91" s="26" t="s">
        <v>161</v>
      </c>
      <c r="D91" s="25"/>
      <c r="E91" s="25"/>
      <c r="F91" s="33">
        <v>122.9574743</v>
      </c>
      <c r="G91" s="34">
        <v>4.075732E-2</v>
      </c>
      <c r="H91" s="27" t="s">
        <v>142</v>
      </c>
    </row>
    <row r="92" spans="1:8" x14ac:dyDescent="0.2">
      <c r="A92" s="25"/>
      <c r="B92" s="25"/>
      <c r="C92" s="36"/>
      <c r="D92" s="25"/>
      <c r="E92" s="25"/>
      <c r="F92" s="25"/>
      <c r="G92" s="25"/>
      <c r="H92" s="27" t="s">
        <v>142</v>
      </c>
    </row>
    <row r="93" spans="1:8" x14ac:dyDescent="0.2">
      <c r="A93" s="25"/>
      <c r="B93" s="25"/>
      <c r="C93" s="26" t="s">
        <v>162</v>
      </c>
      <c r="D93" s="25"/>
      <c r="E93" s="25"/>
      <c r="F93" s="25"/>
      <c r="G93" s="25"/>
      <c r="H93" s="27" t="s">
        <v>142</v>
      </c>
    </row>
    <row r="94" spans="1:8" x14ac:dyDescent="0.2">
      <c r="A94" s="25"/>
      <c r="B94" s="25"/>
      <c r="C94" s="26" t="s">
        <v>163</v>
      </c>
      <c r="D94" s="25"/>
      <c r="E94" s="25"/>
      <c r="F94" s="25"/>
      <c r="G94" s="25"/>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17" x14ac:dyDescent="0.2">
      <c r="A97" s="25"/>
      <c r="B97" s="25"/>
      <c r="C97" s="26" t="s">
        <v>164</v>
      </c>
      <c r="D97" s="25"/>
      <c r="E97" s="25"/>
      <c r="F97" s="25"/>
      <c r="G97" s="25"/>
      <c r="H97" s="27" t="s">
        <v>142</v>
      </c>
    </row>
    <row r="98" spans="1:17" x14ac:dyDescent="0.2">
      <c r="A98" s="25"/>
      <c r="B98" s="25"/>
      <c r="C98" s="26" t="s">
        <v>165</v>
      </c>
      <c r="D98" s="25"/>
      <c r="E98" s="25"/>
      <c r="F98" s="25"/>
      <c r="G98" s="25"/>
      <c r="H98" s="27" t="s">
        <v>142</v>
      </c>
    </row>
    <row r="99" spans="1:17" x14ac:dyDescent="0.2">
      <c r="A99" s="25"/>
      <c r="B99" s="25"/>
      <c r="C99" s="26" t="s">
        <v>141</v>
      </c>
      <c r="D99" s="25"/>
      <c r="E99" s="25" t="s">
        <v>142</v>
      </c>
      <c r="F99" s="37" t="s">
        <v>144</v>
      </c>
      <c r="G99" s="34">
        <v>0</v>
      </c>
      <c r="H99" s="27" t="s">
        <v>142</v>
      </c>
    </row>
    <row r="100" spans="1:17" x14ac:dyDescent="0.2">
      <c r="A100" s="25"/>
      <c r="B100" s="25"/>
      <c r="C100" s="35"/>
      <c r="D100" s="25"/>
      <c r="E100" s="25"/>
      <c r="F100" s="36"/>
      <c r="G100" s="36"/>
      <c r="H100" s="27" t="s">
        <v>142</v>
      </c>
    </row>
    <row r="101" spans="1:17" x14ac:dyDescent="0.2">
      <c r="A101" s="25"/>
      <c r="B101" s="25"/>
      <c r="C101" s="26" t="s">
        <v>166</v>
      </c>
      <c r="D101" s="25"/>
      <c r="E101" s="25"/>
      <c r="F101" s="36"/>
      <c r="G101" s="36"/>
      <c r="H101" s="27" t="s">
        <v>142</v>
      </c>
    </row>
    <row r="102" spans="1:17" x14ac:dyDescent="0.2">
      <c r="A102" s="25"/>
      <c r="B102" s="25"/>
      <c r="C102" s="26" t="s">
        <v>141</v>
      </c>
      <c r="D102" s="25"/>
      <c r="E102" s="25" t="s">
        <v>142</v>
      </c>
      <c r="F102" s="37" t="s">
        <v>144</v>
      </c>
      <c r="G102" s="34">
        <v>0</v>
      </c>
      <c r="H102" s="27" t="s">
        <v>142</v>
      </c>
    </row>
    <row r="103" spans="1:17" x14ac:dyDescent="0.2">
      <c r="A103" s="25"/>
      <c r="B103" s="25"/>
      <c r="C103" s="35"/>
      <c r="D103" s="25"/>
      <c r="E103" s="25"/>
      <c r="F103" s="36"/>
      <c r="G103" s="36"/>
      <c r="H103" s="27" t="s">
        <v>142</v>
      </c>
    </row>
    <row r="104" spans="1:17" x14ac:dyDescent="0.2">
      <c r="A104" s="39"/>
      <c r="B104" s="29"/>
      <c r="C104" s="29" t="s">
        <v>167</v>
      </c>
      <c r="D104" s="29"/>
      <c r="E104" s="39"/>
      <c r="F104" s="31">
        <v>0.3423638</v>
      </c>
      <c r="G104" s="32">
        <v>1.1349E-4</v>
      </c>
      <c r="H104" s="27" t="s">
        <v>142</v>
      </c>
    </row>
    <row r="105" spans="1:17" x14ac:dyDescent="0.2">
      <c r="A105" s="35"/>
      <c r="B105" s="35"/>
      <c r="C105" s="26" t="s">
        <v>168</v>
      </c>
      <c r="D105" s="36"/>
      <c r="E105" s="36"/>
      <c r="F105" s="33">
        <v>3016.8197556</v>
      </c>
      <c r="G105" s="40">
        <v>1.00000003</v>
      </c>
      <c r="H105" s="27" t="s">
        <v>142</v>
      </c>
    </row>
    <row r="106" spans="1:17" x14ac:dyDescent="0.2">
      <c r="A106" s="41"/>
      <c r="B106" s="41"/>
      <c r="C106" s="41"/>
      <c r="D106" s="42"/>
      <c r="E106" s="42"/>
      <c r="F106" s="42"/>
      <c r="G106" s="42"/>
    </row>
    <row r="107" spans="1:17" x14ac:dyDescent="0.2">
      <c r="A107" s="43"/>
      <c r="B107" s="210" t="s">
        <v>879</v>
      </c>
      <c r="C107" s="210"/>
      <c r="D107" s="210"/>
      <c r="E107" s="210"/>
      <c r="F107" s="210"/>
      <c r="G107" s="210"/>
      <c r="H107" s="210"/>
      <c r="J107" s="45"/>
    </row>
    <row r="108" spans="1:17" x14ac:dyDescent="0.2">
      <c r="A108" s="43"/>
      <c r="B108" s="210" t="s">
        <v>880</v>
      </c>
      <c r="C108" s="210"/>
      <c r="D108" s="210"/>
      <c r="E108" s="210"/>
      <c r="F108" s="210"/>
      <c r="G108" s="210"/>
      <c r="H108" s="210"/>
      <c r="J108" s="45"/>
    </row>
    <row r="109" spans="1:17" x14ac:dyDescent="0.2">
      <c r="A109" s="43"/>
      <c r="B109" s="210" t="s">
        <v>881</v>
      </c>
      <c r="C109" s="210"/>
      <c r="D109" s="210"/>
      <c r="E109" s="210"/>
      <c r="F109" s="210"/>
      <c r="G109" s="210"/>
      <c r="H109" s="210"/>
      <c r="J109" s="45"/>
    </row>
    <row r="110" spans="1:17" s="47" customFormat="1" ht="66.75" customHeight="1" x14ac:dyDescent="0.25">
      <c r="A110" s="46"/>
      <c r="B110" s="211" t="s">
        <v>882</v>
      </c>
      <c r="C110" s="211"/>
      <c r="D110" s="211"/>
      <c r="E110" s="211"/>
      <c r="F110" s="211"/>
      <c r="G110" s="211"/>
      <c r="H110" s="211"/>
      <c r="I110"/>
      <c r="J110" s="45"/>
      <c r="K110"/>
      <c r="L110"/>
      <c r="M110"/>
      <c r="N110"/>
      <c r="O110"/>
      <c r="P110"/>
      <c r="Q110"/>
    </row>
    <row r="111" spans="1:17" x14ac:dyDescent="0.2">
      <c r="A111" s="43"/>
      <c r="B111" s="210" t="s">
        <v>883</v>
      </c>
      <c r="C111" s="210"/>
      <c r="D111" s="210"/>
      <c r="E111" s="210"/>
      <c r="F111" s="210"/>
      <c r="G111" s="210"/>
      <c r="H111" s="210"/>
      <c r="J111" s="45"/>
    </row>
    <row r="112" spans="1:17" x14ac:dyDescent="0.2">
      <c r="A112" s="48"/>
      <c r="B112" s="48"/>
      <c r="C112" s="48"/>
      <c r="D112" s="49"/>
      <c r="E112" s="49"/>
      <c r="F112" s="49"/>
      <c r="G112" s="49"/>
    </row>
    <row r="113" spans="1:10" x14ac:dyDescent="0.2">
      <c r="A113" s="48"/>
      <c r="B113" s="212" t="s">
        <v>169</v>
      </c>
      <c r="C113" s="213"/>
      <c r="D113" s="214"/>
      <c r="E113" s="50"/>
      <c r="F113" s="49"/>
      <c r="G113" s="49"/>
    </row>
    <row r="114" spans="1:10" ht="27.75" customHeight="1" x14ac:dyDescent="0.2">
      <c r="A114" s="48"/>
      <c r="B114" s="215" t="s">
        <v>170</v>
      </c>
      <c r="C114" s="216"/>
      <c r="D114" s="26" t="s">
        <v>171</v>
      </c>
      <c r="E114" s="50"/>
      <c r="F114" s="49"/>
      <c r="G114" s="49"/>
    </row>
    <row r="115" spans="1:10" ht="12.75" customHeight="1" x14ac:dyDescent="0.2">
      <c r="A115" s="43"/>
      <c r="B115" s="217" t="s">
        <v>884</v>
      </c>
      <c r="C115" s="218"/>
      <c r="D115" s="26" t="s">
        <v>171</v>
      </c>
      <c r="E115" s="52"/>
      <c r="F115" s="53"/>
      <c r="G115" s="53"/>
    </row>
    <row r="116" spans="1:10" x14ac:dyDescent="0.2">
      <c r="A116" s="48"/>
      <c r="B116" s="215" t="s">
        <v>172</v>
      </c>
      <c r="C116" s="216"/>
      <c r="D116" s="36" t="s">
        <v>142</v>
      </c>
      <c r="E116" s="50"/>
      <c r="F116" s="49"/>
      <c r="G116" s="49"/>
    </row>
    <row r="117" spans="1:10" x14ac:dyDescent="0.2">
      <c r="A117" s="54"/>
      <c r="B117" s="55" t="s">
        <v>142</v>
      </c>
      <c r="C117" s="55" t="s">
        <v>885</v>
      </c>
      <c r="D117" s="55" t="s">
        <v>173</v>
      </c>
      <c r="E117" s="54"/>
      <c r="F117" s="54"/>
      <c r="G117" s="54"/>
      <c r="H117" s="54"/>
      <c r="J117" s="45"/>
    </row>
    <row r="118" spans="1:10" x14ac:dyDescent="0.2">
      <c r="A118" s="54"/>
      <c r="B118" s="56" t="s">
        <v>174</v>
      </c>
      <c r="C118" s="57">
        <v>45777</v>
      </c>
      <c r="D118" s="57">
        <v>45808</v>
      </c>
      <c r="E118" s="54"/>
      <c r="F118" s="54"/>
      <c r="G118" s="54"/>
      <c r="J118" s="45"/>
    </row>
    <row r="119" spans="1:10" x14ac:dyDescent="0.2">
      <c r="A119" s="58"/>
      <c r="B119" s="29" t="s">
        <v>175</v>
      </c>
      <c r="C119" s="59">
        <v>25.543099999999999</v>
      </c>
      <c r="D119" s="59">
        <v>27.689499999999999</v>
      </c>
      <c r="E119" s="58"/>
      <c r="F119" s="60"/>
      <c r="G119" s="61"/>
    </row>
    <row r="120" spans="1:10" x14ac:dyDescent="0.2">
      <c r="A120" s="58"/>
      <c r="B120" s="29" t="s">
        <v>1065</v>
      </c>
      <c r="C120" s="59">
        <v>24.3184</v>
      </c>
      <c r="D120" s="59">
        <v>26.361799999999999</v>
      </c>
      <c r="E120" s="58"/>
      <c r="F120" s="60"/>
      <c r="G120" s="61"/>
    </row>
    <row r="121" spans="1:10" x14ac:dyDescent="0.2">
      <c r="A121" s="58"/>
      <c r="B121" s="29" t="s">
        <v>177</v>
      </c>
      <c r="C121" s="59">
        <v>24.8474</v>
      </c>
      <c r="D121" s="59">
        <v>26.930299999999999</v>
      </c>
      <c r="E121" s="58"/>
      <c r="F121" s="60"/>
      <c r="G121" s="61"/>
    </row>
    <row r="122" spans="1:10" x14ac:dyDescent="0.2">
      <c r="A122" s="58"/>
      <c r="B122" s="29" t="s">
        <v>1066</v>
      </c>
      <c r="C122" s="59">
        <v>23.6265</v>
      </c>
      <c r="D122" s="59">
        <v>25.606999999999999</v>
      </c>
      <c r="E122" s="58"/>
      <c r="F122" s="60"/>
      <c r="G122" s="61"/>
    </row>
    <row r="123" spans="1:10" x14ac:dyDescent="0.2">
      <c r="A123" s="58"/>
      <c r="B123" s="58"/>
      <c r="C123" s="58"/>
      <c r="D123" s="58"/>
      <c r="E123" s="58"/>
      <c r="F123" s="58"/>
      <c r="G123" s="58"/>
    </row>
    <row r="124" spans="1:10" x14ac:dyDescent="0.2">
      <c r="A124" s="54"/>
      <c r="B124" s="217" t="s">
        <v>887</v>
      </c>
      <c r="C124" s="218"/>
      <c r="D124" s="51" t="s">
        <v>171</v>
      </c>
      <c r="E124" s="54"/>
      <c r="F124" s="54"/>
      <c r="G124" s="54"/>
    </row>
    <row r="125" spans="1:10" x14ac:dyDescent="0.2">
      <c r="A125" s="54"/>
      <c r="B125" s="70"/>
      <c r="C125" s="70"/>
      <c r="D125" s="70"/>
      <c r="E125" s="54"/>
      <c r="F125" s="54"/>
      <c r="G125" s="54"/>
    </row>
    <row r="126" spans="1:10" x14ac:dyDescent="0.2">
      <c r="A126" s="54"/>
      <c r="B126" s="217" t="s">
        <v>180</v>
      </c>
      <c r="C126" s="218"/>
      <c r="D126" s="51" t="s">
        <v>171</v>
      </c>
      <c r="E126" s="65"/>
      <c r="F126" s="54"/>
      <c r="G126" s="54"/>
    </row>
    <row r="127" spans="1:10" x14ac:dyDescent="0.2">
      <c r="A127" s="54"/>
      <c r="B127" s="217" t="s">
        <v>181</v>
      </c>
      <c r="C127" s="218"/>
      <c r="D127" s="51" t="s">
        <v>171</v>
      </c>
      <c r="E127" s="65"/>
      <c r="F127" s="54"/>
      <c r="G127" s="54"/>
    </row>
    <row r="128" spans="1:10" x14ac:dyDescent="0.2">
      <c r="A128" s="54"/>
      <c r="B128" s="217" t="s">
        <v>182</v>
      </c>
      <c r="C128" s="218"/>
      <c r="D128" s="51" t="s">
        <v>171</v>
      </c>
      <c r="E128" s="65"/>
      <c r="F128" s="54"/>
      <c r="G128" s="54"/>
    </row>
    <row r="129" spans="1:10" x14ac:dyDescent="0.2">
      <c r="A129" s="54"/>
      <c r="B129" s="217" t="s">
        <v>183</v>
      </c>
      <c r="C129" s="218"/>
      <c r="D129" s="66">
        <v>0.29253245615324985</v>
      </c>
      <c r="E129" s="54"/>
      <c r="F129" s="44"/>
      <c r="G129" s="64"/>
    </row>
    <row r="131" spans="1:10" x14ac:dyDescent="0.2">
      <c r="B131" s="219" t="s">
        <v>888</v>
      </c>
      <c r="C131" s="219"/>
    </row>
    <row r="133" spans="1:10" ht="153.75" customHeight="1" x14ac:dyDescent="0.2"/>
    <row r="136" spans="1:10" x14ac:dyDescent="0.2">
      <c r="B136" s="67" t="s">
        <v>889</v>
      </c>
      <c r="C136" s="68"/>
      <c r="D136" s="67"/>
    </row>
    <row r="137" spans="1:10" x14ac:dyDescent="0.2">
      <c r="B137" s="67" t="s">
        <v>901</v>
      </c>
      <c r="D137" s="67"/>
    </row>
    <row r="138" spans="1:10" ht="165" customHeight="1" x14ac:dyDescent="0.2"/>
    <row r="139" spans="1:10" x14ac:dyDescent="0.2">
      <c r="J139" s="24"/>
    </row>
  </sheetData>
  <mergeCells count="18">
    <mergeCell ref="B131:C131"/>
    <mergeCell ref="B124:C124"/>
    <mergeCell ref="B128:C128"/>
    <mergeCell ref="B129:C129"/>
    <mergeCell ref="B126:C126"/>
    <mergeCell ref="B127:C127"/>
    <mergeCell ref="A1:H1"/>
    <mergeCell ref="A2:H2"/>
    <mergeCell ref="A3:H3"/>
    <mergeCell ref="B107:H107"/>
    <mergeCell ref="B108:H108"/>
    <mergeCell ref="B115:C115"/>
    <mergeCell ref="B116:C116"/>
    <mergeCell ref="B109:H109"/>
    <mergeCell ref="B110:H110"/>
    <mergeCell ref="B111:H111"/>
    <mergeCell ref="B113:D113"/>
    <mergeCell ref="B114:C114"/>
  </mergeCells>
  <hyperlinks>
    <hyperlink ref="I1" location="Index!B2" display="Index" xr:uid="{F1355574-28D1-4198-A54B-A29B6067D5E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10BB-A046-4BF7-AA7A-4ED696C324BE}">
  <sheetPr>
    <outlinePr summaryBelow="0" summaryRight="0"/>
  </sheetPr>
  <dimension ref="A1:Q156"/>
  <sheetViews>
    <sheetView showGridLines="0" workbookViewId="0">
      <selection activeCell="D113" sqref="D113"/>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445</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361</v>
      </c>
      <c r="C7" s="29" t="s">
        <v>362</v>
      </c>
      <c r="D7" s="29" t="s">
        <v>197</v>
      </c>
      <c r="E7" s="30">
        <v>35553</v>
      </c>
      <c r="F7" s="31">
        <v>198.84792899999999</v>
      </c>
      <c r="G7" s="32">
        <v>5.4646479999999997E-2</v>
      </c>
      <c r="H7" s="27" t="s">
        <v>142</v>
      </c>
    </row>
    <row r="8" spans="1:9" x14ac:dyDescent="0.2">
      <c r="A8" s="28">
        <v>2</v>
      </c>
      <c r="B8" s="29" t="s">
        <v>329</v>
      </c>
      <c r="C8" s="29" t="s">
        <v>330</v>
      </c>
      <c r="D8" s="29" t="s">
        <v>212</v>
      </c>
      <c r="E8" s="30">
        <v>2986</v>
      </c>
      <c r="F8" s="31">
        <v>197.13571999999999</v>
      </c>
      <c r="G8" s="32">
        <v>5.4175939999999999E-2</v>
      </c>
      <c r="H8" s="27" t="s">
        <v>142</v>
      </c>
    </row>
    <row r="9" spans="1:9" x14ac:dyDescent="0.2">
      <c r="A9" s="28">
        <v>3</v>
      </c>
      <c r="B9" s="29" t="s">
        <v>71</v>
      </c>
      <c r="C9" s="29" t="s">
        <v>72</v>
      </c>
      <c r="D9" s="29" t="s">
        <v>73</v>
      </c>
      <c r="E9" s="30">
        <v>22800</v>
      </c>
      <c r="F9" s="31">
        <v>192.93360000000001</v>
      </c>
      <c r="G9" s="32">
        <v>5.302113E-2</v>
      </c>
      <c r="H9" s="27" t="s">
        <v>142</v>
      </c>
    </row>
    <row r="10" spans="1:9" x14ac:dyDescent="0.2">
      <c r="A10" s="28">
        <v>4</v>
      </c>
      <c r="B10" s="29" t="s">
        <v>365</v>
      </c>
      <c r="C10" s="29" t="s">
        <v>366</v>
      </c>
      <c r="D10" s="29" t="s">
        <v>61</v>
      </c>
      <c r="E10" s="30">
        <v>8097</v>
      </c>
      <c r="F10" s="31">
        <v>186.85446899999999</v>
      </c>
      <c r="G10" s="32">
        <v>5.13505E-2</v>
      </c>
      <c r="H10" s="27" t="s">
        <v>142</v>
      </c>
    </row>
    <row r="11" spans="1:9" x14ac:dyDescent="0.2">
      <c r="A11" s="28">
        <v>5</v>
      </c>
      <c r="B11" s="29" t="s">
        <v>337</v>
      </c>
      <c r="C11" s="29" t="s">
        <v>338</v>
      </c>
      <c r="D11" s="29" t="s">
        <v>263</v>
      </c>
      <c r="E11" s="30">
        <v>10679</v>
      </c>
      <c r="F11" s="31">
        <v>185.34472400000001</v>
      </c>
      <c r="G11" s="32">
        <v>5.0935590000000003E-2</v>
      </c>
      <c r="H11" s="27" t="s">
        <v>142</v>
      </c>
    </row>
    <row r="12" spans="1:9" x14ac:dyDescent="0.2">
      <c r="A12" s="28">
        <v>6</v>
      </c>
      <c r="B12" s="29" t="s">
        <v>371</v>
      </c>
      <c r="C12" s="29" t="s">
        <v>372</v>
      </c>
      <c r="D12" s="29" t="s">
        <v>212</v>
      </c>
      <c r="E12" s="30">
        <v>5956</v>
      </c>
      <c r="F12" s="31">
        <v>180.80033599999999</v>
      </c>
      <c r="G12" s="32">
        <v>4.9686729999999998E-2</v>
      </c>
      <c r="H12" s="27" t="s">
        <v>142</v>
      </c>
    </row>
    <row r="13" spans="1:9" x14ac:dyDescent="0.2">
      <c r="A13" s="28">
        <v>7</v>
      </c>
      <c r="B13" s="29" t="s">
        <v>363</v>
      </c>
      <c r="C13" s="29" t="s">
        <v>364</v>
      </c>
      <c r="D13" s="29" t="s">
        <v>229</v>
      </c>
      <c r="E13" s="30">
        <v>53380</v>
      </c>
      <c r="F13" s="31">
        <v>169.80178000000001</v>
      </c>
      <c r="G13" s="32">
        <v>4.6664150000000001E-2</v>
      </c>
      <c r="H13" s="27" t="s">
        <v>142</v>
      </c>
    </row>
    <row r="14" spans="1:9" x14ac:dyDescent="0.2">
      <c r="A14" s="28">
        <v>8</v>
      </c>
      <c r="B14" s="29" t="s">
        <v>367</v>
      </c>
      <c r="C14" s="29" t="s">
        <v>368</v>
      </c>
      <c r="D14" s="29" t="s">
        <v>28</v>
      </c>
      <c r="E14" s="30">
        <v>37549</v>
      </c>
      <c r="F14" s="31">
        <v>136.99752649999999</v>
      </c>
      <c r="G14" s="32">
        <v>3.7649040000000002E-2</v>
      </c>
      <c r="H14" s="27" t="s">
        <v>142</v>
      </c>
    </row>
    <row r="15" spans="1:9" x14ac:dyDescent="0.2">
      <c r="A15" s="28">
        <v>9</v>
      </c>
      <c r="B15" s="29" t="s">
        <v>369</v>
      </c>
      <c r="C15" s="29" t="s">
        <v>370</v>
      </c>
      <c r="D15" s="29" t="s">
        <v>28</v>
      </c>
      <c r="E15" s="30">
        <v>298383</v>
      </c>
      <c r="F15" s="31">
        <v>128.39420490000001</v>
      </c>
      <c r="G15" s="32">
        <v>3.5284709999999997E-2</v>
      </c>
      <c r="H15" s="27" t="s">
        <v>142</v>
      </c>
    </row>
    <row r="16" spans="1:9" ht="25.5" x14ac:dyDescent="0.2">
      <c r="A16" s="28">
        <v>10</v>
      </c>
      <c r="B16" s="29" t="s">
        <v>39</v>
      </c>
      <c r="C16" s="29" t="s">
        <v>40</v>
      </c>
      <c r="D16" s="29" t="s">
        <v>25</v>
      </c>
      <c r="E16" s="30">
        <v>2267</v>
      </c>
      <c r="F16" s="31">
        <v>124.628325</v>
      </c>
      <c r="G16" s="32">
        <v>3.4249790000000002E-2</v>
      </c>
      <c r="H16" s="27" t="s">
        <v>142</v>
      </c>
    </row>
    <row r="17" spans="1:8" x14ac:dyDescent="0.2">
      <c r="A17" s="28">
        <v>11</v>
      </c>
      <c r="B17" s="29" t="s">
        <v>373</v>
      </c>
      <c r="C17" s="29" t="s">
        <v>374</v>
      </c>
      <c r="D17" s="29" t="s">
        <v>61</v>
      </c>
      <c r="E17" s="30">
        <v>46205</v>
      </c>
      <c r="F17" s="31">
        <v>117.88743700000001</v>
      </c>
      <c r="G17" s="32">
        <v>3.2397290000000002E-2</v>
      </c>
      <c r="H17" s="27" t="s">
        <v>142</v>
      </c>
    </row>
    <row r="18" spans="1:8" x14ac:dyDescent="0.2">
      <c r="A18" s="28">
        <v>12</v>
      </c>
      <c r="B18" s="29" t="s">
        <v>377</v>
      </c>
      <c r="C18" s="29" t="s">
        <v>378</v>
      </c>
      <c r="D18" s="29" t="s">
        <v>28</v>
      </c>
      <c r="E18" s="30">
        <v>180840</v>
      </c>
      <c r="F18" s="31">
        <v>115.032324</v>
      </c>
      <c r="G18" s="32">
        <v>3.1612660000000001E-2</v>
      </c>
      <c r="H18" s="27" t="s">
        <v>142</v>
      </c>
    </row>
    <row r="19" spans="1:8" x14ac:dyDescent="0.2">
      <c r="A19" s="28">
        <v>13</v>
      </c>
      <c r="B19" s="29" t="s">
        <v>109</v>
      </c>
      <c r="C19" s="29" t="s">
        <v>110</v>
      </c>
      <c r="D19" s="29" t="s">
        <v>73</v>
      </c>
      <c r="E19" s="30">
        <v>3144</v>
      </c>
      <c r="F19" s="31">
        <v>113.504688</v>
      </c>
      <c r="G19" s="32">
        <v>3.1192839999999999E-2</v>
      </c>
      <c r="H19" s="27" t="s">
        <v>142</v>
      </c>
    </row>
    <row r="20" spans="1:8" ht="25.5" x14ac:dyDescent="0.2">
      <c r="A20" s="28">
        <v>14</v>
      </c>
      <c r="B20" s="29" t="s">
        <v>381</v>
      </c>
      <c r="C20" s="29" t="s">
        <v>382</v>
      </c>
      <c r="D20" s="29" t="s">
        <v>273</v>
      </c>
      <c r="E20" s="30">
        <v>2631</v>
      </c>
      <c r="F20" s="31">
        <v>112.112172</v>
      </c>
      <c r="G20" s="32">
        <v>3.081016E-2</v>
      </c>
      <c r="H20" s="27" t="s">
        <v>142</v>
      </c>
    </row>
    <row r="21" spans="1:8" ht="25.5" x14ac:dyDescent="0.2">
      <c r="A21" s="28">
        <v>15</v>
      </c>
      <c r="B21" s="29" t="s">
        <v>375</v>
      </c>
      <c r="C21" s="29" t="s">
        <v>376</v>
      </c>
      <c r="D21" s="29" t="s">
        <v>194</v>
      </c>
      <c r="E21" s="30">
        <v>1831</v>
      </c>
      <c r="F21" s="31">
        <v>105.24588</v>
      </c>
      <c r="G21" s="32">
        <v>2.8923190000000001E-2</v>
      </c>
      <c r="H21" s="27" t="s">
        <v>142</v>
      </c>
    </row>
    <row r="22" spans="1:8" ht="25.5" x14ac:dyDescent="0.2">
      <c r="A22" s="28">
        <v>16</v>
      </c>
      <c r="B22" s="29" t="s">
        <v>383</v>
      </c>
      <c r="C22" s="29" t="s">
        <v>384</v>
      </c>
      <c r="D22" s="29" t="s">
        <v>385</v>
      </c>
      <c r="E22" s="30">
        <v>26872</v>
      </c>
      <c r="F22" s="31">
        <v>95.570267999999999</v>
      </c>
      <c r="G22" s="32">
        <v>2.626419E-2</v>
      </c>
      <c r="H22" s="27" t="s">
        <v>142</v>
      </c>
    </row>
    <row r="23" spans="1:8" x14ac:dyDescent="0.2">
      <c r="A23" s="28">
        <v>17</v>
      </c>
      <c r="B23" s="29" t="s">
        <v>48</v>
      </c>
      <c r="C23" s="29" t="s">
        <v>49</v>
      </c>
      <c r="D23" s="29" t="s">
        <v>19</v>
      </c>
      <c r="E23" s="30">
        <v>7465</v>
      </c>
      <c r="F23" s="31">
        <v>85.007687500000003</v>
      </c>
      <c r="G23" s="32">
        <v>2.3361429999999999E-2</v>
      </c>
      <c r="H23" s="27" t="s">
        <v>142</v>
      </c>
    </row>
    <row r="24" spans="1:8" x14ac:dyDescent="0.2">
      <c r="A24" s="28">
        <v>18</v>
      </c>
      <c r="B24" s="29" t="s">
        <v>230</v>
      </c>
      <c r="C24" s="29" t="s">
        <v>231</v>
      </c>
      <c r="D24" s="29" t="s">
        <v>132</v>
      </c>
      <c r="E24" s="30">
        <v>707</v>
      </c>
      <c r="F24" s="31">
        <v>83.882014999999996</v>
      </c>
      <c r="G24" s="32">
        <v>2.3052070000000001E-2</v>
      </c>
      <c r="H24" s="27" t="s">
        <v>142</v>
      </c>
    </row>
    <row r="25" spans="1:8" x14ac:dyDescent="0.2">
      <c r="A25" s="28">
        <v>19</v>
      </c>
      <c r="B25" s="29" t="s">
        <v>56</v>
      </c>
      <c r="C25" s="29" t="s">
        <v>57</v>
      </c>
      <c r="D25" s="29" t="s">
        <v>58</v>
      </c>
      <c r="E25" s="30">
        <v>7562</v>
      </c>
      <c r="F25" s="31">
        <v>82.758527999999998</v>
      </c>
      <c r="G25" s="32">
        <v>2.2743320000000001E-2</v>
      </c>
      <c r="H25" s="27" t="s">
        <v>142</v>
      </c>
    </row>
    <row r="26" spans="1:8" x14ac:dyDescent="0.2">
      <c r="A26" s="28">
        <v>20</v>
      </c>
      <c r="B26" s="29" t="s">
        <v>388</v>
      </c>
      <c r="C26" s="29" t="s">
        <v>389</v>
      </c>
      <c r="D26" s="29" t="s">
        <v>132</v>
      </c>
      <c r="E26" s="30">
        <v>4105</v>
      </c>
      <c r="F26" s="31">
        <v>76.607510000000005</v>
      </c>
      <c r="G26" s="32">
        <v>2.1052930000000001E-2</v>
      </c>
      <c r="H26" s="27" t="s">
        <v>142</v>
      </c>
    </row>
    <row r="27" spans="1:8" x14ac:dyDescent="0.2">
      <c r="A27" s="28">
        <v>21</v>
      </c>
      <c r="B27" s="29" t="s">
        <v>405</v>
      </c>
      <c r="C27" s="29" t="s">
        <v>406</v>
      </c>
      <c r="D27" s="29" t="s">
        <v>200</v>
      </c>
      <c r="E27" s="30">
        <v>19125</v>
      </c>
      <c r="F27" s="31">
        <v>76.595624999999998</v>
      </c>
      <c r="G27" s="32">
        <v>2.1049660000000001E-2</v>
      </c>
      <c r="H27" s="27" t="s">
        <v>142</v>
      </c>
    </row>
    <row r="28" spans="1:8" x14ac:dyDescent="0.2">
      <c r="A28" s="28">
        <v>22</v>
      </c>
      <c r="B28" s="29" t="s">
        <v>76</v>
      </c>
      <c r="C28" s="29" t="s">
        <v>77</v>
      </c>
      <c r="D28" s="29" t="s">
        <v>73</v>
      </c>
      <c r="E28" s="30">
        <v>1517</v>
      </c>
      <c r="F28" s="31">
        <v>76.271726000000001</v>
      </c>
      <c r="G28" s="32">
        <v>2.0960650000000001E-2</v>
      </c>
      <c r="H28" s="27" t="s">
        <v>142</v>
      </c>
    </row>
    <row r="29" spans="1:8" x14ac:dyDescent="0.2">
      <c r="A29" s="28">
        <v>23</v>
      </c>
      <c r="B29" s="29" t="s">
        <v>390</v>
      </c>
      <c r="C29" s="29" t="s">
        <v>391</v>
      </c>
      <c r="D29" s="29" t="s">
        <v>392</v>
      </c>
      <c r="E29" s="30">
        <v>7495</v>
      </c>
      <c r="F29" s="31">
        <v>73.8444875</v>
      </c>
      <c r="G29" s="32">
        <v>2.029361E-2</v>
      </c>
      <c r="H29" s="27" t="s">
        <v>142</v>
      </c>
    </row>
    <row r="30" spans="1:8" x14ac:dyDescent="0.2">
      <c r="A30" s="28">
        <v>24</v>
      </c>
      <c r="B30" s="29" t="s">
        <v>393</v>
      </c>
      <c r="C30" s="29" t="s">
        <v>394</v>
      </c>
      <c r="D30" s="29" t="s">
        <v>200</v>
      </c>
      <c r="E30" s="30">
        <v>16328</v>
      </c>
      <c r="F30" s="31">
        <v>72.463663999999994</v>
      </c>
      <c r="G30" s="32">
        <v>1.991414E-2</v>
      </c>
      <c r="H30" s="27" t="s">
        <v>142</v>
      </c>
    </row>
    <row r="31" spans="1:8" x14ac:dyDescent="0.2">
      <c r="A31" s="28">
        <v>25</v>
      </c>
      <c r="B31" s="29" t="s">
        <v>386</v>
      </c>
      <c r="C31" s="29" t="s">
        <v>387</v>
      </c>
      <c r="D31" s="29" t="s">
        <v>132</v>
      </c>
      <c r="E31" s="30">
        <v>9140</v>
      </c>
      <c r="F31" s="31">
        <v>72.036910000000006</v>
      </c>
      <c r="G31" s="32">
        <v>1.9796859999999999E-2</v>
      </c>
      <c r="H31" s="27" t="s">
        <v>142</v>
      </c>
    </row>
    <row r="32" spans="1:8" x14ac:dyDescent="0.2">
      <c r="A32" s="28">
        <v>26</v>
      </c>
      <c r="B32" s="29" t="s">
        <v>395</v>
      </c>
      <c r="C32" s="29" t="s">
        <v>396</v>
      </c>
      <c r="D32" s="29" t="s">
        <v>132</v>
      </c>
      <c r="E32" s="30">
        <v>6319</v>
      </c>
      <c r="F32" s="31">
        <v>66.027231</v>
      </c>
      <c r="G32" s="32">
        <v>1.81453E-2</v>
      </c>
      <c r="H32" s="27" t="s">
        <v>142</v>
      </c>
    </row>
    <row r="33" spans="1:8" x14ac:dyDescent="0.2">
      <c r="A33" s="28">
        <v>27</v>
      </c>
      <c r="B33" s="29" t="s">
        <v>397</v>
      </c>
      <c r="C33" s="29" t="s">
        <v>398</v>
      </c>
      <c r="D33" s="29" t="s">
        <v>73</v>
      </c>
      <c r="E33" s="30">
        <v>14157</v>
      </c>
      <c r="F33" s="31">
        <v>65.263769999999994</v>
      </c>
      <c r="G33" s="32">
        <v>1.7935489999999998E-2</v>
      </c>
      <c r="H33" s="27" t="s">
        <v>142</v>
      </c>
    </row>
    <row r="34" spans="1:8" x14ac:dyDescent="0.2">
      <c r="A34" s="28">
        <v>28</v>
      </c>
      <c r="B34" s="29" t="s">
        <v>401</v>
      </c>
      <c r="C34" s="29" t="s">
        <v>402</v>
      </c>
      <c r="D34" s="29" t="s">
        <v>229</v>
      </c>
      <c r="E34" s="30">
        <v>9506</v>
      </c>
      <c r="F34" s="31">
        <v>63.618904999999998</v>
      </c>
      <c r="G34" s="32">
        <v>1.7483459999999999E-2</v>
      </c>
      <c r="H34" s="27" t="s">
        <v>142</v>
      </c>
    </row>
    <row r="35" spans="1:8" ht="25.5" x14ac:dyDescent="0.2">
      <c r="A35" s="28">
        <v>29</v>
      </c>
      <c r="B35" s="29" t="s">
        <v>399</v>
      </c>
      <c r="C35" s="29" t="s">
        <v>400</v>
      </c>
      <c r="D35" s="29" t="s">
        <v>194</v>
      </c>
      <c r="E35" s="30">
        <v>10194</v>
      </c>
      <c r="F35" s="31">
        <v>62.142623999999998</v>
      </c>
      <c r="G35" s="32">
        <v>1.7077749999999999E-2</v>
      </c>
      <c r="H35" s="27" t="s">
        <v>142</v>
      </c>
    </row>
    <row r="36" spans="1:8" x14ac:dyDescent="0.2">
      <c r="A36" s="28">
        <v>30</v>
      </c>
      <c r="B36" s="29" t="s">
        <v>441</v>
      </c>
      <c r="C36" s="29" t="s">
        <v>442</v>
      </c>
      <c r="D36" s="29" t="s">
        <v>73</v>
      </c>
      <c r="E36" s="30">
        <v>10251</v>
      </c>
      <c r="F36" s="31">
        <v>50.9115915</v>
      </c>
      <c r="G36" s="32">
        <v>1.399129E-2</v>
      </c>
      <c r="H36" s="27" t="s">
        <v>142</v>
      </c>
    </row>
    <row r="37" spans="1:8" x14ac:dyDescent="0.2">
      <c r="A37" s="28">
        <v>31</v>
      </c>
      <c r="B37" s="29" t="s">
        <v>409</v>
      </c>
      <c r="C37" s="29" t="s">
        <v>410</v>
      </c>
      <c r="D37" s="29" t="s">
        <v>263</v>
      </c>
      <c r="E37" s="30">
        <v>12789</v>
      </c>
      <c r="F37" s="31">
        <v>46.8652905</v>
      </c>
      <c r="G37" s="32">
        <v>1.287931E-2</v>
      </c>
      <c r="H37" s="27" t="s">
        <v>142</v>
      </c>
    </row>
    <row r="38" spans="1:8" x14ac:dyDescent="0.2">
      <c r="A38" s="28">
        <v>32</v>
      </c>
      <c r="B38" s="29" t="s">
        <v>413</v>
      </c>
      <c r="C38" s="29" t="s">
        <v>414</v>
      </c>
      <c r="D38" s="29" t="s">
        <v>61</v>
      </c>
      <c r="E38" s="30">
        <v>3949</v>
      </c>
      <c r="F38" s="31">
        <v>30.355962999999999</v>
      </c>
      <c r="G38" s="32">
        <v>8.3422900000000005E-3</v>
      </c>
      <c r="H38" s="27" t="s">
        <v>142</v>
      </c>
    </row>
    <row r="39" spans="1:8" x14ac:dyDescent="0.2">
      <c r="A39" s="28">
        <v>33</v>
      </c>
      <c r="B39" s="29" t="s">
        <v>411</v>
      </c>
      <c r="C39" s="29" t="s">
        <v>412</v>
      </c>
      <c r="D39" s="29" t="s">
        <v>61</v>
      </c>
      <c r="E39" s="30">
        <v>3365</v>
      </c>
      <c r="F39" s="31">
        <v>26.176335000000002</v>
      </c>
      <c r="G39" s="32">
        <v>7.1936600000000002E-3</v>
      </c>
      <c r="H39" s="27" t="s">
        <v>142</v>
      </c>
    </row>
    <row r="40" spans="1:8" x14ac:dyDescent="0.2">
      <c r="A40" s="28">
        <v>34</v>
      </c>
      <c r="B40" s="29" t="s">
        <v>417</v>
      </c>
      <c r="C40" s="29" t="s">
        <v>418</v>
      </c>
      <c r="D40" s="29" t="s">
        <v>64</v>
      </c>
      <c r="E40" s="30">
        <v>4604</v>
      </c>
      <c r="F40" s="31">
        <v>16.786183999999999</v>
      </c>
      <c r="G40" s="32">
        <v>4.6131000000000002E-3</v>
      </c>
      <c r="H40" s="27" t="s">
        <v>142</v>
      </c>
    </row>
    <row r="41" spans="1:8" x14ac:dyDescent="0.2">
      <c r="A41" s="25"/>
      <c r="B41" s="25"/>
      <c r="C41" s="26" t="s">
        <v>141</v>
      </c>
      <c r="D41" s="25"/>
      <c r="E41" s="25" t="s">
        <v>142</v>
      </c>
      <c r="F41" s="33">
        <v>3488.7074303999998</v>
      </c>
      <c r="G41" s="34">
        <v>0.95875071000000001</v>
      </c>
      <c r="H41" s="27" t="s">
        <v>142</v>
      </c>
    </row>
    <row r="42" spans="1:8" x14ac:dyDescent="0.2">
      <c r="A42" s="25"/>
      <c r="B42" s="25"/>
      <c r="C42" s="35"/>
      <c r="D42" s="25"/>
      <c r="E42" s="25"/>
      <c r="F42" s="36"/>
      <c r="G42" s="36"/>
      <c r="H42" s="27" t="s">
        <v>142</v>
      </c>
    </row>
    <row r="43" spans="1:8" x14ac:dyDescent="0.2">
      <c r="A43" s="25"/>
      <c r="B43" s="25"/>
      <c r="C43" s="26" t="s">
        <v>143</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145</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146</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147</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148</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149</v>
      </c>
      <c r="D58" s="25"/>
      <c r="E58" s="25"/>
      <c r="F58" s="33">
        <v>3488.7074303999998</v>
      </c>
      <c r="G58" s="34">
        <v>0.95875071000000001</v>
      </c>
      <c r="H58" s="27" t="s">
        <v>142</v>
      </c>
    </row>
    <row r="59" spans="1:8" x14ac:dyDescent="0.2">
      <c r="A59" s="25"/>
      <c r="B59" s="25"/>
      <c r="C59" s="35"/>
      <c r="D59" s="25"/>
      <c r="E59" s="25"/>
      <c r="F59" s="36"/>
      <c r="G59" s="36"/>
      <c r="H59" s="27" t="s">
        <v>142</v>
      </c>
    </row>
    <row r="60" spans="1:8" x14ac:dyDescent="0.2">
      <c r="A60" s="25"/>
      <c r="B60" s="25"/>
      <c r="C60" s="26" t="s">
        <v>150</v>
      </c>
      <c r="D60" s="25"/>
      <c r="E60" s="25"/>
      <c r="F60" s="36"/>
      <c r="G60" s="36"/>
      <c r="H60" s="27" t="s">
        <v>142</v>
      </c>
    </row>
    <row r="61" spans="1:8" x14ac:dyDescent="0.2">
      <c r="A61" s="25"/>
      <c r="B61" s="25"/>
      <c r="C61" s="26" t="s">
        <v>10</v>
      </c>
      <c r="D61" s="25"/>
      <c r="E61" s="25"/>
      <c r="F61" s="36"/>
      <c r="G61" s="36"/>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151</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152</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153</v>
      </c>
      <c r="D70" s="25"/>
      <c r="E70" s="25"/>
      <c r="F70" s="36"/>
      <c r="G70" s="36"/>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154</v>
      </c>
      <c r="D73" s="25"/>
      <c r="E73" s="25"/>
      <c r="F73" s="33">
        <v>0</v>
      </c>
      <c r="G73" s="34">
        <v>0</v>
      </c>
      <c r="H73" s="27" t="s">
        <v>142</v>
      </c>
    </row>
    <row r="74" spans="1:8" x14ac:dyDescent="0.2">
      <c r="A74" s="25"/>
      <c r="B74" s="25"/>
      <c r="C74" s="35"/>
      <c r="D74" s="25"/>
      <c r="E74" s="25"/>
      <c r="F74" s="36"/>
      <c r="G74" s="36"/>
      <c r="H74" s="27" t="s">
        <v>142</v>
      </c>
    </row>
    <row r="75" spans="1:8" x14ac:dyDescent="0.2">
      <c r="A75" s="25"/>
      <c r="B75" s="25"/>
      <c r="C75" s="26" t="s">
        <v>155</v>
      </c>
      <c r="D75" s="25"/>
      <c r="E75" s="25"/>
      <c r="F75" s="36"/>
      <c r="G75" s="36"/>
      <c r="H75" s="27" t="s">
        <v>142</v>
      </c>
    </row>
    <row r="76" spans="1:8" x14ac:dyDescent="0.2">
      <c r="A76" s="25"/>
      <c r="B76" s="25"/>
      <c r="C76" s="26" t="s">
        <v>156</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157</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158</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159</v>
      </c>
      <c r="D85" s="25"/>
      <c r="E85" s="25"/>
      <c r="F85" s="36"/>
      <c r="G85" s="36"/>
      <c r="H85" s="27" t="s">
        <v>142</v>
      </c>
    </row>
    <row r="86" spans="1:8" x14ac:dyDescent="0.2">
      <c r="A86" s="28">
        <v>1</v>
      </c>
      <c r="B86" s="29"/>
      <c r="C86" s="29" t="s">
        <v>160</v>
      </c>
      <c r="D86" s="29"/>
      <c r="E86" s="39"/>
      <c r="F86" s="31">
        <v>148.21700190000001</v>
      </c>
      <c r="G86" s="32">
        <v>4.0732320000000002E-2</v>
      </c>
      <c r="H86" s="27">
        <v>5.76</v>
      </c>
    </row>
    <row r="87" spans="1:8" x14ac:dyDescent="0.2">
      <c r="A87" s="25"/>
      <c r="B87" s="25"/>
      <c r="C87" s="26" t="s">
        <v>141</v>
      </c>
      <c r="D87" s="25"/>
      <c r="E87" s="25" t="s">
        <v>142</v>
      </c>
      <c r="F87" s="33">
        <v>148.21700190000001</v>
      </c>
      <c r="G87" s="34">
        <v>4.0732320000000002E-2</v>
      </c>
      <c r="H87" s="27" t="s">
        <v>142</v>
      </c>
    </row>
    <row r="88" spans="1:8" x14ac:dyDescent="0.2">
      <c r="A88" s="25"/>
      <c r="B88" s="25"/>
      <c r="C88" s="35"/>
      <c r="D88" s="25"/>
      <c r="E88" s="25"/>
      <c r="F88" s="36"/>
      <c r="G88" s="36"/>
      <c r="H88" s="27" t="s">
        <v>142</v>
      </c>
    </row>
    <row r="89" spans="1:8" x14ac:dyDescent="0.2">
      <c r="A89" s="25"/>
      <c r="B89" s="25"/>
      <c r="C89" s="26" t="s">
        <v>161</v>
      </c>
      <c r="D89" s="25"/>
      <c r="E89" s="25"/>
      <c r="F89" s="33">
        <v>148.21700190000001</v>
      </c>
      <c r="G89" s="34">
        <v>4.0732320000000002E-2</v>
      </c>
      <c r="H89" s="27" t="s">
        <v>142</v>
      </c>
    </row>
    <row r="90" spans="1:8" x14ac:dyDescent="0.2">
      <c r="A90" s="25"/>
      <c r="B90" s="25"/>
      <c r="C90" s="36"/>
      <c r="D90" s="25"/>
      <c r="E90" s="25"/>
      <c r="F90" s="25"/>
      <c r="G90" s="25"/>
      <c r="H90" s="27" t="s">
        <v>142</v>
      </c>
    </row>
    <row r="91" spans="1:8" x14ac:dyDescent="0.2">
      <c r="A91" s="25"/>
      <c r="B91" s="25"/>
      <c r="C91" s="26" t="s">
        <v>162</v>
      </c>
      <c r="D91" s="25"/>
      <c r="E91" s="25"/>
      <c r="F91" s="25"/>
      <c r="G91" s="25"/>
      <c r="H91" s="27" t="s">
        <v>142</v>
      </c>
    </row>
    <row r="92" spans="1:8" x14ac:dyDescent="0.2">
      <c r="A92" s="25"/>
      <c r="B92" s="25"/>
      <c r="C92" s="26" t="s">
        <v>163</v>
      </c>
      <c r="D92" s="25"/>
      <c r="E92" s="25"/>
      <c r="F92" s="25"/>
      <c r="G92" s="25"/>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164</v>
      </c>
      <c r="D95" s="25"/>
      <c r="E95" s="25"/>
      <c r="F95" s="25"/>
      <c r="G95" s="25"/>
      <c r="H95" s="27" t="s">
        <v>142</v>
      </c>
    </row>
    <row r="96" spans="1:8" x14ac:dyDescent="0.2">
      <c r="A96" s="25"/>
      <c r="B96" s="25"/>
      <c r="C96" s="26" t="s">
        <v>165</v>
      </c>
      <c r="D96" s="25"/>
      <c r="E96" s="25"/>
      <c r="F96" s="25"/>
      <c r="G96" s="25"/>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25"/>
      <c r="B99" s="25"/>
      <c r="C99" s="26" t="s">
        <v>166</v>
      </c>
      <c r="D99" s="25"/>
      <c r="E99" s="25"/>
      <c r="F99" s="36"/>
      <c r="G99" s="36"/>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39"/>
      <c r="B102" s="29"/>
      <c r="C102" s="29" t="s">
        <v>167</v>
      </c>
      <c r="D102" s="29"/>
      <c r="E102" s="39"/>
      <c r="F102" s="31">
        <v>1.8811544600000001</v>
      </c>
      <c r="G102" s="32">
        <v>5.1696999999999995E-4</v>
      </c>
      <c r="H102" s="27" t="s">
        <v>142</v>
      </c>
    </row>
    <row r="103" spans="1:17" x14ac:dyDescent="0.2">
      <c r="A103" s="35"/>
      <c r="B103" s="35"/>
      <c r="C103" s="26" t="s">
        <v>168</v>
      </c>
      <c r="D103" s="36"/>
      <c r="E103" s="36"/>
      <c r="F103" s="33">
        <v>3638.8055867600001</v>
      </c>
      <c r="G103" s="40">
        <v>1</v>
      </c>
      <c r="H103" s="27" t="s">
        <v>142</v>
      </c>
    </row>
    <row r="104" spans="1:17" x14ac:dyDescent="0.2">
      <c r="A104" s="41"/>
      <c r="B104" s="41"/>
      <c r="C104" s="41"/>
      <c r="D104" s="42"/>
      <c r="E104" s="42"/>
      <c r="F104" s="42"/>
      <c r="G104" s="42"/>
    </row>
    <row r="105" spans="1:17" x14ac:dyDescent="0.2">
      <c r="A105" s="43"/>
      <c r="B105" s="210" t="s">
        <v>879</v>
      </c>
      <c r="C105" s="210"/>
      <c r="D105" s="210"/>
      <c r="E105" s="210"/>
      <c r="F105" s="210"/>
      <c r="G105" s="210"/>
      <c r="H105" s="210"/>
      <c r="J105" s="45"/>
    </row>
    <row r="106" spans="1:17" x14ac:dyDescent="0.2">
      <c r="A106" s="43"/>
      <c r="B106" s="210" t="s">
        <v>880</v>
      </c>
      <c r="C106" s="210"/>
      <c r="D106" s="210"/>
      <c r="E106" s="210"/>
      <c r="F106" s="210"/>
      <c r="G106" s="210"/>
      <c r="H106" s="210"/>
      <c r="J106" s="45"/>
    </row>
    <row r="107" spans="1:17" x14ac:dyDescent="0.2">
      <c r="A107" s="43"/>
      <c r="B107" s="210" t="s">
        <v>881</v>
      </c>
      <c r="C107" s="210"/>
      <c r="D107" s="210"/>
      <c r="E107" s="210"/>
      <c r="F107" s="210"/>
      <c r="G107" s="210"/>
      <c r="H107" s="210"/>
      <c r="J107" s="45"/>
    </row>
    <row r="108" spans="1:17" s="47" customFormat="1" ht="66.75" customHeight="1" x14ac:dyDescent="0.25">
      <c r="A108" s="46"/>
      <c r="B108" s="211" t="s">
        <v>882</v>
      </c>
      <c r="C108" s="211"/>
      <c r="D108" s="211"/>
      <c r="E108" s="211"/>
      <c r="F108" s="211"/>
      <c r="G108" s="211"/>
      <c r="H108" s="211"/>
      <c r="I108"/>
      <c r="J108" s="45"/>
      <c r="K108"/>
      <c r="L108"/>
      <c r="M108"/>
      <c r="N108"/>
      <c r="O108"/>
      <c r="P108"/>
      <c r="Q108"/>
    </row>
    <row r="109" spans="1:17" x14ac:dyDescent="0.2">
      <c r="A109" s="43"/>
      <c r="B109" s="210" t="s">
        <v>883</v>
      </c>
      <c r="C109" s="210"/>
      <c r="D109" s="210"/>
      <c r="E109" s="210"/>
      <c r="F109" s="210"/>
      <c r="G109" s="210"/>
      <c r="H109" s="210"/>
      <c r="J109" s="45"/>
    </row>
    <row r="110" spans="1:17" x14ac:dyDescent="0.2">
      <c r="A110" s="48"/>
      <c r="B110" s="48"/>
      <c r="C110" s="48"/>
      <c r="D110" s="49"/>
      <c r="E110" s="49"/>
      <c r="F110" s="49"/>
      <c r="G110" s="49"/>
    </row>
    <row r="111" spans="1:17" x14ac:dyDescent="0.2">
      <c r="A111" s="48"/>
      <c r="B111" s="212" t="s">
        <v>169</v>
      </c>
      <c r="C111" s="213"/>
      <c r="D111" s="214"/>
      <c r="E111" s="50"/>
      <c r="F111" s="49"/>
      <c r="G111" s="49"/>
    </row>
    <row r="112" spans="1:17" ht="27.75" customHeight="1" x14ac:dyDescent="0.2">
      <c r="A112" s="48"/>
      <c r="B112" s="215" t="s">
        <v>170</v>
      </c>
      <c r="C112" s="216"/>
      <c r="D112" s="26" t="s">
        <v>171</v>
      </c>
      <c r="E112" s="50"/>
      <c r="F112" s="49"/>
      <c r="G112" s="49"/>
    </row>
    <row r="113" spans="1:10" ht="12.75" customHeight="1" x14ac:dyDescent="0.2">
      <c r="A113" s="43"/>
      <c r="B113" s="217" t="s">
        <v>884</v>
      </c>
      <c r="C113" s="218"/>
      <c r="D113" s="26" t="s">
        <v>171</v>
      </c>
      <c r="E113" s="52"/>
      <c r="F113" s="53"/>
      <c r="G113" s="53"/>
    </row>
    <row r="114" spans="1:10" x14ac:dyDescent="0.2">
      <c r="A114" s="48"/>
      <c r="B114" s="215" t="s">
        <v>172</v>
      </c>
      <c r="C114" s="216"/>
      <c r="D114" s="36" t="s">
        <v>142</v>
      </c>
      <c r="E114" s="50"/>
      <c r="F114" s="49"/>
      <c r="G114" s="49"/>
    </row>
    <row r="115" spans="1:10" x14ac:dyDescent="0.2">
      <c r="A115" s="54"/>
      <c r="B115" s="55" t="s">
        <v>142</v>
      </c>
      <c r="C115" s="55" t="s">
        <v>885</v>
      </c>
      <c r="D115" s="55" t="s">
        <v>173</v>
      </c>
      <c r="E115" s="54"/>
      <c r="F115" s="54"/>
      <c r="G115" s="54"/>
      <c r="H115" s="54"/>
      <c r="J115" s="45"/>
    </row>
    <row r="116" spans="1:10" x14ac:dyDescent="0.2">
      <c r="A116" s="54"/>
      <c r="B116" s="56" t="s">
        <v>174</v>
      </c>
      <c r="C116" s="57">
        <v>45777</v>
      </c>
      <c r="D116" s="57">
        <v>45808</v>
      </c>
      <c r="E116" s="54"/>
      <c r="F116" s="54"/>
      <c r="G116" s="54"/>
      <c r="H116" s="45"/>
      <c r="J116" s="45"/>
    </row>
    <row r="117" spans="1:10" x14ac:dyDescent="0.2">
      <c r="A117" s="58"/>
      <c r="B117" s="29" t="s">
        <v>175</v>
      </c>
      <c r="C117" s="59">
        <v>24.889800000000001</v>
      </c>
      <c r="D117" s="59">
        <v>26.949300000000001</v>
      </c>
      <c r="E117" s="58"/>
      <c r="F117" s="60"/>
      <c r="G117" s="61"/>
    </row>
    <row r="118" spans="1:10" x14ac:dyDescent="0.2">
      <c r="A118" s="58"/>
      <c r="B118" s="29" t="s">
        <v>1065</v>
      </c>
      <c r="C118" s="59">
        <v>24.0899</v>
      </c>
      <c r="D118" s="59">
        <v>26.083100000000002</v>
      </c>
      <c r="E118" s="58"/>
      <c r="F118" s="60"/>
      <c r="G118" s="61"/>
    </row>
    <row r="119" spans="1:10" x14ac:dyDescent="0.2">
      <c r="A119" s="58"/>
      <c r="B119" s="29" t="s">
        <v>177</v>
      </c>
      <c r="C119" s="59">
        <v>23.754200000000001</v>
      </c>
      <c r="D119" s="59">
        <v>25.714400000000001</v>
      </c>
      <c r="E119" s="58"/>
      <c r="F119" s="60"/>
      <c r="G119" s="61"/>
    </row>
    <row r="120" spans="1:10" x14ac:dyDescent="0.2">
      <c r="A120" s="58"/>
      <c r="B120" s="29" t="s">
        <v>1066</v>
      </c>
      <c r="C120" s="59">
        <v>22.956900000000001</v>
      </c>
      <c r="D120" s="59">
        <v>24.851299999999998</v>
      </c>
      <c r="E120" s="58"/>
      <c r="F120" s="60"/>
      <c r="G120" s="61"/>
    </row>
    <row r="121" spans="1:10" x14ac:dyDescent="0.2">
      <c r="A121" s="58"/>
      <c r="B121" s="58"/>
      <c r="C121" s="58"/>
      <c r="D121" s="58"/>
      <c r="E121" s="58"/>
      <c r="F121" s="58"/>
      <c r="G121" s="58"/>
    </row>
    <row r="122" spans="1:10" x14ac:dyDescent="0.2">
      <c r="A122" s="54"/>
      <c r="B122" s="217" t="s">
        <v>887</v>
      </c>
      <c r="C122" s="218"/>
      <c r="D122" s="51" t="s">
        <v>171</v>
      </c>
      <c r="E122" s="54"/>
      <c r="F122" s="54"/>
      <c r="G122" s="54"/>
    </row>
    <row r="123" spans="1:10" x14ac:dyDescent="0.2">
      <c r="A123" s="54"/>
      <c r="B123" s="70"/>
      <c r="C123" s="70"/>
      <c r="D123" s="70"/>
      <c r="E123" s="54"/>
      <c r="F123" s="54"/>
      <c r="G123" s="54"/>
    </row>
    <row r="124" spans="1:10" x14ac:dyDescent="0.2">
      <c r="A124" s="54"/>
      <c r="B124" s="217" t="s">
        <v>180</v>
      </c>
      <c r="C124" s="218"/>
      <c r="D124" s="51" t="s">
        <v>171</v>
      </c>
      <c r="E124" s="65"/>
      <c r="F124" s="54"/>
      <c r="G124" s="54"/>
    </row>
    <row r="125" spans="1:10" x14ac:dyDescent="0.2">
      <c r="A125" s="54"/>
      <c r="B125" s="217" t="s">
        <v>181</v>
      </c>
      <c r="C125" s="218"/>
      <c r="D125" s="51" t="s">
        <v>171</v>
      </c>
      <c r="E125" s="65"/>
      <c r="F125" s="54"/>
      <c r="G125" s="54"/>
    </row>
    <row r="126" spans="1:10" x14ac:dyDescent="0.2">
      <c r="A126" s="54"/>
      <c r="B126" s="217" t="s">
        <v>182</v>
      </c>
      <c r="C126" s="218"/>
      <c r="D126" s="51" t="s">
        <v>171</v>
      </c>
      <c r="E126" s="65"/>
      <c r="F126" s="54"/>
      <c r="G126" s="54"/>
    </row>
    <row r="127" spans="1:10" x14ac:dyDescent="0.2">
      <c r="A127" s="54"/>
      <c r="B127" s="217" t="s">
        <v>183</v>
      </c>
      <c r="C127" s="218"/>
      <c r="D127" s="66">
        <v>0.30396820740143093</v>
      </c>
      <c r="E127" s="54"/>
      <c r="F127" s="44"/>
      <c r="G127" s="64"/>
    </row>
    <row r="129" spans="2:10" x14ac:dyDescent="0.2">
      <c r="B129" s="219" t="s">
        <v>888</v>
      </c>
      <c r="C129" s="219"/>
    </row>
    <row r="131" spans="2:10" ht="153.75" customHeight="1" x14ac:dyDescent="0.2"/>
    <row r="134" spans="2:10" x14ac:dyDescent="0.2">
      <c r="B134" s="67" t="s">
        <v>889</v>
      </c>
      <c r="C134" s="68"/>
      <c r="D134" s="67"/>
    </row>
    <row r="135" spans="2:10" x14ac:dyDescent="0.2">
      <c r="B135" s="67" t="s">
        <v>902</v>
      </c>
      <c r="D135" s="67"/>
    </row>
    <row r="136" spans="2:10" ht="165" customHeight="1" x14ac:dyDescent="0.2"/>
    <row r="137" spans="2:10" x14ac:dyDescent="0.2">
      <c r="J137"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sheetData>
  <mergeCells count="18">
    <mergeCell ref="B129:C129"/>
    <mergeCell ref="B122:C122"/>
    <mergeCell ref="B126:C126"/>
    <mergeCell ref="B127:C127"/>
    <mergeCell ref="B124:C124"/>
    <mergeCell ref="B125:C125"/>
    <mergeCell ref="A1:H1"/>
    <mergeCell ref="A2:H2"/>
    <mergeCell ref="A3:H3"/>
    <mergeCell ref="B105:H105"/>
    <mergeCell ref="B106:H106"/>
    <mergeCell ref="B113:C113"/>
    <mergeCell ref="B114:C114"/>
    <mergeCell ref="B107:H107"/>
    <mergeCell ref="B108:H108"/>
    <mergeCell ref="B109:H109"/>
    <mergeCell ref="B111:D111"/>
    <mergeCell ref="B112:C112"/>
  </mergeCells>
  <hyperlinks>
    <hyperlink ref="I1" location="Index!B2" display="Index" xr:uid="{BE45DE4F-930D-46B9-8B04-37E006D6A27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F125-F4CB-4D61-8B44-3DA8B5DAC820}">
  <sheetPr>
    <outlinePr summaryBelow="0" summaryRight="0"/>
  </sheetPr>
  <dimension ref="A1:Q173"/>
  <sheetViews>
    <sheetView showGridLines="0" workbookViewId="0">
      <selection activeCell="E149" sqref="E149"/>
    </sheetView>
  </sheetViews>
  <sheetFormatPr defaultRowHeight="12.75" x14ac:dyDescent="0.2"/>
  <cols>
    <col min="1" max="1" width="5.85546875" bestFit="1" customWidth="1"/>
    <col min="2" max="2" width="21.5703125" customWidth="1"/>
    <col min="3" max="3" width="40.140625" customWidth="1"/>
    <col min="4" max="4" width="18.85546875" customWidth="1"/>
    <col min="5" max="5" width="13.570312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446</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361</v>
      </c>
      <c r="C7" s="29" t="s">
        <v>362</v>
      </c>
      <c r="D7" s="29" t="s">
        <v>197</v>
      </c>
      <c r="E7" s="30">
        <v>1898655</v>
      </c>
      <c r="F7" s="31">
        <v>10619.177415</v>
      </c>
      <c r="G7" s="32">
        <v>3.2075770000000003E-2</v>
      </c>
      <c r="H7" s="27" t="s">
        <v>142</v>
      </c>
    </row>
    <row r="8" spans="1:9" x14ac:dyDescent="0.2">
      <c r="A8" s="28">
        <v>2</v>
      </c>
      <c r="B8" s="29" t="s">
        <v>365</v>
      </c>
      <c r="C8" s="29" t="s">
        <v>366</v>
      </c>
      <c r="D8" s="29" t="s">
        <v>61</v>
      </c>
      <c r="E8" s="30">
        <v>410809</v>
      </c>
      <c r="F8" s="31">
        <v>9480.2392930000005</v>
      </c>
      <c r="G8" s="32">
        <v>2.8635549999999999E-2</v>
      </c>
      <c r="H8" s="27" t="s">
        <v>142</v>
      </c>
    </row>
    <row r="9" spans="1:9" x14ac:dyDescent="0.2">
      <c r="A9" s="28">
        <v>3</v>
      </c>
      <c r="B9" s="29" t="s">
        <v>395</v>
      </c>
      <c r="C9" s="29" t="s">
        <v>396</v>
      </c>
      <c r="D9" s="29" t="s">
        <v>132</v>
      </c>
      <c r="E9" s="30">
        <v>906389</v>
      </c>
      <c r="F9" s="31">
        <v>9470.8586610000002</v>
      </c>
      <c r="G9" s="32">
        <v>2.8607210000000001E-2</v>
      </c>
      <c r="H9" s="27" t="s">
        <v>142</v>
      </c>
    </row>
    <row r="10" spans="1:9" x14ac:dyDescent="0.2">
      <c r="A10" s="28">
        <v>4</v>
      </c>
      <c r="B10" s="29" t="s">
        <v>337</v>
      </c>
      <c r="C10" s="29" t="s">
        <v>338</v>
      </c>
      <c r="D10" s="29" t="s">
        <v>263</v>
      </c>
      <c r="E10" s="30">
        <v>530036</v>
      </c>
      <c r="F10" s="31">
        <v>9199.3048159999998</v>
      </c>
      <c r="G10" s="32">
        <v>2.7786970000000001E-2</v>
      </c>
      <c r="H10" s="27" t="s">
        <v>142</v>
      </c>
    </row>
    <row r="11" spans="1:9" x14ac:dyDescent="0.2">
      <c r="A11" s="28">
        <v>5</v>
      </c>
      <c r="B11" s="29" t="s">
        <v>71</v>
      </c>
      <c r="C11" s="29" t="s">
        <v>72</v>
      </c>
      <c r="D11" s="29" t="s">
        <v>73</v>
      </c>
      <c r="E11" s="30">
        <v>936780</v>
      </c>
      <c r="F11" s="31">
        <v>7927.0323600000002</v>
      </c>
      <c r="G11" s="32">
        <v>2.3944010000000002E-2</v>
      </c>
      <c r="H11" s="27" t="s">
        <v>142</v>
      </c>
    </row>
    <row r="12" spans="1:9" x14ac:dyDescent="0.2">
      <c r="A12" s="28">
        <v>6</v>
      </c>
      <c r="B12" s="29" t="s">
        <v>74</v>
      </c>
      <c r="C12" s="29" t="s">
        <v>75</v>
      </c>
      <c r="D12" s="29" t="s">
        <v>64</v>
      </c>
      <c r="E12" s="30">
        <v>140821</v>
      </c>
      <c r="F12" s="31">
        <v>7892.1721239999997</v>
      </c>
      <c r="G12" s="32">
        <v>2.3838709999999999E-2</v>
      </c>
      <c r="H12" s="27" t="s">
        <v>142</v>
      </c>
    </row>
    <row r="13" spans="1:9" x14ac:dyDescent="0.2">
      <c r="A13" s="28">
        <v>7</v>
      </c>
      <c r="B13" s="29" t="s">
        <v>447</v>
      </c>
      <c r="C13" s="29" t="s">
        <v>448</v>
      </c>
      <c r="D13" s="29" t="s">
        <v>449</v>
      </c>
      <c r="E13" s="30">
        <v>793969</v>
      </c>
      <c r="F13" s="31">
        <v>7543.8964534999996</v>
      </c>
      <c r="G13" s="32">
        <v>2.2786730000000002E-2</v>
      </c>
      <c r="H13" s="27" t="s">
        <v>142</v>
      </c>
    </row>
    <row r="14" spans="1:9" x14ac:dyDescent="0.2">
      <c r="A14" s="28">
        <v>8</v>
      </c>
      <c r="B14" s="29" t="s">
        <v>369</v>
      </c>
      <c r="C14" s="29" t="s">
        <v>370</v>
      </c>
      <c r="D14" s="29" t="s">
        <v>28</v>
      </c>
      <c r="E14" s="30">
        <v>16665062</v>
      </c>
      <c r="F14" s="31">
        <v>7170.9761785999999</v>
      </c>
      <c r="G14" s="32">
        <v>2.16603E-2</v>
      </c>
      <c r="H14" s="27" t="s">
        <v>142</v>
      </c>
    </row>
    <row r="15" spans="1:9" x14ac:dyDescent="0.2">
      <c r="A15" s="28">
        <v>9</v>
      </c>
      <c r="B15" s="29" t="s">
        <v>62</v>
      </c>
      <c r="C15" s="29" t="s">
        <v>63</v>
      </c>
      <c r="D15" s="29" t="s">
        <v>64</v>
      </c>
      <c r="E15" s="30">
        <v>648946</v>
      </c>
      <c r="F15" s="31">
        <v>7154.3051770000002</v>
      </c>
      <c r="G15" s="32">
        <v>2.1609949999999999E-2</v>
      </c>
      <c r="H15" s="27" t="s">
        <v>142</v>
      </c>
    </row>
    <row r="16" spans="1:9" ht="25.5" x14ac:dyDescent="0.2">
      <c r="A16" s="28">
        <v>10</v>
      </c>
      <c r="B16" s="29" t="s">
        <v>450</v>
      </c>
      <c r="C16" s="29" t="s">
        <v>451</v>
      </c>
      <c r="D16" s="29" t="s">
        <v>203</v>
      </c>
      <c r="E16" s="30">
        <v>1184520</v>
      </c>
      <c r="F16" s="31">
        <v>6992.22156</v>
      </c>
      <c r="G16" s="32">
        <v>2.1120360000000001E-2</v>
      </c>
      <c r="H16" s="27" t="s">
        <v>142</v>
      </c>
    </row>
    <row r="17" spans="1:8" x14ac:dyDescent="0.2">
      <c r="A17" s="28">
        <v>11</v>
      </c>
      <c r="B17" s="29" t="s">
        <v>388</v>
      </c>
      <c r="C17" s="29" t="s">
        <v>389</v>
      </c>
      <c r="D17" s="29" t="s">
        <v>132</v>
      </c>
      <c r="E17" s="30">
        <v>370226</v>
      </c>
      <c r="F17" s="31">
        <v>6909.157612</v>
      </c>
      <c r="G17" s="32">
        <v>2.0869470000000001E-2</v>
      </c>
      <c r="H17" s="27" t="s">
        <v>142</v>
      </c>
    </row>
    <row r="18" spans="1:8" x14ac:dyDescent="0.2">
      <c r="A18" s="28">
        <v>12</v>
      </c>
      <c r="B18" s="29" t="s">
        <v>371</v>
      </c>
      <c r="C18" s="29" t="s">
        <v>372</v>
      </c>
      <c r="D18" s="29" t="s">
        <v>212</v>
      </c>
      <c r="E18" s="30">
        <v>224785</v>
      </c>
      <c r="F18" s="31">
        <v>6823.5734599999996</v>
      </c>
      <c r="G18" s="32">
        <v>2.0610949999999999E-2</v>
      </c>
      <c r="H18" s="27" t="s">
        <v>142</v>
      </c>
    </row>
    <row r="19" spans="1:8" x14ac:dyDescent="0.2">
      <c r="A19" s="28">
        <v>13</v>
      </c>
      <c r="B19" s="29" t="s">
        <v>452</v>
      </c>
      <c r="C19" s="29" t="s">
        <v>453</v>
      </c>
      <c r="D19" s="29" t="s">
        <v>31</v>
      </c>
      <c r="E19" s="30">
        <v>399900</v>
      </c>
      <c r="F19" s="31">
        <v>6561.5591999999997</v>
      </c>
      <c r="G19" s="32">
        <v>1.9819529999999998E-2</v>
      </c>
      <c r="H19" s="27" t="s">
        <v>142</v>
      </c>
    </row>
    <row r="20" spans="1:8" x14ac:dyDescent="0.2">
      <c r="A20" s="28">
        <v>14</v>
      </c>
      <c r="B20" s="29" t="s">
        <v>234</v>
      </c>
      <c r="C20" s="29" t="s">
        <v>235</v>
      </c>
      <c r="D20" s="29" t="s">
        <v>229</v>
      </c>
      <c r="E20" s="30">
        <v>669376</v>
      </c>
      <c r="F20" s="31">
        <v>6142.8635519999998</v>
      </c>
      <c r="G20" s="32">
        <v>1.8554830000000001E-2</v>
      </c>
      <c r="H20" s="27" t="s">
        <v>142</v>
      </c>
    </row>
    <row r="21" spans="1:8" ht="25.5" x14ac:dyDescent="0.2">
      <c r="A21" s="28">
        <v>15</v>
      </c>
      <c r="B21" s="29" t="s">
        <v>454</v>
      </c>
      <c r="C21" s="29" t="s">
        <v>455</v>
      </c>
      <c r="D21" s="29" t="s">
        <v>194</v>
      </c>
      <c r="E21" s="30">
        <v>115943</v>
      </c>
      <c r="F21" s="31">
        <v>6108.5728980000004</v>
      </c>
      <c r="G21" s="32">
        <v>1.8451260000000001E-2</v>
      </c>
      <c r="H21" s="27" t="s">
        <v>142</v>
      </c>
    </row>
    <row r="22" spans="1:8" x14ac:dyDescent="0.2">
      <c r="A22" s="28">
        <v>16</v>
      </c>
      <c r="B22" s="29" t="s">
        <v>377</v>
      </c>
      <c r="C22" s="29" t="s">
        <v>378</v>
      </c>
      <c r="D22" s="29" t="s">
        <v>28</v>
      </c>
      <c r="E22" s="30">
        <v>9377207</v>
      </c>
      <c r="F22" s="31">
        <v>5964.8413726999997</v>
      </c>
      <c r="G22" s="32">
        <v>1.8017109999999999E-2</v>
      </c>
      <c r="H22" s="27" t="s">
        <v>142</v>
      </c>
    </row>
    <row r="23" spans="1:8" x14ac:dyDescent="0.2">
      <c r="A23" s="28">
        <v>17</v>
      </c>
      <c r="B23" s="29" t="s">
        <v>54</v>
      </c>
      <c r="C23" s="29" t="s">
        <v>55</v>
      </c>
      <c r="D23" s="29" t="s">
        <v>36</v>
      </c>
      <c r="E23" s="30">
        <v>1099317</v>
      </c>
      <c r="F23" s="31">
        <v>5726.3422529999998</v>
      </c>
      <c r="G23" s="32">
        <v>1.729671E-2</v>
      </c>
      <c r="H23" s="27" t="s">
        <v>142</v>
      </c>
    </row>
    <row r="24" spans="1:8" x14ac:dyDescent="0.2">
      <c r="A24" s="28">
        <v>18</v>
      </c>
      <c r="B24" s="29" t="s">
        <v>367</v>
      </c>
      <c r="C24" s="29" t="s">
        <v>368</v>
      </c>
      <c r="D24" s="29" t="s">
        <v>28</v>
      </c>
      <c r="E24" s="30">
        <v>1535716</v>
      </c>
      <c r="F24" s="31">
        <v>5603.0598259999997</v>
      </c>
      <c r="G24" s="32">
        <v>1.6924330000000001E-2</v>
      </c>
      <c r="H24" s="27" t="s">
        <v>142</v>
      </c>
    </row>
    <row r="25" spans="1:8" ht="25.5" x14ac:dyDescent="0.2">
      <c r="A25" s="28">
        <v>19</v>
      </c>
      <c r="B25" s="29" t="s">
        <v>43</v>
      </c>
      <c r="C25" s="29" t="s">
        <v>44</v>
      </c>
      <c r="D25" s="29" t="s">
        <v>45</v>
      </c>
      <c r="E25" s="30">
        <v>390188</v>
      </c>
      <c r="F25" s="31">
        <v>5590.6136640000004</v>
      </c>
      <c r="G25" s="32">
        <v>1.6886740000000001E-2</v>
      </c>
      <c r="H25" s="27" t="s">
        <v>142</v>
      </c>
    </row>
    <row r="26" spans="1:8" x14ac:dyDescent="0.2">
      <c r="A26" s="28">
        <v>20</v>
      </c>
      <c r="B26" s="29" t="s">
        <v>456</v>
      </c>
      <c r="C26" s="29" t="s">
        <v>457</v>
      </c>
      <c r="D26" s="29" t="s">
        <v>28</v>
      </c>
      <c r="E26" s="30">
        <v>3754816</v>
      </c>
      <c r="F26" s="31">
        <v>5519.5795200000002</v>
      </c>
      <c r="G26" s="32">
        <v>1.667217E-2</v>
      </c>
      <c r="H26" s="27" t="s">
        <v>142</v>
      </c>
    </row>
    <row r="27" spans="1:8" x14ac:dyDescent="0.2">
      <c r="A27" s="28">
        <v>21</v>
      </c>
      <c r="B27" s="29" t="s">
        <v>91</v>
      </c>
      <c r="C27" s="29" t="s">
        <v>92</v>
      </c>
      <c r="D27" s="29" t="s">
        <v>58</v>
      </c>
      <c r="E27" s="30">
        <v>383979</v>
      </c>
      <c r="F27" s="31">
        <v>5502.4190699999999</v>
      </c>
      <c r="G27" s="32">
        <v>1.6620340000000001E-2</v>
      </c>
      <c r="H27" s="27" t="s">
        <v>142</v>
      </c>
    </row>
    <row r="28" spans="1:8" x14ac:dyDescent="0.2">
      <c r="A28" s="28">
        <v>22</v>
      </c>
      <c r="B28" s="29" t="s">
        <v>393</v>
      </c>
      <c r="C28" s="29" t="s">
        <v>394</v>
      </c>
      <c r="D28" s="29" t="s">
        <v>200</v>
      </c>
      <c r="E28" s="30">
        <v>1232954</v>
      </c>
      <c r="F28" s="31">
        <v>5471.8498520000003</v>
      </c>
      <c r="G28" s="32">
        <v>1.6528000000000001E-2</v>
      </c>
      <c r="H28" s="27" t="s">
        <v>142</v>
      </c>
    </row>
    <row r="29" spans="1:8" x14ac:dyDescent="0.2">
      <c r="A29" s="28">
        <v>23</v>
      </c>
      <c r="B29" s="29" t="s">
        <v>373</v>
      </c>
      <c r="C29" s="29" t="s">
        <v>374</v>
      </c>
      <c r="D29" s="29" t="s">
        <v>61</v>
      </c>
      <c r="E29" s="30">
        <v>2131826</v>
      </c>
      <c r="F29" s="31">
        <v>5439.1408564000003</v>
      </c>
      <c r="G29" s="32">
        <v>1.6429200000000001E-2</v>
      </c>
      <c r="H29" s="27" t="s">
        <v>142</v>
      </c>
    </row>
    <row r="30" spans="1:8" x14ac:dyDescent="0.2">
      <c r="A30" s="28">
        <v>24</v>
      </c>
      <c r="B30" s="29" t="s">
        <v>458</v>
      </c>
      <c r="C30" s="29" t="s">
        <v>459</v>
      </c>
      <c r="D30" s="29" t="s">
        <v>64</v>
      </c>
      <c r="E30" s="30">
        <v>140438</v>
      </c>
      <c r="F30" s="31">
        <v>5306.7307060000003</v>
      </c>
      <c r="G30" s="32">
        <v>1.6029249999999998E-2</v>
      </c>
      <c r="H30" s="27" t="s">
        <v>142</v>
      </c>
    </row>
    <row r="31" spans="1:8" x14ac:dyDescent="0.2">
      <c r="A31" s="28">
        <v>25</v>
      </c>
      <c r="B31" s="29" t="s">
        <v>56</v>
      </c>
      <c r="C31" s="29" t="s">
        <v>57</v>
      </c>
      <c r="D31" s="29" t="s">
        <v>58</v>
      </c>
      <c r="E31" s="30">
        <v>476538</v>
      </c>
      <c r="F31" s="31">
        <v>5215.2318720000003</v>
      </c>
      <c r="G31" s="32">
        <v>1.575288E-2</v>
      </c>
      <c r="H31" s="27" t="s">
        <v>142</v>
      </c>
    </row>
    <row r="32" spans="1:8" ht="25.5" x14ac:dyDescent="0.2">
      <c r="A32" s="28">
        <v>26</v>
      </c>
      <c r="B32" s="29" t="s">
        <v>460</v>
      </c>
      <c r="C32" s="29" t="s">
        <v>461</v>
      </c>
      <c r="D32" s="29" t="s">
        <v>194</v>
      </c>
      <c r="E32" s="30">
        <v>44855</v>
      </c>
      <c r="F32" s="31">
        <v>5159.67065</v>
      </c>
      <c r="G32" s="32">
        <v>1.558505E-2</v>
      </c>
      <c r="H32" s="27" t="s">
        <v>142</v>
      </c>
    </row>
    <row r="33" spans="1:8" x14ac:dyDescent="0.2">
      <c r="A33" s="28">
        <v>27</v>
      </c>
      <c r="B33" s="29" t="s">
        <v>401</v>
      </c>
      <c r="C33" s="29" t="s">
        <v>402</v>
      </c>
      <c r="D33" s="29" t="s">
        <v>229</v>
      </c>
      <c r="E33" s="30">
        <v>724141</v>
      </c>
      <c r="F33" s="31">
        <v>4846.3136425000002</v>
      </c>
      <c r="G33" s="32">
        <v>1.463854E-2</v>
      </c>
      <c r="H33" s="27" t="s">
        <v>142</v>
      </c>
    </row>
    <row r="34" spans="1:8" x14ac:dyDescent="0.2">
      <c r="A34" s="28">
        <v>28</v>
      </c>
      <c r="B34" s="29" t="s">
        <v>329</v>
      </c>
      <c r="C34" s="29" t="s">
        <v>330</v>
      </c>
      <c r="D34" s="29" t="s">
        <v>212</v>
      </c>
      <c r="E34" s="30">
        <v>73404</v>
      </c>
      <c r="F34" s="31">
        <v>4846.1320800000003</v>
      </c>
      <c r="G34" s="32">
        <v>1.463799E-2</v>
      </c>
      <c r="H34" s="27" t="s">
        <v>142</v>
      </c>
    </row>
    <row r="35" spans="1:8" x14ac:dyDescent="0.2">
      <c r="A35" s="28">
        <v>29</v>
      </c>
      <c r="B35" s="29" t="s">
        <v>462</v>
      </c>
      <c r="C35" s="29" t="s">
        <v>463</v>
      </c>
      <c r="D35" s="29" t="s">
        <v>464</v>
      </c>
      <c r="E35" s="30">
        <v>888697</v>
      </c>
      <c r="F35" s="31">
        <v>4836.7334225000004</v>
      </c>
      <c r="G35" s="32">
        <v>1.46096E-2</v>
      </c>
      <c r="H35" s="27" t="s">
        <v>142</v>
      </c>
    </row>
    <row r="36" spans="1:8" x14ac:dyDescent="0.2">
      <c r="A36" s="28">
        <v>30</v>
      </c>
      <c r="B36" s="29" t="s">
        <v>465</v>
      </c>
      <c r="C36" s="29" t="s">
        <v>466</v>
      </c>
      <c r="D36" s="29" t="s">
        <v>197</v>
      </c>
      <c r="E36" s="30">
        <v>75317</v>
      </c>
      <c r="F36" s="31">
        <v>4656.8124515</v>
      </c>
      <c r="G36" s="32">
        <v>1.406614E-2</v>
      </c>
      <c r="H36" s="27" t="s">
        <v>142</v>
      </c>
    </row>
    <row r="37" spans="1:8" x14ac:dyDescent="0.2">
      <c r="A37" s="28">
        <v>31</v>
      </c>
      <c r="B37" s="29" t="s">
        <v>397</v>
      </c>
      <c r="C37" s="29" t="s">
        <v>398</v>
      </c>
      <c r="D37" s="29" t="s">
        <v>73</v>
      </c>
      <c r="E37" s="30">
        <v>1005408</v>
      </c>
      <c r="F37" s="31">
        <v>4634.9308799999999</v>
      </c>
      <c r="G37" s="32">
        <v>1.400005E-2</v>
      </c>
      <c r="H37" s="27" t="s">
        <v>142</v>
      </c>
    </row>
    <row r="38" spans="1:8" ht="25.5" x14ac:dyDescent="0.2">
      <c r="A38" s="28">
        <v>32</v>
      </c>
      <c r="B38" s="29" t="s">
        <v>467</v>
      </c>
      <c r="C38" s="29" t="s">
        <v>468</v>
      </c>
      <c r="D38" s="29" t="s">
        <v>123</v>
      </c>
      <c r="E38" s="30">
        <v>276000</v>
      </c>
      <c r="F38" s="31">
        <v>4554</v>
      </c>
      <c r="G38" s="32">
        <v>1.375559E-2</v>
      </c>
      <c r="H38" s="27" t="s">
        <v>142</v>
      </c>
    </row>
    <row r="39" spans="1:8" x14ac:dyDescent="0.2">
      <c r="A39" s="28">
        <v>33</v>
      </c>
      <c r="B39" s="29" t="s">
        <v>17</v>
      </c>
      <c r="C39" s="29" t="s">
        <v>18</v>
      </c>
      <c r="D39" s="29" t="s">
        <v>19</v>
      </c>
      <c r="E39" s="30">
        <v>119155</v>
      </c>
      <c r="F39" s="31">
        <v>4379.0654050000003</v>
      </c>
      <c r="G39" s="32">
        <v>1.322719E-2</v>
      </c>
      <c r="H39" s="27" t="s">
        <v>142</v>
      </c>
    </row>
    <row r="40" spans="1:8" x14ac:dyDescent="0.2">
      <c r="A40" s="28">
        <v>34</v>
      </c>
      <c r="B40" s="29" t="s">
        <v>469</v>
      </c>
      <c r="C40" s="29" t="s">
        <v>470</v>
      </c>
      <c r="D40" s="29" t="s">
        <v>212</v>
      </c>
      <c r="E40" s="30">
        <v>143580</v>
      </c>
      <c r="F40" s="31">
        <v>4239.4866599999996</v>
      </c>
      <c r="G40" s="32">
        <v>1.280559E-2</v>
      </c>
      <c r="H40" s="27" t="s">
        <v>142</v>
      </c>
    </row>
    <row r="41" spans="1:8" ht="25.5" x14ac:dyDescent="0.2">
      <c r="A41" s="28">
        <v>35</v>
      </c>
      <c r="B41" s="29" t="s">
        <v>432</v>
      </c>
      <c r="C41" s="29" t="s">
        <v>433</v>
      </c>
      <c r="D41" s="29" t="s">
        <v>25</v>
      </c>
      <c r="E41" s="30">
        <v>297739</v>
      </c>
      <c r="F41" s="31">
        <v>4092.124816</v>
      </c>
      <c r="G41" s="32">
        <v>1.236047E-2</v>
      </c>
      <c r="H41" s="27" t="s">
        <v>142</v>
      </c>
    </row>
    <row r="42" spans="1:8" x14ac:dyDescent="0.2">
      <c r="A42" s="28">
        <v>36</v>
      </c>
      <c r="B42" s="29" t="s">
        <v>295</v>
      </c>
      <c r="C42" s="29" t="s">
        <v>296</v>
      </c>
      <c r="D42" s="29" t="s">
        <v>86</v>
      </c>
      <c r="E42" s="30">
        <v>1234878</v>
      </c>
      <c r="F42" s="31">
        <v>4060.2788639999999</v>
      </c>
      <c r="G42" s="32">
        <v>1.2264280000000001E-2</v>
      </c>
      <c r="H42" s="27" t="s">
        <v>142</v>
      </c>
    </row>
    <row r="43" spans="1:8" x14ac:dyDescent="0.2">
      <c r="A43" s="28">
        <v>37</v>
      </c>
      <c r="B43" s="29" t="s">
        <v>471</v>
      </c>
      <c r="C43" s="29" t="s">
        <v>472</v>
      </c>
      <c r="D43" s="29" t="s">
        <v>270</v>
      </c>
      <c r="E43" s="30">
        <v>816578</v>
      </c>
      <c r="F43" s="31">
        <v>4044.9191230000001</v>
      </c>
      <c r="G43" s="32">
        <v>1.221789E-2</v>
      </c>
      <c r="H43" s="27" t="s">
        <v>142</v>
      </c>
    </row>
    <row r="44" spans="1:8" x14ac:dyDescent="0.2">
      <c r="A44" s="28">
        <v>38</v>
      </c>
      <c r="B44" s="29" t="s">
        <v>409</v>
      </c>
      <c r="C44" s="29" t="s">
        <v>410</v>
      </c>
      <c r="D44" s="29" t="s">
        <v>263</v>
      </c>
      <c r="E44" s="30">
        <v>1087903</v>
      </c>
      <c r="F44" s="31">
        <v>3986.6205435000002</v>
      </c>
      <c r="G44" s="32">
        <v>1.204179E-2</v>
      </c>
      <c r="H44" s="27" t="s">
        <v>142</v>
      </c>
    </row>
    <row r="45" spans="1:8" x14ac:dyDescent="0.2">
      <c r="A45" s="28">
        <v>39</v>
      </c>
      <c r="B45" s="29" t="s">
        <v>473</v>
      </c>
      <c r="C45" s="29" t="s">
        <v>474</v>
      </c>
      <c r="D45" s="29" t="s">
        <v>263</v>
      </c>
      <c r="E45" s="30">
        <v>288821</v>
      </c>
      <c r="F45" s="31">
        <v>3889.8412279999998</v>
      </c>
      <c r="G45" s="32">
        <v>1.174947E-2</v>
      </c>
      <c r="H45" s="27" t="s">
        <v>142</v>
      </c>
    </row>
    <row r="46" spans="1:8" x14ac:dyDescent="0.2">
      <c r="A46" s="28">
        <v>40</v>
      </c>
      <c r="B46" s="29" t="s">
        <v>48</v>
      </c>
      <c r="C46" s="29" t="s">
        <v>49</v>
      </c>
      <c r="D46" s="29" t="s">
        <v>19</v>
      </c>
      <c r="E46" s="30">
        <v>337012</v>
      </c>
      <c r="F46" s="31">
        <v>3837.72415</v>
      </c>
      <c r="G46" s="32">
        <v>1.159204E-2</v>
      </c>
      <c r="H46" s="27" t="s">
        <v>142</v>
      </c>
    </row>
    <row r="47" spans="1:8" x14ac:dyDescent="0.2">
      <c r="A47" s="28">
        <v>41</v>
      </c>
      <c r="B47" s="29" t="s">
        <v>475</v>
      </c>
      <c r="C47" s="29" t="s">
        <v>476</v>
      </c>
      <c r="D47" s="29" t="s">
        <v>61</v>
      </c>
      <c r="E47" s="30">
        <v>1603225</v>
      </c>
      <c r="F47" s="31">
        <v>3637.5572025000001</v>
      </c>
      <c r="G47" s="32">
        <v>1.0987429999999999E-2</v>
      </c>
      <c r="H47" s="27" t="s">
        <v>142</v>
      </c>
    </row>
    <row r="48" spans="1:8" x14ac:dyDescent="0.2">
      <c r="A48" s="28">
        <v>42</v>
      </c>
      <c r="B48" s="29" t="s">
        <v>303</v>
      </c>
      <c r="C48" s="29" t="s">
        <v>304</v>
      </c>
      <c r="D48" s="29" t="s">
        <v>305</v>
      </c>
      <c r="E48" s="30">
        <v>615179</v>
      </c>
      <c r="F48" s="31">
        <v>3593.8757179999998</v>
      </c>
      <c r="G48" s="32">
        <v>1.0855490000000001E-2</v>
      </c>
      <c r="H48" s="27" t="s">
        <v>142</v>
      </c>
    </row>
    <row r="49" spans="1:8" x14ac:dyDescent="0.2">
      <c r="A49" s="28">
        <v>43</v>
      </c>
      <c r="B49" s="29" t="s">
        <v>348</v>
      </c>
      <c r="C49" s="29" t="s">
        <v>349</v>
      </c>
      <c r="D49" s="29" t="s">
        <v>290</v>
      </c>
      <c r="E49" s="30">
        <v>1493974</v>
      </c>
      <c r="F49" s="31">
        <v>3560.2894394</v>
      </c>
      <c r="G49" s="32">
        <v>1.0754039999999999E-2</v>
      </c>
      <c r="H49" s="27" t="s">
        <v>142</v>
      </c>
    </row>
    <row r="50" spans="1:8" x14ac:dyDescent="0.2">
      <c r="A50" s="28">
        <v>44</v>
      </c>
      <c r="B50" s="29" t="s">
        <v>477</v>
      </c>
      <c r="C50" s="29" t="s">
        <v>478</v>
      </c>
      <c r="D50" s="29" t="s">
        <v>73</v>
      </c>
      <c r="E50" s="30">
        <v>74038</v>
      </c>
      <c r="F50" s="31">
        <v>3476.8244800000002</v>
      </c>
      <c r="G50" s="32">
        <v>1.050193E-2</v>
      </c>
      <c r="H50" s="27" t="s">
        <v>142</v>
      </c>
    </row>
    <row r="51" spans="1:8" ht="25.5" x14ac:dyDescent="0.2">
      <c r="A51" s="28">
        <v>45</v>
      </c>
      <c r="B51" s="29" t="s">
        <v>399</v>
      </c>
      <c r="C51" s="29" t="s">
        <v>400</v>
      </c>
      <c r="D51" s="29" t="s">
        <v>194</v>
      </c>
      <c r="E51" s="30">
        <v>499667</v>
      </c>
      <c r="F51" s="31">
        <v>3045.9700320000002</v>
      </c>
      <c r="G51" s="32">
        <v>9.2005100000000003E-3</v>
      </c>
      <c r="H51" s="27" t="s">
        <v>142</v>
      </c>
    </row>
    <row r="52" spans="1:8" x14ac:dyDescent="0.2">
      <c r="A52" s="28">
        <v>46</v>
      </c>
      <c r="B52" s="29" t="s">
        <v>390</v>
      </c>
      <c r="C52" s="29" t="s">
        <v>391</v>
      </c>
      <c r="D52" s="29" t="s">
        <v>392</v>
      </c>
      <c r="E52" s="30">
        <v>308127</v>
      </c>
      <c r="F52" s="31">
        <v>3035.8212675</v>
      </c>
      <c r="G52" s="32">
        <v>9.1698500000000002E-3</v>
      </c>
      <c r="H52" s="27" t="s">
        <v>142</v>
      </c>
    </row>
    <row r="53" spans="1:8" x14ac:dyDescent="0.2">
      <c r="A53" s="28">
        <v>47</v>
      </c>
      <c r="B53" s="29" t="s">
        <v>76</v>
      </c>
      <c r="C53" s="29" t="s">
        <v>77</v>
      </c>
      <c r="D53" s="29" t="s">
        <v>73</v>
      </c>
      <c r="E53" s="30">
        <v>60184</v>
      </c>
      <c r="F53" s="31">
        <v>3025.9311520000001</v>
      </c>
      <c r="G53" s="32">
        <v>9.1399800000000007E-3</v>
      </c>
      <c r="H53" s="27" t="s">
        <v>142</v>
      </c>
    </row>
    <row r="54" spans="1:8" x14ac:dyDescent="0.2">
      <c r="A54" s="28">
        <v>48</v>
      </c>
      <c r="B54" s="29" t="s">
        <v>441</v>
      </c>
      <c r="C54" s="29" t="s">
        <v>442</v>
      </c>
      <c r="D54" s="29" t="s">
        <v>73</v>
      </c>
      <c r="E54" s="30">
        <v>608663</v>
      </c>
      <c r="F54" s="31">
        <v>3022.9247894999999</v>
      </c>
      <c r="G54" s="32">
        <v>9.1309000000000008E-3</v>
      </c>
      <c r="H54" s="27" t="s">
        <v>142</v>
      </c>
    </row>
    <row r="55" spans="1:8" x14ac:dyDescent="0.2">
      <c r="A55" s="28">
        <v>49</v>
      </c>
      <c r="B55" s="29" t="s">
        <v>479</v>
      </c>
      <c r="C55" s="29" t="s">
        <v>480</v>
      </c>
      <c r="D55" s="29" t="s">
        <v>212</v>
      </c>
      <c r="E55" s="30">
        <v>251901</v>
      </c>
      <c r="F55" s="31">
        <v>2998.1257019999998</v>
      </c>
      <c r="G55" s="32">
        <v>9.0559899999999999E-3</v>
      </c>
      <c r="H55" s="27" t="s">
        <v>142</v>
      </c>
    </row>
    <row r="56" spans="1:8" ht="25.5" x14ac:dyDescent="0.2">
      <c r="A56" s="28">
        <v>50</v>
      </c>
      <c r="B56" s="29" t="s">
        <v>379</v>
      </c>
      <c r="C56" s="29" t="s">
        <v>380</v>
      </c>
      <c r="D56" s="29" t="s">
        <v>194</v>
      </c>
      <c r="E56" s="30">
        <v>177419</v>
      </c>
      <c r="F56" s="31">
        <v>2974.074697</v>
      </c>
      <c r="G56" s="32">
        <v>8.9833499999999993E-3</v>
      </c>
      <c r="H56" s="27" t="s">
        <v>142</v>
      </c>
    </row>
    <row r="57" spans="1:8" ht="25.5" x14ac:dyDescent="0.2">
      <c r="A57" s="28">
        <v>51</v>
      </c>
      <c r="B57" s="29" t="s">
        <v>481</v>
      </c>
      <c r="C57" s="29" t="s">
        <v>482</v>
      </c>
      <c r="D57" s="29" t="s">
        <v>273</v>
      </c>
      <c r="E57" s="30">
        <v>176665</v>
      </c>
      <c r="F57" s="31">
        <v>2968.3253300000001</v>
      </c>
      <c r="G57" s="32">
        <v>8.9659800000000001E-3</v>
      </c>
      <c r="H57" s="27" t="s">
        <v>142</v>
      </c>
    </row>
    <row r="58" spans="1:8" x14ac:dyDescent="0.2">
      <c r="A58" s="28">
        <v>52</v>
      </c>
      <c r="B58" s="29" t="s">
        <v>483</v>
      </c>
      <c r="C58" s="29" t="s">
        <v>484</v>
      </c>
      <c r="D58" s="29" t="s">
        <v>485</v>
      </c>
      <c r="E58" s="30">
        <v>258182</v>
      </c>
      <c r="F58" s="31">
        <v>2908.4202300000002</v>
      </c>
      <c r="G58" s="32">
        <v>8.7850299999999992E-3</v>
      </c>
      <c r="H58" s="27" t="s">
        <v>142</v>
      </c>
    </row>
    <row r="59" spans="1:8" x14ac:dyDescent="0.2">
      <c r="A59" s="28">
        <v>53</v>
      </c>
      <c r="B59" s="29" t="s">
        <v>486</v>
      </c>
      <c r="C59" s="29" t="s">
        <v>487</v>
      </c>
      <c r="D59" s="29" t="s">
        <v>61</v>
      </c>
      <c r="E59" s="30">
        <v>749032</v>
      </c>
      <c r="F59" s="31">
        <v>2854.186436</v>
      </c>
      <c r="G59" s="32">
        <v>8.6212200000000006E-3</v>
      </c>
      <c r="H59" s="27" t="s">
        <v>142</v>
      </c>
    </row>
    <row r="60" spans="1:8" x14ac:dyDescent="0.2">
      <c r="A60" s="28">
        <v>54</v>
      </c>
      <c r="B60" s="29" t="s">
        <v>415</v>
      </c>
      <c r="C60" s="29" t="s">
        <v>416</v>
      </c>
      <c r="D60" s="29" t="s">
        <v>73</v>
      </c>
      <c r="E60" s="30">
        <v>275772</v>
      </c>
      <c r="F60" s="31">
        <v>2735.1066959999998</v>
      </c>
      <c r="G60" s="32">
        <v>8.2615299999999996E-3</v>
      </c>
      <c r="H60" s="27" t="s">
        <v>142</v>
      </c>
    </row>
    <row r="61" spans="1:8" x14ac:dyDescent="0.2">
      <c r="A61" s="28">
        <v>55</v>
      </c>
      <c r="B61" s="29" t="s">
        <v>488</v>
      </c>
      <c r="C61" s="29" t="s">
        <v>489</v>
      </c>
      <c r="D61" s="29" t="s">
        <v>290</v>
      </c>
      <c r="E61" s="30">
        <v>2248576</v>
      </c>
      <c r="F61" s="31">
        <v>2704.1374976000002</v>
      </c>
      <c r="G61" s="32">
        <v>8.16799E-3</v>
      </c>
      <c r="H61" s="27" t="s">
        <v>142</v>
      </c>
    </row>
    <row r="62" spans="1:8" x14ac:dyDescent="0.2">
      <c r="A62" s="28">
        <v>56</v>
      </c>
      <c r="B62" s="29" t="s">
        <v>59</v>
      </c>
      <c r="C62" s="29" t="s">
        <v>60</v>
      </c>
      <c r="D62" s="29" t="s">
        <v>61</v>
      </c>
      <c r="E62" s="30">
        <v>38742</v>
      </c>
      <c r="F62" s="31">
        <v>2514.9369299999998</v>
      </c>
      <c r="G62" s="32">
        <v>7.5965E-3</v>
      </c>
      <c r="H62" s="27" t="s">
        <v>142</v>
      </c>
    </row>
    <row r="63" spans="1:8" x14ac:dyDescent="0.2">
      <c r="A63" s="28">
        <v>57</v>
      </c>
      <c r="B63" s="29" t="s">
        <v>403</v>
      </c>
      <c r="C63" s="29" t="s">
        <v>404</v>
      </c>
      <c r="D63" s="29" t="s">
        <v>132</v>
      </c>
      <c r="E63" s="30">
        <v>212263</v>
      </c>
      <c r="F63" s="31">
        <v>2429.3500349999999</v>
      </c>
      <c r="G63" s="32">
        <v>7.33798E-3</v>
      </c>
      <c r="H63" s="27" t="s">
        <v>142</v>
      </c>
    </row>
    <row r="64" spans="1:8" x14ac:dyDescent="0.2">
      <c r="A64" s="28">
        <v>58</v>
      </c>
      <c r="B64" s="29" t="s">
        <v>109</v>
      </c>
      <c r="C64" s="29" t="s">
        <v>110</v>
      </c>
      <c r="D64" s="29" t="s">
        <v>73</v>
      </c>
      <c r="E64" s="30">
        <v>65662</v>
      </c>
      <c r="F64" s="31">
        <v>2370.529524</v>
      </c>
      <c r="G64" s="32">
        <v>7.1603099999999996E-3</v>
      </c>
      <c r="H64" s="27" t="s">
        <v>142</v>
      </c>
    </row>
    <row r="65" spans="1:8" x14ac:dyDescent="0.2">
      <c r="A65" s="28">
        <v>59</v>
      </c>
      <c r="B65" s="29" t="s">
        <v>130</v>
      </c>
      <c r="C65" s="29" t="s">
        <v>131</v>
      </c>
      <c r="D65" s="29" t="s">
        <v>132</v>
      </c>
      <c r="E65" s="30">
        <v>539249</v>
      </c>
      <c r="F65" s="31">
        <v>2169.3987269999998</v>
      </c>
      <c r="G65" s="32">
        <v>6.5527800000000002E-3</v>
      </c>
      <c r="H65" s="27" t="s">
        <v>142</v>
      </c>
    </row>
    <row r="66" spans="1:8" x14ac:dyDescent="0.2">
      <c r="A66" s="28">
        <v>60</v>
      </c>
      <c r="B66" s="29" t="s">
        <v>405</v>
      </c>
      <c r="C66" s="29" t="s">
        <v>406</v>
      </c>
      <c r="D66" s="29" t="s">
        <v>200</v>
      </c>
      <c r="E66" s="30">
        <v>498569</v>
      </c>
      <c r="F66" s="31">
        <v>1996.7688450000001</v>
      </c>
      <c r="G66" s="32">
        <v>6.0313399999999996E-3</v>
      </c>
      <c r="H66" s="27" t="s">
        <v>142</v>
      </c>
    </row>
    <row r="67" spans="1:8" x14ac:dyDescent="0.2">
      <c r="A67" s="28">
        <v>61</v>
      </c>
      <c r="B67" s="29" t="s">
        <v>352</v>
      </c>
      <c r="C67" s="29" t="s">
        <v>353</v>
      </c>
      <c r="D67" s="29" t="s">
        <v>254</v>
      </c>
      <c r="E67" s="30">
        <v>276702</v>
      </c>
      <c r="F67" s="31">
        <v>1990.8708899999999</v>
      </c>
      <c r="G67" s="32">
        <v>6.0135299999999996E-3</v>
      </c>
      <c r="H67" s="27" t="s">
        <v>142</v>
      </c>
    </row>
    <row r="68" spans="1:8" ht="25.5" x14ac:dyDescent="0.2">
      <c r="A68" s="28">
        <v>62</v>
      </c>
      <c r="B68" s="29" t="s">
        <v>39</v>
      </c>
      <c r="C68" s="29" t="s">
        <v>40</v>
      </c>
      <c r="D68" s="29" t="s">
        <v>25</v>
      </c>
      <c r="E68" s="30">
        <v>35066</v>
      </c>
      <c r="F68" s="31">
        <v>1927.75335</v>
      </c>
      <c r="G68" s="32">
        <v>5.8228799999999999E-3</v>
      </c>
      <c r="H68" s="27" t="s">
        <v>142</v>
      </c>
    </row>
    <row r="69" spans="1:8" ht="25.5" x14ac:dyDescent="0.2">
      <c r="A69" s="28">
        <v>63</v>
      </c>
      <c r="B69" s="29" t="s">
        <v>381</v>
      </c>
      <c r="C69" s="29" t="s">
        <v>382</v>
      </c>
      <c r="D69" s="29" t="s">
        <v>273</v>
      </c>
      <c r="E69" s="30">
        <v>45069</v>
      </c>
      <c r="F69" s="31">
        <v>1920.4802279999999</v>
      </c>
      <c r="G69" s="32">
        <v>5.8009100000000003E-3</v>
      </c>
      <c r="H69" s="27" t="s">
        <v>142</v>
      </c>
    </row>
    <row r="70" spans="1:8" x14ac:dyDescent="0.2">
      <c r="A70" s="28">
        <v>64</v>
      </c>
      <c r="B70" s="29" t="s">
        <v>436</v>
      </c>
      <c r="C70" s="29" t="s">
        <v>437</v>
      </c>
      <c r="D70" s="29" t="s">
        <v>28</v>
      </c>
      <c r="E70" s="30">
        <v>200577</v>
      </c>
      <c r="F70" s="31">
        <v>1638.6138014999999</v>
      </c>
      <c r="G70" s="32">
        <v>4.9495199999999998E-3</v>
      </c>
      <c r="H70" s="27" t="s">
        <v>142</v>
      </c>
    </row>
    <row r="71" spans="1:8" ht="25.5" x14ac:dyDescent="0.2">
      <c r="A71" s="28">
        <v>65</v>
      </c>
      <c r="B71" s="29" t="s">
        <v>490</v>
      </c>
      <c r="C71" s="29" t="s">
        <v>491</v>
      </c>
      <c r="D71" s="29" t="s">
        <v>385</v>
      </c>
      <c r="E71" s="30">
        <v>490776</v>
      </c>
      <c r="F71" s="31">
        <v>1615.3892040000001</v>
      </c>
      <c r="G71" s="32">
        <v>4.8793700000000001E-3</v>
      </c>
      <c r="H71" s="27" t="s">
        <v>142</v>
      </c>
    </row>
    <row r="72" spans="1:8" x14ac:dyDescent="0.2">
      <c r="A72" s="28">
        <v>66</v>
      </c>
      <c r="B72" s="29" t="s">
        <v>317</v>
      </c>
      <c r="C72" s="29" t="s">
        <v>318</v>
      </c>
      <c r="D72" s="29" t="s">
        <v>28</v>
      </c>
      <c r="E72" s="30">
        <v>79947</v>
      </c>
      <c r="F72" s="31">
        <v>1554.889203</v>
      </c>
      <c r="G72" s="32">
        <v>4.6966200000000003E-3</v>
      </c>
      <c r="H72" s="27" t="s">
        <v>142</v>
      </c>
    </row>
    <row r="73" spans="1:8" ht="25.5" x14ac:dyDescent="0.2">
      <c r="A73" s="28">
        <v>67</v>
      </c>
      <c r="B73" s="29" t="s">
        <v>271</v>
      </c>
      <c r="C73" s="29" t="s">
        <v>272</v>
      </c>
      <c r="D73" s="29" t="s">
        <v>273</v>
      </c>
      <c r="E73" s="30">
        <v>65271</v>
      </c>
      <c r="F73" s="31">
        <v>1323.238983</v>
      </c>
      <c r="G73" s="32">
        <v>3.9969100000000002E-3</v>
      </c>
      <c r="H73" s="27" t="s">
        <v>142</v>
      </c>
    </row>
    <row r="74" spans="1:8" x14ac:dyDescent="0.2">
      <c r="A74" s="25"/>
      <c r="B74" s="25"/>
      <c r="C74" s="26" t="s">
        <v>141</v>
      </c>
      <c r="D74" s="25"/>
      <c r="E74" s="25" t="s">
        <v>142</v>
      </c>
      <c r="F74" s="33">
        <v>307394.164065719</v>
      </c>
      <c r="G74" s="34">
        <v>0.92849988000000006</v>
      </c>
      <c r="H74" s="27" t="s">
        <v>142</v>
      </c>
    </row>
    <row r="75" spans="1:8" x14ac:dyDescent="0.2">
      <c r="A75" s="25"/>
      <c r="B75" s="25"/>
      <c r="C75" s="35"/>
      <c r="D75" s="25"/>
      <c r="E75" s="25"/>
      <c r="F75" s="36"/>
      <c r="G75" s="36"/>
      <c r="H75" s="27" t="s">
        <v>142</v>
      </c>
    </row>
    <row r="76" spans="1:8" x14ac:dyDescent="0.2">
      <c r="A76" s="25"/>
      <c r="B76" s="25"/>
      <c r="C76" s="26" t="s">
        <v>143</v>
      </c>
      <c r="D76" s="25"/>
      <c r="E76" s="25"/>
      <c r="F76" s="25"/>
      <c r="G76" s="25"/>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145</v>
      </c>
      <c r="D79" s="25"/>
      <c r="E79" s="25"/>
      <c r="F79" s="25"/>
      <c r="G79" s="25"/>
      <c r="H79" s="27" t="s">
        <v>142</v>
      </c>
    </row>
    <row r="80" spans="1:8" x14ac:dyDescent="0.2">
      <c r="A80" s="28">
        <v>1</v>
      </c>
      <c r="B80" s="29" t="s">
        <v>138</v>
      </c>
      <c r="C80" s="38" t="s">
        <v>886</v>
      </c>
      <c r="D80" s="29" t="s">
        <v>139</v>
      </c>
      <c r="E80" s="30">
        <v>375961</v>
      </c>
      <c r="F80" s="31">
        <v>7.5190000000000003E-6</v>
      </c>
      <c r="G80" s="39" t="s">
        <v>140</v>
      </c>
      <c r="H80" s="27" t="s">
        <v>142</v>
      </c>
    </row>
    <row r="81" spans="1:8" x14ac:dyDescent="0.2">
      <c r="A81" s="25"/>
      <c r="B81" s="25"/>
      <c r="C81" s="26" t="s">
        <v>141</v>
      </c>
      <c r="D81" s="25"/>
      <c r="E81" s="25" t="s">
        <v>142</v>
      </c>
      <c r="F81" s="37" t="s">
        <v>144</v>
      </c>
      <c r="G81" s="34">
        <v>0</v>
      </c>
      <c r="H81" s="27" t="s">
        <v>142</v>
      </c>
    </row>
    <row r="82" spans="1:8" x14ac:dyDescent="0.2">
      <c r="A82" s="25"/>
      <c r="B82" s="25"/>
      <c r="C82" s="35"/>
      <c r="D82" s="25"/>
      <c r="E82" s="25"/>
      <c r="F82" s="36"/>
      <c r="G82" s="36"/>
      <c r="H82" s="27" t="s">
        <v>142</v>
      </c>
    </row>
    <row r="83" spans="1:8" x14ac:dyDescent="0.2">
      <c r="A83" s="25"/>
      <c r="B83" s="25"/>
      <c r="C83" s="26" t="s">
        <v>146</v>
      </c>
      <c r="D83" s="25"/>
      <c r="E83" s="25"/>
      <c r="F83" s="25"/>
      <c r="G83" s="25"/>
      <c r="H83" s="27" t="s">
        <v>142</v>
      </c>
    </row>
    <row r="84" spans="1:8" x14ac:dyDescent="0.2">
      <c r="A84" s="25"/>
      <c r="B84" s="25"/>
      <c r="C84" s="26" t="s">
        <v>141</v>
      </c>
      <c r="D84" s="25"/>
      <c r="E84" s="25" t="s">
        <v>142</v>
      </c>
      <c r="F84" s="37" t="s">
        <v>144</v>
      </c>
      <c r="G84" s="34">
        <v>0</v>
      </c>
      <c r="H84" s="27" t="s">
        <v>142</v>
      </c>
    </row>
    <row r="85" spans="1:8" x14ac:dyDescent="0.2">
      <c r="A85" s="25"/>
      <c r="B85" s="25"/>
      <c r="C85" s="35"/>
      <c r="D85" s="25"/>
      <c r="E85" s="25"/>
      <c r="F85" s="36"/>
      <c r="G85" s="36"/>
      <c r="H85" s="27" t="s">
        <v>142</v>
      </c>
    </row>
    <row r="86" spans="1:8" x14ac:dyDescent="0.2">
      <c r="A86" s="25"/>
      <c r="B86" s="25"/>
      <c r="C86" s="26" t="s">
        <v>147</v>
      </c>
      <c r="D86" s="25"/>
      <c r="E86" s="25"/>
      <c r="F86" s="36"/>
      <c r="G86" s="36"/>
      <c r="H86" s="27" t="s">
        <v>142</v>
      </c>
    </row>
    <row r="87" spans="1:8" x14ac:dyDescent="0.2">
      <c r="A87" s="25"/>
      <c r="B87" s="25"/>
      <c r="C87" s="26" t="s">
        <v>141</v>
      </c>
      <c r="D87" s="25"/>
      <c r="E87" s="25" t="s">
        <v>142</v>
      </c>
      <c r="F87" s="37" t="s">
        <v>144</v>
      </c>
      <c r="G87" s="34">
        <v>0</v>
      </c>
      <c r="H87" s="27" t="s">
        <v>142</v>
      </c>
    </row>
    <row r="88" spans="1:8" x14ac:dyDescent="0.2">
      <c r="A88" s="25"/>
      <c r="B88" s="25"/>
      <c r="C88" s="35"/>
      <c r="D88" s="25"/>
      <c r="E88" s="25"/>
      <c r="F88" s="36"/>
      <c r="G88" s="36"/>
      <c r="H88" s="27" t="s">
        <v>142</v>
      </c>
    </row>
    <row r="89" spans="1:8" x14ac:dyDescent="0.2">
      <c r="A89" s="25"/>
      <c r="B89" s="25"/>
      <c r="C89" s="26" t="s">
        <v>148</v>
      </c>
      <c r="D89" s="25"/>
      <c r="E89" s="25"/>
      <c r="F89" s="36"/>
      <c r="G89" s="36"/>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149</v>
      </c>
      <c r="D92" s="25"/>
      <c r="E92" s="25"/>
      <c r="F92" s="33">
        <v>307394.164065719</v>
      </c>
      <c r="G92" s="34">
        <v>0.92849988000000006</v>
      </c>
      <c r="H92" s="27" t="s">
        <v>142</v>
      </c>
    </row>
    <row r="93" spans="1:8" x14ac:dyDescent="0.2">
      <c r="A93" s="25"/>
      <c r="B93" s="25"/>
      <c r="C93" s="35"/>
      <c r="D93" s="25"/>
      <c r="E93" s="25"/>
      <c r="F93" s="36"/>
      <c r="G93" s="36"/>
      <c r="H93" s="27" t="s">
        <v>142</v>
      </c>
    </row>
    <row r="94" spans="1:8" x14ac:dyDescent="0.2">
      <c r="A94" s="25"/>
      <c r="B94" s="25"/>
      <c r="C94" s="26" t="s">
        <v>150</v>
      </c>
      <c r="D94" s="25"/>
      <c r="E94" s="25"/>
      <c r="F94" s="36"/>
      <c r="G94" s="36"/>
      <c r="H94" s="27" t="s">
        <v>142</v>
      </c>
    </row>
    <row r="95" spans="1:8" x14ac:dyDescent="0.2">
      <c r="A95" s="25"/>
      <c r="B95" s="25"/>
      <c r="C95" s="26" t="s">
        <v>10</v>
      </c>
      <c r="D95" s="25"/>
      <c r="E95" s="25"/>
      <c r="F95" s="36"/>
      <c r="G95" s="36"/>
      <c r="H95" s="27" t="s">
        <v>142</v>
      </c>
    </row>
    <row r="96" spans="1:8" x14ac:dyDescent="0.2">
      <c r="A96" s="25"/>
      <c r="B96" s="25"/>
      <c r="C96" s="26" t="s">
        <v>141</v>
      </c>
      <c r="D96" s="25"/>
      <c r="E96" s="25" t="s">
        <v>142</v>
      </c>
      <c r="F96" s="37" t="s">
        <v>144</v>
      </c>
      <c r="G96" s="34">
        <v>0</v>
      </c>
      <c r="H96" s="27" t="s">
        <v>142</v>
      </c>
    </row>
    <row r="97" spans="1:8" x14ac:dyDescent="0.2">
      <c r="A97" s="25"/>
      <c r="B97" s="25"/>
      <c r="C97" s="35"/>
      <c r="D97" s="25"/>
      <c r="E97" s="25"/>
      <c r="F97" s="36"/>
      <c r="G97" s="36"/>
      <c r="H97" s="27" t="s">
        <v>142</v>
      </c>
    </row>
    <row r="98" spans="1:8" x14ac:dyDescent="0.2">
      <c r="A98" s="25"/>
      <c r="B98" s="25"/>
      <c r="C98" s="26" t="s">
        <v>151</v>
      </c>
      <c r="D98" s="25"/>
      <c r="E98" s="25"/>
      <c r="F98" s="25"/>
      <c r="G98" s="25"/>
      <c r="H98" s="27" t="s">
        <v>142</v>
      </c>
    </row>
    <row r="99" spans="1:8" x14ac:dyDescent="0.2">
      <c r="A99" s="25"/>
      <c r="B99" s="25"/>
      <c r="C99" s="26" t="s">
        <v>141</v>
      </c>
      <c r="D99" s="25"/>
      <c r="E99" s="25" t="s">
        <v>142</v>
      </c>
      <c r="F99" s="37" t="s">
        <v>144</v>
      </c>
      <c r="G99" s="34">
        <v>0</v>
      </c>
      <c r="H99" s="27" t="s">
        <v>142</v>
      </c>
    </row>
    <row r="100" spans="1:8" x14ac:dyDescent="0.2">
      <c r="A100" s="25"/>
      <c r="B100" s="25"/>
      <c r="C100" s="35"/>
      <c r="D100" s="25"/>
      <c r="E100" s="25"/>
      <c r="F100" s="36"/>
      <c r="G100" s="36"/>
      <c r="H100" s="27" t="s">
        <v>142</v>
      </c>
    </row>
    <row r="101" spans="1:8" x14ac:dyDescent="0.2">
      <c r="A101" s="25"/>
      <c r="B101" s="25"/>
      <c r="C101" s="26" t="s">
        <v>152</v>
      </c>
      <c r="D101" s="25"/>
      <c r="E101" s="25"/>
      <c r="F101" s="25"/>
      <c r="G101" s="25"/>
      <c r="H101" s="27" t="s">
        <v>142</v>
      </c>
    </row>
    <row r="102" spans="1:8" x14ac:dyDescent="0.2">
      <c r="A102" s="25"/>
      <c r="B102" s="25"/>
      <c r="C102" s="26" t="s">
        <v>141</v>
      </c>
      <c r="D102" s="25"/>
      <c r="E102" s="25" t="s">
        <v>142</v>
      </c>
      <c r="F102" s="37" t="s">
        <v>144</v>
      </c>
      <c r="G102" s="34">
        <v>0</v>
      </c>
      <c r="H102" s="27" t="s">
        <v>142</v>
      </c>
    </row>
    <row r="103" spans="1:8" x14ac:dyDescent="0.2">
      <c r="A103" s="25"/>
      <c r="B103" s="25"/>
      <c r="C103" s="35"/>
      <c r="D103" s="25"/>
      <c r="E103" s="25"/>
      <c r="F103" s="36"/>
      <c r="G103" s="36"/>
      <c r="H103" s="27" t="s">
        <v>142</v>
      </c>
    </row>
    <row r="104" spans="1:8" x14ac:dyDescent="0.2">
      <c r="A104" s="25"/>
      <c r="B104" s="25"/>
      <c r="C104" s="26" t="s">
        <v>153</v>
      </c>
      <c r="D104" s="25"/>
      <c r="E104" s="25"/>
      <c r="F104" s="36"/>
      <c r="G104" s="36"/>
      <c r="H104" s="27" t="s">
        <v>142</v>
      </c>
    </row>
    <row r="105" spans="1:8" x14ac:dyDescent="0.2">
      <c r="A105" s="25"/>
      <c r="B105" s="25"/>
      <c r="C105" s="26" t="s">
        <v>141</v>
      </c>
      <c r="D105" s="25"/>
      <c r="E105" s="25" t="s">
        <v>142</v>
      </c>
      <c r="F105" s="37" t="s">
        <v>144</v>
      </c>
      <c r="G105" s="34">
        <v>0</v>
      </c>
      <c r="H105" s="27" t="s">
        <v>142</v>
      </c>
    </row>
    <row r="106" spans="1:8" x14ac:dyDescent="0.2">
      <c r="A106" s="25"/>
      <c r="B106" s="25"/>
      <c r="C106" s="35"/>
      <c r="D106" s="25"/>
      <c r="E106" s="25"/>
      <c r="F106" s="36"/>
      <c r="G106" s="36"/>
      <c r="H106" s="27" t="s">
        <v>142</v>
      </c>
    </row>
    <row r="107" spans="1:8" x14ac:dyDescent="0.2">
      <c r="A107" s="25"/>
      <c r="B107" s="25"/>
      <c r="C107" s="26" t="s">
        <v>154</v>
      </c>
      <c r="D107" s="25"/>
      <c r="E107" s="25"/>
      <c r="F107" s="33">
        <v>0</v>
      </c>
      <c r="G107" s="34">
        <v>0</v>
      </c>
      <c r="H107" s="27" t="s">
        <v>142</v>
      </c>
    </row>
    <row r="108" spans="1:8" x14ac:dyDescent="0.2">
      <c r="A108" s="25"/>
      <c r="B108" s="25"/>
      <c r="C108" s="35"/>
      <c r="D108" s="25"/>
      <c r="E108" s="25"/>
      <c r="F108" s="36"/>
      <c r="G108" s="36"/>
      <c r="H108" s="27" t="s">
        <v>142</v>
      </c>
    </row>
    <row r="109" spans="1:8" x14ac:dyDescent="0.2">
      <c r="A109" s="25"/>
      <c r="B109" s="25"/>
      <c r="C109" s="26" t="s">
        <v>155</v>
      </c>
      <c r="D109" s="25"/>
      <c r="E109" s="25"/>
      <c r="F109" s="36"/>
      <c r="G109" s="36"/>
      <c r="H109" s="27" t="s">
        <v>142</v>
      </c>
    </row>
    <row r="110" spans="1:8" x14ac:dyDescent="0.2">
      <c r="A110" s="25"/>
      <c r="B110" s="25"/>
      <c r="C110" s="26" t="s">
        <v>156</v>
      </c>
      <c r="D110" s="25"/>
      <c r="E110" s="25"/>
      <c r="F110" s="36"/>
      <c r="G110" s="36"/>
      <c r="H110" s="27" t="s">
        <v>142</v>
      </c>
    </row>
    <row r="111" spans="1:8" x14ac:dyDescent="0.2">
      <c r="A111" s="25"/>
      <c r="B111" s="25"/>
      <c r="C111" s="26" t="s">
        <v>141</v>
      </c>
      <c r="D111" s="25"/>
      <c r="E111" s="25" t="s">
        <v>142</v>
      </c>
      <c r="F111" s="37" t="s">
        <v>144</v>
      </c>
      <c r="G111" s="34">
        <v>0</v>
      </c>
      <c r="H111" s="27" t="s">
        <v>142</v>
      </c>
    </row>
    <row r="112" spans="1:8" x14ac:dyDescent="0.2">
      <c r="A112" s="25"/>
      <c r="B112" s="25"/>
      <c r="C112" s="35"/>
      <c r="D112" s="25"/>
      <c r="E112" s="25"/>
      <c r="F112" s="36"/>
      <c r="G112" s="36"/>
      <c r="H112" s="27" t="s">
        <v>142</v>
      </c>
    </row>
    <row r="113" spans="1:8" x14ac:dyDescent="0.2">
      <c r="A113" s="25"/>
      <c r="B113" s="25"/>
      <c r="C113" s="26" t="s">
        <v>157</v>
      </c>
      <c r="D113" s="25"/>
      <c r="E113" s="25"/>
      <c r="F113" s="36"/>
      <c r="G113" s="36"/>
      <c r="H113" s="27" t="s">
        <v>142</v>
      </c>
    </row>
    <row r="114" spans="1:8" x14ac:dyDescent="0.2">
      <c r="A114" s="25"/>
      <c r="B114" s="25"/>
      <c r="C114" s="26" t="s">
        <v>141</v>
      </c>
      <c r="D114" s="25"/>
      <c r="E114" s="25" t="s">
        <v>142</v>
      </c>
      <c r="F114" s="37" t="s">
        <v>144</v>
      </c>
      <c r="G114" s="34">
        <v>0</v>
      </c>
      <c r="H114" s="27" t="s">
        <v>142</v>
      </c>
    </row>
    <row r="115" spans="1:8" x14ac:dyDescent="0.2">
      <c r="A115" s="25"/>
      <c r="B115" s="25"/>
      <c r="C115" s="35"/>
      <c r="D115" s="25"/>
      <c r="E115" s="25"/>
      <c r="F115" s="36"/>
      <c r="G115" s="36"/>
      <c r="H115" s="27" t="s">
        <v>142</v>
      </c>
    </row>
    <row r="116" spans="1:8" x14ac:dyDescent="0.2">
      <c r="A116" s="25"/>
      <c r="B116" s="25"/>
      <c r="C116" s="26" t="s">
        <v>158</v>
      </c>
      <c r="D116" s="25"/>
      <c r="E116" s="25"/>
      <c r="F116" s="36"/>
      <c r="G116" s="36"/>
      <c r="H116" s="27" t="s">
        <v>142</v>
      </c>
    </row>
    <row r="117" spans="1:8" x14ac:dyDescent="0.2">
      <c r="A117" s="25"/>
      <c r="B117" s="25"/>
      <c r="C117" s="26" t="s">
        <v>141</v>
      </c>
      <c r="D117" s="25"/>
      <c r="E117" s="25" t="s">
        <v>142</v>
      </c>
      <c r="F117" s="37" t="s">
        <v>144</v>
      </c>
      <c r="G117" s="34">
        <v>0</v>
      </c>
      <c r="H117" s="27" t="s">
        <v>142</v>
      </c>
    </row>
    <row r="118" spans="1:8" x14ac:dyDescent="0.2">
      <c r="A118" s="25"/>
      <c r="B118" s="25"/>
      <c r="C118" s="35"/>
      <c r="D118" s="25"/>
      <c r="E118" s="25"/>
      <c r="F118" s="36"/>
      <c r="G118" s="36"/>
      <c r="H118" s="27" t="s">
        <v>142</v>
      </c>
    </row>
    <row r="119" spans="1:8" x14ac:dyDescent="0.2">
      <c r="A119" s="25"/>
      <c r="B119" s="25"/>
      <c r="C119" s="26" t="s">
        <v>159</v>
      </c>
      <c r="D119" s="25"/>
      <c r="E119" s="25"/>
      <c r="F119" s="36"/>
      <c r="G119" s="36"/>
      <c r="H119" s="27" t="s">
        <v>142</v>
      </c>
    </row>
    <row r="120" spans="1:8" x14ac:dyDescent="0.2">
      <c r="A120" s="28">
        <v>1</v>
      </c>
      <c r="B120" s="29"/>
      <c r="C120" s="29" t="s">
        <v>160</v>
      </c>
      <c r="D120" s="29"/>
      <c r="E120" s="39"/>
      <c r="F120" s="31">
        <v>20951.454242979002</v>
      </c>
      <c r="G120" s="32">
        <v>6.3284939999999998E-2</v>
      </c>
      <c r="H120" s="27">
        <v>5.76</v>
      </c>
    </row>
    <row r="121" spans="1:8" x14ac:dyDescent="0.2">
      <c r="A121" s="25"/>
      <c r="B121" s="25"/>
      <c r="C121" s="26" t="s">
        <v>141</v>
      </c>
      <c r="D121" s="25"/>
      <c r="E121" s="25" t="s">
        <v>142</v>
      </c>
      <c r="F121" s="33">
        <v>20951.454242979002</v>
      </c>
      <c r="G121" s="34">
        <v>6.3284939999999998E-2</v>
      </c>
      <c r="H121" s="27" t="s">
        <v>142</v>
      </c>
    </row>
    <row r="122" spans="1:8" x14ac:dyDescent="0.2">
      <c r="A122" s="25"/>
      <c r="B122" s="25"/>
      <c r="C122" s="35"/>
      <c r="D122" s="25"/>
      <c r="E122" s="25"/>
      <c r="F122" s="36"/>
      <c r="G122" s="36"/>
      <c r="H122" s="27" t="s">
        <v>142</v>
      </c>
    </row>
    <row r="123" spans="1:8" x14ac:dyDescent="0.2">
      <c r="A123" s="25"/>
      <c r="B123" s="25"/>
      <c r="C123" s="26" t="s">
        <v>161</v>
      </c>
      <c r="D123" s="25"/>
      <c r="E123" s="25"/>
      <c r="F123" s="33">
        <v>20951.454242979002</v>
      </c>
      <c r="G123" s="34">
        <v>6.3284939999999998E-2</v>
      </c>
      <c r="H123" s="27" t="s">
        <v>142</v>
      </c>
    </row>
    <row r="124" spans="1:8" x14ac:dyDescent="0.2">
      <c r="A124" s="25"/>
      <c r="B124" s="25"/>
      <c r="C124" s="36"/>
      <c r="D124" s="25"/>
      <c r="E124" s="25"/>
      <c r="F124" s="25"/>
      <c r="G124" s="25"/>
      <c r="H124" s="27" t="s">
        <v>142</v>
      </c>
    </row>
    <row r="125" spans="1:8" x14ac:dyDescent="0.2">
      <c r="A125" s="25"/>
      <c r="B125" s="25"/>
      <c r="C125" s="26" t="s">
        <v>162</v>
      </c>
      <c r="D125" s="25"/>
      <c r="E125" s="25"/>
      <c r="F125" s="25"/>
      <c r="G125" s="25"/>
      <c r="H125" s="27" t="s">
        <v>142</v>
      </c>
    </row>
    <row r="126" spans="1:8" x14ac:dyDescent="0.2">
      <c r="A126" s="25"/>
      <c r="B126" s="25"/>
      <c r="C126" s="26" t="s">
        <v>163</v>
      </c>
      <c r="D126" s="25"/>
      <c r="E126" s="25"/>
      <c r="F126" s="25"/>
      <c r="G126" s="25"/>
      <c r="H126" s="27" t="s">
        <v>142</v>
      </c>
    </row>
    <row r="127" spans="1:8" ht="25.5" x14ac:dyDescent="0.2">
      <c r="A127" s="28">
        <v>1</v>
      </c>
      <c r="B127" s="29" t="s">
        <v>492</v>
      </c>
      <c r="C127" s="29" t="s">
        <v>1075</v>
      </c>
      <c r="D127" s="29"/>
      <c r="E127" s="69">
        <v>13395446.6942</v>
      </c>
      <c r="F127" s="31">
        <v>2013.884851453</v>
      </c>
      <c r="G127" s="32">
        <v>6.0830399999999996E-3</v>
      </c>
      <c r="H127" s="27" t="s">
        <v>142</v>
      </c>
    </row>
    <row r="128" spans="1:8" x14ac:dyDescent="0.2">
      <c r="A128" s="25"/>
      <c r="B128" s="25"/>
      <c r="C128" s="26" t="s">
        <v>141</v>
      </c>
      <c r="D128" s="25"/>
      <c r="E128" s="25" t="s">
        <v>142</v>
      </c>
      <c r="F128" s="33">
        <v>2013.884851453</v>
      </c>
      <c r="G128" s="34">
        <v>6.0830399999999996E-3</v>
      </c>
      <c r="H128" s="27" t="s">
        <v>142</v>
      </c>
    </row>
    <row r="129" spans="1:17" x14ac:dyDescent="0.2">
      <c r="A129" s="25"/>
      <c r="B129" s="25"/>
      <c r="C129" s="35"/>
      <c r="D129" s="25"/>
      <c r="E129" s="25"/>
      <c r="F129" s="36"/>
      <c r="G129" s="36"/>
      <c r="H129" s="27" t="s">
        <v>142</v>
      </c>
    </row>
    <row r="130" spans="1:17" x14ac:dyDescent="0.2">
      <c r="A130" s="25"/>
      <c r="B130" s="25"/>
      <c r="C130" s="26" t="s">
        <v>164</v>
      </c>
      <c r="D130" s="25"/>
      <c r="E130" s="25"/>
      <c r="F130" s="25"/>
      <c r="G130" s="25"/>
      <c r="H130" s="27" t="s">
        <v>142</v>
      </c>
    </row>
    <row r="131" spans="1:17" x14ac:dyDescent="0.2">
      <c r="A131" s="25"/>
      <c r="B131" s="25"/>
      <c r="C131" s="26" t="s">
        <v>165</v>
      </c>
      <c r="D131" s="25"/>
      <c r="E131" s="25"/>
      <c r="F131" s="25"/>
      <c r="G131" s="25"/>
      <c r="H131" s="27" t="s">
        <v>142</v>
      </c>
    </row>
    <row r="132" spans="1:17" x14ac:dyDescent="0.2">
      <c r="A132" s="25"/>
      <c r="B132" s="25"/>
      <c r="C132" s="26" t="s">
        <v>141</v>
      </c>
      <c r="D132" s="25"/>
      <c r="E132" s="25" t="s">
        <v>142</v>
      </c>
      <c r="F132" s="37" t="s">
        <v>144</v>
      </c>
      <c r="G132" s="34">
        <v>0</v>
      </c>
      <c r="H132" s="27" t="s">
        <v>142</v>
      </c>
    </row>
    <row r="133" spans="1:17" x14ac:dyDescent="0.2">
      <c r="A133" s="25"/>
      <c r="B133" s="25"/>
      <c r="C133" s="35"/>
      <c r="D133" s="25"/>
      <c r="E133" s="25"/>
      <c r="F133" s="36"/>
      <c r="G133" s="36"/>
      <c r="H133" s="27" t="s">
        <v>142</v>
      </c>
    </row>
    <row r="134" spans="1:17" x14ac:dyDescent="0.2">
      <c r="A134" s="25"/>
      <c r="B134" s="25"/>
      <c r="C134" s="26" t="s">
        <v>166</v>
      </c>
      <c r="D134" s="25"/>
      <c r="E134" s="25"/>
      <c r="F134" s="36"/>
      <c r="G134" s="36"/>
      <c r="H134" s="27" t="s">
        <v>142</v>
      </c>
    </row>
    <row r="135" spans="1:17" x14ac:dyDescent="0.2">
      <c r="A135" s="25"/>
      <c r="B135" s="25"/>
      <c r="C135" s="26" t="s">
        <v>141</v>
      </c>
      <c r="D135" s="25"/>
      <c r="E135" s="25" t="s">
        <v>142</v>
      </c>
      <c r="F135" s="37" t="s">
        <v>144</v>
      </c>
      <c r="G135" s="34">
        <v>0</v>
      </c>
      <c r="H135" s="27" t="s">
        <v>142</v>
      </c>
    </row>
    <row r="136" spans="1:17" x14ac:dyDescent="0.2">
      <c r="A136" s="25"/>
      <c r="B136" s="25"/>
      <c r="C136" s="35"/>
      <c r="D136" s="25"/>
      <c r="E136" s="25"/>
      <c r="F136" s="36"/>
      <c r="G136" s="36"/>
      <c r="H136" s="27" t="s">
        <v>142</v>
      </c>
    </row>
    <row r="137" spans="1:17" x14ac:dyDescent="0.2">
      <c r="A137" s="39"/>
      <c r="B137" s="29"/>
      <c r="C137" s="38" t="s">
        <v>167</v>
      </c>
      <c r="D137" s="29"/>
      <c r="E137" s="39"/>
      <c r="F137" s="31">
        <f>705.89190605+0.00259960903167725</f>
        <v>705.89450565903167</v>
      </c>
      <c r="G137" s="32">
        <v>2.13218E-3</v>
      </c>
      <c r="H137" s="27" t="s">
        <v>142</v>
      </c>
    </row>
    <row r="138" spans="1:17" x14ac:dyDescent="0.2">
      <c r="A138" s="35"/>
      <c r="B138" s="35"/>
      <c r="C138" s="26" t="s">
        <v>168</v>
      </c>
      <c r="D138" s="36"/>
      <c r="E138" s="36"/>
      <c r="F138" s="33">
        <f>331065.395066201+0.00259960903167725</f>
        <v>331065.39766581001</v>
      </c>
      <c r="G138" s="40">
        <v>1.00000004</v>
      </c>
      <c r="H138" s="27" t="s">
        <v>142</v>
      </c>
    </row>
    <row r="139" spans="1:17" x14ac:dyDescent="0.2">
      <c r="A139" s="41"/>
      <c r="B139" s="41"/>
      <c r="C139" s="41"/>
      <c r="D139" s="42"/>
      <c r="E139" s="42"/>
      <c r="F139" s="42"/>
      <c r="G139" s="42"/>
    </row>
    <row r="140" spans="1:17" x14ac:dyDescent="0.2">
      <c r="A140" s="43"/>
      <c r="B140" s="210" t="s">
        <v>879</v>
      </c>
      <c r="C140" s="210"/>
      <c r="D140" s="210"/>
      <c r="E140" s="210"/>
      <c r="F140" s="210"/>
      <c r="G140" s="210"/>
      <c r="H140" s="210"/>
      <c r="J140" s="45"/>
    </row>
    <row r="141" spans="1:17" x14ac:dyDescent="0.2">
      <c r="A141" s="43"/>
      <c r="B141" s="210" t="s">
        <v>880</v>
      </c>
      <c r="C141" s="210"/>
      <c r="D141" s="210"/>
      <c r="E141" s="210"/>
      <c r="F141" s="210"/>
      <c r="G141" s="210"/>
      <c r="H141" s="210"/>
      <c r="J141" s="45"/>
    </row>
    <row r="142" spans="1:17" x14ac:dyDescent="0.2">
      <c r="A142" s="43"/>
      <c r="B142" s="210" t="s">
        <v>881</v>
      </c>
      <c r="C142" s="210"/>
      <c r="D142" s="210"/>
      <c r="E142" s="210"/>
      <c r="F142" s="210"/>
      <c r="G142" s="210"/>
      <c r="H142" s="210"/>
      <c r="J142" s="45"/>
    </row>
    <row r="143" spans="1:17" s="47" customFormat="1" ht="66.75" customHeight="1" x14ac:dyDescent="0.25">
      <c r="A143" s="46"/>
      <c r="B143" s="211" t="s">
        <v>882</v>
      </c>
      <c r="C143" s="211"/>
      <c r="D143" s="211"/>
      <c r="E143" s="211"/>
      <c r="F143" s="211"/>
      <c r="G143" s="211"/>
      <c r="H143" s="211"/>
      <c r="I143"/>
      <c r="J143" s="45"/>
      <c r="K143"/>
      <c r="L143"/>
      <c r="M143"/>
      <c r="N143"/>
      <c r="O143"/>
      <c r="P143"/>
      <c r="Q143"/>
    </row>
    <row r="144" spans="1:17" x14ac:dyDescent="0.2">
      <c r="A144" s="43"/>
      <c r="B144" s="210" t="s">
        <v>883</v>
      </c>
      <c r="C144" s="210"/>
      <c r="D144" s="210"/>
      <c r="E144" s="210"/>
      <c r="F144" s="210"/>
      <c r="G144" s="210"/>
      <c r="H144" s="210"/>
      <c r="J144" s="45"/>
    </row>
    <row r="145" spans="1:10" x14ac:dyDescent="0.2">
      <c r="A145" s="48"/>
      <c r="B145" s="48"/>
      <c r="C145" s="48"/>
      <c r="D145" s="49"/>
      <c r="E145" s="49"/>
      <c r="F145" s="49"/>
      <c r="G145" s="49"/>
    </row>
    <row r="146" spans="1:10" x14ac:dyDescent="0.2">
      <c r="A146" s="48"/>
      <c r="B146" s="212" t="s">
        <v>169</v>
      </c>
      <c r="C146" s="213"/>
      <c r="D146" s="214"/>
      <c r="E146" s="50"/>
      <c r="F146" s="49"/>
      <c r="G146" s="49"/>
    </row>
    <row r="147" spans="1:10" ht="27.75" customHeight="1" x14ac:dyDescent="0.2">
      <c r="A147" s="48"/>
      <c r="B147" s="215" t="s">
        <v>170</v>
      </c>
      <c r="C147" s="216"/>
      <c r="D147" s="26" t="s">
        <v>171</v>
      </c>
      <c r="E147" s="50"/>
      <c r="F147" s="49"/>
      <c r="G147" s="49"/>
    </row>
    <row r="148" spans="1:10" ht="12.75" customHeight="1" x14ac:dyDescent="0.2">
      <c r="A148" s="43"/>
      <c r="B148" s="217" t="s">
        <v>884</v>
      </c>
      <c r="C148" s="218"/>
      <c r="D148" s="26" t="s">
        <v>1223</v>
      </c>
      <c r="E148" s="52"/>
      <c r="F148" s="53"/>
      <c r="G148" s="53"/>
    </row>
    <row r="149" spans="1:10" x14ac:dyDescent="0.2">
      <c r="A149" s="48"/>
      <c r="B149" s="215" t="s">
        <v>172</v>
      </c>
      <c r="C149" s="216"/>
      <c r="D149" s="36" t="s">
        <v>142</v>
      </c>
      <c r="E149" s="50"/>
      <c r="F149" s="49"/>
      <c r="G149" s="49"/>
    </row>
    <row r="150" spans="1:10" x14ac:dyDescent="0.2">
      <c r="A150" s="54"/>
      <c r="B150" s="55" t="s">
        <v>142</v>
      </c>
      <c r="C150" s="55" t="s">
        <v>885</v>
      </c>
      <c r="D150" s="55" t="s">
        <v>173</v>
      </c>
      <c r="E150" s="54"/>
      <c r="F150" s="54"/>
      <c r="G150" s="54"/>
      <c r="H150" s="54"/>
      <c r="J150" s="45"/>
    </row>
    <row r="151" spans="1:10" x14ac:dyDescent="0.2">
      <c r="A151" s="54"/>
      <c r="B151" s="56" t="s">
        <v>174</v>
      </c>
      <c r="C151" s="57">
        <v>45777</v>
      </c>
      <c r="D151" s="57">
        <v>45808</v>
      </c>
      <c r="E151" s="54"/>
      <c r="F151" s="54"/>
      <c r="G151" s="54"/>
      <c r="J151" s="45"/>
    </row>
    <row r="152" spans="1:10" x14ac:dyDescent="0.2">
      <c r="A152" s="58"/>
      <c r="B152" s="29" t="s">
        <v>175</v>
      </c>
      <c r="C152" s="59">
        <v>256.29390000000001</v>
      </c>
      <c r="D152" s="59">
        <v>278.19290000000001</v>
      </c>
      <c r="E152" s="58"/>
      <c r="F152" s="60"/>
      <c r="G152" s="61"/>
    </row>
    <row r="153" spans="1:10" x14ac:dyDescent="0.2">
      <c r="A153" s="58"/>
      <c r="B153" s="29" t="s">
        <v>1065</v>
      </c>
      <c r="C153" s="59">
        <v>36.037799999999997</v>
      </c>
      <c r="D153" s="59">
        <v>39.117100000000001</v>
      </c>
      <c r="E153" s="58"/>
      <c r="F153" s="60"/>
      <c r="G153" s="61"/>
    </row>
    <row r="154" spans="1:10" x14ac:dyDescent="0.2">
      <c r="A154" s="58"/>
      <c r="B154" s="29" t="s">
        <v>177</v>
      </c>
      <c r="C154" s="59">
        <v>232.06120000000001</v>
      </c>
      <c r="D154" s="59">
        <v>251.65870000000001</v>
      </c>
      <c r="E154" s="58"/>
      <c r="F154" s="60"/>
      <c r="G154" s="61"/>
    </row>
    <row r="155" spans="1:10" x14ac:dyDescent="0.2">
      <c r="A155" s="58"/>
      <c r="B155" s="29" t="s">
        <v>1066</v>
      </c>
      <c r="C155" s="59">
        <v>31.753799999999998</v>
      </c>
      <c r="D155" s="59">
        <v>34.435400000000001</v>
      </c>
      <c r="E155" s="58"/>
      <c r="F155" s="60"/>
      <c r="G155" s="61"/>
    </row>
    <row r="156" spans="1:10" x14ac:dyDescent="0.2">
      <c r="A156" s="58"/>
      <c r="B156" s="58"/>
      <c r="C156" s="58"/>
      <c r="D156" s="58"/>
      <c r="E156" s="58"/>
      <c r="F156" s="58"/>
      <c r="G156" s="58"/>
    </row>
    <row r="157" spans="1:10" x14ac:dyDescent="0.2">
      <c r="A157" s="54"/>
      <c r="B157" s="217" t="s">
        <v>887</v>
      </c>
      <c r="C157" s="218"/>
      <c r="D157" s="51" t="s">
        <v>171</v>
      </c>
      <c r="E157" s="54"/>
      <c r="F157" s="54"/>
      <c r="G157" s="54"/>
    </row>
    <row r="158" spans="1:10" x14ac:dyDescent="0.2">
      <c r="A158" s="54"/>
      <c r="B158" s="70"/>
      <c r="C158" s="70"/>
      <c r="D158" s="70"/>
      <c r="E158" s="54"/>
      <c r="F158" s="54"/>
      <c r="G158" s="54"/>
    </row>
    <row r="159" spans="1:10" ht="25.5" customHeight="1" x14ac:dyDescent="0.2">
      <c r="A159" s="54"/>
      <c r="B159" s="217" t="s">
        <v>180</v>
      </c>
      <c r="C159" s="218"/>
      <c r="D159" s="51" t="s">
        <v>171</v>
      </c>
      <c r="E159" s="65"/>
      <c r="F159" s="54"/>
      <c r="G159" s="54"/>
    </row>
    <row r="160" spans="1:10" ht="24.75" customHeight="1" x14ac:dyDescent="0.2">
      <c r="A160" s="54"/>
      <c r="B160" s="217" t="s">
        <v>181</v>
      </c>
      <c r="C160" s="218"/>
      <c r="D160" s="51" t="s">
        <v>171</v>
      </c>
      <c r="E160" s="65"/>
      <c r="F160" s="54"/>
      <c r="G160" s="54"/>
    </row>
    <row r="161" spans="1:10" x14ac:dyDescent="0.2">
      <c r="A161" s="54"/>
      <c r="B161" s="217" t="s">
        <v>182</v>
      </c>
      <c r="C161" s="218"/>
      <c r="D161" s="51" t="s">
        <v>171</v>
      </c>
      <c r="E161" s="65"/>
      <c r="F161" s="54"/>
      <c r="G161" s="54"/>
    </row>
    <row r="162" spans="1:10" x14ac:dyDescent="0.2">
      <c r="A162" s="54"/>
      <c r="B162" s="217" t="s">
        <v>183</v>
      </c>
      <c r="C162" s="218"/>
      <c r="D162" s="66">
        <v>0.85602948749315033</v>
      </c>
      <c r="E162" s="54"/>
      <c r="F162" s="44"/>
      <c r="G162" s="64"/>
    </row>
    <row r="164" spans="1:10" x14ac:dyDescent="0.2">
      <c r="B164" s="219" t="s">
        <v>888</v>
      </c>
      <c r="C164" s="219"/>
    </row>
    <row r="166" spans="1:10" ht="153.75" customHeight="1" x14ac:dyDescent="0.2"/>
    <row r="169" spans="1:10" x14ac:dyDescent="0.2">
      <c r="B169" s="67" t="s">
        <v>889</v>
      </c>
      <c r="C169" s="68"/>
      <c r="D169" s="67" t="s">
        <v>892</v>
      </c>
    </row>
    <row r="170" spans="1:10" x14ac:dyDescent="0.2">
      <c r="B170" s="67" t="s">
        <v>904</v>
      </c>
      <c r="D170" s="67" t="s">
        <v>905</v>
      </c>
    </row>
    <row r="171" spans="1:10" ht="165" customHeight="1" x14ac:dyDescent="0.2"/>
    <row r="173" spans="1:10" x14ac:dyDescent="0.2">
      <c r="J173" s="24"/>
    </row>
  </sheetData>
  <mergeCells count="18">
    <mergeCell ref="B164:C164"/>
    <mergeCell ref="B157:C157"/>
    <mergeCell ref="B161:C161"/>
    <mergeCell ref="B162:C162"/>
    <mergeCell ref="B159:C159"/>
    <mergeCell ref="B160:C160"/>
    <mergeCell ref="A1:H1"/>
    <mergeCell ref="A2:H2"/>
    <mergeCell ref="A3:H3"/>
    <mergeCell ref="B140:H140"/>
    <mergeCell ref="B141:H141"/>
    <mergeCell ref="B148:C148"/>
    <mergeCell ref="B149:C149"/>
    <mergeCell ref="B142:H142"/>
    <mergeCell ref="B143:H143"/>
    <mergeCell ref="B144:H144"/>
    <mergeCell ref="B146:D146"/>
    <mergeCell ref="B147:C147"/>
  </mergeCells>
  <hyperlinks>
    <hyperlink ref="I1" location="Index!B2" display="Index" xr:uid="{5A294E76-4F68-4BA1-AC41-A313F67CDA4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105E4-47D0-4D4B-AA0F-1309BB7EE587}">
  <sheetPr>
    <outlinePr summaryBelow="0" summaryRight="0"/>
  </sheetPr>
  <dimension ref="A1:Q281"/>
  <sheetViews>
    <sheetView showGridLines="0" topLeftCell="A202" workbookViewId="0">
      <selection activeCell="B72" sqref="A72:XFD72"/>
    </sheetView>
  </sheetViews>
  <sheetFormatPr defaultRowHeight="12.75" x14ac:dyDescent="0.2"/>
  <cols>
    <col min="1" max="1" width="5.85546875" bestFit="1" customWidth="1"/>
    <col min="2" max="2" width="21.5703125" customWidth="1"/>
    <col min="3" max="3" width="43.42578125" customWidth="1"/>
    <col min="4" max="4" width="18.85546875" customWidth="1"/>
    <col min="5" max="5" width="13.5703125" bestFit="1" customWidth="1"/>
    <col min="6" max="6" width="10.140625" bestFit="1" customWidth="1"/>
    <col min="7" max="7" width="14" bestFit="1" customWidth="1"/>
    <col min="8" max="8" width="10.42578125" customWidth="1"/>
  </cols>
  <sheetData>
    <row r="1" spans="1:9" ht="15" x14ac:dyDescent="0.2">
      <c r="A1" s="209" t="s">
        <v>0</v>
      </c>
      <c r="B1" s="209"/>
      <c r="C1" s="209"/>
      <c r="D1" s="209"/>
      <c r="E1" s="209"/>
      <c r="F1" s="209"/>
      <c r="G1" s="209"/>
      <c r="H1" s="209"/>
      <c r="I1" s="7" t="s">
        <v>878</v>
      </c>
    </row>
    <row r="2" spans="1:9" ht="15" x14ac:dyDescent="0.2">
      <c r="A2" s="209" t="s">
        <v>493</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2247447</v>
      </c>
      <c r="F7" s="31">
        <v>43710.596703000003</v>
      </c>
      <c r="G7" s="32">
        <v>7.1115429999999993E-2</v>
      </c>
      <c r="H7" s="27" t="s">
        <v>142</v>
      </c>
    </row>
    <row r="8" spans="1:9" x14ac:dyDescent="0.2">
      <c r="A8" s="28">
        <v>2</v>
      </c>
      <c r="B8" s="29" t="s">
        <v>14</v>
      </c>
      <c r="C8" s="29" t="s">
        <v>15</v>
      </c>
      <c r="D8" s="29" t="s">
        <v>16</v>
      </c>
      <c r="E8" s="30">
        <v>2426260</v>
      </c>
      <c r="F8" s="31">
        <v>34474.728340000001</v>
      </c>
      <c r="G8" s="32">
        <v>5.608904E-2</v>
      </c>
      <c r="H8" s="27" t="s">
        <v>142</v>
      </c>
    </row>
    <row r="9" spans="1:9" x14ac:dyDescent="0.2">
      <c r="A9" s="28">
        <v>3</v>
      </c>
      <c r="B9" s="29" t="s">
        <v>26</v>
      </c>
      <c r="C9" s="29" t="s">
        <v>27</v>
      </c>
      <c r="D9" s="29" t="s">
        <v>28</v>
      </c>
      <c r="E9" s="30">
        <v>2365280</v>
      </c>
      <c r="F9" s="31">
        <v>34197.218240000002</v>
      </c>
      <c r="G9" s="32">
        <v>5.5637539999999999E-2</v>
      </c>
      <c r="H9" s="27" t="s">
        <v>142</v>
      </c>
    </row>
    <row r="10" spans="1:9" x14ac:dyDescent="0.2">
      <c r="A10" s="28">
        <v>4</v>
      </c>
      <c r="B10" s="29" t="s">
        <v>11</v>
      </c>
      <c r="C10" s="29" t="s">
        <v>12</v>
      </c>
      <c r="D10" s="29" t="s">
        <v>13</v>
      </c>
      <c r="E10" s="30">
        <v>1083260</v>
      </c>
      <c r="F10" s="31">
        <v>20107.472119999999</v>
      </c>
      <c r="G10" s="32">
        <v>3.2714069999999998E-2</v>
      </c>
      <c r="H10" s="27" t="s">
        <v>142</v>
      </c>
    </row>
    <row r="11" spans="1:9" x14ac:dyDescent="0.2">
      <c r="A11" s="28">
        <v>5</v>
      </c>
      <c r="B11" s="29" t="s">
        <v>46</v>
      </c>
      <c r="C11" s="29" t="s">
        <v>47</v>
      </c>
      <c r="D11" s="29" t="s">
        <v>28</v>
      </c>
      <c r="E11" s="30">
        <v>2456920</v>
      </c>
      <c r="F11" s="31">
        <v>19957.561160000001</v>
      </c>
      <c r="G11" s="32">
        <v>3.247017E-2</v>
      </c>
      <c r="H11" s="27" t="s">
        <v>142</v>
      </c>
    </row>
    <row r="12" spans="1:9" x14ac:dyDescent="0.2">
      <c r="A12" s="28">
        <v>6</v>
      </c>
      <c r="B12" s="29" t="s">
        <v>323</v>
      </c>
      <c r="C12" s="29" t="s">
        <v>324</v>
      </c>
      <c r="D12" s="29" t="s">
        <v>200</v>
      </c>
      <c r="E12" s="30">
        <v>909035</v>
      </c>
      <c r="F12" s="31">
        <v>14205.489944999999</v>
      </c>
      <c r="G12" s="32">
        <v>2.3111779999999998E-2</v>
      </c>
      <c r="H12" s="27" t="s">
        <v>142</v>
      </c>
    </row>
    <row r="13" spans="1:9" x14ac:dyDescent="0.2">
      <c r="A13" s="28">
        <v>7</v>
      </c>
      <c r="B13" s="29" t="s">
        <v>321</v>
      </c>
      <c r="C13" s="29" t="s">
        <v>322</v>
      </c>
      <c r="D13" s="29" t="s">
        <v>28</v>
      </c>
      <c r="E13" s="30">
        <v>677717</v>
      </c>
      <c r="F13" s="31">
        <v>14060.594599</v>
      </c>
      <c r="G13" s="32">
        <v>2.287604E-2</v>
      </c>
      <c r="H13" s="27" t="s">
        <v>142</v>
      </c>
    </row>
    <row r="14" spans="1:9" x14ac:dyDescent="0.2">
      <c r="A14" s="28">
        <v>8</v>
      </c>
      <c r="B14" s="29" t="s">
        <v>319</v>
      </c>
      <c r="C14" s="29" t="s">
        <v>320</v>
      </c>
      <c r="D14" s="29" t="s">
        <v>28</v>
      </c>
      <c r="E14" s="30">
        <v>1173644</v>
      </c>
      <c r="F14" s="31">
        <v>13992.183768000001</v>
      </c>
      <c r="G14" s="32">
        <v>2.2764739999999999E-2</v>
      </c>
      <c r="H14" s="27" t="s">
        <v>142</v>
      </c>
    </row>
    <row r="15" spans="1:9" x14ac:dyDescent="0.2">
      <c r="A15" s="28">
        <v>9</v>
      </c>
      <c r="B15" s="29" t="s">
        <v>494</v>
      </c>
      <c r="C15" s="29" t="s">
        <v>495</v>
      </c>
      <c r="D15" s="29" t="s">
        <v>254</v>
      </c>
      <c r="E15" s="30">
        <v>384350</v>
      </c>
      <c r="F15" s="31">
        <v>11441.3308</v>
      </c>
      <c r="G15" s="32">
        <v>1.8614599999999999E-2</v>
      </c>
      <c r="H15" s="27" t="s">
        <v>142</v>
      </c>
    </row>
    <row r="16" spans="1:9" x14ac:dyDescent="0.2">
      <c r="A16" s="28">
        <v>10</v>
      </c>
      <c r="B16" s="29" t="s">
        <v>17</v>
      </c>
      <c r="C16" s="29" t="s">
        <v>18</v>
      </c>
      <c r="D16" s="29" t="s">
        <v>19</v>
      </c>
      <c r="E16" s="30">
        <v>311049</v>
      </c>
      <c r="F16" s="31">
        <v>11431.361799</v>
      </c>
      <c r="G16" s="32">
        <v>1.8598380000000001E-2</v>
      </c>
      <c r="H16" s="27" t="s">
        <v>142</v>
      </c>
    </row>
    <row r="17" spans="1:8" x14ac:dyDescent="0.2">
      <c r="A17" s="28">
        <v>11</v>
      </c>
      <c r="B17" s="29" t="s">
        <v>190</v>
      </c>
      <c r="C17" s="29" t="s">
        <v>191</v>
      </c>
      <c r="D17" s="29" t="s">
        <v>61</v>
      </c>
      <c r="E17" s="30">
        <v>1850000</v>
      </c>
      <c r="F17" s="31">
        <v>10367.4</v>
      </c>
      <c r="G17" s="32">
        <v>1.6867360000000001E-2</v>
      </c>
      <c r="H17" s="27" t="s">
        <v>142</v>
      </c>
    </row>
    <row r="18" spans="1:8" x14ac:dyDescent="0.2">
      <c r="A18" s="28">
        <v>12</v>
      </c>
      <c r="B18" s="29" t="s">
        <v>282</v>
      </c>
      <c r="C18" s="29" t="s">
        <v>283</v>
      </c>
      <c r="D18" s="29" t="s">
        <v>132</v>
      </c>
      <c r="E18" s="30">
        <v>1372500</v>
      </c>
      <c r="F18" s="31">
        <v>8775.0787500000006</v>
      </c>
      <c r="G18" s="32">
        <v>1.427671E-2</v>
      </c>
      <c r="H18" s="27" t="s">
        <v>142</v>
      </c>
    </row>
    <row r="19" spans="1:8" x14ac:dyDescent="0.2">
      <c r="A19" s="28">
        <v>13</v>
      </c>
      <c r="B19" s="29" t="s">
        <v>59</v>
      </c>
      <c r="C19" s="29" t="s">
        <v>60</v>
      </c>
      <c r="D19" s="29" t="s">
        <v>61</v>
      </c>
      <c r="E19" s="30">
        <v>123705</v>
      </c>
      <c r="F19" s="31">
        <v>8030.3100750000003</v>
      </c>
      <c r="G19" s="32">
        <v>1.3065E-2</v>
      </c>
      <c r="H19" s="27" t="s">
        <v>142</v>
      </c>
    </row>
    <row r="20" spans="1:8" x14ac:dyDescent="0.2">
      <c r="A20" s="28">
        <v>14</v>
      </c>
      <c r="B20" s="29" t="s">
        <v>421</v>
      </c>
      <c r="C20" s="29" t="s">
        <v>422</v>
      </c>
      <c r="D20" s="29" t="s">
        <v>200</v>
      </c>
      <c r="E20" s="30">
        <v>488450</v>
      </c>
      <c r="F20" s="31">
        <v>7993.9727000000003</v>
      </c>
      <c r="G20" s="32">
        <v>1.3005879999999999E-2</v>
      </c>
      <c r="H20" s="27" t="s">
        <v>142</v>
      </c>
    </row>
    <row r="21" spans="1:8" x14ac:dyDescent="0.2">
      <c r="A21" s="28">
        <v>15</v>
      </c>
      <c r="B21" s="29" t="s">
        <v>358</v>
      </c>
      <c r="C21" s="29" t="s">
        <v>359</v>
      </c>
      <c r="D21" s="29" t="s">
        <v>200</v>
      </c>
      <c r="E21" s="30">
        <v>222934</v>
      </c>
      <c r="F21" s="31">
        <v>7721.0961559999996</v>
      </c>
      <c r="G21" s="32">
        <v>1.2561920000000001E-2</v>
      </c>
      <c r="H21" s="27" t="s">
        <v>142</v>
      </c>
    </row>
    <row r="22" spans="1:8" x14ac:dyDescent="0.2">
      <c r="A22" s="28">
        <v>16</v>
      </c>
      <c r="B22" s="29" t="s">
        <v>327</v>
      </c>
      <c r="C22" s="29" t="s">
        <v>328</v>
      </c>
      <c r="D22" s="29" t="s">
        <v>132</v>
      </c>
      <c r="E22" s="30">
        <v>83530</v>
      </c>
      <c r="F22" s="31">
        <v>7668.4716500000004</v>
      </c>
      <c r="G22" s="32">
        <v>1.2476299999999999E-2</v>
      </c>
      <c r="H22" s="27" t="s">
        <v>142</v>
      </c>
    </row>
    <row r="23" spans="1:8" x14ac:dyDescent="0.2">
      <c r="A23" s="28">
        <v>17</v>
      </c>
      <c r="B23" s="29" t="s">
        <v>37</v>
      </c>
      <c r="C23" s="29" t="s">
        <v>38</v>
      </c>
      <c r="D23" s="29" t="s">
        <v>16</v>
      </c>
      <c r="E23" s="30">
        <v>2400000</v>
      </c>
      <c r="F23" s="31">
        <v>7641.6</v>
      </c>
      <c r="G23" s="32">
        <v>1.243259E-2</v>
      </c>
      <c r="H23" s="27" t="s">
        <v>142</v>
      </c>
    </row>
    <row r="24" spans="1:8" x14ac:dyDescent="0.2">
      <c r="A24" s="28">
        <v>18</v>
      </c>
      <c r="B24" s="29" t="s">
        <v>496</v>
      </c>
      <c r="C24" s="29" t="s">
        <v>497</v>
      </c>
      <c r="D24" s="29" t="s">
        <v>226</v>
      </c>
      <c r="E24" s="30">
        <v>500000</v>
      </c>
      <c r="F24" s="31">
        <v>7600.5</v>
      </c>
      <c r="G24" s="32">
        <v>1.236572E-2</v>
      </c>
      <c r="H24" s="27" t="s">
        <v>142</v>
      </c>
    </row>
    <row r="25" spans="1:8" ht="25.5" x14ac:dyDescent="0.2">
      <c r="A25" s="28">
        <v>19</v>
      </c>
      <c r="B25" s="29" t="s">
        <v>185</v>
      </c>
      <c r="C25" s="29" t="s">
        <v>186</v>
      </c>
      <c r="D25" s="29" t="s">
        <v>187</v>
      </c>
      <c r="E25" s="30">
        <v>330000</v>
      </c>
      <c r="F25" s="31">
        <v>7555.02</v>
      </c>
      <c r="G25" s="32">
        <v>1.2291720000000001E-2</v>
      </c>
      <c r="H25" s="27" t="s">
        <v>142</v>
      </c>
    </row>
    <row r="26" spans="1:8" x14ac:dyDescent="0.2">
      <c r="A26" s="28">
        <v>20</v>
      </c>
      <c r="B26" s="29" t="s">
        <v>434</v>
      </c>
      <c r="C26" s="29" t="s">
        <v>435</v>
      </c>
      <c r="D26" s="29" t="s">
        <v>345</v>
      </c>
      <c r="E26" s="30">
        <v>312201</v>
      </c>
      <c r="F26" s="31">
        <v>7331.4160830000001</v>
      </c>
      <c r="G26" s="32">
        <v>1.192793E-2</v>
      </c>
      <c r="H26" s="27" t="s">
        <v>142</v>
      </c>
    </row>
    <row r="27" spans="1:8" ht="25.5" x14ac:dyDescent="0.2">
      <c r="A27" s="28">
        <v>21</v>
      </c>
      <c r="B27" s="29" t="s">
        <v>331</v>
      </c>
      <c r="C27" s="29" t="s">
        <v>332</v>
      </c>
      <c r="D27" s="29" t="s">
        <v>194</v>
      </c>
      <c r="E27" s="30">
        <v>429100</v>
      </c>
      <c r="F27" s="31">
        <v>7198.5816000000004</v>
      </c>
      <c r="G27" s="32">
        <v>1.171181E-2</v>
      </c>
      <c r="H27" s="27" t="s">
        <v>142</v>
      </c>
    </row>
    <row r="28" spans="1:8" x14ac:dyDescent="0.2">
      <c r="A28" s="28">
        <v>22</v>
      </c>
      <c r="B28" s="29" t="s">
        <v>343</v>
      </c>
      <c r="C28" s="29" t="s">
        <v>344</v>
      </c>
      <c r="D28" s="29" t="s">
        <v>345</v>
      </c>
      <c r="E28" s="30">
        <v>1669771</v>
      </c>
      <c r="F28" s="31">
        <v>6980.4776654999996</v>
      </c>
      <c r="G28" s="32">
        <v>1.1356969999999999E-2</v>
      </c>
      <c r="H28" s="27" t="s">
        <v>142</v>
      </c>
    </row>
    <row r="29" spans="1:8" ht="25.5" x14ac:dyDescent="0.2">
      <c r="A29" s="28">
        <v>23</v>
      </c>
      <c r="B29" s="29" t="s">
        <v>425</v>
      </c>
      <c r="C29" s="29" t="s">
        <v>426</v>
      </c>
      <c r="D29" s="29" t="s">
        <v>203</v>
      </c>
      <c r="E29" s="30">
        <v>600530</v>
      </c>
      <c r="F29" s="31">
        <v>6643.6633899999997</v>
      </c>
      <c r="G29" s="32">
        <v>1.0808979999999999E-2</v>
      </c>
      <c r="H29" s="27" t="s">
        <v>142</v>
      </c>
    </row>
    <row r="30" spans="1:8" x14ac:dyDescent="0.2">
      <c r="A30" s="28">
        <v>24</v>
      </c>
      <c r="B30" s="29" t="s">
        <v>498</v>
      </c>
      <c r="C30" s="29" t="s">
        <v>499</v>
      </c>
      <c r="D30" s="29" t="s">
        <v>254</v>
      </c>
      <c r="E30" s="30">
        <v>53768</v>
      </c>
      <c r="F30" s="31">
        <v>6623.6799199999996</v>
      </c>
      <c r="G30" s="32">
        <v>1.077647E-2</v>
      </c>
      <c r="H30" s="27" t="s">
        <v>142</v>
      </c>
    </row>
    <row r="31" spans="1:8" ht="25.5" x14ac:dyDescent="0.2">
      <c r="A31" s="28">
        <v>25</v>
      </c>
      <c r="B31" s="29" t="s">
        <v>220</v>
      </c>
      <c r="C31" s="29" t="s">
        <v>221</v>
      </c>
      <c r="D31" s="29" t="s">
        <v>194</v>
      </c>
      <c r="E31" s="30">
        <v>110000</v>
      </c>
      <c r="F31" s="31">
        <v>5608.35</v>
      </c>
      <c r="G31" s="32">
        <v>9.1245700000000002E-3</v>
      </c>
      <c r="H31" s="27" t="s">
        <v>142</v>
      </c>
    </row>
    <row r="32" spans="1:8" x14ac:dyDescent="0.2">
      <c r="A32" s="28">
        <v>26</v>
      </c>
      <c r="B32" s="29" t="s">
        <v>458</v>
      </c>
      <c r="C32" s="29" t="s">
        <v>459</v>
      </c>
      <c r="D32" s="29" t="s">
        <v>64</v>
      </c>
      <c r="E32" s="30">
        <v>139675</v>
      </c>
      <c r="F32" s="31">
        <v>5277.8992250000001</v>
      </c>
      <c r="G32" s="32">
        <v>8.5869399999999995E-3</v>
      </c>
      <c r="H32" s="27" t="s">
        <v>142</v>
      </c>
    </row>
    <row r="33" spans="1:8" x14ac:dyDescent="0.2">
      <c r="A33" s="28">
        <v>27</v>
      </c>
      <c r="B33" s="29" t="s">
        <v>97</v>
      </c>
      <c r="C33" s="29" t="s">
        <v>98</v>
      </c>
      <c r="D33" s="29" t="s">
        <v>73</v>
      </c>
      <c r="E33" s="30">
        <v>161258</v>
      </c>
      <c r="F33" s="31">
        <v>5270.0726979999999</v>
      </c>
      <c r="G33" s="32">
        <v>8.5742000000000006E-3</v>
      </c>
      <c r="H33" s="27" t="s">
        <v>142</v>
      </c>
    </row>
    <row r="34" spans="1:8" ht="25.5" x14ac:dyDescent="0.2">
      <c r="A34" s="28">
        <v>28</v>
      </c>
      <c r="B34" s="29" t="s">
        <v>23</v>
      </c>
      <c r="C34" s="29" t="s">
        <v>24</v>
      </c>
      <c r="D34" s="29" t="s">
        <v>25</v>
      </c>
      <c r="E34" s="30">
        <v>45290</v>
      </c>
      <c r="F34" s="31">
        <v>5077.009</v>
      </c>
      <c r="G34" s="32">
        <v>8.2600999999999994E-3</v>
      </c>
      <c r="H34" s="27" t="s">
        <v>142</v>
      </c>
    </row>
    <row r="35" spans="1:8" x14ac:dyDescent="0.2">
      <c r="A35" s="28">
        <v>29</v>
      </c>
      <c r="B35" s="29" t="s">
        <v>41</v>
      </c>
      <c r="C35" s="29" t="s">
        <v>42</v>
      </c>
      <c r="D35" s="29" t="s">
        <v>22</v>
      </c>
      <c r="E35" s="30">
        <v>1275000</v>
      </c>
      <c r="F35" s="31">
        <v>5008.2</v>
      </c>
      <c r="G35" s="32">
        <v>8.1481499999999998E-3</v>
      </c>
      <c r="H35" s="27" t="s">
        <v>142</v>
      </c>
    </row>
    <row r="36" spans="1:8" x14ac:dyDescent="0.2">
      <c r="A36" s="28">
        <v>30</v>
      </c>
      <c r="B36" s="29" t="s">
        <v>278</v>
      </c>
      <c r="C36" s="29" t="s">
        <v>279</v>
      </c>
      <c r="D36" s="29" t="s">
        <v>212</v>
      </c>
      <c r="E36" s="30">
        <v>125000</v>
      </c>
      <c r="F36" s="31">
        <v>4951.375</v>
      </c>
      <c r="G36" s="32">
        <v>8.0556900000000008E-3</v>
      </c>
      <c r="H36" s="27" t="s">
        <v>142</v>
      </c>
    </row>
    <row r="37" spans="1:8" ht="25.5" x14ac:dyDescent="0.2">
      <c r="A37" s="28">
        <v>31</v>
      </c>
      <c r="B37" s="29" t="s">
        <v>339</v>
      </c>
      <c r="C37" s="29" t="s">
        <v>340</v>
      </c>
      <c r="D37" s="29" t="s">
        <v>25</v>
      </c>
      <c r="E37" s="30">
        <v>193610</v>
      </c>
      <c r="F37" s="31">
        <v>4928.9233800000002</v>
      </c>
      <c r="G37" s="32">
        <v>8.0191700000000008E-3</v>
      </c>
      <c r="H37" s="27" t="s">
        <v>142</v>
      </c>
    </row>
    <row r="38" spans="1:8" x14ac:dyDescent="0.2">
      <c r="A38" s="28">
        <v>32</v>
      </c>
      <c r="B38" s="29" t="s">
        <v>227</v>
      </c>
      <c r="C38" s="29" t="s">
        <v>228</v>
      </c>
      <c r="D38" s="29" t="s">
        <v>229</v>
      </c>
      <c r="E38" s="30">
        <v>715733</v>
      </c>
      <c r="F38" s="31">
        <v>4691.9876814999998</v>
      </c>
      <c r="G38" s="32">
        <v>7.6336800000000003E-3</v>
      </c>
      <c r="H38" s="27" t="s">
        <v>142</v>
      </c>
    </row>
    <row r="39" spans="1:8" x14ac:dyDescent="0.2">
      <c r="A39" s="28">
        <v>33</v>
      </c>
      <c r="B39" s="29" t="s">
        <v>29</v>
      </c>
      <c r="C39" s="29" t="s">
        <v>30</v>
      </c>
      <c r="D39" s="29" t="s">
        <v>31</v>
      </c>
      <c r="E39" s="30">
        <v>1213159</v>
      </c>
      <c r="F39" s="31">
        <v>4665.8095139999996</v>
      </c>
      <c r="G39" s="32">
        <v>7.59109E-3</v>
      </c>
      <c r="H39" s="27" t="s">
        <v>142</v>
      </c>
    </row>
    <row r="40" spans="1:8" x14ac:dyDescent="0.2">
      <c r="A40" s="28">
        <v>34</v>
      </c>
      <c r="B40" s="29" t="s">
        <v>500</v>
      </c>
      <c r="C40" s="29" t="s">
        <v>501</v>
      </c>
      <c r="D40" s="29" t="s">
        <v>132</v>
      </c>
      <c r="E40" s="30">
        <v>365785</v>
      </c>
      <c r="F40" s="31">
        <v>4663.02718</v>
      </c>
      <c r="G40" s="32">
        <v>7.58656E-3</v>
      </c>
      <c r="H40" s="27" t="s">
        <v>142</v>
      </c>
    </row>
    <row r="41" spans="1:8" x14ac:dyDescent="0.2">
      <c r="A41" s="28">
        <v>35</v>
      </c>
      <c r="B41" s="29" t="s">
        <v>502</v>
      </c>
      <c r="C41" s="29" t="s">
        <v>503</v>
      </c>
      <c r="D41" s="29" t="s">
        <v>254</v>
      </c>
      <c r="E41" s="30">
        <v>51823</v>
      </c>
      <c r="F41" s="31">
        <v>4460.4056099999998</v>
      </c>
      <c r="G41" s="32">
        <v>7.2569100000000001E-3</v>
      </c>
      <c r="H41" s="27" t="s">
        <v>142</v>
      </c>
    </row>
    <row r="42" spans="1:8" ht="25.5" x14ac:dyDescent="0.2">
      <c r="A42" s="28">
        <v>36</v>
      </c>
      <c r="B42" s="29" t="s">
        <v>201</v>
      </c>
      <c r="C42" s="29" t="s">
        <v>202</v>
      </c>
      <c r="D42" s="29" t="s">
        <v>203</v>
      </c>
      <c r="E42" s="30">
        <v>605000</v>
      </c>
      <c r="F42" s="31">
        <v>4334.5225</v>
      </c>
      <c r="G42" s="32">
        <v>7.0521000000000004E-3</v>
      </c>
      <c r="H42" s="27" t="s">
        <v>142</v>
      </c>
    </row>
    <row r="43" spans="1:8" x14ac:dyDescent="0.2">
      <c r="A43" s="28">
        <v>37</v>
      </c>
      <c r="B43" s="29" t="s">
        <v>280</v>
      </c>
      <c r="C43" s="29" t="s">
        <v>281</v>
      </c>
      <c r="D43" s="29" t="s">
        <v>64</v>
      </c>
      <c r="E43" s="30">
        <v>427474</v>
      </c>
      <c r="F43" s="31">
        <v>4303.1670210000002</v>
      </c>
      <c r="G43" s="32">
        <v>7.0010899999999997E-3</v>
      </c>
      <c r="H43" s="27" t="s">
        <v>142</v>
      </c>
    </row>
    <row r="44" spans="1:8" ht="25.5" x14ac:dyDescent="0.2">
      <c r="A44" s="28">
        <v>38</v>
      </c>
      <c r="B44" s="29" t="s">
        <v>276</v>
      </c>
      <c r="C44" s="29" t="s">
        <v>277</v>
      </c>
      <c r="D44" s="29" t="s">
        <v>194</v>
      </c>
      <c r="E44" s="30">
        <v>169000</v>
      </c>
      <c r="F44" s="31">
        <v>4170.4129999999996</v>
      </c>
      <c r="G44" s="32">
        <v>6.7850999999999996E-3</v>
      </c>
      <c r="H44" s="27" t="s">
        <v>142</v>
      </c>
    </row>
    <row r="45" spans="1:8" x14ac:dyDescent="0.2">
      <c r="A45" s="28">
        <v>39</v>
      </c>
      <c r="B45" s="29" t="s">
        <v>423</v>
      </c>
      <c r="C45" s="29" t="s">
        <v>424</v>
      </c>
      <c r="D45" s="29" t="s">
        <v>270</v>
      </c>
      <c r="E45" s="30">
        <v>226875</v>
      </c>
      <c r="F45" s="31">
        <v>4111.42875</v>
      </c>
      <c r="G45" s="32">
        <v>6.6891299999999997E-3</v>
      </c>
      <c r="H45" s="27" t="s">
        <v>142</v>
      </c>
    </row>
    <row r="46" spans="1:8" ht="25.5" x14ac:dyDescent="0.2">
      <c r="A46" s="28">
        <v>40</v>
      </c>
      <c r="B46" s="29" t="s">
        <v>284</v>
      </c>
      <c r="C46" s="29" t="s">
        <v>285</v>
      </c>
      <c r="D46" s="29" t="s">
        <v>194</v>
      </c>
      <c r="E46" s="30">
        <v>436510</v>
      </c>
      <c r="F46" s="31">
        <v>4059.5430000000001</v>
      </c>
      <c r="G46" s="32">
        <v>6.6047199999999997E-3</v>
      </c>
      <c r="H46" s="27" t="s">
        <v>142</v>
      </c>
    </row>
    <row r="47" spans="1:8" ht="25.5" x14ac:dyDescent="0.2">
      <c r="A47" s="28">
        <v>41</v>
      </c>
      <c r="B47" s="29" t="s">
        <v>192</v>
      </c>
      <c r="C47" s="29" t="s">
        <v>193</v>
      </c>
      <c r="D47" s="29" t="s">
        <v>194</v>
      </c>
      <c r="E47" s="30">
        <v>195000</v>
      </c>
      <c r="F47" s="31">
        <v>3817.5149999999999</v>
      </c>
      <c r="G47" s="32">
        <v>6.2109499999999998E-3</v>
      </c>
      <c r="H47" s="27" t="s">
        <v>142</v>
      </c>
    </row>
    <row r="48" spans="1:8" x14ac:dyDescent="0.2">
      <c r="A48" s="28">
        <v>42</v>
      </c>
      <c r="B48" s="29" t="s">
        <v>504</v>
      </c>
      <c r="C48" s="29" t="s">
        <v>505</v>
      </c>
      <c r="D48" s="29" t="s">
        <v>200</v>
      </c>
      <c r="E48" s="30">
        <v>242537</v>
      </c>
      <c r="F48" s="31">
        <v>3817.289843</v>
      </c>
      <c r="G48" s="32">
        <v>6.2105800000000003E-3</v>
      </c>
      <c r="H48" s="27" t="s">
        <v>142</v>
      </c>
    </row>
    <row r="49" spans="1:8" x14ac:dyDescent="0.2">
      <c r="A49" s="28">
        <v>43</v>
      </c>
      <c r="B49" s="29" t="s">
        <v>195</v>
      </c>
      <c r="C49" s="29" t="s">
        <v>196</v>
      </c>
      <c r="D49" s="29" t="s">
        <v>197</v>
      </c>
      <c r="E49" s="30">
        <v>500000</v>
      </c>
      <c r="F49" s="31">
        <v>3531.5</v>
      </c>
      <c r="G49" s="32">
        <v>5.74561E-3</v>
      </c>
      <c r="H49" s="27" t="s">
        <v>142</v>
      </c>
    </row>
    <row r="50" spans="1:8" ht="25.5" x14ac:dyDescent="0.2">
      <c r="A50" s="28">
        <v>44</v>
      </c>
      <c r="B50" s="29" t="s">
        <v>39</v>
      </c>
      <c r="C50" s="29" t="s">
        <v>40</v>
      </c>
      <c r="D50" s="29" t="s">
        <v>25</v>
      </c>
      <c r="E50" s="30">
        <v>63210</v>
      </c>
      <c r="F50" s="31">
        <v>3474.9697500000002</v>
      </c>
      <c r="G50" s="32">
        <v>5.6536399999999997E-3</v>
      </c>
      <c r="H50" s="27" t="s">
        <v>142</v>
      </c>
    </row>
    <row r="51" spans="1:8" x14ac:dyDescent="0.2">
      <c r="A51" s="28">
        <v>45</v>
      </c>
      <c r="B51" s="29" t="s">
        <v>350</v>
      </c>
      <c r="C51" s="29" t="s">
        <v>351</v>
      </c>
      <c r="D51" s="29" t="s">
        <v>226</v>
      </c>
      <c r="E51" s="30">
        <v>680000</v>
      </c>
      <c r="F51" s="31">
        <v>3236.46</v>
      </c>
      <c r="G51" s="32">
        <v>5.2655899999999997E-3</v>
      </c>
      <c r="H51" s="27" t="s">
        <v>142</v>
      </c>
    </row>
    <row r="52" spans="1:8" x14ac:dyDescent="0.2">
      <c r="A52" s="28">
        <v>46</v>
      </c>
      <c r="B52" s="29" t="s">
        <v>506</v>
      </c>
      <c r="C52" s="29" t="s">
        <v>507</v>
      </c>
      <c r="D52" s="29" t="s">
        <v>64</v>
      </c>
      <c r="E52" s="30">
        <v>289043</v>
      </c>
      <c r="F52" s="31">
        <v>2979.3107224999999</v>
      </c>
      <c r="G52" s="32">
        <v>4.8472200000000002E-3</v>
      </c>
      <c r="H52" s="27" t="s">
        <v>142</v>
      </c>
    </row>
    <row r="53" spans="1:8" x14ac:dyDescent="0.2">
      <c r="A53" s="28">
        <v>47</v>
      </c>
      <c r="B53" s="29" t="s">
        <v>128</v>
      </c>
      <c r="C53" s="29" t="s">
        <v>129</v>
      </c>
      <c r="D53" s="29" t="s">
        <v>73</v>
      </c>
      <c r="E53" s="30">
        <v>161251</v>
      </c>
      <c r="F53" s="31">
        <v>2897.0354659999998</v>
      </c>
      <c r="G53" s="32">
        <v>4.7133599999999998E-3</v>
      </c>
      <c r="H53" s="27" t="s">
        <v>142</v>
      </c>
    </row>
    <row r="54" spans="1:8" x14ac:dyDescent="0.2">
      <c r="A54" s="28">
        <v>48</v>
      </c>
      <c r="B54" s="29" t="s">
        <v>78</v>
      </c>
      <c r="C54" s="29" t="s">
        <v>79</v>
      </c>
      <c r="D54" s="29" t="s">
        <v>13</v>
      </c>
      <c r="E54" s="30">
        <v>748686</v>
      </c>
      <c r="F54" s="31">
        <v>2876.0772689999999</v>
      </c>
      <c r="G54" s="32">
        <v>4.6792700000000001E-3</v>
      </c>
      <c r="H54" s="27" t="s">
        <v>142</v>
      </c>
    </row>
    <row r="55" spans="1:8" x14ac:dyDescent="0.2">
      <c r="A55" s="28">
        <v>49</v>
      </c>
      <c r="B55" s="29" t="s">
        <v>469</v>
      </c>
      <c r="C55" s="29" t="s">
        <v>470</v>
      </c>
      <c r="D55" s="29" t="s">
        <v>212</v>
      </c>
      <c r="E55" s="30">
        <v>78363</v>
      </c>
      <c r="F55" s="31">
        <v>2313.8243010000001</v>
      </c>
      <c r="G55" s="32">
        <v>3.7645000000000001E-3</v>
      </c>
      <c r="H55" s="27" t="s">
        <v>142</v>
      </c>
    </row>
    <row r="56" spans="1:8" x14ac:dyDescent="0.2">
      <c r="A56" s="28">
        <v>50</v>
      </c>
      <c r="B56" s="29" t="s">
        <v>308</v>
      </c>
      <c r="C56" s="29" t="s">
        <v>309</v>
      </c>
      <c r="D56" s="29" t="s">
        <v>229</v>
      </c>
      <c r="E56" s="30">
        <v>300000</v>
      </c>
      <c r="F56" s="31">
        <v>2309.5500000000002</v>
      </c>
      <c r="G56" s="32">
        <v>3.7575500000000001E-3</v>
      </c>
      <c r="H56" s="27" t="s">
        <v>142</v>
      </c>
    </row>
    <row r="57" spans="1:8" x14ac:dyDescent="0.2">
      <c r="A57" s="28">
        <v>51</v>
      </c>
      <c r="B57" s="29" t="s">
        <v>246</v>
      </c>
      <c r="C57" s="29" t="s">
        <v>247</v>
      </c>
      <c r="D57" s="29" t="s">
        <v>73</v>
      </c>
      <c r="E57" s="30">
        <v>37500</v>
      </c>
      <c r="F57" s="31">
        <v>2246.625</v>
      </c>
      <c r="G57" s="32">
        <v>3.6551700000000001E-3</v>
      </c>
      <c r="H57" s="27" t="s">
        <v>142</v>
      </c>
    </row>
    <row r="58" spans="1:8" x14ac:dyDescent="0.2">
      <c r="A58" s="28">
        <v>52</v>
      </c>
      <c r="B58" s="29" t="s">
        <v>20</v>
      </c>
      <c r="C58" s="29" t="s">
        <v>21</v>
      </c>
      <c r="D58" s="29" t="s">
        <v>22</v>
      </c>
      <c r="E58" s="30">
        <v>638837</v>
      </c>
      <c r="F58" s="31">
        <v>2133.0767430000001</v>
      </c>
      <c r="G58" s="32">
        <v>3.47043E-3</v>
      </c>
      <c r="H58" s="27" t="s">
        <v>142</v>
      </c>
    </row>
    <row r="59" spans="1:8" x14ac:dyDescent="0.2">
      <c r="A59" s="28">
        <v>53</v>
      </c>
      <c r="B59" s="29" t="s">
        <v>84</v>
      </c>
      <c r="C59" s="29" t="s">
        <v>85</v>
      </c>
      <c r="D59" s="29" t="s">
        <v>86</v>
      </c>
      <c r="E59" s="30">
        <v>1100000</v>
      </c>
      <c r="F59" s="31">
        <v>2087.8000000000002</v>
      </c>
      <c r="G59" s="32">
        <v>3.3967699999999999E-3</v>
      </c>
      <c r="H59" s="27" t="s">
        <v>142</v>
      </c>
    </row>
    <row r="60" spans="1:8" x14ac:dyDescent="0.2">
      <c r="A60" s="28">
        <v>54</v>
      </c>
      <c r="B60" s="29" t="s">
        <v>310</v>
      </c>
      <c r="C60" s="29" t="s">
        <v>311</v>
      </c>
      <c r="D60" s="29" t="s">
        <v>200</v>
      </c>
      <c r="E60" s="30">
        <v>75625</v>
      </c>
      <c r="F60" s="31">
        <v>1935.0925</v>
      </c>
      <c r="G60" s="32">
        <v>3.14832E-3</v>
      </c>
      <c r="H60" s="27" t="s">
        <v>142</v>
      </c>
    </row>
    <row r="61" spans="1:8" x14ac:dyDescent="0.2">
      <c r="A61" s="28">
        <v>55</v>
      </c>
      <c r="B61" s="29" t="s">
        <v>352</v>
      </c>
      <c r="C61" s="29" t="s">
        <v>353</v>
      </c>
      <c r="D61" s="29" t="s">
        <v>254</v>
      </c>
      <c r="E61" s="30">
        <v>253518</v>
      </c>
      <c r="F61" s="31">
        <v>1824.0620100000001</v>
      </c>
      <c r="G61" s="32">
        <v>2.9676799999999999E-3</v>
      </c>
      <c r="H61" s="27" t="s">
        <v>142</v>
      </c>
    </row>
    <row r="62" spans="1:8" x14ac:dyDescent="0.2">
      <c r="A62" s="28">
        <v>56</v>
      </c>
      <c r="B62" s="29" t="s">
        <v>508</v>
      </c>
      <c r="C62" s="29" t="s">
        <v>509</v>
      </c>
      <c r="D62" s="29" t="s">
        <v>28</v>
      </c>
      <c r="E62" s="30">
        <v>202500</v>
      </c>
      <c r="F62" s="31">
        <v>431.46674999999999</v>
      </c>
      <c r="G62" s="32">
        <v>7.0198000000000005E-4</v>
      </c>
      <c r="H62" s="27" t="s">
        <v>142</v>
      </c>
    </row>
    <row r="63" spans="1:8" x14ac:dyDescent="0.2">
      <c r="A63" s="28">
        <v>57</v>
      </c>
      <c r="B63" s="29" t="s">
        <v>510</v>
      </c>
      <c r="C63" s="29" t="s">
        <v>511</v>
      </c>
      <c r="D63" s="29" t="s">
        <v>28</v>
      </c>
      <c r="E63" s="30">
        <v>255000</v>
      </c>
      <c r="F63" s="31">
        <v>173.3235</v>
      </c>
      <c r="G63" s="32">
        <v>2.8198999999999998E-4</v>
      </c>
      <c r="H63" s="27" t="s">
        <v>142</v>
      </c>
    </row>
    <row r="64" spans="1:8" x14ac:dyDescent="0.2">
      <c r="A64" s="28">
        <v>58</v>
      </c>
      <c r="B64" s="29" t="s">
        <v>512</v>
      </c>
      <c r="C64" s="29" t="s">
        <v>513</v>
      </c>
      <c r="D64" s="29" t="s">
        <v>132</v>
      </c>
      <c r="E64" s="30">
        <v>4500</v>
      </c>
      <c r="F64" s="31">
        <v>90.783000000000001</v>
      </c>
      <c r="G64" s="32">
        <v>1.4770000000000001E-4</v>
      </c>
      <c r="H64" s="27" t="s">
        <v>142</v>
      </c>
    </row>
    <row r="65" spans="1:9" x14ac:dyDescent="0.2">
      <c r="A65" s="28">
        <v>59</v>
      </c>
      <c r="B65" s="29" t="s">
        <v>514</v>
      </c>
      <c r="C65" s="29" t="s">
        <v>515</v>
      </c>
      <c r="D65" s="29" t="s">
        <v>270</v>
      </c>
      <c r="E65" s="30">
        <v>7700</v>
      </c>
      <c r="F65" s="31">
        <v>59.817450000000001</v>
      </c>
      <c r="G65" s="32">
        <v>9.7319999999999997E-5</v>
      </c>
      <c r="H65" s="27" t="s">
        <v>142</v>
      </c>
    </row>
    <row r="66" spans="1:9" x14ac:dyDescent="0.2">
      <c r="A66" s="28">
        <v>60</v>
      </c>
      <c r="B66" s="29" t="s">
        <v>32</v>
      </c>
      <c r="C66" s="29" t="s">
        <v>33</v>
      </c>
      <c r="D66" s="29" t="s">
        <v>22</v>
      </c>
      <c r="E66" s="30">
        <v>18000</v>
      </c>
      <c r="F66" s="31">
        <v>52.155000000000001</v>
      </c>
      <c r="G66" s="32">
        <v>8.4850000000000002E-5</v>
      </c>
      <c r="H66" s="27" t="s">
        <v>142</v>
      </c>
    </row>
    <row r="67" spans="1:9" ht="25.5" x14ac:dyDescent="0.2">
      <c r="A67" s="28">
        <v>61</v>
      </c>
      <c r="B67" s="29" t="s">
        <v>516</v>
      </c>
      <c r="C67" s="29" t="s">
        <v>517</v>
      </c>
      <c r="D67" s="29" t="s">
        <v>194</v>
      </c>
      <c r="E67" s="30">
        <v>10000</v>
      </c>
      <c r="F67" s="31">
        <v>33.585000000000001</v>
      </c>
      <c r="G67" s="32">
        <v>5.4639999999999999E-5</v>
      </c>
      <c r="H67" s="27" t="s">
        <v>142</v>
      </c>
    </row>
    <row r="68" spans="1:9" x14ac:dyDescent="0.2">
      <c r="A68" s="28">
        <v>62</v>
      </c>
      <c r="B68" s="29" t="s">
        <v>333</v>
      </c>
      <c r="C68" s="29" t="s">
        <v>334</v>
      </c>
      <c r="D68" s="29" t="s">
        <v>31</v>
      </c>
      <c r="E68" s="30">
        <v>600</v>
      </c>
      <c r="F68" s="31">
        <v>29.8446</v>
      </c>
      <c r="G68" s="32" t="s">
        <v>140</v>
      </c>
      <c r="H68" s="27" t="s">
        <v>142</v>
      </c>
    </row>
    <row r="69" spans="1:9" ht="25.5" x14ac:dyDescent="0.2">
      <c r="A69" s="28">
        <v>63</v>
      </c>
      <c r="B69" s="29" t="s">
        <v>518</v>
      </c>
      <c r="C69" s="29" t="s">
        <v>519</v>
      </c>
      <c r="D69" s="29" t="s">
        <v>194</v>
      </c>
      <c r="E69" s="30">
        <v>100</v>
      </c>
      <c r="F69" s="31">
        <v>6.6120000000000001</v>
      </c>
      <c r="G69" s="32" t="s">
        <v>140</v>
      </c>
      <c r="H69" s="27" t="s">
        <v>142</v>
      </c>
    </row>
    <row r="70" spans="1:9" x14ac:dyDescent="0.2">
      <c r="A70" s="28">
        <v>64</v>
      </c>
      <c r="B70" s="29" t="s">
        <v>520</v>
      </c>
      <c r="C70" s="29" t="s">
        <v>521</v>
      </c>
      <c r="D70" s="29" t="s">
        <v>305</v>
      </c>
      <c r="E70" s="30">
        <v>1250</v>
      </c>
      <c r="F70" s="31">
        <v>6.0368750000000002</v>
      </c>
      <c r="G70" s="32" t="s">
        <v>140</v>
      </c>
      <c r="H70" s="27" t="s">
        <v>142</v>
      </c>
    </row>
    <row r="71" spans="1:9" x14ac:dyDescent="0.2">
      <c r="A71" s="28">
        <v>66</v>
      </c>
      <c r="B71" s="29" t="s">
        <v>130</v>
      </c>
      <c r="C71" s="29" t="s">
        <v>131</v>
      </c>
      <c r="D71" s="29" t="s">
        <v>132</v>
      </c>
      <c r="E71" s="30">
        <v>1000</v>
      </c>
      <c r="F71" s="31">
        <v>4.0229999999999997</v>
      </c>
      <c r="G71" s="32" t="s">
        <v>140</v>
      </c>
      <c r="H71" s="27" t="s">
        <v>142</v>
      </c>
    </row>
    <row r="72" spans="1:9" x14ac:dyDescent="0.2">
      <c r="A72" s="139">
        <v>61</v>
      </c>
      <c r="B72" s="140" t="s">
        <v>1087</v>
      </c>
      <c r="C72" s="140" t="s">
        <v>1088</v>
      </c>
      <c r="D72" s="140" t="s">
        <v>1089</v>
      </c>
      <c r="E72" s="141">
        <v>26667</v>
      </c>
      <c r="F72" s="142">
        <v>0.01</v>
      </c>
      <c r="G72" s="143" t="s">
        <v>140</v>
      </c>
      <c r="H72" s="144" t="s">
        <v>142</v>
      </c>
      <c r="I72" s="145"/>
    </row>
    <row r="73" spans="1:9" x14ac:dyDescent="0.2">
      <c r="A73" s="25"/>
      <c r="B73" s="25"/>
      <c r="C73" s="26" t="s">
        <v>141</v>
      </c>
      <c r="D73" s="25"/>
      <c r="E73" s="25" t="s">
        <v>142</v>
      </c>
      <c r="F73" s="33">
        <f>SUM(F7:F72)</f>
        <v>443659.78480250022</v>
      </c>
      <c r="G73" s="34">
        <v>0.72182484999999996</v>
      </c>
      <c r="H73" s="27" t="s">
        <v>142</v>
      </c>
    </row>
    <row r="74" spans="1:9" x14ac:dyDescent="0.2">
      <c r="A74" s="25"/>
      <c r="B74" s="25"/>
      <c r="C74" s="35"/>
      <c r="D74" s="25"/>
      <c r="E74" s="25"/>
      <c r="F74" s="36"/>
      <c r="G74" s="36"/>
      <c r="H74" s="27" t="s">
        <v>142</v>
      </c>
    </row>
    <row r="75" spans="1:9" x14ac:dyDescent="0.2">
      <c r="A75" s="25"/>
      <c r="B75" s="25"/>
      <c r="C75" s="26" t="s">
        <v>143</v>
      </c>
      <c r="D75" s="25"/>
      <c r="E75" s="25"/>
      <c r="F75" s="25"/>
      <c r="G75" s="25"/>
      <c r="H75" s="27" t="s">
        <v>142</v>
      </c>
    </row>
    <row r="76" spans="1:9" x14ac:dyDescent="0.2">
      <c r="A76" s="25"/>
      <c r="B76" s="25"/>
      <c r="C76" s="26" t="s">
        <v>141</v>
      </c>
      <c r="D76" s="25"/>
      <c r="E76" s="25" t="s">
        <v>142</v>
      </c>
      <c r="F76" s="37" t="s">
        <v>144</v>
      </c>
      <c r="G76" s="34">
        <v>0</v>
      </c>
      <c r="H76" s="27" t="s">
        <v>142</v>
      </c>
    </row>
    <row r="77" spans="1:9" x14ac:dyDescent="0.2">
      <c r="A77" s="25"/>
      <c r="B77" s="25"/>
      <c r="C77" s="35"/>
      <c r="D77" s="25"/>
      <c r="E77" s="25"/>
      <c r="F77" s="36"/>
      <c r="G77" s="36"/>
      <c r="H77" s="27" t="s">
        <v>142</v>
      </c>
    </row>
    <row r="78" spans="1:9" x14ac:dyDescent="0.2">
      <c r="A78" s="25"/>
      <c r="B78" s="25"/>
      <c r="C78" s="26" t="s">
        <v>145</v>
      </c>
      <c r="D78" s="25"/>
      <c r="E78" s="25"/>
      <c r="F78" s="25"/>
      <c r="G78" s="25"/>
      <c r="H78" s="27" t="s">
        <v>142</v>
      </c>
    </row>
    <row r="79" spans="1:9" x14ac:dyDescent="0.2">
      <c r="A79" s="28">
        <v>1</v>
      </c>
      <c r="B79" s="29" t="s">
        <v>522</v>
      </c>
      <c r="C79" s="29" t="s">
        <v>906</v>
      </c>
      <c r="D79" s="29" t="s">
        <v>229</v>
      </c>
      <c r="E79" s="30">
        <v>30579</v>
      </c>
      <c r="F79" s="31">
        <v>4.7275134000000003</v>
      </c>
      <c r="G79" s="32" t="s">
        <v>140</v>
      </c>
      <c r="H79" s="27" t="s">
        <v>142</v>
      </c>
    </row>
    <row r="80" spans="1:9" x14ac:dyDescent="0.2">
      <c r="A80" s="25"/>
      <c r="B80" s="25"/>
      <c r="C80" s="26" t="s">
        <v>141</v>
      </c>
      <c r="D80" s="25"/>
      <c r="E80" s="25" t="s">
        <v>142</v>
      </c>
      <c r="F80" s="33">
        <f>SUM(F79)</f>
        <v>4.7275134000000003</v>
      </c>
      <c r="G80" s="34">
        <v>0</v>
      </c>
      <c r="H80" s="27" t="s">
        <v>142</v>
      </c>
    </row>
    <row r="81" spans="1:8" x14ac:dyDescent="0.2">
      <c r="A81" s="25"/>
      <c r="B81" s="25"/>
      <c r="C81" s="35"/>
      <c r="D81" s="25"/>
      <c r="E81" s="25"/>
      <c r="F81" s="36"/>
      <c r="G81" s="36"/>
      <c r="H81" s="27" t="s">
        <v>142</v>
      </c>
    </row>
    <row r="82" spans="1:8" x14ac:dyDescent="0.2">
      <c r="A82" s="25"/>
      <c r="B82" s="25"/>
      <c r="C82" s="26" t="s">
        <v>146</v>
      </c>
      <c r="D82" s="25"/>
      <c r="E82" s="25"/>
      <c r="F82" s="25"/>
      <c r="G82" s="25"/>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147</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100"/>
      <c r="B87" s="100"/>
      <c r="C87" s="51"/>
      <c r="D87" s="100"/>
      <c r="E87" s="100"/>
      <c r="F87" s="125"/>
      <c r="G87" s="105"/>
      <c r="H87" s="27" t="s">
        <v>142</v>
      </c>
    </row>
    <row r="88" spans="1:8" x14ac:dyDescent="0.2">
      <c r="A88" s="100"/>
      <c r="B88" s="100"/>
      <c r="C88" s="51" t="s">
        <v>907</v>
      </c>
      <c r="D88" s="100"/>
      <c r="E88" s="100"/>
      <c r="F88" s="100"/>
      <c r="G88" s="100"/>
      <c r="H88" s="27" t="s">
        <v>142</v>
      </c>
    </row>
    <row r="89" spans="1:8" ht="25.5" x14ac:dyDescent="0.2">
      <c r="A89" s="89">
        <v>1</v>
      </c>
      <c r="B89" s="38" t="s">
        <v>908</v>
      </c>
      <c r="C89" s="38" t="s">
        <v>909</v>
      </c>
      <c r="D89" s="38" t="s">
        <v>910</v>
      </c>
      <c r="E89" s="90">
        <v>1750</v>
      </c>
      <c r="F89" s="91">
        <f>200766083.35/10^5</f>
        <v>2007.6608334999999</v>
      </c>
      <c r="G89" s="103">
        <f>F89/F216</f>
        <v>3.2663857773741617E-3</v>
      </c>
      <c r="H89" s="27">
        <v>7.3949999999999996</v>
      </c>
    </row>
    <row r="90" spans="1:8" x14ac:dyDescent="0.2">
      <c r="A90" s="100"/>
      <c r="B90" s="100"/>
      <c r="C90" s="51" t="s">
        <v>141</v>
      </c>
      <c r="D90" s="100"/>
      <c r="E90" s="100" t="s">
        <v>142</v>
      </c>
      <c r="F90" s="104">
        <f>SUM(F89)</f>
        <v>2007.6608334999999</v>
      </c>
      <c r="G90" s="105">
        <f>SUM(G89)</f>
        <v>3.2663857773741617E-3</v>
      </c>
      <c r="H90" s="27" t="s">
        <v>142</v>
      </c>
    </row>
    <row r="91" spans="1:8" x14ac:dyDescent="0.2">
      <c r="A91" s="25"/>
      <c r="B91" s="25"/>
      <c r="C91" s="35"/>
      <c r="D91" s="25"/>
      <c r="E91" s="25"/>
      <c r="F91" s="36"/>
      <c r="G91" s="36"/>
      <c r="H91" s="27" t="s">
        <v>142</v>
      </c>
    </row>
    <row r="92" spans="1:8" x14ac:dyDescent="0.2">
      <c r="A92" s="25"/>
      <c r="B92" s="25"/>
      <c r="C92" s="26" t="s">
        <v>1074</v>
      </c>
      <c r="D92" s="25"/>
      <c r="E92" s="25"/>
      <c r="F92" s="36"/>
      <c r="G92" s="36"/>
      <c r="H92" s="27" t="s">
        <v>142</v>
      </c>
    </row>
    <row r="93" spans="1:8" x14ac:dyDescent="0.2">
      <c r="A93" s="28">
        <v>1</v>
      </c>
      <c r="B93" s="29"/>
      <c r="C93" s="29" t="s">
        <v>911</v>
      </c>
      <c r="D93" s="29" t="s">
        <v>523</v>
      </c>
      <c r="E93" s="30">
        <v>-1000</v>
      </c>
      <c r="F93" s="31">
        <v>-4.048</v>
      </c>
      <c r="G93" s="32">
        <f>F93/$F$216</f>
        <v>-6.5859379264573415E-6</v>
      </c>
      <c r="H93" s="27" t="s">
        <v>142</v>
      </c>
    </row>
    <row r="94" spans="1:8" x14ac:dyDescent="0.2">
      <c r="A94" s="28">
        <v>2</v>
      </c>
      <c r="B94" s="29"/>
      <c r="C94" s="29" t="s">
        <v>912</v>
      </c>
      <c r="D94" s="29" t="s">
        <v>523</v>
      </c>
      <c r="E94" s="30">
        <v>-50</v>
      </c>
      <c r="F94" s="31">
        <v>-5.6325000000000003</v>
      </c>
      <c r="G94" s="32">
        <f t="shared" ref="G94:G121" si="0">F94/$F$216</f>
        <v>-9.1638575520679293E-6</v>
      </c>
      <c r="H94" s="27" t="s">
        <v>142</v>
      </c>
    </row>
    <row r="95" spans="1:8" x14ac:dyDescent="0.2">
      <c r="A95" s="28">
        <v>3</v>
      </c>
      <c r="B95" s="29"/>
      <c r="C95" s="29" t="s">
        <v>913</v>
      </c>
      <c r="D95" s="29" t="s">
        <v>523</v>
      </c>
      <c r="E95" s="30">
        <v>-1250</v>
      </c>
      <c r="F95" s="31">
        <v>-6.0706249999999997</v>
      </c>
      <c r="G95" s="32">
        <f t="shared" si="0"/>
        <v>-9.876669818379471E-6</v>
      </c>
      <c r="H95" s="27" t="s">
        <v>142</v>
      </c>
    </row>
    <row r="96" spans="1:8" x14ac:dyDescent="0.2">
      <c r="A96" s="28">
        <v>4</v>
      </c>
      <c r="B96" s="29"/>
      <c r="C96" s="29" t="s">
        <v>914</v>
      </c>
      <c r="D96" s="29" t="s">
        <v>523</v>
      </c>
      <c r="E96" s="30">
        <v>-100</v>
      </c>
      <c r="F96" s="31">
        <v>-6.6494999999999997</v>
      </c>
      <c r="G96" s="32">
        <f t="shared" si="0"/>
        <v>-1.0818476838433322E-5</v>
      </c>
      <c r="H96" s="27" t="s">
        <v>142</v>
      </c>
    </row>
    <row r="97" spans="1:8" x14ac:dyDescent="0.2">
      <c r="A97" s="28">
        <v>5</v>
      </c>
      <c r="B97" s="29"/>
      <c r="C97" s="29" t="s">
        <v>915</v>
      </c>
      <c r="D97" s="29" t="s">
        <v>523</v>
      </c>
      <c r="E97" s="30">
        <v>-375</v>
      </c>
      <c r="F97" s="31">
        <v>-6.8306250000000004</v>
      </c>
      <c r="G97" s="32">
        <f t="shared" si="0"/>
        <v>-1.1113160140540435E-5</v>
      </c>
      <c r="H97" s="27" t="s">
        <v>142</v>
      </c>
    </row>
    <row r="98" spans="1:8" x14ac:dyDescent="0.2">
      <c r="A98" s="28">
        <v>6</v>
      </c>
      <c r="B98" s="29"/>
      <c r="C98" s="29" t="s">
        <v>916</v>
      </c>
      <c r="D98" s="29" t="s">
        <v>523</v>
      </c>
      <c r="E98" s="30">
        <v>-600</v>
      </c>
      <c r="F98" s="31">
        <v>-30.040199999999999</v>
      </c>
      <c r="G98" s="32">
        <f t="shared" si="0"/>
        <v>-4.8874232336552327E-5</v>
      </c>
      <c r="H98" s="27" t="s">
        <v>142</v>
      </c>
    </row>
    <row r="99" spans="1:8" x14ac:dyDescent="0.2">
      <c r="A99" s="28">
        <v>7</v>
      </c>
      <c r="B99" s="29"/>
      <c r="C99" s="29" t="s">
        <v>917</v>
      </c>
      <c r="D99" s="29" t="s">
        <v>523</v>
      </c>
      <c r="E99" s="30">
        <v>-10000</v>
      </c>
      <c r="F99" s="31">
        <v>-33.704999999999998</v>
      </c>
      <c r="G99" s="32">
        <f t="shared" si="0"/>
        <v>-5.483671882688851E-5</v>
      </c>
      <c r="H99" s="27" t="s">
        <v>142</v>
      </c>
    </row>
    <row r="100" spans="1:8" x14ac:dyDescent="0.2">
      <c r="A100" s="28">
        <v>8</v>
      </c>
      <c r="B100" s="29"/>
      <c r="C100" s="29" t="s">
        <v>918</v>
      </c>
      <c r="D100" s="29" t="s">
        <v>523</v>
      </c>
      <c r="E100" s="30">
        <v>-2450</v>
      </c>
      <c r="F100" s="31">
        <v>-40.33925</v>
      </c>
      <c r="G100" s="32">
        <f t="shared" si="0"/>
        <v>-6.56303845108311E-5</v>
      </c>
      <c r="H100" s="27" t="s">
        <v>142</v>
      </c>
    </row>
    <row r="101" spans="1:8" x14ac:dyDescent="0.2">
      <c r="A101" s="28">
        <v>9</v>
      </c>
      <c r="B101" s="29"/>
      <c r="C101" s="29" t="s">
        <v>919</v>
      </c>
      <c r="D101" s="29" t="s">
        <v>523</v>
      </c>
      <c r="E101" s="30">
        <v>-4500</v>
      </c>
      <c r="F101" s="31">
        <v>-42.021000000000001</v>
      </c>
      <c r="G101" s="32">
        <f t="shared" si="0"/>
        <v>-6.8366526088849787E-5</v>
      </c>
      <c r="H101" s="27" t="s">
        <v>142</v>
      </c>
    </row>
    <row r="102" spans="1:8" x14ac:dyDescent="0.2">
      <c r="A102" s="28">
        <v>10</v>
      </c>
      <c r="B102" s="29"/>
      <c r="C102" s="29" t="s">
        <v>920</v>
      </c>
      <c r="D102" s="29" t="s">
        <v>523</v>
      </c>
      <c r="E102" s="30">
        <v>-1750</v>
      </c>
      <c r="F102" s="31">
        <v>-52.307499999999997</v>
      </c>
      <c r="G102" s="32">
        <f t="shared" si="0"/>
        <v>-8.510225990320341E-5</v>
      </c>
      <c r="H102" s="27" t="s">
        <v>142</v>
      </c>
    </row>
    <row r="103" spans="1:8" x14ac:dyDescent="0.2">
      <c r="A103" s="28">
        <v>11</v>
      </c>
      <c r="B103" s="29"/>
      <c r="C103" s="29" t="s">
        <v>921</v>
      </c>
      <c r="D103" s="29" t="s">
        <v>523</v>
      </c>
      <c r="E103" s="30">
        <v>-18000</v>
      </c>
      <c r="F103" s="31">
        <v>-52.451999999999998</v>
      </c>
      <c r="G103" s="32">
        <f t="shared" si="0"/>
        <v>-8.533735576050901E-5</v>
      </c>
      <c r="H103" s="27" t="s">
        <v>142</v>
      </c>
    </row>
    <row r="104" spans="1:8" x14ac:dyDescent="0.2">
      <c r="A104" s="28">
        <v>12</v>
      </c>
      <c r="B104" s="29"/>
      <c r="C104" s="29" t="s">
        <v>922</v>
      </c>
      <c r="D104" s="29" t="s">
        <v>523</v>
      </c>
      <c r="E104" s="30">
        <v>-7700</v>
      </c>
      <c r="F104" s="31">
        <v>-60.029200000000003</v>
      </c>
      <c r="G104" s="32">
        <f t="shared" si="0"/>
        <v>-9.7665164272453815E-5</v>
      </c>
      <c r="H104" s="27" t="s">
        <v>142</v>
      </c>
    </row>
    <row r="105" spans="1:8" x14ac:dyDescent="0.2">
      <c r="A105" s="28">
        <v>13</v>
      </c>
      <c r="B105" s="29"/>
      <c r="C105" s="29" t="s">
        <v>923</v>
      </c>
      <c r="D105" s="29" t="s">
        <v>523</v>
      </c>
      <c r="E105" s="30">
        <v>-4200</v>
      </c>
      <c r="F105" s="31">
        <v>-61.122599999999998</v>
      </c>
      <c r="G105" s="32">
        <f t="shared" si="0"/>
        <v>-9.9444083375415396E-5</v>
      </c>
      <c r="H105" s="27" t="s">
        <v>142</v>
      </c>
    </row>
    <row r="106" spans="1:8" x14ac:dyDescent="0.2">
      <c r="A106" s="28">
        <v>14</v>
      </c>
      <c r="B106" s="29"/>
      <c r="C106" s="29" t="s">
        <v>924</v>
      </c>
      <c r="D106" s="29" t="s">
        <v>523</v>
      </c>
      <c r="E106" s="30">
        <v>-4500</v>
      </c>
      <c r="F106" s="31">
        <v>-91.322999999999993</v>
      </c>
      <c r="G106" s="32">
        <f t="shared" si="0"/>
        <v>-1.4857895485619163E-4</v>
      </c>
      <c r="H106" s="27" t="s">
        <v>142</v>
      </c>
    </row>
    <row r="107" spans="1:8" x14ac:dyDescent="0.2">
      <c r="A107" s="28">
        <v>15</v>
      </c>
      <c r="B107" s="29"/>
      <c r="C107" s="29" t="s">
        <v>925</v>
      </c>
      <c r="D107" s="29" t="s">
        <v>523</v>
      </c>
      <c r="E107" s="30">
        <v>-2700</v>
      </c>
      <c r="F107" s="31">
        <v>-98.717399999999998</v>
      </c>
      <c r="G107" s="32">
        <f t="shared" si="0"/>
        <v>-1.6060935490643774E-4</v>
      </c>
      <c r="H107" s="27" t="s">
        <v>142</v>
      </c>
    </row>
    <row r="108" spans="1:8" x14ac:dyDescent="0.2">
      <c r="A108" s="28">
        <v>16</v>
      </c>
      <c r="B108" s="29"/>
      <c r="C108" s="29" t="s">
        <v>926</v>
      </c>
      <c r="D108" s="29" t="s">
        <v>523</v>
      </c>
      <c r="E108" s="30">
        <v>-9100</v>
      </c>
      <c r="F108" s="31">
        <v>-153.55340000000001</v>
      </c>
      <c r="G108" s="32">
        <f t="shared" si="0"/>
        <v>-2.4982538557225171E-4</v>
      </c>
      <c r="H108" s="27" t="s">
        <v>142</v>
      </c>
    </row>
    <row r="109" spans="1:8" x14ac:dyDescent="0.2">
      <c r="A109" s="28">
        <v>17</v>
      </c>
      <c r="B109" s="29"/>
      <c r="C109" s="29" t="s">
        <v>927</v>
      </c>
      <c r="D109" s="29" t="s">
        <v>523</v>
      </c>
      <c r="E109" s="30">
        <v>-4725</v>
      </c>
      <c r="F109" s="31">
        <v>-163.22512499999999</v>
      </c>
      <c r="G109" s="32">
        <f t="shared" si="0"/>
        <v>-2.6556090446843881E-4</v>
      </c>
      <c r="H109" s="27" t="s">
        <v>142</v>
      </c>
    </row>
    <row r="110" spans="1:8" x14ac:dyDescent="0.2">
      <c r="A110" s="28">
        <v>18</v>
      </c>
      <c r="B110" s="29"/>
      <c r="C110" s="29" t="s">
        <v>928</v>
      </c>
      <c r="D110" s="29" t="s">
        <v>523</v>
      </c>
      <c r="E110" s="30">
        <v>-6750</v>
      </c>
      <c r="F110" s="31">
        <v>-172.8135</v>
      </c>
      <c r="G110" s="32">
        <f t="shared" si="0"/>
        <v>-2.8116081616942585E-4</v>
      </c>
      <c r="H110" s="27" t="s">
        <v>142</v>
      </c>
    </row>
    <row r="111" spans="1:8" x14ac:dyDescent="0.2">
      <c r="A111" s="28">
        <v>19</v>
      </c>
      <c r="B111" s="29"/>
      <c r="C111" s="29" t="s">
        <v>929</v>
      </c>
      <c r="D111" s="29" t="s">
        <v>523</v>
      </c>
      <c r="E111" s="30">
        <v>-255000</v>
      </c>
      <c r="F111" s="31">
        <v>-174.471</v>
      </c>
      <c r="G111" s="32">
        <f t="shared" si="0"/>
        <v>-2.8385750394440188E-4</v>
      </c>
      <c r="H111" s="27" t="s">
        <v>142</v>
      </c>
    </row>
    <row r="112" spans="1:8" x14ac:dyDescent="0.2">
      <c r="A112" s="28">
        <v>20</v>
      </c>
      <c r="B112" s="29"/>
      <c r="C112" s="29" t="s">
        <v>930</v>
      </c>
      <c r="D112" s="29" t="s">
        <v>523</v>
      </c>
      <c r="E112" s="30">
        <v>-51300</v>
      </c>
      <c r="F112" s="31">
        <v>-198.55664999999999</v>
      </c>
      <c r="G112" s="32">
        <f t="shared" si="0"/>
        <v>-3.2304391595487056E-4</v>
      </c>
      <c r="H112" s="27" t="s">
        <v>142</v>
      </c>
    </row>
    <row r="113" spans="1:8" x14ac:dyDescent="0.2">
      <c r="A113" s="28">
        <v>21</v>
      </c>
      <c r="B113" s="29"/>
      <c r="C113" s="29" t="s">
        <v>931</v>
      </c>
      <c r="D113" s="29" t="s">
        <v>523</v>
      </c>
      <c r="E113" s="30">
        <v>-9000</v>
      </c>
      <c r="F113" s="31">
        <v>-210.47399999999999</v>
      </c>
      <c r="G113" s="32">
        <f t="shared" si="0"/>
        <v>-3.4243297903487708E-4</v>
      </c>
      <c r="H113" s="27" t="s">
        <v>142</v>
      </c>
    </row>
    <row r="114" spans="1:8" x14ac:dyDescent="0.2">
      <c r="A114" s="28">
        <v>22</v>
      </c>
      <c r="B114" s="29"/>
      <c r="C114" s="29" t="s">
        <v>932</v>
      </c>
      <c r="D114" s="29" t="s">
        <v>523</v>
      </c>
      <c r="E114" s="30">
        <v>-87000</v>
      </c>
      <c r="F114" s="31">
        <v>-292.01549999999997</v>
      </c>
      <c r="G114" s="32">
        <f t="shared" si="0"/>
        <v>-4.7509781535657204E-4</v>
      </c>
      <c r="H114" s="27" t="s">
        <v>142</v>
      </c>
    </row>
    <row r="115" spans="1:8" x14ac:dyDescent="0.2">
      <c r="A115" s="28">
        <v>23</v>
      </c>
      <c r="B115" s="29"/>
      <c r="C115" s="29" t="s">
        <v>933</v>
      </c>
      <c r="D115" s="29" t="s">
        <v>523</v>
      </c>
      <c r="E115" s="30">
        <v>-202500</v>
      </c>
      <c r="F115" s="31">
        <v>-434.72699999999998</v>
      </c>
      <c r="G115" s="32">
        <f t="shared" si="0"/>
        <v>-7.0728385300272245E-4</v>
      </c>
      <c r="H115" s="27" t="s">
        <v>142</v>
      </c>
    </row>
    <row r="116" spans="1:8" x14ac:dyDescent="0.2">
      <c r="A116" s="28">
        <v>24</v>
      </c>
      <c r="B116" s="29"/>
      <c r="C116" s="29" t="s">
        <v>934</v>
      </c>
      <c r="D116" s="29" t="s">
        <v>523</v>
      </c>
      <c r="E116" s="30">
        <v>-46550</v>
      </c>
      <c r="F116" s="31">
        <v>-869.78674999999998</v>
      </c>
      <c r="G116" s="32">
        <f t="shared" si="0"/>
        <v>-1.415109077261628E-3</v>
      </c>
      <c r="H116" s="27" t="s">
        <v>142</v>
      </c>
    </row>
    <row r="117" spans="1:8" x14ac:dyDescent="0.2">
      <c r="A117" s="28">
        <v>25</v>
      </c>
      <c r="B117" s="29"/>
      <c r="C117" s="29" t="s">
        <v>935</v>
      </c>
      <c r="D117" s="29" t="s">
        <v>523</v>
      </c>
      <c r="E117" s="30">
        <v>-81600</v>
      </c>
      <c r="F117" s="31">
        <v>-1704.0527999999999</v>
      </c>
      <c r="G117" s="32">
        <f t="shared" si="0"/>
        <v>-2.7724273626990679E-3</v>
      </c>
      <c r="H117" s="27" t="s">
        <v>142</v>
      </c>
    </row>
    <row r="118" spans="1:8" x14ac:dyDescent="0.2">
      <c r="A118" s="28">
        <v>26</v>
      </c>
      <c r="B118" s="29"/>
      <c r="C118" s="29" t="s">
        <v>936</v>
      </c>
      <c r="D118" s="29" t="s">
        <v>523</v>
      </c>
      <c r="E118" s="30">
        <v>-108800</v>
      </c>
      <c r="F118" s="31">
        <v>-1706.8543999999999</v>
      </c>
      <c r="G118" s="32">
        <f t="shared" si="0"/>
        <v>-2.7769854564971812E-3</v>
      </c>
      <c r="H118" s="27" t="s">
        <v>142</v>
      </c>
    </row>
    <row r="119" spans="1:8" x14ac:dyDescent="0.2">
      <c r="A119" s="28">
        <v>27</v>
      </c>
      <c r="B119" s="29"/>
      <c r="C119" s="29" t="s">
        <v>937</v>
      </c>
      <c r="D119" s="29" t="s">
        <v>523</v>
      </c>
      <c r="E119" s="30">
        <v>-342000</v>
      </c>
      <c r="F119" s="31">
        <v>-2797.7310000000002</v>
      </c>
      <c r="G119" s="32">
        <f t="shared" si="0"/>
        <v>-4.5517990861969927E-3</v>
      </c>
      <c r="H119" s="27" t="s">
        <v>142</v>
      </c>
    </row>
    <row r="120" spans="1:8" x14ac:dyDescent="0.2">
      <c r="A120" s="28">
        <v>28</v>
      </c>
      <c r="B120" s="29"/>
      <c r="C120" s="29" t="s">
        <v>938</v>
      </c>
      <c r="D120" s="29" t="s">
        <v>523</v>
      </c>
      <c r="E120" s="30">
        <v>-200000</v>
      </c>
      <c r="F120" s="31">
        <v>-2859</v>
      </c>
      <c r="G120" s="32">
        <f t="shared" si="0"/>
        <v>-4.6514813566555183E-3</v>
      </c>
      <c r="H120" s="27" t="s">
        <v>142</v>
      </c>
    </row>
    <row r="121" spans="1:8" x14ac:dyDescent="0.2">
      <c r="A121" s="28">
        <v>29</v>
      </c>
      <c r="B121" s="29"/>
      <c r="C121" s="29" t="s">
        <v>939</v>
      </c>
      <c r="D121" s="29" t="s">
        <v>523</v>
      </c>
      <c r="E121" s="30">
        <v>-526900</v>
      </c>
      <c r="F121" s="31">
        <v>-10296.6798</v>
      </c>
      <c r="G121" s="32">
        <f t="shared" si="0"/>
        <v>-1.6752295951434584E-2</v>
      </c>
      <c r="H121" s="27" t="s">
        <v>142</v>
      </c>
    </row>
    <row r="122" spans="1:8" x14ac:dyDescent="0.2">
      <c r="A122" s="25"/>
      <c r="B122" s="25"/>
      <c r="C122" s="26" t="s">
        <v>141</v>
      </c>
      <c r="D122" s="25"/>
      <c r="E122" s="25" t="s">
        <v>142</v>
      </c>
      <c r="F122" s="33">
        <v>-22625.229325</v>
      </c>
      <c r="G122" s="34">
        <v>-3.6810379999999997E-2</v>
      </c>
      <c r="H122" s="27" t="s">
        <v>142</v>
      </c>
    </row>
    <row r="123" spans="1:8" x14ac:dyDescent="0.2">
      <c r="A123" s="25"/>
      <c r="B123" s="25"/>
      <c r="C123" s="35"/>
      <c r="D123" s="25"/>
      <c r="E123" s="25"/>
      <c r="F123" s="36"/>
      <c r="G123" s="36"/>
      <c r="H123" s="27" t="s">
        <v>142</v>
      </c>
    </row>
    <row r="124" spans="1:8" x14ac:dyDescent="0.2">
      <c r="A124" s="25"/>
      <c r="B124" s="25"/>
      <c r="C124" s="26" t="s">
        <v>149</v>
      </c>
      <c r="D124" s="25"/>
      <c r="E124" s="25"/>
      <c r="F124" s="33">
        <f>F90+F80+F73</f>
        <v>445672.17314940022</v>
      </c>
      <c r="G124" s="34">
        <f>G90+G80+G73</f>
        <v>0.72509123577737411</v>
      </c>
      <c r="H124" s="27" t="s">
        <v>142</v>
      </c>
    </row>
    <row r="125" spans="1:8" x14ac:dyDescent="0.2">
      <c r="A125" s="25"/>
      <c r="B125" s="25"/>
      <c r="C125" s="35"/>
      <c r="D125" s="25"/>
      <c r="E125" s="25"/>
      <c r="F125" s="36"/>
      <c r="G125" s="36"/>
      <c r="H125" s="27" t="s">
        <v>142</v>
      </c>
    </row>
    <row r="126" spans="1:8" x14ac:dyDescent="0.2">
      <c r="A126" s="25"/>
      <c r="B126" s="25"/>
      <c r="C126" s="26" t="s">
        <v>150</v>
      </c>
      <c r="D126" s="25"/>
      <c r="E126" s="25"/>
      <c r="F126" s="36"/>
      <c r="G126" s="36"/>
      <c r="H126" s="27" t="s">
        <v>142</v>
      </c>
    </row>
    <row r="127" spans="1:8" x14ac:dyDescent="0.2">
      <c r="A127" s="25"/>
      <c r="B127" s="25"/>
      <c r="C127" s="26" t="s">
        <v>10</v>
      </c>
      <c r="D127" s="25"/>
      <c r="E127" s="25"/>
      <c r="F127" s="36"/>
      <c r="G127" s="36"/>
      <c r="H127" s="27" t="s">
        <v>142</v>
      </c>
    </row>
    <row r="128" spans="1:8" ht="25.5" x14ac:dyDescent="0.2">
      <c r="A128" s="28">
        <v>1</v>
      </c>
      <c r="B128" s="29" t="s">
        <v>524</v>
      </c>
      <c r="C128" s="29" t="s">
        <v>525</v>
      </c>
      <c r="D128" s="29" t="s">
        <v>526</v>
      </c>
      <c r="E128" s="30">
        <v>6000</v>
      </c>
      <c r="F128" s="31">
        <v>6117.9059999999999</v>
      </c>
      <c r="G128" s="32">
        <v>9.95359E-3</v>
      </c>
      <c r="H128" s="27">
        <v>6.5730000000000004</v>
      </c>
    </row>
    <row r="129" spans="1:8" ht="25.5" x14ac:dyDescent="0.2">
      <c r="A129" s="28">
        <v>2</v>
      </c>
      <c r="B129" s="29" t="s">
        <v>527</v>
      </c>
      <c r="C129" s="29" t="s">
        <v>528</v>
      </c>
      <c r="D129" s="29" t="s">
        <v>529</v>
      </c>
      <c r="E129" s="30">
        <v>3500</v>
      </c>
      <c r="F129" s="31">
        <v>3535.3254999999999</v>
      </c>
      <c r="G129" s="32">
        <v>5.7518400000000003E-3</v>
      </c>
      <c r="H129" s="27">
        <v>6.62</v>
      </c>
    </row>
    <row r="130" spans="1:8" ht="25.5" x14ac:dyDescent="0.2">
      <c r="A130" s="28">
        <v>3</v>
      </c>
      <c r="B130" s="29" t="s">
        <v>530</v>
      </c>
      <c r="C130" s="29" t="s">
        <v>531</v>
      </c>
      <c r="D130" s="29" t="s">
        <v>532</v>
      </c>
      <c r="E130" s="30">
        <v>3000</v>
      </c>
      <c r="F130" s="31">
        <v>3090.1019999999999</v>
      </c>
      <c r="G130" s="32">
        <v>5.02748E-3</v>
      </c>
      <c r="H130" s="27">
        <v>7.6025</v>
      </c>
    </row>
    <row r="131" spans="1:8" x14ac:dyDescent="0.2">
      <c r="A131" s="28">
        <v>4</v>
      </c>
      <c r="B131" s="29" t="s">
        <v>533</v>
      </c>
      <c r="C131" s="29" t="s">
        <v>534</v>
      </c>
      <c r="D131" s="29" t="s">
        <v>529</v>
      </c>
      <c r="E131" s="30">
        <v>3000</v>
      </c>
      <c r="F131" s="31">
        <v>3079.9859999999999</v>
      </c>
      <c r="G131" s="32">
        <v>5.0110199999999997E-3</v>
      </c>
      <c r="H131" s="27">
        <v>7.3837999999999999</v>
      </c>
    </row>
    <row r="132" spans="1:8" ht="25.5" x14ac:dyDescent="0.2">
      <c r="A132" s="28">
        <v>5</v>
      </c>
      <c r="B132" s="29" t="s">
        <v>535</v>
      </c>
      <c r="C132" s="29" t="s">
        <v>536</v>
      </c>
      <c r="D132" s="29" t="s">
        <v>529</v>
      </c>
      <c r="E132" s="30">
        <v>2500</v>
      </c>
      <c r="F132" s="31">
        <v>2704.9875000000002</v>
      </c>
      <c r="G132" s="32">
        <v>4.4009100000000001E-3</v>
      </c>
      <c r="H132" s="27">
        <v>6.8312999999999997</v>
      </c>
    </row>
    <row r="133" spans="1:8" ht="25.5" x14ac:dyDescent="0.2">
      <c r="A133" s="28">
        <v>6</v>
      </c>
      <c r="B133" s="29" t="s">
        <v>537</v>
      </c>
      <c r="C133" s="29" t="s">
        <v>538</v>
      </c>
      <c r="D133" s="29" t="s">
        <v>529</v>
      </c>
      <c r="E133" s="30">
        <v>2500</v>
      </c>
      <c r="F133" s="31">
        <v>2645.1350000000002</v>
      </c>
      <c r="G133" s="32">
        <v>4.3035299999999999E-3</v>
      </c>
      <c r="H133" s="27">
        <v>6.9672000000000001</v>
      </c>
    </row>
    <row r="134" spans="1:8" x14ac:dyDescent="0.2">
      <c r="A134" s="28">
        <v>7</v>
      </c>
      <c r="B134" s="29" t="s">
        <v>539</v>
      </c>
      <c r="C134" s="29" t="s">
        <v>540</v>
      </c>
      <c r="D134" s="29" t="s">
        <v>529</v>
      </c>
      <c r="E134" s="30">
        <v>250</v>
      </c>
      <c r="F134" s="31">
        <v>2629.47</v>
      </c>
      <c r="G134" s="32">
        <v>4.2780500000000003E-3</v>
      </c>
      <c r="H134" s="27">
        <v>7.13</v>
      </c>
    </row>
    <row r="135" spans="1:8" ht="25.5" x14ac:dyDescent="0.2">
      <c r="A135" s="28">
        <v>8</v>
      </c>
      <c r="B135" s="29" t="s">
        <v>541</v>
      </c>
      <c r="C135" s="29" t="s">
        <v>542</v>
      </c>
      <c r="D135" s="29" t="s">
        <v>529</v>
      </c>
      <c r="E135" s="30">
        <v>2500</v>
      </c>
      <c r="F135" s="31">
        <v>2578.8924999999999</v>
      </c>
      <c r="G135" s="32">
        <v>4.1957599999999998E-3</v>
      </c>
      <c r="H135" s="27">
        <v>6.64</v>
      </c>
    </row>
    <row r="136" spans="1:8" ht="25.5" x14ac:dyDescent="0.2">
      <c r="A136" s="28">
        <v>9</v>
      </c>
      <c r="B136" s="29" t="s">
        <v>543</v>
      </c>
      <c r="C136" s="29" t="s">
        <v>544</v>
      </c>
      <c r="D136" s="29" t="s">
        <v>526</v>
      </c>
      <c r="E136" s="30">
        <v>2500</v>
      </c>
      <c r="F136" s="31">
        <v>2558.335</v>
      </c>
      <c r="G136" s="32">
        <v>4.1623099999999998E-3</v>
      </c>
      <c r="H136" s="27">
        <v>6.61</v>
      </c>
    </row>
    <row r="137" spans="1:8" ht="25.5" x14ac:dyDescent="0.2">
      <c r="A137" s="28">
        <v>10</v>
      </c>
      <c r="B137" s="29" t="s">
        <v>545</v>
      </c>
      <c r="C137" s="29" t="s">
        <v>546</v>
      </c>
      <c r="D137" s="29" t="s">
        <v>529</v>
      </c>
      <c r="E137" s="30">
        <v>2500</v>
      </c>
      <c r="F137" s="31">
        <v>2554.0050000000001</v>
      </c>
      <c r="G137" s="32">
        <v>4.15527E-3</v>
      </c>
      <c r="H137" s="27">
        <v>6.5692000000000004</v>
      </c>
    </row>
    <row r="138" spans="1:8" x14ac:dyDescent="0.2">
      <c r="A138" s="28">
        <v>11</v>
      </c>
      <c r="B138" s="29" t="s">
        <v>547</v>
      </c>
      <c r="C138" s="29" t="s">
        <v>548</v>
      </c>
      <c r="D138" s="29" t="s">
        <v>529</v>
      </c>
      <c r="E138" s="30">
        <v>2500</v>
      </c>
      <c r="F138" s="31">
        <v>2553.2125000000001</v>
      </c>
      <c r="G138" s="32">
        <v>4.1539799999999998E-3</v>
      </c>
      <c r="H138" s="27">
        <v>6.8758999999999997</v>
      </c>
    </row>
    <row r="139" spans="1:8" ht="25.5" x14ac:dyDescent="0.2">
      <c r="A139" s="28">
        <v>12</v>
      </c>
      <c r="B139" s="29" t="s">
        <v>549</v>
      </c>
      <c r="C139" s="29" t="s">
        <v>550</v>
      </c>
      <c r="D139" s="29" t="s">
        <v>529</v>
      </c>
      <c r="E139" s="30">
        <v>2500</v>
      </c>
      <c r="F139" s="31">
        <v>2522.7399999999998</v>
      </c>
      <c r="G139" s="32">
        <v>4.1044000000000002E-3</v>
      </c>
      <c r="H139" s="27">
        <v>6.6092000000000004</v>
      </c>
    </row>
    <row r="140" spans="1:8" x14ac:dyDescent="0.2">
      <c r="A140" s="28">
        <v>13</v>
      </c>
      <c r="B140" s="29" t="s">
        <v>551</v>
      </c>
      <c r="C140" s="29" t="s">
        <v>552</v>
      </c>
      <c r="D140" s="29" t="s">
        <v>553</v>
      </c>
      <c r="E140" s="30">
        <v>2500</v>
      </c>
      <c r="F140" s="31">
        <v>2519.9875000000002</v>
      </c>
      <c r="G140" s="32">
        <v>4.09992E-3</v>
      </c>
      <c r="H140" s="27">
        <v>7.92</v>
      </c>
    </row>
    <row r="141" spans="1:8" x14ac:dyDescent="0.2">
      <c r="A141" s="28">
        <v>14</v>
      </c>
      <c r="B141" s="29" t="s">
        <v>554</v>
      </c>
      <c r="C141" s="29" t="s">
        <v>555</v>
      </c>
      <c r="D141" s="29" t="s">
        <v>529</v>
      </c>
      <c r="E141" s="30">
        <v>2000</v>
      </c>
      <c r="F141" s="31">
        <v>2061.6759999999999</v>
      </c>
      <c r="G141" s="32">
        <v>3.3542699999999999E-3</v>
      </c>
      <c r="H141" s="27">
        <v>7.3674999999999997</v>
      </c>
    </row>
    <row r="142" spans="1:8" ht="25.5" x14ac:dyDescent="0.2">
      <c r="A142" s="28">
        <v>15</v>
      </c>
      <c r="B142" s="29" t="s">
        <v>556</v>
      </c>
      <c r="C142" s="29" t="s">
        <v>557</v>
      </c>
      <c r="D142" s="29" t="s">
        <v>529</v>
      </c>
      <c r="E142" s="30">
        <v>2000</v>
      </c>
      <c r="F142" s="31">
        <v>2060.424</v>
      </c>
      <c r="G142" s="32">
        <v>3.3522299999999999E-3</v>
      </c>
      <c r="H142" s="27">
        <v>6.9672000000000001</v>
      </c>
    </row>
    <row r="143" spans="1:8" x14ac:dyDescent="0.2">
      <c r="A143" s="28">
        <v>16</v>
      </c>
      <c r="B143" s="29" t="s">
        <v>558</v>
      </c>
      <c r="C143" s="29" t="s">
        <v>559</v>
      </c>
      <c r="D143" s="29" t="s">
        <v>526</v>
      </c>
      <c r="E143" s="30">
        <v>2000</v>
      </c>
      <c r="F143" s="31">
        <v>2040.94</v>
      </c>
      <c r="G143" s="32">
        <v>3.3205299999999999E-3</v>
      </c>
      <c r="H143" s="27">
        <v>6.53</v>
      </c>
    </row>
    <row r="144" spans="1:8" ht="25.5" x14ac:dyDescent="0.2">
      <c r="A144" s="28">
        <v>17</v>
      </c>
      <c r="B144" s="29" t="s">
        <v>560</v>
      </c>
      <c r="C144" s="29" t="s">
        <v>561</v>
      </c>
      <c r="D144" s="29" t="s">
        <v>529</v>
      </c>
      <c r="E144" s="30">
        <v>2000</v>
      </c>
      <c r="F144" s="31">
        <v>2030.126</v>
      </c>
      <c r="G144" s="32">
        <v>3.3029399999999999E-3</v>
      </c>
      <c r="H144" s="27">
        <v>6.5545999999999998</v>
      </c>
    </row>
    <row r="145" spans="1:8" ht="25.5" x14ac:dyDescent="0.2">
      <c r="A145" s="28">
        <v>18</v>
      </c>
      <c r="B145" s="29" t="s">
        <v>562</v>
      </c>
      <c r="C145" s="29" t="s">
        <v>563</v>
      </c>
      <c r="D145" s="29" t="s">
        <v>529</v>
      </c>
      <c r="E145" s="30">
        <v>1500</v>
      </c>
      <c r="F145" s="31">
        <v>1614.6434999999999</v>
      </c>
      <c r="G145" s="32">
        <v>2.6269599999999998E-3</v>
      </c>
      <c r="H145" s="27">
        <v>6.8250000000000002</v>
      </c>
    </row>
    <row r="146" spans="1:8" x14ac:dyDescent="0.2">
      <c r="A146" s="28">
        <v>19</v>
      </c>
      <c r="B146" s="29" t="s">
        <v>564</v>
      </c>
      <c r="C146" s="29" t="s">
        <v>565</v>
      </c>
      <c r="D146" s="29" t="s">
        <v>529</v>
      </c>
      <c r="E146" s="30">
        <v>1500</v>
      </c>
      <c r="F146" s="31">
        <v>1568.5440000000001</v>
      </c>
      <c r="G146" s="32">
        <v>2.5519599999999998E-3</v>
      </c>
      <c r="H146" s="27">
        <v>7.0250000000000004</v>
      </c>
    </row>
    <row r="147" spans="1:8" ht="25.5" x14ac:dyDescent="0.2">
      <c r="A147" s="28">
        <v>20</v>
      </c>
      <c r="B147" s="29" t="s">
        <v>566</v>
      </c>
      <c r="C147" s="29" t="s">
        <v>567</v>
      </c>
      <c r="D147" s="29" t="s">
        <v>529</v>
      </c>
      <c r="E147" s="30">
        <v>1500</v>
      </c>
      <c r="F147" s="31">
        <v>1557.8910000000001</v>
      </c>
      <c r="G147" s="32">
        <v>2.53463E-3</v>
      </c>
      <c r="H147" s="27">
        <v>6.75</v>
      </c>
    </row>
    <row r="148" spans="1:8" ht="25.5" x14ac:dyDescent="0.2">
      <c r="A148" s="28">
        <v>21</v>
      </c>
      <c r="B148" s="29" t="s">
        <v>568</v>
      </c>
      <c r="C148" s="29" t="s">
        <v>569</v>
      </c>
      <c r="D148" s="29" t="s">
        <v>529</v>
      </c>
      <c r="E148" s="30">
        <v>1500</v>
      </c>
      <c r="F148" s="31">
        <v>1545.741</v>
      </c>
      <c r="G148" s="32">
        <v>2.5148599999999998E-3</v>
      </c>
      <c r="H148" s="27">
        <v>6.56</v>
      </c>
    </row>
    <row r="149" spans="1:8" ht="25.5" x14ac:dyDescent="0.2">
      <c r="A149" s="28">
        <v>22</v>
      </c>
      <c r="B149" s="29" t="s">
        <v>570</v>
      </c>
      <c r="C149" s="29" t="s">
        <v>571</v>
      </c>
      <c r="D149" s="29" t="s">
        <v>526</v>
      </c>
      <c r="E149" s="30">
        <v>1500</v>
      </c>
      <c r="F149" s="31">
        <v>1533.828</v>
      </c>
      <c r="G149" s="32">
        <v>2.49548E-3</v>
      </c>
      <c r="H149" s="27">
        <v>6.61</v>
      </c>
    </row>
    <row r="150" spans="1:8" ht="25.5" x14ac:dyDescent="0.2">
      <c r="A150" s="28">
        <v>23</v>
      </c>
      <c r="B150" s="29" t="s">
        <v>572</v>
      </c>
      <c r="C150" s="29" t="s">
        <v>573</v>
      </c>
      <c r="D150" s="29" t="s">
        <v>529</v>
      </c>
      <c r="E150" s="30">
        <v>1500</v>
      </c>
      <c r="F150" s="31">
        <v>1519.3140000000001</v>
      </c>
      <c r="G150" s="32">
        <v>2.4718700000000001E-3</v>
      </c>
      <c r="H150" s="27">
        <v>6.55</v>
      </c>
    </row>
    <row r="151" spans="1:8" x14ac:dyDescent="0.2">
      <c r="A151" s="28">
        <v>24</v>
      </c>
      <c r="B151" s="29" t="s">
        <v>574</v>
      </c>
      <c r="C151" s="29" t="s">
        <v>575</v>
      </c>
      <c r="D151" s="29" t="s">
        <v>553</v>
      </c>
      <c r="E151" s="30">
        <v>1500</v>
      </c>
      <c r="F151" s="31">
        <v>1510.317</v>
      </c>
      <c r="G151" s="32">
        <v>2.4572299999999999E-3</v>
      </c>
      <c r="H151" s="27">
        <v>8.1281999999999996</v>
      </c>
    </row>
    <row r="152" spans="1:8" x14ac:dyDescent="0.2">
      <c r="A152" s="28">
        <v>25</v>
      </c>
      <c r="B152" s="29" t="s">
        <v>576</v>
      </c>
      <c r="C152" s="29" t="s">
        <v>577</v>
      </c>
      <c r="D152" s="29" t="s">
        <v>529</v>
      </c>
      <c r="E152" s="30">
        <v>1500</v>
      </c>
      <c r="F152" s="31">
        <v>1500.1079999999999</v>
      </c>
      <c r="G152" s="32">
        <v>2.4406200000000001E-3</v>
      </c>
      <c r="H152" s="27">
        <v>7.02</v>
      </c>
    </row>
    <row r="153" spans="1:8" x14ac:dyDescent="0.2">
      <c r="A153" s="28">
        <v>26</v>
      </c>
      <c r="B153" s="29" t="s">
        <v>578</v>
      </c>
      <c r="C153" s="29" t="s">
        <v>579</v>
      </c>
      <c r="D153" s="29" t="s">
        <v>529</v>
      </c>
      <c r="E153" s="30">
        <v>150</v>
      </c>
      <c r="F153" s="31">
        <v>1488.0315000000001</v>
      </c>
      <c r="G153" s="32">
        <v>2.4209700000000002E-3</v>
      </c>
      <c r="H153" s="27">
        <v>6.82</v>
      </c>
    </row>
    <row r="154" spans="1:8" ht="25.5" x14ac:dyDescent="0.2">
      <c r="A154" s="28">
        <v>27</v>
      </c>
      <c r="B154" s="29" t="s">
        <v>580</v>
      </c>
      <c r="C154" s="29" t="s">
        <v>581</v>
      </c>
      <c r="D154" s="29" t="s">
        <v>529</v>
      </c>
      <c r="E154" s="30">
        <v>1000</v>
      </c>
      <c r="F154" s="31">
        <v>1021.976</v>
      </c>
      <c r="G154" s="32">
        <v>1.6627199999999999E-3</v>
      </c>
      <c r="H154" s="27">
        <v>6.5774999999999997</v>
      </c>
    </row>
    <row r="155" spans="1:8" x14ac:dyDescent="0.2">
      <c r="A155" s="28">
        <v>28</v>
      </c>
      <c r="B155" s="29" t="s">
        <v>582</v>
      </c>
      <c r="C155" s="29" t="s">
        <v>583</v>
      </c>
      <c r="D155" s="29" t="s">
        <v>584</v>
      </c>
      <c r="E155" s="30">
        <v>1000</v>
      </c>
      <c r="F155" s="31">
        <v>1014.7</v>
      </c>
      <c r="G155" s="32">
        <v>1.65088E-3</v>
      </c>
      <c r="H155" s="27">
        <v>7.3784999999999998</v>
      </c>
    </row>
    <row r="156" spans="1:8" x14ac:dyDescent="0.2">
      <c r="A156" s="28">
        <v>29</v>
      </c>
      <c r="B156" s="29" t="s">
        <v>585</v>
      </c>
      <c r="C156" s="29" t="s">
        <v>586</v>
      </c>
      <c r="D156" s="29" t="s">
        <v>526</v>
      </c>
      <c r="E156" s="30">
        <v>1000</v>
      </c>
      <c r="F156" s="31">
        <v>1013.784</v>
      </c>
      <c r="G156" s="32">
        <v>1.6493899999999999E-3</v>
      </c>
      <c r="H156" s="27">
        <v>7.1349999999999998</v>
      </c>
    </row>
    <row r="157" spans="1:8" x14ac:dyDescent="0.2">
      <c r="A157" s="28">
        <v>30</v>
      </c>
      <c r="B157" s="29" t="s">
        <v>587</v>
      </c>
      <c r="C157" s="29" t="s">
        <v>588</v>
      </c>
      <c r="D157" s="29" t="s">
        <v>529</v>
      </c>
      <c r="E157" s="30">
        <v>1000</v>
      </c>
      <c r="F157" s="31">
        <v>1010.107</v>
      </c>
      <c r="G157" s="32">
        <v>1.6434100000000001E-3</v>
      </c>
      <c r="H157" s="27">
        <v>6.55</v>
      </c>
    </row>
    <row r="158" spans="1:8" x14ac:dyDescent="0.2">
      <c r="A158" s="28">
        <v>31</v>
      </c>
      <c r="B158" s="29" t="s">
        <v>589</v>
      </c>
      <c r="C158" s="29" t="s">
        <v>590</v>
      </c>
      <c r="D158" s="29" t="s">
        <v>529</v>
      </c>
      <c r="E158" s="30">
        <v>1000</v>
      </c>
      <c r="F158" s="31">
        <v>1007.823</v>
      </c>
      <c r="G158" s="32">
        <v>1.6396900000000001E-3</v>
      </c>
      <c r="H158" s="27">
        <v>6.5449999999999999</v>
      </c>
    </row>
    <row r="159" spans="1:8" x14ac:dyDescent="0.2">
      <c r="A159" s="28">
        <v>32</v>
      </c>
      <c r="B159" s="29" t="s">
        <v>591</v>
      </c>
      <c r="C159" s="29" t="s">
        <v>592</v>
      </c>
      <c r="D159" s="29" t="s">
        <v>529</v>
      </c>
      <c r="E159" s="30">
        <v>1000</v>
      </c>
      <c r="F159" s="31">
        <v>1006.8630000000001</v>
      </c>
      <c r="G159" s="32">
        <v>1.63813E-3</v>
      </c>
      <c r="H159" s="27">
        <v>6.6</v>
      </c>
    </row>
    <row r="160" spans="1:8" x14ac:dyDescent="0.2">
      <c r="A160" s="28">
        <v>33</v>
      </c>
      <c r="B160" s="29" t="s">
        <v>593</v>
      </c>
      <c r="C160" s="29" t="s">
        <v>594</v>
      </c>
      <c r="D160" s="29" t="s">
        <v>529</v>
      </c>
      <c r="E160" s="30">
        <v>100</v>
      </c>
      <c r="F160" s="31">
        <v>1005.918</v>
      </c>
      <c r="G160" s="32">
        <v>1.63659E-3</v>
      </c>
      <c r="H160" s="27">
        <v>7.2423000000000002</v>
      </c>
    </row>
    <row r="161" spans="1:8" ht="25.5" x14ac:dyDescent="0.2">
      <c r="A161" s="28">
        <v>34</v>
      </c>
      <c r="B161" s="29" t="s">
        <v>595</v>
      </c>
      <c r="C161" s="29" t="s">
        <v>596</v>
      </c>
      <c r="D161" s="29" t="s">
        <v>529</v>
      </c>
      <c r="E161" s="30">
        <v>1000</v>
      </c>
      <c r="F161" s="31">
        <v>1004.779</v>
      </c>
      <c r="G161" s="32">
        <v>1.63474E-3</v>
      </c>
      <c r="H161" s="27">
        <v>6.9672000000000001</v>
      </c>
    </row>
    <row r="162" spans="1:8" x14ac:dyDescent="0.2">
      <c r="A162" s="28">
        <v>35</v>
      </c>
      <c r="B162" s="29" t="s">
        <v>597</v>
      </c>
      <c r="C162" s="29" t="s">
        <v>598</v>
      </c>
      <c r="D162" s="29" t="s">
        <v>529</v>
      </c>
      <c r="E162" s="30">
        <v>1000</v>
      </c>
      <c r="F162" s="31">
        <v>1001.6180000000001</v>
      </c>
      <c r="G162" s="32">
        <v>1.62959E-3</v>
      </c>
      <c r="H162" s="27">
        <v>7.343</v>
      </c>
    </row>
    <row r="163" spans="1:8" x14ac:dyDescent="0.2">
      <c r="A163" s="25"/>
      <c r="B163" s="25"/>
      <c r="C163" s="26" t="s">
        <v>141</v>
      </c>
      <c r="D163" s="25"/>
      <c r="E163" s="25" t="s">
        <v>142</v>
      </c>
      <c r="F163" s="33">
        <v>70209.236499999999</v>
      </c>
      <c r="G163" s="34">
        <v>0.11422775</v>
      </c>
      <c r="H163" s="27" t="s">
        <v>142</v>
      </c>
    </row>
    <row r="164" spans="1:8" x14ac:dyDescent="0.2">
      <c r="A164" s="25"/>
      <c r="B164" s="25"/>
      <c r="C164" s="35"/>
      <c r="D164" s="25"/>
      <c r="E164" s="25"/>
      <c r="F164" s="36"/>
      <c r="G164" s="36"/>
      <c r="H164" s="27" t="s">
        <v>142</v>
      </c>
    </row>
    <row r="165" spans="1:8" x14ac:dyDescent="0.2">
      <c r="A165" s="25"/>
      <c r="B165" s="25"/>
      <c r="C165" s="26" t="s">
        <v>151</v>
      </c>
      <c r="D165" s="25"/>
      <c r="E165" s="25"/>
      <c r="F165" s="25"/>
      <c r="G165" s="25"/>
      <c r="H165" s="27" t="s">
        <v>142</v>
      </c>
    </row>
    <row r="166" spans="1:8" x14ac:dyDescent="0.2">
      <c r="A166" s="25"/>
      <c r="B166" s="25"/>
      <c r="C166" s="26" t="s">
        <v>141</v>
      </c>
      <c r="D166" s="25"/>
      <c r="E166" s="25" t="s">
        <v>142</v>
      </c>
      <c r="F166" s="37" t="s">
        <v>144</v>
      </c>
      <c r="G166" s="34">
        <v>0</v>
      </c>
      <c r="H166" s="27" t="s">
        <v>142</v>
      </c>
    </row>
    <row r="167" spans="1:8" x14ac:dyDescent="0.2">
      <c r="A167" s="25"/>
      <c r="B167" s="25"/>
      <c r="C167" s="35"/>
      <c r="D167" s="25"/>
      <c r="E167" s="25"/>
      <c r="F167" s="36"/>
      <c r="G167" s="36"/>
      <c r="H167" s="27" t="s">
        <v>142</v>
      </c>
    </row>
    <row r="168" spans="1:8" x14ac:dyDescent="0.2">
      <c r="A168" s="25"/>
      <c r="B168" s="25"/>
      <c r="C168" s="26" t="s">
        <v>152</v>
      </c>
      <c r="D168" s="25"/>
      <c r="E168" s="25"/>
      <c r="F168" s="25"/>
      <c r="G168" s="25"/>
      <c r="H168" s="27" t="s">
        <v>142</v>
      </c>
    </row>
    <row r="169" spans="1:8" x14ac:dyDescent="0.2">
      <c r="A169" s="28">
        <v>1</v>
      </c>
      <c r="B169" s="29" t="s">
        <v>599</v>
      </c>
      <c r="C169" s="29" t="s">
        <v>600</v>
      </c>
      <c r="D169" s="29" t="s">
        <v>601</v>
      </c>
      <c r="E169" s="30">
        <v>30000000</v>
      </c>
      <c r="F169" s="31">
        <v>31625.4</v>
      </c>
      <c r="G169" s="32">
        <v>5.1453289999999999E-2</v>
      </c>
      <c r="H169" s="27">
        <v>6.3898000000000001</v>
      </c>
    </row>
    <row r="170" spans="1:8" x14ac:dyDescent="0.2">
      <c r="A170" s="28">
        <v>2</v>
      </c>
      <c r="B170" s="29" t="s">
        <v>602</v>
      </c>
      <c r="C170" s="29" t="s">
        <v>1077</v>
      </c>
      <c r="D170" s="29" t="s">
        <v>601</v>
      </c>
      <c r="E170" s="30">
        <v>10000000</v>
      </c>
      <c r="F170" s="31">
        <v>10732.18</v>
      </c>
      <c r="G170" s="32">
        <v>1.7460839999999998E-2</v>
      </c>
      <c r="H170" s="27">
        <v>6.5266999999999999</v>
      </c>
    </row>
    <row r="171" spans="1:8" x14ac:dyDescent="0.2">
      <c r="A171" s="28">
        <v>3</v>
      </c>
      <c r="B171" s="29" t="s">
        <v>603</v>
      </c>
      <c r="C171" s="29" t="s">
        <v>604</v>
      </c>
      <c r="D171" s="29" t="s">
        <v>601</v>
      </c>
      <c r="E171" s="30">
        <v>3000000</v>
      </c>
      <c r="F171" s="31">
        <v>3195.1019999999999</v>
      </c>
      <c r="G171" s="32">
        <v>5.1983100000000003E-3</v>
      </c>
      <c r="H171" s="27">
        <v>6.5026999999999999</v>
      </c>
    </row>
    <row r="172" spans="1:8" x14ac:dyDescent="0.2">
      <c r="A172" s="28">
        <v>4</v>
      </c>
      <c r="B172" s="29" t="s">
        <v>605</v>
      </c>
      <c r="C172" s="29" t="s">
        <v>606</v>
      </c>
      <c r="D172" s="29" t="s">
        <v>601</v>
      </c>
      <c r="E172" s="30">
        <v>2500000</v>
      </c>
      <c r="F172" s="31">
        <v>2661.085</v>
      </c>
      <c r="G172" s="32">
        <v>4.3294800000000001E-3</v>
      </c>
      <c r="H172" s="27">
        <v>6.9802</v>
      </c>
    </row>
    <row r="173" spans="1:8" x14ac:dyDescent="0.2">
      <c r="A173" s="28">
        <v>5</v>
      </c>
      <c r="B173" s="29" t="s">
        <v>607</v>
      </c>
      <c r="C173" s="29" t="s">
        <v>608</v>
      </c>
      <c r="D173" s="29" t="s">
        <v>601</v>
      </c>
      <c r="E173" s="30">
        <v>2500000</v>
      </c>
      <c r="F173" s="31">
        <v>2650.7474999999999</v>
      </c>
      <c r="G173" s="32">
        <v>4.3126600000000003E-3</v>
      </c>
      <c r="H173" s="27">
        <v>6.9306999999999999</v>
      </c>
    </row>
    <row r="174" spans="1:8" x14ac:dyDescent="0.2">
      <c r="A174" s="28">
        <v>6</v>
      </c>
      <c r="B174" s="29" t="s">
        <v>609</v>
      </c>
      <c r="C174" s="29" t="s">
        <v>1076</v>
      </c>
      <c r="D174" s="29" t="s">
        <v>601</v>
      </c>
      <c r="E174" s="30">
        <v>2500000</v>
      </c>
      <c r="F174" s="31">
        <v>2609.2775000000001</v>
      </c>
      <c r="G174" s="32">
        <v>4.2451900000000002E-3</v>
      </c>
      <c r="H174" s="27">
        <v>5.9074</v>
      </c>
    </row>
    <row r="175" spans="1:8" x14ac:dyDescent="0.2">
      <c r="A175" s="28">
        <v>7</v>
      </c>
      <c r="B175" s="29" t="s">
        <v>610</v>
      </c>
      <c r="C175" s="29" t="s">
        <v>611</v>
      </c>
      <c r="D175" s="29" t="s">
        <v>601</v>
      </c>
      <c r="E175" s="30">
        <v>1500000</v>
      </c>
      <c r="F175" s="31">
        <v>1576.8074999999999</v>
      </c>
      <c r="G175" s="32">
        <v>2.5653999999999998E-3</v>
      </c>
      <c r="H175" s="27">
        <v>6.0869999999999997</v>
      </c>
    </row>
    <row r="176" spans="1:8" ht="25.5" x14ac:dyDescent="0.2">
      <c r="A176" s="28">
        <v>8</v>
      </c>
      <c r="B176" s="29" t="s">
        <v>612</v>
      </c>
      <c r="C176" s="38" t="s">
        <v>940</v>
      </c>
      <c r="D176" s="29" t="s">
        <v>601</v>
      </c>
      <c r="E176" s="30">
        <v>1500000</v>
      </c>
      <c r="F176" s="31">
        <v>1516.9365</v>
      </c>
      <c r="G176" s="32">
        <v>2.4680000000000001E-3</v>
      </c>
      <c r="H176" s="27">
        <v>6.9532154220557754</v>
      </c>
    </row>
    <row r="177" spans="1:8" ht="25.5" x14ac:dyDescent="0.2">
      <c r="A177" s="28">
        <v>9</v>
      </c>
      <c r="B177" s="29" t="s">
        <v>613</v>
      </c>
      <c r="C177" s="29" t="s">
        <v>614</v>
      </c>
      <c r="D177" s="29" t="s">
        <v>601</v>
      </c>
      <c r="E177" s="30">
        <v>1270000</v>
      </c>
      <c r="F177" s="31">
        <v>1336.3651199999999</v>
      </c>
      <c r="G177" s="32">
        <v>2.1742100000000002E-3</v>
      </c>
      <c r="H177" s="27">
        <v>6.7545999999999999</v>
      </c>
    </row>
    <row r="178" spans="1:8" x14ac:dyDescent="0.2">
      <c r="A178" s="25"/>
      <c r="B178" s="25"/>
      <c r="C178" s="26" t="s">
        <v>141</v>
      </c>
      <c r="D178" s="25"/>
      <c r="E178" s="25" t="s">
        <v>142</v>
      </c>
      <c r="F178" s="33">
        <v>57903.901120000002</v>
      </c>
      <c r="G178" s="34">
        <v>9.4207379999999993E-2</v>
      </c>
      <c r="H178" s="27" t="s">
        <v>142</v>
      </c>
    </row>
    <row r="179" spans="1:8" x14ac:dyDescent="0.2">
      <c r="A179" s="25"/>
      <c r="B179" s="25"/>
      <c r="C179" s="35"/>
      <c r="D179" s="25"/>
      <c r="E179" s="25"/>
      <c r="F179" s="36"/>
      <c r="G179" s="36"/>
      <c r="H179" s="27" t="s">
        <v>142</v>
      </c>
    </row>
    <row r="180" spans="1:8" x14ac:dyDescent="0.2">
      <c r="A180" s="25"/>
      <c r="B180" s="25"/>
      <c r="C180" s="26" t="s">
        <v>153</v>
      </c>
      <c r="D180" s="25"/>
      <c r="E180" s="25"/>
      <c r="F180" s="36"/>
      <c r="G180" s="36"/>
      <c r="H180" s="27" t="s">
        <v>142</v>
      </c>
    </row>
    <row r="181" spans="1:8" x14ac:dyDescent="0.2">
      <c r="A181" s="25"/>
      <c r="B181" s="25"/>
      <c r="C181" s="26" t="s">
        <v>141</v>
      </c>
      <c r="D181" s="25"/>
      <c r="E181" s="25" t="s">
        <v>142</v>
      </c>
      <c r="F181" s="37" t="s">
        <v>144</v>
      </c>
      <c r="G181" s="34">
        <v>0</v>
      </c>
      <c r="H181" s="27" t="s">
        <v>142</v>
      </c>
    </row>
    <row r="182" spans="1:8" x14ac:dyDescent="0.2">
      <c r="A182" s="25"/>
      <c r="B182" s="25"/>
      <c r="C182" s="35"/>
      <c r="D182" s="25"/>
      <c r="E182" s="25"/>
      <c r="F182" s="36"/>
      <c r="G182" s="36"/>
      <c r="H182" s="27" t="s">
        <v>142</v>
      </c>
    </row>
    <row r="183" spans="1:8" x14ac:dyDescent="0.2">
      <c r="A183" s="25"/>
      <c r="B183" s="25"/>
      <c r="C183" s="26" t="s">
        <v>154</v>
      </c>
      <c r="D183" s="25"/>
      <c r="E183" s="25"/>
      <c r="F183" s="33">
        <v>128113.13761999999</v>
      </c>
      <c r="G183" s="34">
        <v>0.20843513</v>
      </c>
      <c r="H183" s="27" t="s">
        <v>142</v>
      </c>
    </row>
    <row r="184" spans="1:8" x14ac:dyDescent="0.2">
      <c r="A184" s="25"/>
      <c r="B184" s="25"/>
      <c r="C184" s="35"/>
      <c r="D184" s="25"/>
      <c r="E184" s="25"/>
      <c r="F184" s="36"/>
      <c r="G184" s="36"/>
      <c r="H184" s="27" t="s">
        <v>142</v>
      </c>
    </row>
    <row r="185" spans="1:8" x14ac:dyDescent="0.2">
      <c r="A185" s="25"/>
      <c r="B185" s="25"/>
      <c r="C185" s="26" t="s">
        <v>155</v>
      </c>
      <c r="D185" s="25"/>
      <c r="E185" s="25"/>
      <c r="F185" s="36"/>
      <c r="G185" s="36"/>
      <c r="H185" s="27" t="s">
        <v>142</v>
      </c>
    </row>
    <row r="186" spans="1:8" x14ac:dyDescent="0.2">
      <c r="A186" s="25"/>
      <c r="B186" s="25"/>
      <c r="C186" s="26" t="s">
        <v>156</v>
      </c>
      <c r="D186" s="25"/>
      <c r="E186" s="25"/>
      <c r="F186" s="36"/>
      <c r="G186" s="36"/>
      <c r="H186" s="27" t="s">
        <v>142</v>
      </c>
    </row>
    <row r="187" spans="1:8" x14ac:dyDescent="0.2">
      <c r="A187" s="28">
        <v>1</v>
      </c>
      <c r="B187" s="29" t="s">
        <v>615</v>
      </c>
      <c r="C187" s="29" t="s">
        <v>616</v>
      </c>
      <c r="D187" s="29" t="s">
        <v>617</v>
      </c>
      <c r="E187" s="30">
        <v>100</v>
      </c>
      <c r="F187" s="31">
        <v>479.02350000000001</v>
      </c>
      <c r="G187" s="32">
        <v>7.7935000000000005E-4</v>
      </c>
      <c r="H187" s="27">
        <v>6.4450000000000003</v>
      </c>
    </row>
    <row r="188" spans="1:8" x14ac:dyDescent="0.2">
      <c r="A188" s="25"/>
      <c r="B188" s="25"/>
      <c r="C188" s="26" t="s">
        <v>141</v>
      </c>
      <c r="D188" s="25"/>
      <c r="E188" s="25" t="s">
        <v>142</v>
      </c>
      <c r="F188" s="33">
        <v>479.02350000000001</v>
      </c>
      <c r="G188" s="34">
        <v>7.7935000000000005E-4</v>
      </c>
      <c r="H188" s="27" t="s">
        <v>142</v>
      </c>
    </row>
    <row r="189" spans="1:8" x14ac:dyDescent="0.2">
      <c r="A189" s="25"/>
      <c r="B189" s="25"/>
      <c r="C189" s="35"/>
      <c r="D189" s="25"/>
      <c r="E189" s="25"/>
      <c r="F189" s="36"/>
      <c r="G189" s="36"/>
      <c r="H189" s="27" t="s">
        <v>142</v>
      </c>
    </row>
    <row r="190" spans="1:8" x14ac:dyDescent="0.2">
      <c r="A190" s="25"/>
      <c r="B190" s="25"/>
      <c r="C190" s="26" t="s">
        <v>157</v>
      </c>
      <c r="D190" s="25"/>
      <c r="E190" s="25"/>
      <c r="F190" s="36"/>
      <c r="G190" s="36"/>
      <c r="H190" s="27" t="s">
        <v>142</v>
      </c>
    </row>
    <row r="191" spans="1:8" x14ac:dyDescent="0.2">
      <c r="A191" s="25"/>
      <c r="B191" s="25"/>
      <c r="C191" s="26" t="s">
        <v>141</v>
      </c>
      <c r="D191" s="25"/>
      <c r="E191" s="25" t="s">
        <v>142</v>
      </c>
      <c r="F191" s="37" t="s">
        <v>144</v>
      </c>
      <c r="G191" s="34">
        <v>0</v>
      </c>
      <c r="H191" s="27" t="s">
        <v>142</v>
      </c>
    </row>
    <row r="192" spans="1:8" x14ac:dyDescent="0.2">
      <c r="A192" s="25"/>
      <c r="B192" s="25"/>
      <c r="C192" s="35"/>
      <c r="D192" s="25"/>
      <c r="E192" s="25"/>
      <c r="F192" s="36"/>
      <c r="G192" s="36"/>
      <c r="H192" s="27" t="s">
        <v>142</v>
      </c>
    </row>
    <row r="193" spans="1:8" x14ac:dyDescent="0.2">
      <c r="A193" s="25"/>
      <c r="B193" s="25"/>
      <c r="C193" s="26" t="s">
        <v>158</v>
      </c>
      <c r="D193" s="25"/>
      <c r="E193" s="25"/>
      <c r="F193" s="36"/>
      <c r="G193" s="36"/>
      <c r="H193" s="27" t="s">
        <v>142</v>
      </c>
    </row>
    <row r="194" spans="1:8" x14ac:dyDescent="0.2">
      <c r="A194" s="25"/>
      <c r="B194" s="25"/>
      <c r="C194" s="26" t="s">
        <v>141</v>
      </c>
      <c r="D194" s="25"/>
      <c r="E194" s="25" t="s">
        <v>142</v>
      </c>
      <c r="F194" s="37" t="s">
        <v>144</v>
      </c>
      <c r="G194" s="34">
        <v>0</v>
      </c>
      <c r="H194" s="27" t="s">
        <v>142</v>
      </c>
    </row>
    <row r="195" spans="1:8" x14ac:dyDescent="0.2">
      <c r="A195" s="25"/>
      <c r="B195" s="25"/>
      <c r="C195" s="35"/>
      <c r="D195" s="25"/>
      <c r="E195" s="25"/>
      <c r="F195" s="36"/>
      <c r="G195" s="36"/>
      <c r="H195" s="27" t="s">
        <v>142</v>
      </c>
    </row>
    <row r="196" spans="1:8" x14ac:dyDescent="0.2">
      <c r="A196" s="25"/>
      <c r="B196" s="25"/>
      <c r="C196" s="26" t="s">
        <v>159</v>
      </c>
      <c r="D196" s="25"/>
      <c r="E196" s="25"/>
      <c r="F196" s="36"/>
      <c r="G196" s="36"/>
      <c r="H196" s="27" t="s">
        <v>142</v>
      </c>
    </row>
    <row r="197" spans="1:8" x14ac:dyDescent="0.2">
      <c r="A197" s="28">
        <v>1</v>
      </c>
      <c r="B197" s="29"/>
      <c r="C197" s="29" t="s">
        <v>160</v>
      </c>
      <c r="D197" s="29"/>
      <c r="E197" s="39"/>
      <c r="F197" s="31">
        <v>17473.925226064999</v>
      </c>
      <c r="G197" s="32">
        <v>2.8429389999999999E-2</v>
      </c>
      <c r="H197" s="27">
        <v>5.76</v>
      </c>
    </row>
    <row r="198" spans="1:8" x14ac:dyDescent="0.2">
      <c r="A198" s="25"/>
      <c r="B198" s="25"/>
      <c r="C198" s="26" t="s">
        <v>141</v>
      </c>
      <c r="D198" s="25"/>
      <c r="E198" s="25" t="s">
        <v>142</v>
      </c>
      <c r="F198" s="33">
        <v>17473.925226064999</v>
      </c>
      <c r="G198" s="34">
        <v>2.8429389999999999E-2</v>
      </c>
      <c r="H198" s="27" t="s">
        <v>142</v>
      </c>
    </row>
    <row r="199" spans="1:8" x14ac:dyDescent="0.2">
      <c r="A199" s="25"/>
      <c r="B199" s="25"/>
      <c r="C199" s="35"/>
      <c r="D199" s="25"/>
      <c r="E199" s="25"/>
      <c r="F199" s="36"/>
      <c r="G199" s="36"/>
      <c r="H199" s="27" t="s">
        <v>142</v>
      </c>
    </row>
    <row r="200" spans="1:8" x14ac:dyDescent="0.2">
      <c r="A200" s="25"/>
      <c r="B200" s="25"/>
      <c r="C200" s="26" t="s">
        <v>161</v>
      </c>
      <c r="D200" s="25"/>
      <c r="E200" s="25"/>
      <c r="F200" s="33">
        <v>17952.948726064998</v>
      </c>
      <c r="G200" s="34">
        <v>2.920874E-2</v>
      </c>
      <c r="H200" s="27" t="s">
        <v>142</v>
      </c>
    </row>
    <row r="201" spans="1:8" x14ac:dyDescent="0.2">
      <c r="A201" s="25"/>
      <c r="B201" s="25"/>
      <c r="C201" s="36"/>
      <c r="D201" s="25"/>
      <c r="E201" s="25"/>
      <c r="F201" s="25"/>
      <c r="G201" s="25"/>
      <c r="H201" s="27" t="s">
        <v>142</v>
      </c>
    </row>
    <row r="202" spans="1:8" x14ac:dyDescent="0.2">
      <c r="A202" s="25"/>
      <c r="B202" s="25"/>
      <c r="C202" s="26" t="s">
        <v>162</v>
      </c>
      <c r="D202" s="25"/>
      <c r="E202" s="25"/>
      <c r="F202" s="25"/>
      <c r="G202" s="25"/>
      <c r="H202" s="27" t="s">
        <v>142</v>
      </c>
    </row>
    <row r="203" spans="1:8" x14ac:dyDescent="0.2">
      <c r="A203" s="25"/>
      <c r="B203" s="25"/>
      <c r="C203" s="26" t="s">
        <v>163</v>
      </c>
      <c r="D203" s="25"/>
      <c r="E203" s="25"/>
      <c r="F203" s="25"/>
      <c r="G203" s="25"/>
      <c r="H203" s="27" t="s">
        <v>142</v>
      </c>
    </row>
    <row r="204" spans="1:8" x14ac:dyDescent="0.2">
      <c r="A204" s="28">
        <v>1</v>
      </c>
      <c r="B204" s="29" t="s">
        <v>492</v>
      </c>
      <c r="C204" s="29" t="s">
        <v>1075</v>
      </c>
      <c r="D204" s="29"/>
      <c r="E204" s="69">
        <v>69857221.264300004</v>
      </c>
      <c r="F204" s="31">
        <v>10502.404502096</v>
      </c>
      <c r="G204" s="32">
        <v>1.7087000000000001E-2</v>
      </c>
      <c r="H204" s="27" t="s">
        <v>142</v>
      </c>
    </row>
    <row r="205" spans="1:8" x14ac:dyDescent="0.2">
      <c r="A205" s="25"/>
      <c r="B205" s="25"/>
      <c r="C205" s="26" t="s">
        <v>141</v>
      </c>
      <c r="D205" s="25"/>
      <c r="E205" s="25" t="s">
        <v>142</v>
      </c>
      <c r="F205" s="33">
        <v>10502.404502096</v>
      </c>
      <c r="G205" s="34">
        <v>1.7087000000000001E-2</v>
      </c>
      <c r="H205" s="27" t="s">
        <v>142</v>
      </c>
    </row>
    <row r="206" spans="1:8" x14ac:dyDescent="0.2">
      <c r="A206" s="25"/>
      <c r="B206" s="25"/>
      <c r="C206" s="35"/>
      <c r="D206" s="25"/>
      <c r="E206" s="25"/>
      <c r="F206" s="36"/>
      <c r="G206" s="36"/>
      <c r="H206" s="27" t="s">
        <v>142</v>
      </c>
    </row>
    <row r="207" spans="1:8" x14ac:dyDescent="0.2">
      <c r="A207" s="25"/>
      <c r="B207" s="25"/>
      <c r="C207" s="26" t="s">
        <v>164</v>
      </c>
      <c r="D207" s="25"/>
      <c r="E207" s="25"/>
      <c r="F207" s="25"/>
      <c r="G207" s="25"/>
      <c r="H207" s="27" t="s">
        <v>142</v>
      </c>
    </row>
    <row r="208" spans="1:8" x14ac:dyDescent="0.2">
      <c r="A208" s="25"/>
      <c r="B208" s="25"/>
      <c r="C208" s="26" t="s">
        <v>165</v>
      </c>
      <c r="D208" s="25"/>
      <c r="E208" s="25"/>
      <c r="F208" s="25"/>
      <c r="G208" s="25"/>
      <c r="H208" s="27" t="s">
        <v>142</v>
      </c>
    </row>
    <row r="209" spans="1:17" x14ac:dyDescent="0.2">
      <c r="A209" s="25"/>
      <c r="B209" s="25"/>
      <c r="C209" s="26" t="s">
        <v>141</v>
      </c>
      <c r="D209" s="25"/>
      <c r="E209" s="25" t="s">
        <v>142</v>
      </c>
      <c r="F209" s="37" t="s">
        <v>144</v>
      </c>
      <c r="G209" s="34">
        <v>0</v>
      </c>
      <c r="H209" s="27" t="s">
        <v>142</v>
      </c>
    </row>
    <row r="210" spans="1:17" x14ac:dyDescent="0.2">
      <c r="A210" s="25"/>
      <c r="B210" s="25"/>
      <c r="C210" s="35"/>
      <c r="D210" s="25"/>
      <c r="E210" s="25"/>
      <c r="F210" s="36"/>
      <c r="G210" s="36"/>
      <c r="H210" s="27" t="s">
        <v>142</v>
      </c>
    </row>
    <row r="211" spans="1:17" x14ac:dyDescent="0.2">
      <c r="A211" s="25"/>
      <c r="B211" s="25"/>
      <c r="C211" s="26" t="s">
        <v>166</v>
      </c>
      <c r="D211" s="25"/>
      <c r="E211" s="25"/>
      <c r="F211" s="36"/>
      <c r="G211" s="36"/>
      <c r="H211" s="27" t="s">
        <v>142</v>
      </c>
    </row>
    <row r="212" spans="1:17" x14ac:dyDescent="0.2">
      <c r="A212" s="25"/>
      <c r="B212" s="25"/>
      <c r="C212" s="26" t="s">
        <v>141</v>
      </c>
      <c r="D212" s="25"/>
      <c r="E212" s="25" t="s">
        <v>142</v>
      </c>
      <c r="F212" s="37" t="s">
        <v>144</v>
      </c>
      <c r="G212" s="34">
        <v>0</v>
      </c>
      <c r="H212" s="27" t="s">
        <v>142</v>
      </c>
    </row>
    <row r="213" spans="1:17" x14ac:dyDescent="0.2">
      <c r="A213" s="25"/>
      <c r="B213" s="25"/>
      <c r="C213" s="35"/>
      <c r="D213" s="25"/>
      <c r="E213" s="25"/>
      <c r="F213" s="36"/>
      <c r="G213" s="36"/>
      <c r="H213" s="27" t="s">
        <v>142</v>
      </c>
    </row>
    <row r="214" spans="1:17" x14ac:dyDescent="0.2">
      <c r="A214" s="39"/>
      <c r="B214" s="29"/>
      <c r="C214" s="29" t="s">
        <v>618</v>
      </c>
      <c r="D214" s="29"/>
      <c r="E214" s="39"/>
      <c r="F214" s="31">
        <v>9913.5818429999999</v>
      </c>
      <c r="G214" s="32">
        <v>1.6129009999999999E-2</v>
      </c>
      <c r="H214" s="27" t="s">
        <v>142</v>
      </c>
    </row>
    <row r="215" spans="1:17" x14ac:dyDescent="0.2">
      <c r="A215" s="39"/>
      <c r="B215" s="29"/>
      <c r="C215" s="38" t="s">
        <v>903</v>
      </c>
      <c r="D215" s="29"/>
      <c r="E215" s="39"/>
      <c r="F215" s="31">
        <f>25113.8955589+F122-F72</f>
        <v>2488.6562338999993</v>
      </c>
      <c r="G215" s="32">
        <f>F215/F216</f>
        <v>4.0489465110564475E-3</v>
      </c>
      <c r="H215" s="27" t="s">
        <v>142</v>
      </c>
    </row>
    <row r="216" spans="1:17" x14ac:dyDescent="0.2">
      <c r="A216" s="35"/>
      <c r="B216" s="35"/>
      <c r="C216" s="26" t="s">
        <v>168</v>
      </c>
      <c r="D216" s="36"/>
      <c r="E216" s="36"/>
      <c r="F216" s="33">
        <f>F215+F214+F205+F200+F183+F124</f>
        <v>614642.90207446122</v>
      </c>
      <c r="G216" s="40">
        <f>G215+G214+G205+G200+G183+G124</f>
        <v>1.0000000622884304</v>
      </c>
      <c r="H216" s="27" t="s">
        <v>142</v>
      </c>
    </row>
    <row r="217" spans="1:17" x14ac:dyDescent="0.2">
      <c r="A217" s="41"/>
      <c r="B217" s="41"/>
      <c r="C217" s="41"/>
      <c r="D217" s="42"/>
      <c r="E217" s="42"/>
      <c r="F217" s="42"/>
      <c r="G217" s="42"/>
    </row>
    <row r="218" spans="1:17" x14ac:dyDescent="0.2">
      <c r="A218" s="43"/>
      <c r="B218" s="210" t="s">
        <v>879</v>
      </c>
      <c r="C218" s="210"/>
      <c r="D218" s="210"/>
      <c r="E218" s="210"/>
      <c r="F218" s="210"/>
      <c r="G218" s="210"/>
      <c r="H218" s="210"/>
      <c r="J218" s="45"/>
    </row>
    <row r="219" spans="1:17" x14ac:dyDescent="0.2">
      <c r="A219" s="43"/>
      <c r="B219" s="210" t="s">
        <v>880</v>
      </c>
      <c r="C219" s="210"/>
      <c r="D219" s="210"/>
      <c r="E219" s="210"/>
      <c r="F219" s="210"/>
      <c r="G219" s="210"/>
      <c r="H219" s="210"/>
      <c r="J219" s="45"/>
    </row>
    <row r="220" spans="1:17" x14ac:dyDescent="0.2">
      <c r="A220" s="43"/>
      <c r="B220" s="210" t="s">
        <v>881</v>
      </c>
      <c r="C220" s="210"/>
      <c r="D220" s="210"/>
      <c r="E220" s="210"/>
      <c r="F220" s="210"/>
      <c r="G220" s="210"/>
      <c r="H220" s="210"/>
      <c r="J220" s="45"/>
    </row>
    <row r="221" spans="1:17" s="47" customFormat="1" ht="66.75" customHeight="1" x14ac:dyDescent="0.25">
      <c r="A221" s="46"/>
      <c r="B221" s="211" t="s">
        <v>882</v>
      </c>
      <c r="C221" s="211"/>
      <c r="D221" s="211"/>
      <c r="E221" s="211"/>
      <c r="F221" s="211"/>
      <c r="G221" s="211"/>
      <c r="H221" s="211"/>
      <c r="I221"/>
      <c r="J221" s="45"/>
      <c r="K221"/>
      <c r="L221"/>
      <c r="M221"/>
      <c r="N221"/>
      <c r="O221"/>
      <c r="P221"/>
      <c r="Q221"/>
    </row>
    <row r="222" spans="1:17" x14ac:dyDescent="0.2">
      <c r="A222" s="43"/>
      <c r="B222" s="210" t="s">
        <v>883</v>
      </c>
      <c r="C222" s="210"/>
      <c r="D222" s="210"/>
      <c r="E222" s="210"/>
      <c r="F222" s="210"/>
      <c r="G222" s="210"/>
      <c r="H222" s="210"/>
      <c r="J222" s="45"/>
    </row>
    <row r="223" spans="1:17" x14ac:dyDescent="0.2">
      <c r="A223" s="48"/>
      <c r="B223" s="48"/>
      <c r="C223" s="48"/>
      <c r="D223" s="49"/>
      <c r="E223" s="49"/>
      <c r="F223" s="49"/>
      <c r="G223" s="49"/>
    </row>
    <row r="224" spans="1:17" x14ac:dyDescent="0.2">
      <c r="A224" s="48"/>
      <c r="B224" s="212" t="s">
        <v>169</v>
      </c>
      <c r="C224" s="213"/>
      <c r="D224" s="214"/>
      <c r="E224" s="50"/>
      <c r="F224" s="49"/>
      <c r="G224" s="49"/>
    </row>
    <row r="225" spans="1:10" ht="27.75" customHeight="1" x14ac:dyDescent="0.2">
      <c r="A225" s="48"/>
      <c r="B225" s="215" t="s">
        <v>170</v>
      </c>
      <c r="C225" s="216"/>
      <c r="D225" s="51" t="s">
        <v>941</v>
      </c>
      <c r="E225" s="50"/>
      <c r="F225" s="49"/>
      <c r="G225" s="49"/>
    </row>
    <row r="226" spans="1:10" ht="12.75" customHeight="1" x14ac:dyDescent="0.2">
      <c r="A226" s="43"/>
      <c r="B226" s="217" t="s">
        <v>884</v>
      </c>
      <c r="C226" s="218"/>
      <c r="D226" s="51" t="str">
        <f>"Rs. "&amp;TEXT(F80,"0.00")&amp;" lacs/ #"</f>
        <v>Rs. 4.73 lacs/ #</v>
      </c>
      <c r="E226" s="52"/>
      <c r="F226" s="53"/>
      <c r="G226" s="53"/>
    </row>
    <row r="227" spans="1:10" x14ac:dyDescent="0.2">
      <c r="A227" s="48"/>
      <c r="B227" s="215" t="s">
        <v>172</v>
      </c>
      <c r="C227" s="216"/>
      <c r="D227" s="36" t="s">
        <v>142</v>
      </c>
      <c r="E227" s="50"/>
      <c r="F227" s="49"/>
      <c r="G227" s="49"/>
    </row>
    <row r="228" spans="1:10" x14ac:dyDescent="0.2">
      <c r="A228" s="54"/>
      <c r="B228" s="55" t="s">
        <v>142</v>
      </c>
      <c r="C228" s="55" t="s">
        <v>885</v>
      </c>
      <c r="D228" s="55" t="s">
        <v>173</v>
      </c>
      <c r="E228" s="54"/>
      <c r="F228" s="54"/>
      <c r="G228" s="54"/>
      <c r="H228" s="54"/>
      <c r="J228" s="45"/>
    </row>
    <row r="229" spans="1:10" x14ac:dyDescent="0.2">
      <c r="A229" s="54"/>
      <c r="B229" s="56" t="s">
        <v>174</v>
      </c>
      <c r="C229" s="57">
        <v>45777</v>
      </c>
      <c r="D229" s="57">
        <v>45808</v>
      </c>
      <c r="E229" s="54"/>
      <c r="F229" s="54"/>
      <c r="G229" s="54"/>
      <c r="J229" s="45"/>
    </row>
    <row r="230" spans="1:10" x14ac:dyDescent="0.2">
      <c r="A230" s="58"/>
      <c r="B230" s="29" t="s">
        <v>175</v>
      </c>
      <c r="C230" s="59">
        <v>179.77889999999999</v>
      </c>
      <c r="D230" s="59">
        <v>182.70779999999999</v>
      </c>
      <c r="E230" s="58"/>
      <c r="F230" s="60"/>
      <c r="G230" s="61"/>
    </row>
    <row r="231" spans="1:10" ht="25.5" x14ac:dyDescent="0.2">
      <c r="A231" s="58"/>
      <c r="B231" s="38" t="s">
        <v>1008</v>
      </c>
      <c r="C231" s="59">
        <v>42.752800000000001</v>
      </c>
      <c r="D231" s="59">
        <v>43.100999999999999</v>
      </c>
      <c r="E231" s="58"/>
      <c r="F231" s="60"/>
      <c r="G231" s="61"/>
    </row>
    <row r="232" spans="1:10" x14ac:dyDescent="0.2">
      <c r="A232" s="58"/>
      <c r="B232" s="29" t="s">
        <v>177</v>
      </c>
      <c r="C232" s="59">
        <v>157.22579999999999</v>
      </c>
      <c r="D232" s="59">
        <v>159.6369</v>
      </c>
      <c r="E232" s="58"/>
      <c r="F232" s="60"/>
      <c r="G232" s="61"/>
    </row>
    <row r="233" spans="1:10" ht="25.5" x14ac:dyDescent="0.2">
      <c r="A233" s="58"/>
      <c r="B233" s="38" t="s">
        <v>1009</v>
      </c>
      <c r="C233" s="59">
        <v>27.916699999999999</v>
      </c>
      <c r="D233" s="59">
        <v>28.0961</v>
      </c>
      <c r="E233" s="58"/>
      <c r="F233" s="60"/>
      <c r="G233" s="61"/>
    </row>
    <row r="234" spans="1:10" x14ac:dyDescent="0.2">
      <c r="A234" s="58"/>
      <c r="B234" s="58"/>
      <c r="C234" s="58"/>
      <c r="D234" s="58"/>
      <c r="E234" s="58"/>
      <c r="F234" s="58"/>
      <c r="G234" s="58"/>
    </row>
    <row r="235" spans="1:10" x14ac:dyDescent="0.2">
      <c r="A235" s="58"/>
      <c r="B235" s="215" t="s">
        <v>887</v>
      </c>
      <c r="C235" s="216"/>
      <c r="D235" s="26" t="s">
        <v>142</v>
      </c>
      <c r="E235" s="58"/>
      <c r="F235" s="58"/>
      <c r="G235" s="58"/>
    </row>
    <row r="236" spans="1:10" x14ac:dyDescent="0.2">
      <c r="A236" s="58"/>
      <c r="B236" s="106" t="s">
        <v>174</v>
      </c>
      <c r="C236" s="107" t="s">
        <v>619</v>
      </c>
      <c r="D236" s="107" t="s">
        <v>620</v>
      </c>
      <c r="E236" s="58"/>
      <c r="F236" s="58"/>
      <c r="G236" s="58"/>
    </row>
    <row r="237" spans="1:10" ht="25.5" x14ac:dyDescent="0.2">
      <c r="A237" s="58"/>
      <c r="B237" s="38" t="s">
        <v>1008</v>
      </c>
      <c r="C237" s="108">
        <v>0.35</v>
      </c>
      <c r="D237" s="108">
        <v>0.35</v>
      </c>
      <c r="E237" s="58"/>
      <c r="F237" s="60"/>
      <c r="G237" s="61"/>
    </row>
    <row r="238" spans="1:10" ht="25.5" x14ac:dyDescent="0.2">
      <c r="A238" s="58"/>
      <c r="B238" s="38" t="s">
        <v>1009</v>
      </c>
      <c r="C238" s="108">
        <v>0.25</v>
      </c>
      <c r="D238" s="108">
        <v>0.25</v>
      </c>
      <c r="E238" s="58"/>
      <c r="F238" s="60"/>
      <c r="G238" s="61"/>
    </row>
    <row r="239" spans="1:10" x14ac:dyDescent="0.2">
      <c r="A239" s="58"/>
      <c r="B239" s="109"/>
      <c r="C239" s="109"/>
      <c r="D239" s="110"/>
      <c r="E239" s="58"/>
      <c r="F239" s="60"/>
      <c r="G239" s="61"/>
    </row>
    <row r="240" spans="1:10" ht="24.75" customHeight="1" x14ac:dyDescent="0.2">
      <c r="A240" s="54"/>
      <c r="B240" s="217" t="s">
        <v>180</v>
      </c>
      <c r="C240" s="218"/>
      <c r="D240" s="51" t="s">
        <v>999</v>
      </c>
      <c r="E240" s="65"/>
      <c r="F240" s="54"/>
      <c r="G240" s="54"/>
    </row>
    <row r="241" spans="1:16" ht="24" customHeight="1" x14ac:dyDescent="0.2">
      <c r="A241" s="54"/>
      <c r="B241" s="217" t="s">
        <v>181</v>
      </c>
      <c r="C241" s="218"/>
      <c r="D241" s="51" t="s">
        <v>171</v>
      </c>
      <c r="E241" s="65"/>
      <c r="F241" s="54"/>
      <c r="G241" s="54"/>
    </row>
    <row r="242" spans="1:16" x14ac:dyDescent="0.2">
      <c r="A242" s="54"/>
      <c r="B242" s="217" t="s">
        <v>182</v>
      </c>
      <c r="C242" s="218"/>
      <c r="D242" s="51" t="s">
        <v>171</v>
      </c>
      <c r="E242" s="65"/>
      <c r="F242" s="54"/>
      <c r="G242" s="54"/>
    </row>
    <row r="243" spans="1:16" x14ac:dyDescent="0.2">
      <c r="A243" s="54"/>
      <c r="B243" s="217" t="s">
        <v>183</v>
      </c>
      <c r="C243" s="218"/>
      <c r="D243" s="66">
        <v>1.3808864124841396</v>
      </c>
      <c r="E243" s="54"/>
      <c r="F243" s="44"/>
      <c r="G243" s="64"/>
    </row>
    <row r="245" spans="1:16" s="93" customFormat="1" x14ac:dyDescent="0.2">
      <c r="B245" s="126" t="s">
        <v>1086</v>
      </c>
      <c r="C245" s="119"/>
      <c r="D245" s="119"/>
      <c r="E245" s="119"/>
      <c r="F245" s="119"/>
      <c r="G245" s="119"/>
      <c r="I245"/>
      <c r="J245"/>
      <c r="K245"/>
      <c r="L245"/>
      <c r="M245"/>
      <c r="N245"/>
      <c r="O245"/>
    </row>
    <row r="246" spans="1:16" ht="13.5" customHeight="1" x14ac:dyDescent="0.2">
      <c r="B246" s="220" t="s">
        <v>942</v>
      </c>
      <c r="C246" s="220" t="s">
        <v>943</v>
      </c>
      <c r="D246" s="223" t="s">
        <v>944</v>
      </c>
      <c r="E246" s="224"/>
      <c r="F246" s="225"/>
      <c r="G246" s="226" t="s">
        <v>945</v>
      </c>
      <c r="H246" s="227"/>
      <c r="I246" s="228"/>
      <c r="J246" s="113"/>
      <c r="K246" s="113"/>
      <c r="L246" s="113"/>
      <c r="M246" s="113"/>
      <c r="N246" s="113"/>
      <c r="O246" s="113"/>
    </row>
    <row r="247" spans="1:16" ht="46.5" customHeight="1" x14ac:dyDescent="0.2">
      <c r="B247" s="221"/>
      <c r="C247" s="221"/>
      <c r="D247" s="229" t="s">
        <v>946</v>
      </c>
      <c r="E247" s="229" t="s">
        <v>947</v>
      </c>
      <c r="F247" s="229" t="s">
        <v>948</v>
      </c>
      <c r="G247" s="231" t="s">
        <v>949</v>
      </c>
      <c r="H247" s="232"/>
      <c r="I247" s="229" t="s">
        <v>950</v>
      </c>
      <c r="J247" s="113"/>
      <c r="K247" s="113"/>
      <c r="L247" s="113"/>
      <c r="M247" s="113"/>
      <c r="N247" s="113"/>
      <c r="O247" s="113"/>
    </row>
    <row r="248" spans="1:16" ht="21" customHeight="1" x14ac:dyDescent="0.2">
      <c r="B248" s="222"/>
      <c r="C248" s="222"/>
      <c r="D248" s="230"/>
      <c r="E248" s="230"/>
      <c r="F248" s="230"/>
      <c r="G248" s="114" t="s">
        <v>951</v>
      </c>
      <c r="H248" s="114" t="s">
        <v>952</v>
      </c>
      <c r="I248" s="230"/>
      <c r="J248" s="113"/>
      <c r="K248" s="113"/>
      <c r="L248" s="113"/>
      <c r="M248" s="113"/>
      <c r="N248" s="113"/>
      <c r="O248" s="113"/>
    </row>
    <row r="249" spans="1:16" ht="13.5" x14ac:dyDescent="0.25">
      <c r="B249" s="115" t="s">
        <v>953</v>
      </c>
      <c r="C249" s="116" t="s">
        <v>954</v>
      </c>
      <c r="D249" s="117">
        <v>977.7</v>
      </c>
      <c r="E249" s="8">
        <v>22.3</v>
      </c>
      <c r="F249" s="118">
        <f>D249+E249</f>
        <v>1000</v>
      </c>
      <c r="G249" s="9">
        <v>42.319693431000005</v>
      </c>
      <c r="H249" s="9">
        <v>26.66</v>
      </c>
      <c r="I249" s="9">
        <f>G249+H249</f>
        <v>68.979693431000001</v>
      </c>
      <c r="J249" s="113"/>
      <c r="K249" s="113"/>
      <c r="L249" s="113"/>
      <c r="M249" s="113"/>
      <c r="N249" s="113"/>
      <c r="O249" s="113"/>
    </row>
    <row r="250" spans="1:16" ht="42" customHeight="1" x14ac:dyDescent="0.2">
      <c r="B250" s="233" t="s">
        <v>955</v>
      </c>
      <c r="C250" s="233"/>
      <c r="D250" s="233"/>
      <c r="E250" s="233"/>
      <c r="F250" s="233"/>
      <c r="G250" s="233"/>
      <c r="H250" s="233"/>
      <c r="I250" s="233"/>
      <c r="J250" s="123"/>
      <c r="K250" s="113"/>
      <c r="L250" s="113"/>
      <c r="M250" s="113"/>
      <c r="N250" s="113"/>
      <c r="O250" s="113"/>
    </row>
    <row r="251" spans="1:16" ht="13.5" x14ac:dyDescent="0.25">
      <c r="B251" s="124" t="s">
        <v>956</v>
      </c>
      <c r="I251" s="113"/>
      <c r="J251" s="24"/>
      <c r="K251" s="113"/>
      <c r="L251" s="113"/>
      <c r="M251" s="113"/>
      <c r="N251" s="113"/>
      <c r="O251" s="113"/>
      <c r="P251" s="113"/>
    </row>
    <row r="252" spans="1:16" x14ac:dyDescent="0.2">
      <c r="B252" s="10" t="s">
        <v>957</v>
      </c>
      <c r="J252" s="24"/>
      <c r="K252" s="113"/>
      <c r="L252" s="113"/>
      <c r="M252" s="113"/>
      <c r="N252" s="113"/>
      <c r="O252" s="113"/>
    </row>
    <row r="253" spans="1:16" s="93" customFormat="1" x14ac:dyDescent="0.2">
      <c r="B253" s="126"/>
      <c r="C253" s="119"/>
      <c r="D253" s="119"/>
      <c r="E253" s="119"/>
      <c r="F253" s="119"/>
      <c r="G253" s="119"/>
      <c r="I253"/>
      <c r="J253"/>
      <c r="K253"/>
      <c r="L253"/>
      <c r="M253"/>
      <c r="N253"/>
      <c r="O253"/>
    </row>
    <row r="254" spans="1:16" s="93" customFormat="1" x14ac:dyDescent="0.2">
      <c r="B254" s="127" t="s">
        <v>942</v>
      </c>
      <c r="C254" s="127" t="s">
        <v>943</v>
      </c>
      <c r="D254" s="234" t="s">
        <v>958</v>
      </c>
      <c r="E254" s="235"/>
      <c r="F254" s="236" t="s">
        <v>959</v>
      </c>
      <c r="G254" s="236"/>
      <c r="I254"/>
      <c r="J254"/>
      <c r="K254"/>
      <c r="L254"/>
      <c r="M254"/>
      <c r="N254"/>
      <c r="O254"/>
    </row>
    <row r="255" spans="1:16" s="93" customFormat="1" ht="25.5" x14ac:dyDescent="0.2">
      <c r="B255" s="128" t="s">
        <v>960</v>
      </c>
      <c r="C255" s="129" t="s">
        <v>961</v>
      </c>
      <c r="D255" s="237">
        <v>0</v>
      </c>
      <c r="E255" s="238"/>
      <c r="F255" s="237">
        <v>0</v>
      </c>
      <c r="G255" s="238"/>
      <c r="I255"/>
      <c r="J255"/>
      <c r="K255"/>
      <c r="L255"/>
      <c r="M255"/>
      <c r="N255"/>
      <c r="O255"/>
    </row>
    <row r="256" spans="1:16" s="93" customFormat="1" x14ac:dyDescent="0.2">
      <c r="B256" s="239" t="s">
        <v>962</v>
      </c>
      <c r="C256" s="240"/>
      <c r="D256" s="240"/>
      <c r="E256" s="240"/>
      <c r="F256" s="240"/>
      <c r="G256" s="241"/>
      <c r="I256"/>
      <c r="J256"/>
      <c r="K256"/>
      <c r="L256"/>
      <c r="M256"/>
      <c r="N256"/>
      <c r="O256"/>
    </row>
    <row r="257" spans="2:15" s="93" customFormat="1" x14ac:dyDescent="0.2">
      <c r="B257" s="236" t="s">
        <v>942</v>
      </c>
      <c r="C257" s="236" t="s">
        <v>943</v>
      </c>
      <c r="D257" s="239" t="s">
        <v>963</v>
      </c>
      <c r="E257" s="240"/>
      <c r="F257" s="241"/>
      <c r="G257" s="128"/>
      <c r="I257"/>
      <c r="J257"/>
      <c r="K257"/>
      <c r="L257"/>
      <c r="M257"/>
      <c r="N257"/>
      <c r="O257"/>
    </row>
    <row r="258" spans="2:15" s="93" customFormat="1" ht="51" x14ac:dyDescent="0.2">
      <c r="B258" s="236"/>
      <c r="C258" s="236"/>
      <c r="D258" s="130" t="s">
        <v>964</v>
      </c>
      <c r="E258" s="130" t="s">
        <v>965</v>
      </c>
      <c r="F258" s="130" t="s">
        <v>966</v>
      </c>
      <c r="G258" s="130" t="s">
        <v>1090</v>
      </c>
      <c r="H258" s="131"/>
      <c r="I258"/>
      <c r="J258"/>
      <c r="K258"/>
      <c r="L258"/>
      <c r="M258"/>
      <c r="N258"/>
      <c r="O258"/>
    </row>
    <row r="259" spans="2:15" s="93" customFormat="1" ht="25.5" x14ac:dyDescent="0.2">
      <c r="B259" s="132" t="s">
        <v>960</v>
      </c>
      <c r="C259" s="129" t="s">
        <v>961</v>
      </c>
      <c r="D259" s="133">
        <v>700</v>
      </c>
      <c r="E259" s="133">
        <v>24.098357999999998</v>
      </c>
      <c r="F259" s="134">
        <v>724.09835799999996</v>
      </c>
      <c r="G259" s="135">
        <f>F259/F216</f>
        <v>1.1780797525784796E-3</v>
      </c>
      <c r="H259" s="136"/>
      <c r="I259"/>
      <c r="J259"/>
      <c r="K259"/>
      <c r="L259"/>
      <c r="M259"/>
      <c r="N259"/>
      <c r="O259"/>
    </row>
    <row r="260" spans="2:15" s="93" customFormat="1" ht="29.25" customHeight="1" x14ac:dyDescent="0.2">
      <c r="B260" s="242" t="s">
        <v>967</v>
      </c>
      <c r="C260" s="243"/>
      <c r="D260" s="243"/>
      <c r="E260" s="243"/>
      <c r="F260" s="243"/>
      <c r="G260" s="244"/>
      <c r="I260"/>
      <c r="J260"/>
      <c r="K260"/>
      <c r="L260"/>
      <c r="M260"/>
      <c r="N260"/>
      <c r="O260"/>
    </row>
    <row r="261" spans="2:15" s="93" customFormat="1" x14ac:dyDescent="0.2">
      <c r="I261"/>
      <c r="J261"/>
      <c r="K261"/>
      <c r="L261"/>
      <c r="M261"/>
      <c r="N261"/>
      <c r="O261"/>
    </row>
    <row r="262" spans="2:15" s="93" customFormat="1" x14ac:dyDescent="0.2">
      <c r="B262" s="245" t="s">
        <v>968</v>
      </c>
      <c r="C262" s="246"/>
      <c r="D262" s="247"/>
      <c r="I262"/>
      <c r="J262"/>
      <c r="K262"/>
      <c r="L262"/>
      <c r="M262"/>
      <c r="N262"/>
      <c r="O262"/>
    </row>
    <row r="263" spans="2:15" s="93" customFormat="1" ht="25.5" x14ac:dyDescent="0.2">
      <c r="B263" s="248" t="s">
        <v>969</v>
      </c>
      <c r="C263" s="248"/>
      <c r="D263" s="88" t="s">
        <v>493</v>
      </c>
      <c r="I263"/>
      <c r="J263"/>
      <c r="K263"/>
      <c r="L263"/>
      <c r="M263"/>
      <c r="N263"/>
      <c r="O263"/>
    </row>
    <row r="264" spans="2:15" s="93" customFormat="1" x14ac:dyDescent="0.2">
      <c r="B264" s="248" t="s">
        <v>970</v>
      </c>
      <c r="C264" s="248"/>
      <c r="D264" s="88"/>
      <c r="I264"/>
      <c r="J264"/>
      <c r="K264"/>
      <c r="L264"/>
      <c r="M264"/>
      <c r="N264"/>
      <c r="O264"/>
    </row>
    <row r="265" spans="2:15" s="93" customFormat="1" x14ac:dyDescent="0.2">
      <c r="B265" s="249"/>
      <c r="C265" s="250"/>
      <c r="D265" s="73"/>
      <c r="I265"/>
      <c r="J265"/>
      <c r="K265"/>
      <c r="L265"/>
      <c r="M265"/>
      <c r="N265"/>
      <c r="O265"/>
    </row>
    <row r="266" spans="2:15" s="93" customFormat="1" x14ac:dyDescent="0.2">
      <c r="B266" s="248" t="s">
        <v>971</v>
      </c>
      <c r="C266" s="248"/>
      <c r="D266" s="74">
        <v>6.1650388712357982</v>
      </c>
      <c r="I266"/>
      <c r="J266"/>
      <c r="K266"/>
      <c r="L266"/>
      <c r="M266"/>
      <c r="N266"/>
      <c r="O266"/>
    </row>
    <row r="267" spans="2:15" s="93" customFormat="1" x14ac:dyDescent="0.2">
      <c r="B267" s="249"/>
      <c r="C267" s="250"/>
      <c r="D267" s="137"/>
      <c r="I267"/>
      <c r="J267"/>
      <c r="K267"/>
      <c r="L267"/>
      <c r="M267"/>
      <c r="N267"/>
      <c r="O267"/>
    </row>
    <row r="268" spans="2:15" s="93" customFormat="1" x14ac:dyDescent="0.2">
      <c r="B268" s="248" t="s">
        <v>972</v>
      </c>
      <c r="C268" s="248"/>
      <c r="D268" s="74">
        <v>4.0325742766634427</v>
      </c>
      <c r="I268"/>
      <c r="J268"/>
      <c r="K268"/>
      <c r="L268"/>
      <c r="M268"/>
      <c r="N268"/>
      <c r="O268"/>
    </row>
    <row r="269" spans="2:15" s="93" customFormat="1" x14ac:dyDescent="0.2">
      <c r="B269" s="248" t="s">
        <v>973</v>
      </c>
      <c r="C269" s="248"/>
      <c r="D269" s="74">
        <v>5.9324946284833144</v>
      </c>
      <c r="I269"/>
      <c r="J269"/>
      <c r="K269"/>
      <c r="L269"/>
      <c r="M269"/>
      <c r="N269"/>
      <c r="O269"/>
    </row>
    <row r="270" spans="2:15" s="93" customFormat="1" x14ac:dyDescent="0.2">
      <c r="B270" s="249"/>
      <c r="C270" s="250"/>
      <c r="D270" s="73"/>
      <c r="I270"/>
      <c r="J270"/>
      <c r="K270"/>
      <c r="L270"/>
      <c r="M270"/>
      <c r="N270"/>
      <c r="O270"/>
    </row>
    <row r="271" spans="2:15" s="93" customFormat="1" x14ac:dyDescent="0.2">
      <c r="B271" s="248" t="s">
        <v>974</v>
      </c>
      <c r="C271" s="248"/>
      <c r="D271" s="75" t="s">
        <v>1091</v>
      </c>
      <c r="I271"/>
      <c r="J271"/>
      <c r="K271"/>
      <c r="L271"/>
      <c r="M271"/>
      <c r="N271"/>
      <c r="O271"/>
    </row>
    <row r="272" spans="2:15" s="93" customFormat="1" x14ac:dyDescent="0.2">
      <c r="B272" s="249" t="s">
        <v>975</v>
      </c>
      <c r="C272" s="251"/>
      <c r="D272" s="250"/>
      <c r="I272"/>
      <c r="J272"/>
      <c r="K272"/>
      <c r="L272"/>
      <c r="M272"/>
      <c r="N272"/>
      <c r="O272"/>
    </row>
    <row r="274" spans="2:4" x14ac:dyDescent="0.2">
      <c r="B274" s="219" t="s">
        <v>888</v>
      </c>
      <c r="C274" s="219"/>
    </row>
    <row r="276" spans="2:4" ht="153.75" customHeight="1" x14ac:dyDescent="0.2"/>
    <row r="279" spans="2:4" x14ac:dyDescent="0.2">
      <c r="B279" s="67" t="s">
        <v>889</v>
      </c>
      <c r="C279" s="68"/>
      <c r="D279" s="67"/>
    </row>
    <row r="280" spans="2:4" x14ac:dyDescent="0.2">
      <c r="B280" s="67" t="s">
        <v>976</v>
      </c>
      <c r="D280" s="67"/>
    </row>
    <row r="281" spans="2:4" ht="165" customHeight="1" x14ac:dyDescent="0.2"/>
  </sheetData>
  <mergeCells count="48">
    <mergeCell ref="B272:D272"/>
    <mergeCell ref="B274:C274"/>
    <mergeCell ref="B267:C267"/>
    <mergeCell ref="B268:C268"/>
    <mergeCell ref="B269:C269"/>
    <mergeCell ref="B270:C270"/>
    <mergeCell ref="B271:C271"/>
    <mergeCell ref="B262:D262"/>
    <mergeCell ref="B263:C263"/>
    <mergeCell ref="B264:C264"/>
    <mergeCell ref="B265:C265"/>
    <mergeCell ref="B266:C266"/>
    <mergeCell ref="B256:G256"/>
    <mergeCell ref="B257:B258"/>
    <mergeCell ref="C257:C258"/>
    <mergeCell ref="D257:F257"/>
    <mergeCell ref="B260:G260"/>
    <mergeCell ref="B250:I250"/>
    <mergeCell ref="D254:E254"/>
    <mergeCell ref="F254:G254"/>
    <mergeCell ref="D255:E255"/>
    <mergeCell ref="F255:G255"/>
    <mergeCell ref="B246:B248"/>
    <mergeCell ref="C246:C248"/>
    <mergeCell ref="D246:F246"/>
    <mergeCell ref="G246:I246"/>
    <mergeCell ref="D247:D248"/>
    <mergeCell ref="E247:E248"/>
    <mergeCell ref="F247:F248"/>
    <mergeCell ref="G247:H247"/>
    <mergeCell ref="I247:I248"/>
    <mergeCell ref="B235:C235"/>
    <mergeCell ref="B241:C241"/>
    <mergeCell ref="B242:C242"/>
    <mergeCell ref="B243:C243"/>
    <mergeCell ref="B240:C240"/>
    <mergeCell ref="A1:H1"/>
    <mergeCell ref="A2:H2"/>
    <mergeCell ref="A3:H3"/>
    <mergeCell ref="B218:H218"/>
    <mergeCell ref="B219:H219"/>
    <mergeCell ref="B226:C226"/>
    <mergeCell ref="B227:C227"/>
    <mergeCell ref="B220:H220"/>
    <mergeCell ref="B221:H221"/>
    <mergeCell ref="B222:H222"/>
    <mergeCell ref="B224:D224"/>
    <mergeCell ref="B225:C225"/>
  </mergeCells>
  <hyperlinks>
    <hyperlink ref="I1" location="Index!B2" display="Index" xr:uid="{E8E62D66-8BA1-48A9-8A9D-4395DE7EA3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EB894-A011-4DB9-9C57-21C17E97872C}">
  <sheetPr>
    <outlinePr summaryBelow="0" summaryRight="0"/>
  </sheetPr>
  <dimension ref="A1:Q208"/>
  <sheetViews>
    <sheetView showGridLines="0" workbookViewId="0">
      <selection activeCell="D161" sqref="D161"/>
    </sheetView>
  </sheetViews>
  <sheetFormatPr defaultRowHeight="12.75" x14ac:dyDescent="0.2"/>
  <cols>
    <col min="1" max="1" width="5.85546875" bestFit="1" customWidth="1"/>
    <col min="2" max="2" width="21.5703125" customWidth="1"/>
    <col min="3" max="3" width="40.140625" customWidth="1"/>
    <col min="4" max="4" width="18.85546875" customWidth="1"/>
    <col min="5" max="5" width="13.5703125" bestFit="1" customWidth="1"/>
    <col min="6" max="6" width="10.140625" bestFit="1" customWidth="1"/>
    <col min="7" max="7" width="14" bestFit="1" customWidth="1"/>
    <col min="8" max="8" width="10" customWidth="1"/>
  </cols>
  <sheetData>
    <row r="1" spans="1:9" ht="15" x14ac:dyDescent="0.2">
      <c r="A1" s="209" t="s">
        <v>0</v>
      </c>
      <c r="B1" s="209"/>
      <c r="C1" s="209"/>
      <c r="D1" s="209"/>
      <c r="E1" s="209"/>
      <c r="F1" s="209"/>
      <c r="G1" s="209"/>
      <c r="H1" s="209"/>
      <c r="I1" s="7" t="s">
        <v>878</v>
      </c>
    </row>
    <row r="2" spans="1:9" ht="15" x14ac:dyDescent="0.2">
      <c r="A2" s="209" t="s">
        <v>621</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14</v>
      </c>
      <c r="C7" s="29" t="s">
        <v>15</v>
      </c>
      <c r="D7" s="29" t="s">
        <v>16</v>
      </c>
      <c r="E7" s="30">
        <v>190000</v>
      </c>
      <c r="F7" s="31">
        <v>2699.71</v>
      </c>
      <c r="G7" s="32">
        <v>9.0216580000000005E-2</v>
      </c>
      <c r="H7" s="27" t="s">
        <v>142</v>
      </c>
    </row>
    <row r="8" spans="1:9" x14ac:dyDescent="0.2">
      <c r="A8" s="28">
        <v>2</v>
      </c>
      <c r="B8" s="29" t="s">
        <v>26</v>
      </c>
      <c r="C8" s="29" t="s">
        <v>27</v>
      </c>
      <c r="D8" s="29" t="s">
        <v>28</v>
      </c>
      <c r="E8" s="30">
        <v>155400</v>
      </c>
      <c r="F8" s="31">
        <v>2246.7732000000001</v>
      </c>
      <c r="G8" s="32">
        <v>7.5080729999999998E-2</v>
      </c>
      <c r="H8" s="27" t="s">
        <v>142</v>
      </c>
    </row>
    <row r="9" spans="1:9" x14ac:dyDescent="0.2">
      <c r="A9" s="28">
        <v>3</v>
      </c>
      <c r="B9" s="29" t="s">
        <v>343</v>
      </c>
      <c r="C9" s="29" t="s">
        <v>344</v>
      </c>
      <c r="D9" s="29" t="s">
        <v>345</v>
      </c>
      <c r="E9" s="30">
        <v>467200</v>
      </c>
      <c r="F9" s="31">
        <v>1953.1296</v>
      </c>
      <c r="G9" s="32">
        <v>6.5268000000000007E-2</v>
      </c>
      <c r="H9" s="27" t="s">
        <v>142</v>
      </c>
    </row>
    <row r="10" spans="1:9" x14ac:dyDescent="0.2">
      <c r="A10" s="28">
        <v>4</v>
      </c>
      <c r="B10" s="29" t="s">
        <v>319</v>
      </c>
      <c r="C10" s="29" t="s">
        <v>320</v>
      </c>
      <c r="D10" s="29" t="s">
        <v>28</v>
      </c>
      <c r="E10" s="30">
        <v>121250</v>
      </c>
      <c r="F10" s="31">
        <v>1445.5425</v>
      </c>
      <c r="G10" s="32">
        <v>4.8305889999999997E-2</v>
      </c>
      <c r="H10" s="27" t="s">
        <v>142</v>
      </c>
    </row>
    <row r="11" spans="1:9" x14ac:dyDescent="0.2">
      <c r="A11" s="28">
        <v>5</v>
      </c>
      <c r="B11" s="29" t="s">
        <v>78</v>
      </c>
      <c r="C11" s="29" t="s">
        <v>79</v>
      </c>
      <c r="D11" s="29" t="s">
        <v>13</v>
      </c>
      <c r="E11" s="30">
        <v>285600</v>
      </c>
      <c r="F11" s="31">
        <v>1097.1324</v>
      </c>
      <c r="G11" s="32">
        <v>3.6663019999999998E-2</v>
      </c>
      <c r="H11" s="27" t="s">
        <v>142</v>
      </c>
    </row>
    <row r="12" spans="1:9" ht="25.5" x14ac:dyDescent="0.2">
      <c r="A12" s="28">
        <v>6</v>
      </c>
      <c r="B12" s="29" t="s">
        <v>99</v>
      </c>
      <c r="C12" s="29" t="s">
        <v>100</v>
      </c>
      <c r="D12" s="29" t="s">
        <v>25</v>
      </c>
      <c r="E12" s="30">
        <v>144000</v>
      </c>
      <c r="F12" s="31">
        <v>797.04</v>
      </c>
      <c r="G12" s="32">
        <v>2.6634789999999998E-2</v>
      </c>
      <c r="H12" s="27" t="s">
        <v>142</v>
      </c>
    </row>
    <row r="13" spans="1:9" x14ac:dyDescent="0.2">
      <c r="A13" s="28">
        <v>7</v>
      </c>
      <c r="B13" s="29" t="s">
        <v>323</v>
      </c>
      <c r="C13" s="29" t="s">
        <v>324</v>
      </c>
      <c r="D13" s="29" t="s">
        <v>200</v>
      </c>
      <c r="E13" s="30">
        <v>46800</v>
      </c>
      <c r="F13" s="31">
        <v>731.34360000000004</v>
      </c>
      <c r="G13" s="32">
        <v>2.4439410000000002E-2</v>
      </c>
      <c r="H13" s="27" t="s">
        <v>142</v>
      </c>
    </row>
    <row r="14" spans="1:9" x14ac:dyDescent="0.2">
      <c r="A14" s="28">
        <v>8</v>
      </c>
      <c r="B14" s="29" t="s">
        <v>327</v>
      </c>
      <c r="C14" s="29" t="s">
        <v>328</v>
      </c>
      <c r="D14" s="29" t="s">
        <v>132</v>
      </c>
      <c r="E14" s="30">
        <v>7625</v>
      </c>
      <c r="F14" s="31">
        <v>700.01312499999995</v>
      </c>
      <c r="G14" s="32">
        <v>2.3392429999999999E-2</v>
      </c>
      <c r="H14" s="27" t="s">
        <v>142</v>
      </c>
    </row>
    <row r="15" spans="1:9" ht="25.5" x14ac:dyDescent="0.2">
      <c r="A15" s="28">
        <v>9</v>
      </c>
      <c r="B15" s="29" t="s">
        <v>622</v>
      </c>
      <c r="C15" s="29" t="s">
        <v>623</v>
      </c>
      <c r="D15" s="29" t="s">
        <v>624</v>
      </c>
      <c r="E15" s="30">
        <v>27600</v>
      </c>
      <c r="F15" s="31">
        <v>695.49239999999998</v>
      </c>
      <c r="G15" s="32">
        <v>2.3241359999999999E-2</v>
      </c>
      <c r="H15" s="27" t="s">
        <v>142</v>
      </c>
    </row>
    <row r="16" spans="1:9" x14ac:dyDescent="0.2">
      <c r="A16" s="28">
        <v>10</v>
      </c>
      <c r="B16" s="29" t="s">
        <v>358</v>
      </c>
      <c r="C16" s="29" t="s">
        <v>359</v>
      </c>
      <c r="D16" s="29" t="s">
        <v>200</v>
      </c>
      <c r="E16" s="30">
        <v>19950</v>
      </c>
      <c r="F16" s="31">
        <v>690.94830000000002</v>
      </c>
      <c r="G16" s="32">
        <v>2.3089510000000001E-2</v>
      </c>
      <c r="H16" s="27" t="s">
        <v>142</v>
      </c>
    </row>
    <row r="17" spans="1:8" x14ac:dyDescent="0.2">
      <c r="A17" s="28">
        <v>11</v>
      </c>
      <c r="B17" s="29" t="s">
        <v>17</v>
      </c>
      <c r="C17" s="29" t="s">
        <v>18</v>
      </c>
      <c r="D17" s="29" t="s">
        <v>19</v>
      </c>
      <c r="E17" s="30">
        <v>18750</v>
      </c>
      <c r="F17" s="31">
        <v>689.08124999999995</v>
      </c>
      <c r="G17" s="32">
        <v>2.3027120000000002E-2</v>
      </c>
      <c r="H17" s="27" t="s">
        <v>142</v>
      </c>
    </row>
    <row r="18" spans="1:8" x14ac:dyDescent="0.2">
      <c r="A18" s="28">
        <v>12</v>
      </c>
      <c r="B18" s="29" t="s">
        <v>321</v>
      </c>
      <c r="C18" s="29" t="s">
        <v>322</v>
      </c>
      <c r="D18" s="29" t="s">
        <v>28</v>
      </c>
      <c r="E18" s="30">
        <v>30000</v>
      </c>
      <c r="F18" s="31">
        <v>622.41</v>
      </c>
      <c r="G18" s="32">
        <v>2.0799160000000001E-2</v>
      </c>
      <c r="H18" s="27" t="s">
        <v>142</v>
      </c>
    </row>
    <row r="19" spans="1:8" ht="25.5" x14ac:dyDescent="0.2">
      <c r="A19" s="28">
        <v>13</v>
      </c>
      <c r="B19" s="29" t="s">
        <v>331</v>
      </c>
      <c r="C19" s="29" t="s">
        <v>332</v>
      </c>
      <c r="D19" s="29" t="s">
        <v>194</v>
      </c>
      <c r="E19" s="30">
        <v>32900</v>
      </c>
      <c r="F19" s="31">
        <v>551.93039999999996</v>
      </c>
      <c r="G19" s="32">
        <v>1.8443930000000001E-2</v>
      </c>
      <c r="H19" s="27" t="s">
        <v>142</v>
      </c>
    </row>
    <row r="20" spans="1:8" x14ac:dyDescent="0.2">
      <c r="A20" s="28">
        <v>14</v>
      </c>
      <c r="B20" s="29" t="s">
        <v>427</v>
      </c>
      <c r="C20" s="29" t="s">
        <v>428</v>
      </c>
      <c r="D20" s="29" t="s">
        <v>429</v>
      </c>
      <c r="E20" s="30">
        <v>81200</v>
      </c>
      <c r="F20" s="31">
        <v>514.40200000000004</v>
      </c>
      <c r="G20" s="32">
        <v>1.7189840000000001E-2</v>
      </c>
      <c r="H20" s="27" t="s">
        <v>142</v>
      </c>
    </row>
    <row r="21" spans="1:8" x14ac:dyDescent="0.2">
      <c r="A21" s="28">
        <v>15</v>
      </c>
      <c r="B21" s="29" t="s">
        <v>317</v>
      </c>
      <c r="C21" s="29" t="s">
        <v>318</v>
      </c>
      <c r="D21" s="29" t="s">
        <v>28</v>
      </c>
      <c r="E21" s="30">
        <v>24200</v>
      </c>
      <c r="F21" s="31">
        <v>470.66579999999999</v>
      </c>
      <c r="G21" s="32">
        <v>1.5728300000000001E-2</v>
      </c>
      <c r="H21" s="27" t="s">
        <v>142</v>
      </c>
    </row>
    <row r="22" spans="1:8" x14ac:dyDescent="0.2">
      <c r="A22" s="28">
        <v>16</v>
      </c>
      <c r="B22" s="29" t="s">
        <v>308</v>
      </c>
      <c r="C22" s="29" t="s">
        <v>309</v>
      </c>
      <c r="D22" s="29" t="s">
        <v>229</v>
      </c>
      <c r="E22" s="30">
        <v>58000</v>
      </c>
      <c r="F22" s="31">
        <v>446.51299999999998</v>
      </c>
      <c r="G22" s="32">
        <v>1.4921190000000001E-2</v>
      </c>
      <c r="H22" s="27" t="s">
        <v>142</v>
      </c>
    </row>
    <row r="23" spans="1:8" x14ac:dyDescent="0.2">
      <c r="A23" s="28">
        <v>17</v>
      </c>
      <c r="B23" s="29" t="s">
        <v>11</v>
      </c>
      <c r="C23" s="29" t="s">
        <v>12</v>
      </c>
      <c r="D23" s="29" t="s">
        <v>13</v>
      </c>
      <c r="E23" s="30">
        <v>22800</v>
      </c>
      <c r="F23" s="31">
        <v>423.21359999999999</v>
      </c>
      <c r="G23" s="32">
        <v>1.414259E-2</v>
      </c>
      <c r="H23" s="27" t="s">
        <v>142</v>
      </c>
    </row>
    <row r="24" spans="1:8" x14ac:dyDescent="0.2">
      <c r="A24" s="28">
        <v>18</v>
      </c>
      <c r="B24" s="29" t="s">
        <v>325</v>
      </c>
      <c r="C24" s="29" t="s">
        <v>326</v>
      </c>
      <c r="D24" s="29" t="s">
        <v>28</v>
      </c>
      <c r="E24" s="30">
        <v>157950</v>
      </c>
      <c r="F24" s="31">
        <v>394.16422499999999</v>
      </c>
      <c r="G24" s="32">
        <v>1.3171840000000001E-2</v>
      </c>
      <c r="H24" s="27" t="s">
        <v>142</v>
      </c>
    </row>
    <row r="25" spans="1:8" x14ac:dyDescent="0.2">
      <c r="A25" s="28">
        <v>19</v>
      </c>
      <c r="B25" s="29" t="s">
        <v>352</v>
      </c>
      <c r="C25" s="29" t="s">
        <v>353</v>
      </c>
      <c r="D25" s="29" t="s">
        <v>254</v>
      </c>
      <c r="E25" s="30">
        <v>52800</v>
      </c>
      <c r="F25" s="31">
        <v>379.89600000000002</v>
      </c>
      <c r="G25" s="32">
        <v>1.2695039999999999E-2</v>
      </c>
      <c r="H25" s="27" t="s">
        <v>142</v>
      </c>
    </row>
    <row r="26" spans="1:8" x14ac:dyDescent="0.2">
      <c r="A26" s="28">
        <v>20</v>
      </c>
      <c r="B26" s="29" t="s">
        <v>434</v>
      </c>
      <c r="C26" s="29" t="s">
        <v>435</v>
      </c>
      <c r="D26" s="29" t="s">
        <v>345</v>
      </c>
      <c r="E26" s="30">
        <v>12600</v>
      </c>
      <c r="F26" s="31">
        <v>295.88580000000002</v>
      </c>
      <c r="G26" s="32">
        <v>9.8876599999999995E-3</v>
      </c>
      <c r="H26" s="27" t="s">
        <v>142</v>
      </c>
    </row>
    <row r="27" spans="1:8" x14ac:dyDescent="0.2">
      <c r="A27" s="28">
        <v>21</v>
      </c>
      <c r="B27" s="29" t="s">
        <v>41</v>
      </c>
      <c r="C27" s="29" t="s">
        <v>42</v>
      </c>
      <c r="D27" s="29" t="s">
        <v>22</v>
      </c>
      <c r="E27" s="30">
        <v>74250</v>
      </c>
      <c r="F27" s="31">
        <v>291.654</v>
      </c>
      <c r="G27" s="32">
        <v>9.7462399999999998E-3</v>
      </c>
      <c r="H27" s="27" t="s">
        <v>142</v>
      </c>
    </row>
    <row r="28" spans="1:8" ht="25.5" x14ac:dyDescent="0.2">
      <c r="A28" s="28">
        <v>22</v>
      </c>
      <c r="B28" s="29" t="s">
        <v>430</v>
      </c>
      <c r="C28" s="29" t="s">
        <v>431</v>
      </c>
      <c r="D28" s="29" t="s">
        <v>194</v>
      </c>
      <c r="E28" s="30">
        <v>16250</v>
      </c>
      <c r="F28" s="31">
        <v>238.17625000000001</v>
      </c>
      <c r="G28" s="32">
        <v>7.9591699999999998E-3</v>
      </c>
      <c r="H28" s="27" t="s">
        <v>142</v>
      </c>
    </row>
    <row r="29" spans="1:8" x14ac:dyDescent="0.2">
      <c r="A29" s="28">
        <v>23</v>
      </c>
      <c r="B29" s="29" t="s">
        <v>625</v>
      </c>
      <c r="C29" s="29" t="s">
        <v>626</v>
      </c>
      <c r="D29" s="29" t="s">
        <v>132</v>
      </c>
      <c r="E29" s="30">
        <v>102600</v>
      </c>
      <c r="F29" s="31">
        <v>228.29526000000001</v>
      </c>
      <c r="G29" s="32">
        <v>7.6289699999999997E-3</v>
      </c>
      <c r="H29" s="27" t="s">
        <v>142</v>
      </c>
    </row>
    <row r="30" spans="1:8" x14ac:dyDescent="0.2">
      <c r="A30" s="28">
        <v>24</v>
      </c>
      <c r="B30" s="29" t="s">
        <v>423</v>
      </c>
      <c r="C30" s="29" t="s">
        <v>424</v>
      </c>
      <c r="D30" s="29" t="s">
        <v>270</v>
      </c>
      <c r="E30" s="30">
        <v>12375</v>
      </c>
      <c r="F30" s="31">
        <v>224.25975</v>
      </c>
      <c r="G30" s="32">
        <v>7.4941199999999999E-3</v>
      </c>
      <c r="H30" s="27" t="s">
        <v>142</v>
      </c>
    </row>
    <row r="31" spans="1:8" x14ac:dyDescent="0.2">
      <c r="A31" s="28">
        <v>25</v>
      </c>
      <c r="B31" s="29" t="s">
        <v>407</v>
      </c>
      <c r="C31" s="29" t="s">
        <v>408</v>
      </c>
      <c r="D31" s="29" t="s">
        <v>137</v>
      </c>
      <c r="E31" s="30">
        <v>137500</v>
      </c>
      <c r="F31" s="31">
        <v>221.4025</v>
      </c>
      <c r="G31" s="32">
        <v>7.3986399999999997E-3</v>
      </c>
      <c r="H31" s="27" t="s">
        <v>142</v>
      </c>
    </row>
    <row r="32" spans="1:8" x14ac:dyDescent="0.2">
      <c r="A32" s="28">
        <v>26</v>
      </c>
      <c r="B32" s="29" t="s">
        <v>627</v>
      </c>
      <c r="C32" s="29" t="s">
        <v>628</v>
      </c>
      <c r="D32" s="29" t="s">
        <v>28</v>
      </c>
      <c r="E32" s="30">
        <v>192000</v>
      </c>
      <c r="F32" s="31">
        <v>203.17439999999999</v>
      </c>
      <c r="G32" s="32">
        <v>6.7895100000000003E-3</v>
      </c>
      <c r="H32" s="27" t="s">
        <v>142</v>
      </c>
    </row>
    <row r="33" spans="1:9" ht="25.5" x14ac:dyDescent="0.2">
      <c r="A33" s="28">
        <v>27</v>
      </c>
      <c r="B33" s="29" t="s">
        <v>425</v>
      </c>
      <c r="C33" s="29" t="s">
        <v>426</v>
      </c>
      <c r="D33" s="29" t="s">
        <v>203</v>
      </c>
      <c r="E33" s="30">
        <v>17784</v>
      </c>
      <c r="F33" s="31">
        <v>196.744392</v>
      </c>
      <c r="G33" s="32">
        <v>6.5746299999999997E-3</v>
      </c>
      <c r="H33" s="27" t="s">
        <v>142</v>
      </c>
    </row>
    <row r="34" spans="1:9" x14ac:dyDescent="0.2">
      <c r="A34" s="28">
        <v>28</v>
      </c>
      <c r="B34" s="29" t="s">
        <v>629</v>
      </c>
      <c r="C34" s="29" t="s">
        <v>630</v>
      </c>
      <c r="D34" s="29" t="s">
        <v>28</v>
      </c>
      <c r="E34" s="30">
        <v>168750</v>
      </c>
      <c r="F34" s="31">
        <v>193.6575</v>
      </c>
      <c r="G34" s="32">
        <v>6.4714799999999999E-3</v>
      </c>
      <c r="H34" s="27" t="s">
        <v>142</v>
      </c>
    </row>
    <row r="35" spans="1:9" x14ac:dyDescent="0.2">
      <c r="A35" s="28">
        <v>29</v>
      </c>
      <c r="B35" s="29" t="s">
        <v>508</v>
      </c>
      <c r="C35" s="29" t="s">
        <v>509</v>
      </c>
      <c r="D35" s="29" t="s">
        <v>28</v>
      </c>
      <c r="E35" s="30">
        <v>82500</v>
      </c>
      <c r="F35" s="31">
        <v>175.78274999999999</v>
      </c>
      <c r="G35" s="32">
        <v>5.8741599999999998E-3</v>
      </c>
      <c r="H35" s="27" t="s">
        <v>142</v>
      </c>
    </row>
    <row r="36" spans="1:9" ht="25.5" x14ac:dyDescent="0.2">
      <c r="A36" s="28">
        <v>30</v>
      </c>
      <c r="B36" s="29" t="s">
        <v>631</v>
      </c>
      <c r="C36" s="29" t="s">
        <v>632</v>
      </c>
      <c r="D36" s="29" t="s">
        <v>194</v>
      </c>
      <c r="E36" s="30">
        <v>13200</v>
      </c>
      <c r="F36" s="31">
        <v>151.50960000000001</v>
      </c>
      <c r="G36" s="32">
        <v>5.0630199999999997E-3</v>
      </c>
      <c r="H36" s="27" t="s">
        <v>142</v>
      </c>
    </row>
    <row r="37" spans="1:9" x14ac:dyDescent="0.2">
      <c r="A37" s="28">
        <v>31</v>
      </c>
      <c r="B37" s="29" t="s">
        <v>494</v>
      </c>
      <c r="C37" s="29" t="s">
        <v>495</v>
      </c>
      <c r="D37" s="29" t="s">
        <v>254</v>
      </c>
      <c r="E37" s="30">
        <v>3850</v>
      </c>
      <c r="F37" s="31">
        <v>114.60680000000001</v>
      </c>
      <c r="G37" s="32">
        <v>3.8298300000000002E-3</v>
      </c>
      <c r="H37" s="27" t="s">
        <v>142</v>
      </c>
    </row>
    <row r="38" spans="1:9" x14ac:dyDescent="0.2">
      <c r="A38" s="28">
        <v>32</v>
      </c>
      <c r="B38" s="29" t="s">
        <v>512</v>
      </c>
      <c r="C38" s="29" t="s">
        <v>513</v>
      </c>
      <c r="D38" s="29" t="s">
        <v>132</v>
      </c>
      <c r="E38" s="30">
        <v>3500</v>
      </c>
      <c r="F38" s="31">
        <v>70.608999999999995</v>
      </c>
      <c r="G38" s="32">
        <v>2.3595500000000002E-3</v>
      </c>
      <c r="H38" s="27" t="s">
        <v>142</v>
      </c>
    </row>
    <row r="39" spans="1:9" x14ac:dyDescent="0.2">
      <c r="A39" s="28">
        <v>33</v>
      </c>
      <c r="B39" s="29" t="s">
        <v>633</v>
      </c>
      <c r="C39" s="29" t="s">
        <v>634</v>
      </c>
      <c r="D39" s="29" t="s">
        <v>635</v>
      </c>
      <c r="E39" s="30">
        <v>15750</v>
      </c>
      <c r="F39" s="31">
        <v>62.574750000000002</v>
      </c>
      <c r="G39" s="32">
        <v>2.09107E-3</v>
      </c>
      <c r="H39" s="27" t="s">
        <v>142</v>
      </c>
    </row>
    <row r="40" spans="1:9" x14ac:dyDescent="0.2">
      <c r="A40" s="28">
        <v>34</v>
      </c>
      <c r="B40" s="29" t="s">
        <v>636</v>
      </c>
      <c r="C40" s="29" t="s">
        <v>637</v>
      </c>
      <c r="D40" s="29" t="s">
        <v>58</v>
      </c>
      <c r="E40" s="30">
        <v>7425</v>
      </c>
      <c r="F40" s="31">
        <v>59.240362500000003</v>
      </c>
      <c r="G40" s="32">
        <v>1.97964E-3</v>
      </c>
      <c r="H40" s="27" t="s">
        <v>142</v>
      </c>
    </row>
    <row r="41" spans="1:9" x14ac:dyDescent="0.2">
      <c r="A41" s="28">
        <v>35</v>
      </c>
      <c r="B41" s="29" t="s">
        <v>20</v>
      </c>
      <c r="C41" s="29" t="s">
        <v>21</v>
      </c>
      <c r="D41" s="29" t="s">
        <v>22</v>
      </c>
      <c r="E41" s="30">
        <v>13500</v>
      </c>
      <c r="F41" s="31">
        <v>45.076500000000003</v>
      </c>
      <c r="G41" s="32">
        <v>1.50633E-3</v>
      </c>
      <c r="H41" s="27" t="s">
        <v>142</v>
      </c>
    </row>
    <row r="42" spans="1:9" x14ac:dyDescent="0.2">
      <c r="A42" s="28">
        <v>36</v>
      </c>
      <c r="B42" s="29" t="s">
        <v>638</v>
      </c>
      <c r="C42" s="29" t="s">
        <v>639</v>
      </c>
      <c r="D42" s="29" t="s">
        <v>16</v>
      </c>
      <c r="E42" s="30">
        <v>19500</v>
      </c>
      <c r="F42" s="31">
        <v>27.684149999999999</v>
      </c>
      <c r="G42" s="32">
        <v>9.2513000000000003E-4</v>
      </c>
      <c r="H42" s="27" t="s">
        <v>142</v>
      </c>
    </row>
    <row r="43" spans="1:9" ht="25.5" x14ac:dyDescent="0.2">
      <c r="A43" s="28">
        <v>37</v>
      </c>
      <c r="B43" s="29" t="s">
        <v>640</v>
      </c>
      <c r="C43" s="29" t="s">
        <v>641</v>
      </c>
      <c r="D43" s="29" t="s">
        <v>273</v>
      </c>
      <c r="E43" s="30">
        <v>3000</v>
      </c>
      <c r="F43" s="31">
        <v>14.077500000000001</v>
      </c>
      <c r="G43" s="32">
        <v>4.7042999999999998E-4</v>
      </c>
      <c r="H43" s="27" t="s">
        <v>142</v>
      </c>
    </row>
    <row r="44" spans="1:9" x14ac:dyDescent="0.2">
      <c r="A44" s="139">
        <v>38</v>
      </c>
      <c r="B44" s="140" t="s">
        <v>1087</v>
      </c>
      <c r="C44" s="140" t="s">
        <v>1088</v>
      </c>
      <c r="D44" s="140" t="s">
        <v>1089</v>
      </c>
      <c r="E44" s="141">
        <v>26667</v>
      </c>
      <c r="F44" s="142">
        <v>0.01</v>
      </c>
      <c r="G44" s="143" t="s">
        <v>140</v>
      </c>
      <c r="H44" s="144" t="s">
        <v>142</v>
      </c>
      <c r="I44" s="145"/>
    </row>
    <row r="45" spans="1:9" x14ac:dyDescent="0.2">
      <c r="A45" s="25"/>
      <c r="B45" s="25"/>
      <c r="C45" s="26" t="s">
        <v>141</v>
      </c>
      <c r="D45" s="25"/>
      <c r="E45" s="25" t="s">
        <v>142</v>
      </c>
      <c r="F45" s="33">
        <v>20363.82</v>
      </c>
      <c r="G45" s="34">
        <v>0.68050031</v>
      </c>
      <c r="H45" s="27" t="s">
        <v>142</v>
      </c>
    </row>
    <row r="46" spans="1:9" x14ac:dyDescent="0.2">
      <c r="A46" s="25"/>
      <c r="B46" s="25"/>
      <c r="C46" s="35"/>
      <c r="D46" s="25"/>
      <c r="E46" s="25"/>
      <c r="F46" s="36"/>
      <c r="G46" s="36"/>
      <c r="H46" s="27" t="s">
        <v>142</v>
      </c>
    </row>
    <row r="47" spans="1:9" x14ac:dyDescent="0.2">
      <c r="A47" s="25"/>
      <c r="B47" s="25"/>
      <c r="C47" s="26" t="s">
        <v>143</v>
      </c>
      <c r="D47" s="25"/>
      <c r="E47" s="25"/>
      <c r="F47" s="25"/>
      <c r="G47" s="25"/>
      <c r="H47" s="27" t="s">
        <v>142</v>
      </c>
    </row>
    <row r="48" spans="1:9" x14ac:dyDescent="0.2">
      <c r="A48" s="25"/>
      <c r="B48" s="25"/>
      <c r="C48" s="26" t="s">
        <v>141</v>
      </c>
      <c r="D48" s="25"/>
      <c r="E48" s="25" t="s">
        <v>142</v>
      </c>
      <c r="F48" s="37" t="s">
        <v>144</v>
      </c>
      <c r="G48" s="34">
        <v>0</v>
      </c>
      <c r="H48" s="27" t="s">
        <v>142</v>
      </c>
    </row>
    <row r="49" spans="1:8" x14ac:dyDescent="0.2">
      <c r="A49" s="25"/>
      <c r="B49" s="25"/>
      <c r="C49" s="35"/>
      <c r="D49" s="25"/>
      <c r="E49" s="25"/>
      <c r="F49" s="36"/>
      <c r="G49" s="36"/>
      <c r="H49" s="27" t="s">
        <v>142</v>
      </c>
    </row>
    <row r="50" spans="1:8" x14ac:dyDescent="0.2">
      <c r="A50" s="25"/>
      <c r="B50" s="25"/>
      <c r="C50" s="26" t="s">
        <v>145</v>
      </c>
      <c r="D50" s="25"/>
      <c r="E50" s="25"/>
      <c r="F50" s="25"/>
      <c r="G50" s="25"/>
      <c r="H50" s="27" t="s">
        <v>142</v>
      </c>
    </row>
    <row r="51" spans="1:8" x14ac:dyDescent="0.2">
      <c r="A51" s="25"/>
      <c r="B51" s="25"/>
      <c r="C51" s="26" t="s">
        <v>141</v>
      </c>
      <c r="D51" s="25"/>
      <c r="E51" s="25" t="s">
        <v>142</v>
      </c>
      <c r="F51" s="37" t="s">
        <v>144</v>
      </c>
      <c r="G51" s="34">
        <v>0</v>
      </c>
      <c r="H51" s="27" t="s">
        <v>142</v>
      </c>
    </row>
    <row r="52" spans="1:8" x14ac:dyDescent="0.2">
      <c r="A52" s="25"/>
      <c r="B52" s="25"/>
      <c r="C52" s="35"/>
      <c r="D52" s="25"/>
      <c r="E52" s="25"/>
      <c r="F52" s="36"/>
      <c r="G52" s="36"/>
      <c r="H52" s="27" t="s">
        <v>142</v>
      </c>
    </row>
    <row r="53" spans="1:8" x14ac:dyDescent="0.2">
      <c r="A53" s="25"/>
      <c r="B53" s="25"/>
      <c r="C53" s="26" t="s">
        <v>146</v>
      </c>
      <c r="D53" s="25"/>
      <c r="E53" s="25"/>
      <c r="F53" s="25"/>
      <c r="G53" s="25"/>
      <c r="H53" s="27" t="s">
        <v>142</v>
      </c>
    </row>
    <row r="54" spans="1:8" x14ac:dyDescent="0.2">
      <c r="A54" s="25"/>
      <c r="B54" s="25"/>
      <c r="C54" s="26" t="s">
        <v>141</v>
      </c>
      <c r="D54" s="25"/>
      <c r="E54" s="25" t="s">
        <v>142</v>
      </c>
      <c r="F54" s="37" t="s">
        <v>144</v>
      </c>
      <c r="G54" s="34">
        <v>0</v>
      </c>
      <c r="H54" s="27" t="s">
        <v>142</v>
      </c>
    </row>
    <row r="55" spans="1:8" x14ac:dyDescent="0.2">
      <c r="A55" s="25"/>
      <c r="B55" s="25"/>
      <c r="C55" s="35"/>
      <c r="D55" s="25"/>
      <c r="E55" s="25"/>
      <c r="F55" s="36"/>
      <c r="G55" s="36"/>
      <c r="H55" s="27" t="s">
        <v>142</v>
      </c>
    </row>
    <row r="56" spans="1:8" x14ac:dyDescent="0.2">
      <c r="A56" s="25"/>
      <c r="B56" s="25"/>
      <c r="C56" s="26" t="s">
        <v>147</v>
      </c>
      <c r="D56" s="25"/>
      <c r="E56" s="25"/>
      <c r="F56" s="36"/>
      <c r="G56" s="36"/>
      <c r="H56" s="27" t="s">
        <v>142</v>
      </c>
    </row>
    <row r="57" spans="1:8" x14ac:dyDescent="0.2">
      <c r="A57" s="25"/>
      <c r="B57" s="25"/>
      <c r="C57" s="26" t="s">
        <v>141</v>
      </c>
      <c r="D57" s="25"/>
      <c r="E57" s="25" t="s">
        <v>142</v>
      </c>
      <c r="F57" s="37" t="s">
        <v>144</v>
      </c>
      <c r="G57" s="34">
        <v>0</v>
      </c>
      <c r="H57" s="27" t="s">
        <v>142</v>
      </c>
    </row>
    <row r="58" spans="1:8" x14ac:dyDescent="0.2">
      <c r="A58" s="25"/>
      <c r="B58" s="25"/>
      <c r="C58" s="35"/>
      <c r="D58" s="25"/>
      <c r="E58" s="25"/>
      <c r="F58" s="36"/>
      <c r="G58" s="36"/>
      <c r="H58" s="27" t="s">
        <v>142</v>
      </c>
    </row>
    <row r="59" spans="1:8" x14ac:dyDescent="0.2">
      <c r="A59" s="25"/>
      <c r="B59" s="25"/>
      <c r="C59" s="26" t="s">
        <v>148</v>
      </c>
      <c r="D59" s="25"/>
      <c r="E59" s="25"/>
      <c r="F59" s="36"/>
      <c r="G59" s="36"/>
      <c r="H59" s="27" t="s">
        <v>142</v>
      </c>
    </row>
    <row r="60" spans="1:8" x14ac:dyDescent="0.2">
      <c r="A60" s="28">
        <v>1</v>
      </c>
      <c r="B60" s="29"/>
      <c r="C60" s="29" t="s">
        <v>977</v>
      </c>
      <c r="D60" s="29" t="s">
        <v>523</v>
      </c>
      <c r="E60" s="30">
        <v>-3000</v>
      </c>
      <c r="F60" s="31">
        <v>-14.125500000000001</v>
      </c>
      <c r="G60" s="32">
        <f>F60/$F$151</f>
        <v>-4.7203363988664292E-4</v>
      </c>
      <c r="H60" s="27" t="s">
        <v>142</v>
      </c>
    </row>
    <row r="61" spans="1:8" x14ac:dyDescent="0.2">
      <c r="A61" s="28">
        <v>2</v>
      </c>
      <c r="B61" s="29"/>
      <c r="C61" s="29" t="s">
        <v>978</v>
      </c>
      <c r="D61" s="29" t="s">
        <v>523</v>
      </c>
      <c r="E61" s="30">
        <v>-19500</v>
      </c>
      <c r="F61" s="31">
        <v>-27.849900000000002</v>
      </c>
      <c r="G61" s="32">
        <f t="shared" ref="G61:G96" si="0">F61/$F$151</f>
        <v>-9.3066366978011514E-4</v>
      </c>
      <c r="H61" s="27" t="s">
        <v>142</v>
      </c>
    </row>
    <row r="62" spans="1:8" x14ac:dyDescent="0.2">
      <c r="A62" s="28">
        <v>3</v>
      </c>
      <c r="B62" s="29"/>
      <c r="C62" s="29" t="s">
        <v>932</v>
      </c>
      <c r="D62" s="29" t="s">
        <v>523</v>
      </c>
      <c r="E62" s="30">
        <v>-13500</v>
      </c>
      <c r="F62" s="31">
        <v>-45.312750000000001</v>
      </c>
      <c r="G62" s="32">
        <f t="shared" si="0"/>
        <v>-1.5142219614012586E-3</v>
      </c>
      <c r="H62" s="27" t="s">
        <v>142</v>
      </c>
    </row>
    <row r="63" spans="1:8" x14ac:dyDescent="0.2">
      <c r="A63" s="28">
        <v>4</v>
      </c>
      <c r="B63" s="29"/>
      <c r="C63" s="29" t="s">
        <v>979</v>
      </c>
      <c r="D63" s="29" t="s">
        <v>523</v>
      </c>
      <c r="E63" s="30">
        <v>-7425</v>
      </c>
      <c r="F63" s="31">
        <v>-59.526224999999997</v>
      </c>
      <c r="G63" s="32">
        <f t="shared" si="0"/>
        <v>-1.9891954731132548E-3</v>
      </c>
      <c r="H63" s="27" t="s">
        <v>142</v>
      </c>
    </row>
    <row r="64" spans="1:8" x14ac:dyDescent="0.2">
      <c r="A64" s="28">
        <v>5</v>
      </c>
      <c r="B64" s="29"/>
      <c r="C64" s="29" t="s">
        <v>980</v>
      </c>
      <c r="D64" s="29" t="s">
        <v>523</v>
      </c>
      <c r="E64" s="30">
        <v>-15750</v>
      </c>
      <c r="F64" s="31">
        <v>-62.968499999999999</v>
      </c>
      <c r="G64" s="32">
        <f t="shared" si="0"/>
        <v>-2.1042264169906957E-3</v>
      </c>
      <c r="H64" s="27" t="s">
        <v>142</v>
      </c>
    </row>
    <row r="65" spans="1:8" x14ac:dyDescent="0.2">
      <c r="A65" s="28">
        <v>6</v>
      </c>
      <c r="B65" s="29"/>
      <c r="C65" s="29" t="s">
        <v>924</v>
      </c>
      <c r="D65" s="29" t="s">
        <v>523</v>
      </c>
      <c r="E65" s="30">
        <v>-3500</v>
      </c>
      <c r="F65" s="31">
        <v>-71.028999999999996</v>
      </c>
      <c r="G65" s="32">
        <f t="shared" si="0"/>
        <v>-2.3735851762775378E-3</v>
      </c>
      <c r="H65" s="27" t="s">
        <v>142</v>
      </c>
    </row>
    <row r="66" spans="1:8" x14ac:dyDescent="0.2">
      <c r="A66" s="28">
        <v>7</v>
      </c>
      <c r="B66" s="29"/>
      <c r="C66" s="29" t="s">
        <v>920</v>
      </c>
      <c r="D66" s="29" t="s">
        <v>523</v>
      </c>
      <c r="E66" s="30">
        <v>-3850</v>
      </c>
      <c r="F66" s="31">
        <v>-115.0765</v>
      </c>
      <c r="G66" s="32">
        <f t="shared" si="0"/>
        <v>-3.8455261166270406E-3</v>
      </c>
      <c r="H66" s="27" t="s">
        <v>142</v>
      </c>
    </row>
    <row r="67" spans="1:8" x14ac:dyDescent="0.2">
      <c r="A67" s="28">
        <v>8</v>
      </c>
      <c r="B67" s="29"/>
      <c r="C67" s="29" t="s">
        <v>981</v>
      </c>
      <c r="D67" s="29" t="s">
        <v>523</v>
      </c>
      <c r="E67" s="30">
        <v>-13200</v>
      </c>
      <c r="F67" s="31">
        <v>-152.4864</v>
      </c>
      <c r="G67" s="32">
        <f t="shared" si="0"/>
        <v>-5.0956575289519369E-3</v>
      </c>
      <c r="H67" s="27" t="s">
        <v>142</v>
      </c>
    </row>
    <row r="68" spans="1:8" x14ac:dyDescent="0.2">
      <c r="A68" s="28">
        <v>9</v>
      </c>
      <c r="B68" s="29"/>
      <c r="C68" s="29" t="s">
        <v>933</v>
      </c>
      <c r="D68" s="29" t="s">
        <v>523</v>
      </c>
      <c r="E68" s="30">
        <v>-82500</v>
      </c>
      <c r="F68" s="31">
        <v>-177.11099999999999</v>
      </c>
      <c r="G68" s="32">
        <f t="shared" si="0"/>
        <v>-5.9185409361766457E-3</v>
      </c>
      <c r="H68" s="27" t="s">
        <v>142</v>
      </c>
    </row>
    <row r="69" spans="1:8" x14ac:dyDescent="0.2">
      <c r="A69" s="28">
        <v>10</v>
      </c>
      <c r="B69" s="29"/>
      <c r="C69" s="29" t="s">
        <v>982</v>
      </c>
      <c r="D69" s="29" t="s">
        <v>523</v>
      </c>
      <c r="E69" s="30">
        <v>-168750</v>
      </c>
      <c r="F69" s="31">
        <v>-194.61937499999999</v>
      </c>
      <c r="G69" s="32">
        <f t="shared" si="0"/>
        <v>-6.5036205425445829E-3</v>
      </c>
      <c r="H69" s="27" t="s">
        <v>142</v>
      </c>
    </row>
    <row r="70" spans="1:8" x14ac:dyDescent="0.2">
      <c r="A70" s="28">
        <v>11</v>
      </c>
      <c r="B70" s="29"/>
      <c r="C70" s="29" t="s">
        <v>983</v>
      </c>
      <c r="D70" s="29" t="s">
        <v>523</v>
      </c>
      <c r="E70" s="30">
        <v>-17784</v>
      </c>
      <c r="F70" s="31">
        <v>-197.97148799999999</v>
      </c>
      <c r="G70" s="32">
        <f t="shared" si="0"/>
        <v>-6.6156385313379945E-3</v>
      </c>
      <c r="H70" s="27" t="s">
        <v>142</v>
      </c>
    </row>
    <row r="71" spans="1:8" x14ac:dyDescent="0.2">
      <c r="A71" s="28">
        <v>12</v>
      </c>
      <c r="B71" s="29"/>
      <c r="C71" s="29" t="s">
        <v>984</v>
      </c>
      <c r="D71" s="29" t="s">
        <v>523</v>
      </c>
      <c r="E71" s="30">
        <v>-192000</v>
      </c>
      <c r="F71" s="31">
        <v>-204.42240000000001</v>
      </c>
      <c r="G71" s="32">
        <f t="shared" si="0"/>
        <v>-6.8312094825927067E-3</v>
      </c>
      <c r="H71" s="27" t="s">
        <v>142</v>
      </c>
    </row>
    <row r="72" spans="1:8" x14ac:dyDescent="0.2">
      <c r="A72" s="28">
        <v>13</v>
      </c>
      <c r="B72" s="29"/>
      <c r="C72" s="29" t="s">
        <v>985</v>
      </c>
      <c r="D72" s="29" t="s">
        <v>523</v>
      </c>
      <c r="E72" s="30">
        <v>-137500</v>
      </c>
      <c r="F72" s="31">
        <v>-222.61250000000001</v>
      </c>
      <c r="G72" s="32">
        <f t="shared" si="0"/>
        <v>-7.4390703804654915E-3</v>
      </c>
      <c r="H72" s="27" t="s">
        <v>142</v>
      </c>
    </row>
    <row r="73" spans="1:8" x14ac:dyDescent="0.2">
      <c r="A73" s="28">
        <v>14</v>
      </c>
      <c r="B73" s="29"/>
      <c r="C73" s="29" t="s">
        <v>915</v>
      </c>
      <c r="D73" s="29" t="s">
        <v>523</v>
      </c>
      <c r="E73" s="30">
        <v>-12375</v>
      </c>
      <c r="F73" s="31">
        <v>-225.41062500000001</v>
      </c>
      <c r="G73" s="32">
        <f t="shared" si="0"/>
        <v>-7.5325756814182236E-3</v>
      </c>
      <c r="H73" s="27" t="s">
        <v>142</v>
      </c>
    </row>
    <row r="74" spans="1:8" x14ac:dyDescent="0.2">
      <c r="A74" s="28">
        <v>15</v>
      </c>
      <c r="B74" s="29"/>
      <c r="C74" s="29" t="s">
        <v>986</v>
      </c>
      <c r="D74" s="29" t="s">
        <v>523</v>
      </c>
      <c r="E74" s="30">
        <v>-102600</v>
      </c>
      <c r="F74" s="31">
        <v>-229.20840000000001</v>
      </c>
      <c r="G74" s="32">
        <f t="shared" si="0"/>
        <v>-7.6594864142574496E-3</v>
      </c>
      <c r="H74" s="27" t="s">
        <v>142</v>
      </c>
    </row>
    <row r="75" spans="1:8" x14ac:dyDescent="0.2">
      <c r="A75" s="28">
        <v>16</v>
      </c>
      <c r="B75" s="29"/>
      <c r="C75" s="29" t="s">
        <v>987</v>
      </c>
      <c r="D75" s="29" t="s">
        <v>523</v>
      </c>
      <c r="E75" s="30">
        <v>-16250</v>
      </c>
      <c r="F75" s="31">
        <v>-239.5575</v>
      </c>
      <c r="G75" s="32">
        <f t="shared" si="0"/>
        <v>-8.0053236124133283E-3</v>
      </c>
      <c r="H75" s="27" t="s">
        <v>142</v>
      </c>
    </row>
    <row r="76" spans="1:8" x14ac:dyDescent="0.2">
      <c r="A76" s="28">
        <v>17</v>
      </c>
      <c r="B76" s="29"/>
      <c r="C76" s="29" t="s">
        <v>988</v>
      </c>
      <c r="D76" s="29" t="s">
        <v>523</v>
      </c>
      <c r="E76" s="30">
        <v>-74250</v>
      </c>
      <c r="F76" s="31">
        <v>-291.09712500000001</v>
      </c>
      <c r="G76" s="32">
        <f t="shared" si="0"/>
        <v>-9.7276298519901657E-3</v>
      </c>
      <c r="H76" s="27" t="s">
        <v>142</v>
      </c>
    </row>
    <row r="77" spans="1:8" x14ac:dyDescent="0.2">
      <c r="A77" s="28">
        <v>18</v>
      </c>
      <c r="B77" s="29"/>
      <c r="C77" s="29" t="s">
        <v>931</v>
      </c>
      <c r="D77" s="29" t="s">
        <v>523</v>
      </c>
      <c r="E77" s="30">
        <v>-12600</v>
      </c>
      <c r="F77" s="31">
        <v>-294.66359999999997</v>
      </c>
      <c r="G77" s="32">
        <f t="shared" si="0"/>
        <v>-9.846811203150457E-3</v>
      </c>
      <c r="H77" s="27" t="s">
        <v>142</v>
      </c>
    </row>
    <row r="78" spans="1:8" x14ac:dyDescent="0.2">
      <c r="A78" s="28">
        <v>19</v>
      </c>
      <c r="B78" s="29"/>
      <c r="C78" s="29" t="s">
        <v>989</v>
      </c>
      <c r="D78" s="29" t="s">
        <v>523</v>
      </c>
      <c r="E78" s="30">
        <v>-52800</v>
      </c>
      <c r="F78" s="31">
        <v>-378.41759999999999</v>
      </c>
      <c r="G78" s="32">
        <f t="shared" si="0"/>
        <v>-1.2645629331716942E-2</v>
      </c>
      <c r="H78" s="27" t="s">
        <v>142</v>
      </c>
    </row>
    <row r="79" spans="1:8" x14ac:dyDescent="0.2">
      <c r="A79" s="28">
        <v>20</v>
      </c>
      <c r="B79" s="29"/>
      <c r="C79" s="29" t="s">
        <v>990</v>
      </c>
      <c r="D79" s="29" t="s">
        <v>523</v>
      </c>
      <c r="E79" s="30">
        <v>-157950</v>
      </c>
      <c r="F79" s="31">
        <v>-397.10209500000002</v>
      </c>
      <c r="G79" s="32">
        <f t="shared" si="0"/>
        <v>-1.3270011490528581E-2</v>
      </c>
      <c r="H79" s="27" t="s">
        <v>142</v>
      </c>
    </row>
    <row r="80" spans="1:8" x14ac:dyDescent="0.2">
      <c r="A80" s="28">
        <v>21</v>
      </c>
      <c r="B80" s="29"/>
      <c r="C80" s="29" t="s">
        <v>934</v>
      </c>
      <c r="D80" s="29" t="s">
        <v>523</v>
      </c>
      <c r="E80" s="30">
        <v>-22800</v>
      </c>
      <c r="F80" s="31">
        <v>-426.01799999999997</v>
      </c>
      <c r="G80" s="32">
        <f t="shared" si="0"/>
        <v>-1.4236297985715751E-2</v>
      </c>
      <c r="H80" s="27" t="s">
        <v>142</v>
      </c>
    </row>
    <row r="81" spans="1:8" x14ac:dyDescent="0.2">
      <c r="A81" s="28">
        <v>22</v>
      </c>
      <c r="B81" s="29"/>
      <c r="C81" s="29" t="s">
        <v>991</v>
      </c>
      <c r="D81" s="29" t="s">
        <v>523</v>
      </c>
      <c r="E81" s="30">
        <v>-58000</v>
      </c>
      <c r="F81" s="31">
        <v>-448.83300000000003</v>
      </c>
      <c r="G81" s="32">
        <f t="shared" si="0"/>
        <v>-1.4998709758326545E-2</v>
      </c>
      <c r="H81" s="27" t="s">
        <v>142</v>
      </c>
    </row>
    <row r="82" spans="1:8" x14ac:dyDescent="0.2">
      <c r="A82" s="28">
        <v>23</v>
      </c>
      <c r="B82" s="29"/>
      <c r="C82" s="29" t="s">
        <v>939</v>
      </c>
      <c r="D82" s="29" t="s">
        <v>523</v>
      </c>
      <c r="E82" s="30">
        <v>-24200</v>
      </c>
      <c r="F82" s="31">
        <v>-472.91640000000001</v>
      </c>
      <c r="G82" s="32">
        <f t="shared" si="0"/>
        <v>-1.580350781594192E-2</v>
      </c>
      <c r="H82" s="27" t="s">
        <v>142</v>
      </c>
    </row>
    <row r="83" spans="1:8" x14ac:dyDescent="0.2">
      <c r="A83" s="28">
        <v>24</v>
      </c>
      <c r="B83" s="29"/>
      <c r="C83" s="29" t="s">
        <v>992</v>
      </c>
      <c r="D83" s="29" t="s">
        <v>523</v>
      </c>
      <c r="E83" s="30">
        <v>-81200</v>
      </c>
      <c r="F83" s="31">
        <v>-517.65</v>
      </c>
      <c r="G83" s="32">
        <f t="shared" si="0"/>
        <v>-1.729837624773075E-2</v>
      </c>
      <c r="H83" s="27" t="s">
        <v>142</v>
      </c>
    </row>
    <row r="84" spans="1:8" x14ac:dyDescent="0.2">
      <c r="A84" s="28">
        <v>25</v>
      </c>
      <c r="B84" s="29"/>
      <c r="C84" s="29" t="s">
        <v>926</v>
      </c>
      <c r="D84" s="29" t="s">
        <v>523</v>
      </c>
      <c r="E84" s="30">
        <v>-32900</v>
      </c>
      <c r="F84" s="31">
        <v>-555.15459999999996</v>
      </c>
      <c r="G84" s="32">
        <f t="shared" si="0"/>
        <v>-1.8551672262065999E-2</v>
      </c>
      <c r="H84" s="27" t="s">
        <v>142</v>
      </c>
    </row>
    <row r="85" spans="1:8" x14ac:dyDescent="0.2">
      <c r="A85" s="28">
        <v>26</v>
      </c>
      <c r="B85" s="29"/>
      <c r="C85" s="29" t="s">
        <v>935</v>
      </c>
      <c r="D85" s="29" t="s">
        <v>523</v>
      </c>
      <c r="E85" s="30">
        <v>-30000</v>
      </c>
      <c r="F85" s="31">
        <v>-626.49</v>
      </c>
      <c r="G85" s="32">
        <f t="shared" si="0"/>
        <v>-2.0935496446326356E-2</v>
      </c>
      <c r="H85" s="27" t="s">
        <v>142</v>
      </c>
    </row>
    <row r="86" spans="1:8" x14ac:dyDescent="0.2">
      <c r="A86" s="28">
        <v>27</v>
      </c>
      <c r="B86" s="29"/>
      <c r="C86" s="29" t="s">
        <v>925</v>
      </c>
      <c r="D86" s="29" t="s">
        <v>523</v>
      </c>
      <c r="E86" s="30">
        <v>-18750</v>
      </c>
      <c r="F86" s="31">
        <v>-685.53750000000002</v>
      </c>
      <c r="G86" s="32">
        <f t="shared" si="0"/>
        <v>-2.2908694304894655E-2</v>
      </c>
      <c r="H86" s="27" t="s">
        <v>142</v>
      </c>
    </row>
    <row r="87" spans="1:8" x14ac:dyDescent="0.2">
      <c r="A87" s="28">
        <v>28</v>
      </c>
      <c r="B87" s="29"/>
      <c r="C87" s="29" t="s">
        <v>927</v>
      </c>
      <c r="D87" s="29" t="s">
        <v>523</v>
      </c>
      <c r="E87" s="30">
        <v>-19950</v>
      </c>
      <c r="F87" s="31">
        <v>-689.17274999999995</v>
      </c>
      <c r="G87" s="32">
        <f t="shared" si="0"/>
        <v>-2.3030173919024979E-2</v>
      </c>
      <c r="H87" s="27" t="s">
        <v>142</v>
      </c>
    </row>
    <row r="88" spans="1:8" x14ac:dyDescent="0.2">
      <c r="A88" s="28">
        <v>29</v>
      </c>
      <c r="B88" s="29"/>
      <c r="C88" s="29" t="s">
        <v>993</v>
      </c>
      <c r="D88" s="29" t="s">
        <v>523</v>
      </c>
      <c r="E88" s="30">
        <v>-27600</v>
      </c>
      <c r="F88" s="31">
        <v>-698.19719999999995</v>
      </c>
      <c r="G88" s="32">
        <f t="shared" si="0"/>
        <v>-2.3331745118732955E-2</v>
      </c>
      <c r="H88" s="27" t="s">
        <v>142</v>
      </c>
    </row>
    <row r="89" spans="1:8" x14ac:dyDescent="0.2">
      <c r="A89" s="28">
        <v>30</v>
      </c>
      <c r="B89" s="29"/>
      <c r="C89" s="29" t="s">
        <v>994</v>
      </c>
      <c r="D89" s="29" t="s">
        <v>523</v>
      </c>
      <c r="E89" s="30">
        <v>-7625</v>
      </c>
      <c r="F89" s="31">
        <v>-703.13937499999997</v>
      </c>
      <c r="G89" s="32">
        <f t="shared" si="0"/>
        <v>-2.3496898412719489E-2</v>
      </c>
      <c r="H89" s="27" t="s">
        <v>142</v>
      </c>
    </row>
    <row r="90" spans="1:8" x14ac:dyDescent="0.2">
      <c r="A90" s="28">
        <v>31</v>
      </c>
      <c r="B90" s="29"/>
      <c r="C90" s="29" t="s">
        <v>936</v>
      </c>
      <c r="D90" s="29" t="s">
        <v>523</v>
      </c>
      <c r="E90" s="30">
        <v>-46800</v>
      </c>
      <c r="F90" s="31">
        <v>-734.19839999999999</v>
      </c>
      <c r="G90" s="32">
        <f t="shared" si="0"/>
        <v>-2.4534801823011532E-2</v>
      </c>
      <c r="H90" s="27" t="s">
        <v>142</v>
      </c>
    </row>
    <row r="91" spans="1:8" x14ac:dyDescent="0.2">
      <c r="A91" s="28">
        <v>32</v>
      </c>
      <c r="B91" s="29"/>
      <c r="C91" s="29" t="s">
        <v>995</v>
      </c>
      <c r="D91" s="29" t="s">
        <v>523</v>
      </c>
      <c r="E91" s="30">
        <v>-144000</v>
      </c>
      <c r="F91" s="31">
        <v>-798.19200000000001</v>
      </c>
      <c r="G91" s="32">
        <f t="shared" si="0"/>
        <v>-2.6673284137793303E-2</v>
      </c>
      <c r="H91" s="27" t="s">
        <v>142</v>
      </c>
    </row>
    <row r="92" spans="1:8" x14ac:dyDescent="0.2">
      <c r="A92" s="28">
        <v>33</v>
      </c>
      <c r="B92" s="29"/>
      <c r="C92" s="29" t="s">
        <v>996</v>
      </c>
      <c r="D92" s="29" t="s">
        <v>523</v>
      </c>
      <c r="E92" s="30">
        <v>-285600</v>
      </c>
      <c r="F92" s="31">
        <v>-1103.4156</v>
      </c>
      <c r="G92" s="32">
        <f t="shared" si="0"/>
        <v>-3.6872980211369796E-2</v>
      </c>
      <c r="H92" s="27" t="s">
        <v>142</v>
      </c>
    </row>
    <row r="93" spans="1:8" x14ac:dyDescent="0.2">
      <c r="A93" s="28">
        <v>34</v>
      </c>
      <c r="B93" s="29"/>
      <c r="C93" s="29" t="s">
        <v>997</v>
      </c>
      <c r="D93" s="29" t="s">
        <v>523</v>
      </c>
      <c r="E93" s="30">
        <v>-121250</v>
      </c>
      <c r="F93" s="31">
        <v>-1455.1212499999999</v>
      </c>
      <c r="G93" s="32">
        <f t="shared" si="0"/>
        <v>-4.8625972893979089E-2</v>
      </c>
      <c r="H93" s="27" t="s">
        <v>142</v>
      </c>
    </row>
    <row r="94" spans="1:8" x14ac:dyDescent="0.2">
      <c r="A94" s="28">
        <v>35</v>
      </c>
      <c r="B94" s="29"/>
      <c r="C94" s="29" t="s">
        <v>998</v>
      </c>
      <c r="D94" s="29" t="s">
        <v>523</v>
      </c>
      <c r="E94" s="30">
        <v>-467200</v>
      </c>
      <c r="F94" s="31">
        <v>-1962.7072000000001</v>
      </c>
      <c r="G94" s="32">
        <f t="shared" si="0"/>
        <v>-6.5588037495856524E-2</v>
      </c>
      <c r="H94" s="27" t="s">
        <v>142</v>
      </c>
    </row>
    <row r="95" spans="1:8" x14ac:dyDescent="0.2">
      <c r="A95" s="28">
        <v>36</v>
      </c>
      <c r="B95" s="29"/>
      <c r="C95" s="29" t="s">
        <v>923</v>
      </c>
      <c r="D95" s="29" t="s">
        <v>523</v>
      </c>
      <c r="E95" s="30">
        <v>-155400</v>
      </c>
      <c r="F95" s="31">
        <v>-2261.5362</v>
      </c>
      <c r="G95" s="32">
        <f t="shared" si="0"/>
        <v>-7.5574044403483545E-2</v>
      </c>
      <c r="H95" s="27" t="s">
        <v>142</v>
      </c>
    </row>
    <row r="96" spans="1:8" x14ac:dyDescent="0.2">
      <c r="A96" s="28">
        <v>37</v>
      </c>
      <c r="B96" s="29"/>
      <c r="C96" s="29" t="s">
        <v>938</v>
      </c>
      <c r="D96" s="29" t="s">
        <v>523</v>
      </c>
      <c r="E96" s="30">
        <v>-190000</v>
      </c>
      <c r="F96" s="31">
        <v>-2716.05</v>
      </c>
      <c r="G96" s="32">
        <f t="shared" si="0"/>
        <v>-9.076259018187792E-2</v>
      </c>
      <c r="H96" s="27" t="s">
        <v>142</v>
      </c>
    </row>
    <row r="97" spans="1:8" x14ac:dyDescent="0.2">
      <c r="A97" s="25"/>
      <c r="B97" s="25"/>
      <c r="C97" s="26" t="s">
        <v>141</v>
      </c>
      <c r="D97" s="25"/>
      <c r="E97" s="25" t="s">
        <v>142</v>
      </c>
      <c r="F97" s="33">
        <v>-20454.897958000001</v>
      </c>
      <c r="G97" s="34">
        <v>-0.68354409999999999</v>
      </c>
      <c r="H97" s="27" t="s">
        <v>142</v>
      </c>
    </row>
    <row r="98" spans="1:8" x14ac:dyDescent="0.2">
      <c r="A98" s="25"/>
      <c r="B98" s="25"/>
      <c r="C98" s="35"/>
      <c r="D98" s="25"/>
      <c r="E98" s="25"/>
      <c r="F98" s="36"/>
      <c r="G98" s="36"/>
      <c r="H98" s="27" t="s">
        <v>142</v>
      </c>
    </row>
    <row r="99" spans="1:8" x14ac:dyDescent="0.2">
      <c r="A99" s="25"/>
      <c r="B99" s="25"/>
      <c r="C99" s="26" t="s">
        <v>149</v>
      </c>
      <c r="D99" s="25"/>
      <c r="E99" s="25"/>
      <c r="F99" s="33">
        <f>F45</f>
        <v>20363.82</v>
      </c>
      <c r="G99" s="34">
        <f>G45</f>
        <v>0.68050031</v>
      </c>
      <c r="H99" s="27" t="s">
        <v>142</v>
      </c>
    </row>
    <row r="100" spans="1:8" x14ac:dyDescent="0.2">
      <c r="A100" s="25"/>
      <c r="B100" s="25"/>
      <c r="C100" s="35"/>
      <c r="D100" s="25"/>
      <c r="E100" s="25"/>
      <c r="F100" s="36"/>
      <c r="G100" s="36"/>
      <c r="H100" s="27" t="s">
        <v>142</v>
      </c>
    </row>
    <row r="101" spans="1:8" x14ac:dyDescent="0.2">
      <c r="A101" s="25"/>
      <c r="B101" s="25"/>
      <c r="C101" s="26" t="s">
        <v>150</v>
      </c>
      <c r="D101" s="25"/>
      <c r="E101" s="25"/>
      <c r="F101" s="36"/>
      <c r="G101" s="36"/>
      <c r="H101" s="27" t="s">
        <v>142</v>
      </c>
    </row>
    <row r="102" spans="1:8" x14ac:dyDescent="0.2">
      <c r="A102" s="25"/>
      <c r="B102" s="25"/>
      <c r="C102" s="26" t="s">
        <v>10</v>
      </c>
      <c r="D102" s="25"/>
      <c r="E102" s="25"/>
      <c r="F102" s="36"/>
      <c r="G102" s="36"/>
      <c r="H102" s="27" t="s">
        <v>142</v>
      </c>
    </row>
    <row r="103" spans="1:8" x14ac:dyDescent="0.2">
      <c r="A103" s="25"/>
      <c r="B103" s="25"/>
      <c r="C103" s="26" t="s">
        <v>141</v>
      </c>
      <c r="D103" s="25"/>
      <c r="E103" s="25" t="s">
        <v>142</v>
      </c>
      <c r="F103" s="37" t="s">
        <v>144</v>
      </c>
      <c r="G103" s="34">
        <v>0</v>
      </c>
      <c r="H103" s="27" t="s">
        <v>142</v>
      </c>
    </row>
    <row r="104" spans="1:8" x14ac:dyDescent="0.2">
      <c r="A104" s="25"/>
      <c r="B104" s="25"/>
      <c r="C104" s="35"/>
      <c r="D104" s="25"/>
      <c r="E104" s="25"/>
      <c r="F104" s="36"/>
      <c r="G104" s="36"/>
      <c r="H104" s="27" t="s">
        <v>142</v>
      </c>
    </row>
    <row r="105" spans="1:8" x14ac:dyDescent="0.2">
      <c r="A105" s="25"/>
      <c r="B105" s="25"/>
      <c r="C105" s="26" t="s">
        <v>151</v>
      </c>
      <c r="D105" s="25"/>
      <c r="E105" s="25"/>
      <c r="F105" s="25"/>
      <c r="G105" s="25"/>
      <c r="H105" s="27" t="s">
        <v>142</v>
      </c>
    </row>
    <row r="106" spans="1:8" x14ac:dyDescent="0.2">
      <c r="A106" s="25"/>
      <c r="B106" s="25"/>
      <c r="C106" s="26" t="s">
        <v>141</v>
      </c>
      <c r="D106" s="25"/>
      <c r="E106" s="25" t="s">
        <v>142</v>
      </c>
      <c r="F106" s="37" t="s">
        <v>144</v>
      </c>
      <c r="G106" s="34">
        <v>0</v>
      </c>
      <c r="H106" s="27" t="s">
        <v>142</v>
      </c>
    </row>
    <row r="107" spans="1:8" x14ac:dyDescent="0.2">
      <c r="A107" s="25"/>
      <c r="B107" s="25"/>
      <c r="C107" s="35"/>
      <c r="D107" s="25"/>
      <c r="E107" s="25"/>
      <c r="F107" s="36"/>
      <c r="G107" s="36"/>
      <c r="H107" s="27" t="s">
        <v>142</v>
      </c>
    </row>
    <row r="108" spans="1:8" x14ac:dyDescent="0.2">
      <c r="A108" s="25"/>
      <c r="B108" s="25"/>
      <c r="C108" s="26" t="s">
        <v>152</v>
      </c>
      <c r="D108" s="25"/>
      <c r="E108" s="25"/>
      <c r="F108" s="25"/>
      <c r="G108" s="25"/>
      <c r="H108" s="27" t="s">
        <v>142</v>
      </c>
    </row>
    <row r="109" spans="1:8" ht="25.5" x14ac:dyDescent="0.2">
      <c r="A109" s="28">
        <v>1</v>
      </c>
      <c r="B109" s="29" t="s">
        <v>642</v>
      </c>
      <c r="C109" s="29" t="s">
        <v>1078</v>
      </c>
      <c r="D109" s="29" t="s">
        <v>601</v>
      </c>
      <c r="E109" s="30">
        <v>1000000</v>
      </c>
      <c r="F109" s="31">
        <v>1031.9380000000001</v>
      </c>
      <c r="G109" s="32">
        <v>3.448441E-2</v>
      </c>
      <c r="H109" s="27">
        <v>5.7880000000000003</v>
      </c>
    </row>
    <row r="110" spans="1:8" x14ac:dyDescent="0.2">
      <c r="A110" s="25"/>
      <c r="B110" s="25"/>
      <c r="C110" s="26" t="s">
        <v>141</v>
      </c>
      <c r="D110" s="25"/>
      <c r="E110" s="25" t="s">
        <v>142</v>
      </c>
      <c r="F110" s="33">
        <v>1031.9380000000001</v>
      </c>
      <c r="G110" s="34">
        <v>3.448441E-2</v>
      </c>
      <c r="H110" s="27" t="s">
        <v>142</v>
      </c>
    </row>
    <row r="111" spans="1:8" x14ac:dyDescent="0.2">
      <c r="A111" s="25"/>
      <c r="B111" s="25"/>
      <c r="C111" s="35"/>
      <c r="D111" s="25"/>
      <c r="E111" s="25"/>
      <c r="F111" s="36"/>
      <c r="G111" s="36"/>
      <c r="H111" s="27" t="s">
        <v>142</v>
      </c>
    </row>
    <row r="112" spans="1:8" x14ac:dyDescent="0.2">
      <c r="A112" s="25"/>
      <c r="B112" s="25"/>
      <c r="C112" s="26" t="s">
        <v>153</v>
      </c>
      <c r="D112" s="25"/>
      <c r="E112" s="25"/>
      <c r="F112" s="36"/>
      <c r="G112" s="36"/>
      <c r="H112" s="27" t="s">
        <v>142</v>
      </c>
    </row>
    <row r="113" spans="1:8" x14ac:dyDescent="0.2">
      <c r="A113" s="25"/>
      <c r="B113" s="25"/>
      <c r="C113" s="26" t="s">
        <v>141</v>
      </c>
      <c r="D113" s="25"/>
      <c r="E113" s="25" t="s">
        <v>142</v>
      </c>
      <c r="F113" s="37" t="s">
        <v>144</v>
      </c>
      <c r="G113" s="34">
        <v>0</v>
      </c>
      <c r="H113" s="27" t="s">
        <v>142</v>
      </c>
    </row>
    <row r="114" spans="1:8" x14ac:dyDescent="0.2">
      <c r="A114" s="25"/>
      <c r="B114" s="25"/>
      <c r="C114" s="35"/>
      <c r="D114" s="25"/>
      <c r="E114" s="25"/>
      <c r="F114" s="36"/>
      <c r="G114" s="36"/>
      <c r="H114" s="27" t="s">
        <v>142</v>
      </c>
    </row>
    <row r="115" spans="1:8" x14ac:dyDescent="0.2">
      <c r="A115" s="25"/>
      <c r="B115" s="25"/>
      <c r="C115" s="26" t="s">
        <v>154</v>
      </c>
      <c r="D115" s="25"/>
      <c r="E115" s="25"/>
      <c r="F115" s="33">
        <v>1031.9380000000001</v>
      </c>
      <c r="G115" s="34">
        <v>3.448441E-2</v>
      </c>
      <c r="H115" s="27" t="s">
        <v>142</v>
      </c>
    </row>
    <row r="116" spans="1:8" x14ac:dyDescent="0.2">
      <c r="A116" s="25"/>
      <c r="B116" s="25"/>
      <c r="C116" s="35"/>
      <c r="D116" s="25"/>
      <c r="E116" s="25"/>
      <c r="F116" s="36"/>
      <c r="G116" s="36"/>
      <c r="H116" s="27" t="s">
        <v>142</v>
      </c>
    </row>
    <row r="117" spans="1:8" x14ac:dyDescent="0.2">
      <c r="A117" s="25"/>
      <c r="B117" s="25"/>
      <c r="C117" s="26" t="s">
        <v>155</v>
      </c>
      <c r="D117" s="25"/>
      <c r="E117" s="25"/>
      <c r="F117" s="36"/>
      <c r="G117" s="36"/>
      <c r="H117" s="27" t="s">
        <v>142</v>
      </c>
    </row>
    <row r="118" spans="1:8" x14ac:dyDescent="0.2">
      <c r="A118" s="25"/>
      <c r="B118" s="25"/>
      <c r="C118" s="26" t="s">
        <v>156</v>
      </c>
      <c r="D118" s="25"/>
      <c r="E118" s="25"/>
      <c r="F118" s="36"/>
      <c r="G118" s="36"/>
      <c r="H118" s="27" t="s">
        <v>142</v>
      </c>
    </row>
    <row r="119" spans="1:8" x14ac:dyDescent="0.2">
      <c r="A119" s="25"/>
      <c r="B119" s="25"/>
      <c r="C119" s="26" t="s">
        <v>141</v>
      </c>
      <c r="D119" s="25"/>
      <c r="E119" s="25" t="s">
        <v>142</v>
      </c>
      <c r="F119" s="37" t="s">
        <v>144</v>
      </c>
      <c r="G119" s="34">
        <v>0</v>
      </c>
      <c r="H119" s="27" t="s">
        <v>142</v>
      </c>
    </row>
    <row r="120" spans="1:8" x14ac:dyDescent="0.2">
      <c r="A120" s="25"/>
      <c r="B120" s="25"/>
      <c r="C120" s="35"/>
      <c r="D120" s="25"/>
      <c r="E120" s="25"/>
      <c r="F120" s="36"/>
      <c r="G120" s="36"/>
      <c r="H120" s="27" t="s">
        <v>142</v>
      </c>
    </row>
    <row r="121" spans="1:8" x14ac:dyDescent="0.2">
      <c r="A121" s="25"/>
      <c r="B121" s="25"/>
      <c r="C121" s="26" t="s">
        <v>157</v>
      </c>
      <c r="D121" s="25"/>
      <c r="E121" s="25"/>
      <c r="F121" s="36"/>
      <c r="G121" s="36"/>
      <c r="H121" s="27" t="s">
        <v>142</v>
      </c>
    </row>
    <row r="122" spans="1:8" x14ac:dyDescent="0.2">
      <c r="A122" s="25"/>
      <c r="B122" s="25"/>
      <c r="C122" s="26" t="s">
        <v>141</v>
      </c>
      <c r="D122" s="25"/>
      <c r="E122" s="25" t="s">
        <v>142</v>
      </c>
      <c r="F122" s="37" t="s">
        <v>144</v>
      </c>
      <c r="G122" s="34">
        <v>0</v>
      </c>
      <c r="H122" s="27" t="s">
        <v>142</v>
      </c>
    </row>
    <row r="123" spans="1:8" x14ac:dyDescent="0.2">
      <c r="A123" s="25"/>
      <c r="B123" s="25"/>
      <c r="C123" s="35"/>
      <c r="D123" s="25"/>
      <c r="E123" s="25"/>
      <c r="F123" s="36"/>
      <c r="G123" s="36"/>
      <c r="H123" s="27" t="s">
        <v>142</v>
      </c>
    </row>
    <row r="124" spans="1:8" x14ac:dyDescent="0.2">
      <c r="A124" s="25"/>
      <c r="B124" s="25"/>
      <c r="C124" s="26" t="s">
        <v>158</v>
      </c>
      <c r="D124" s="25"/>
      <c r="E124" s="25"/>
      <c r="F124" s="36"/>
      <c r="G124" s="36"/>
      <c r="H124" s="27" t="s">
        <v>142</v>
      </c>
    </row>
    <row r="125" spans="1:8" x14ac:dyDescent="0.2">
      <c r="A125" s="28">
        <v>1</v>
      </c>
      <c r="B125" s="29" t="s">
        <v>644</v>
      </c>
      <c r="C125" s="29" t="s">
        <v>1080</v>
      </c>
      <c r="D125" s="29" t="s">
        <v>601</v>
      </c>
      <c r="E125" s="30">
        <v>1000000</v>
      </c>
      <c r="F125" s="31">
        <v>972.24300000000005</v>
      </c>
      <c r="G125" s="32">
        <v>3.2489579999999997E-2</v>
      </c>
      <c r="H125" s="27">
        <v>5.6025</v>
      </c>
    </row>
    <row r="126" spans="1:8" x14ac:dyDescent="0.2">
      <c r="A126" s="28">
        <v>2</v>
      </c>
      <c r="B126" s="29" t="s">
        <v>645</v>
      </c>
      <c r="C126" s="29" t="s">
        <v>1079</v>
      </c>
      <c r="D126" s="29" t="s">
        <v>601</v>
      </c>
      <c r="E126" s="30">
        <v>500000</v>
      </c>
      <c r="F126" s="31">
        <v>492.28250000000003</v>
      </c>
      <c r="G126" s="32">
        <v>1.6450670000000001E-2</v>
      </c>
      <c r="H126" s="27">
        <v>5.61</v>
      </c>
    </row>
    <row r="127" spans="1:8" x14ac:dyDescent="0.2">
      <c r="A127" s="28">
        <v>3</v>
      </c>
      <c r="B127" s="29" t="s">
        <v>646</v>
      </c>
      <c r="C127" s="29" t="s">
        <v>1081</v>
      </c>
      <c r="D127" s="29" t="s">
        <v>601</v>
      </c>
      <c r="E127" s="30">
        <v>500000</v>
      </c>
      <c r="F127" s="31">
        <v>482.57850000000002</v>
      </c>
      <c r="G127" s="32">
        <v>1.6126390000000001E-2</v>
      </c>
      <c r="H127" s="27">
        <v>5.6071999999999997</v>
      </c>
    </row>
    <row r="128" spans="1:8" x14ac:dyDescent="0.2">
      <c r="A128" s="25"/>
      <c r="B128" s="25"/>
      <c r="C128" s="26" t="s">
        <v>141</v>
      </c>
      <c r="D128" s="25"/>
      <c r="E128" s="25" t="s">
        <v>142</v>
      </c>
      <c r="F128" s="33">
        <v>1947.104</v>
      </c>
      <c r="G128" s="34">
        <v>6.5066639999999995E-2</v>
      </c>
      <c r="H128" s="27" t="s">
        <v>142</v>
      </c>
    </row>
    <row r="129" spans="1:8" x14ac:dyDescent="0.2">
      <c r="A129" s="25"/>
      <c r="B129" s="25"/>
      <c r="C129" s="35"/>
      <c r="D129" s="25"/>
      <c r="E129" s="25"/>
      <c r="F129" s="36"/>
      <c r="G129" s="36"/>
      <c r="H129" s="27" t="s">
        <v>142</v>
      </c>
    </row>
    <row r="130" spans="1:8" x14ac:dyDescent="0.2">
      <c r="A130" s="25"/>
      <c r="B130" s="25"/>
      <c r="C130" s="26" t="s">
        <v>159</v>
      </c>
      <c r="D130" s="25"/>
      <c r="E130" s="25"/>
      <c r="F130" s="36"/>
      <c r="G130" s="36"/>
      <c r="H130" s="27" t="s">
        <v>142</v>
      </c>
    </row>
    <row r="131" spans="1:8" x14ac:dyDescent="0.2">
      <c r="A131" s="28">
        <v>1</v>
      </c>
      <c r="B131" s="29"/>
      <c r="C131" s="29" t="s">
        <v>160</v>
      </c>
      <c r="D131" s="29"/>
      <c r="E131" s="39"/>
      <c r="F131" s="31">
        <v>2310.4663256959998</v>
      </c>
      <c r="G131" s="32">
        <v>7.7209169999999994E-2</v>
      </c>
      <c r="H131" s="27">
        <v>5.76</v>
      </c>
    </row>
    <row r="132" spans="1:8" x14ac:dyDescent="0.2">
      <c r="A132" s="25"/>
      <c r="B132" s="25"/>
      <c r="C132" s="26" t="s">
        <v>141</v>
      </c>
      <c r="D132" s="25"/>
      <c r="E132" s="25" t="s">
        <v>142</v>
      </c>
      <c r="F132" s="33">
        <v>2310.4663256959998</v>
      </c>
      <c r="G132" s="34">
        <v>7.7209169999999994E-2</v>
      </c>
      <c r="H132" s="27" t="s">
        <v>142</v>
      </c>
    </row>
    <row r="133" spans="1:8" x14ac:dyDescent="0.2">
      <c r="A133" s="25"/>
      <c r="B133" s="25"/>
      <c r="C133" s="35"/>
      <c r="D133" s="25"/>
      <c r="E133" s="25"/>
      <c r="F133" s="36"/>
      <c r="G133" s="36"/>
      <c r="H133" s="27" t="s">
        <v>142</v>
      </c>
    </row>
    <row r="134" spans="1:8" x14ac:dyDescent="0.2">
      <c r="A134" s="25"/>
      <c r="B134" s="25"/>
      <c r="C134" s="26" t="s">
        <v>161</v>
      </c>
      <c r="D134" s="25"/>
      <c r="E134" s="25"/>
      <c r="F134" s="33">
        <v>4257.5703256959996</v>
      </c>
      <c r="G134" s="34">
        <v>0.14227581</v>
      </c>
      <c r="H134" s="27" t="s">
        <v>142</v>
      </c>
    </row>
    <row r="135" spans="1:8" x14ac:dyDescent="0.2">
      <c r="A135" s="25"/>
      <c r="B135" s="25"/>
      <c r="C135" s="36"/>
      <c r="D135" s="25"/>
      <c r="E135" s="25"/>
      <c r="F135" s="25"/>
      <c r="G135" s="25"/>
      <c r="H135" s="27" t="s">
        <v>142</v>
      </c>
    </row>
    <row r="136" spans="1:8" x14ac:dyDescent="0.2">
      <c r="A136" s="25"/>
      <c r="B136" s="25"/>
      <c r="C136" s="26" t="s">
        <v>162</v>
      </c>
      <c r="D136" s="25"/>
      <c r="E136" s="25"/>
      <c r="F136" s="25"/>
      <c r="G136" s="25"/>
      <c r="H136" s="27" t="s">
        <v>142</v>
      </c>
    </row>
    <row r="137" spans="1:8" x14ac:dyDescent="0.2">
      <c r="A137" s="25"/>
      <c r="B137" s="25"/>
      <c r="C137" s="26" t="s">
        <v>163</v>
      </c>
      <c r="D137" s="25"/>
      <c r="E137" s="25"/>
      <c r="F137" s="25"/>
      <c r="G137" s="25"/>
      <c r="H137" s="27" t="s">
        <v>142</v>
      </c>
    </row>
    <row r="138" spans="1:8" ht="25.5" x14ac:dyDescent="0.2">
      <c r="A138" s="28">
        <v>1</v>
      </c>
      <c r="B138" s="29" t="s">
        <v>492</v>
      </c>
      <c r="C138" s="29" t="s">
        <v>1075</v>
      </c>
      <c r="D138" s="29"/>
      <c r="E138" s="69">
        <v>17160716.769699998</v>
      </c>
      <c r="F138" s="31">
        <v>2579.9593198729999</v>
      </c>
      <c r="G138" s="32">
        <v>8.6214849999999996E-2</v>
      </c>
      <c r="H138" s="27" t="s">
        <v>142</v>
      </c>
    </row>
    <row r="139" spans="1:8" x14ac:dyDescent="0.2">
      <c r="A139" s="28">
        <v>2</v>
      </c>
      <c r="B139" s="29" t="s">
        <v>315</v>
      </c>
      <c r="C139" s="29" t="s">
        <v>891</v>
      </c>
      <c r="D139" s="29"/>
      <c r="E139" s="69">
        <v>65800.875</v>
      </c>
      <c r="F139" s="31">
        <v>1525.4779379409999</v>
      </c>
      <c r="G139" s="32">
        <v>5.0977099999999997E-2</v>
      </c>
      <c r="H139" s="27" t="s">
        <v>142</v>
      </c>
    </row>
    <row r="140" spans="1:8" x14ac:dyDescent="0.2">
      <c r="A140" s="25"/>
      <c r="B140" s="25"/>
      <c r="C140" s="26" t="s">
        <v>141</v>
      </c>
      <c r="D140" s="25"/>
      <c r="E140" s="25" t="s">
        <v>142</v>
      </c>
      <c r="F140" s="33">
        <v>4105.4372578140001</v>
      </c>
      <c r="G140" s="34">
        <v>0.13719195000000001</v>
      </c>
      <c r="H140" s="27" t="s">
        <v>142</v>
      </c>
    </row>
    <row r="141" spans="1:8" x14ac:dyDescent="0.2">
      <c r="A141" s="25"/>
      <c r="B141" s="25"/>
      <c r="C141" s="35"/>
      <c r="D141" s="25"/>
      <c r="E141" s="25"/>
      <c r="F141" s="36"/>
      <c r="G141" s="36"/>
      <c r="H141" s="27" t="s">
        <v>142</v>
      </c>
    </row>
    <row r="142" spans="1:8" x14ac:dyDescent="0.2">
      <c r="A142" s="25"/>
      <c r="B142" s="25"/>
      <c r="C142" s="26" t="s">
        <v>164</v>
      </c>
      <c r="D142" s="25"/>
      <c r="E142" s="25"/>
      <c r="F142" s="25"/>
      <c r="G142" s="25"/>
      <c r="H142" s="27" t="s">
        <v>142</v>
      </c>
    </row>
    <row r="143" spans="1:8" x14ac:dyDescent="0.2">
      <c r="A143" s="25"/>
      <c r="B143" s="25"/>
      <c r="C143" s="26" t="s">
        <v>165</v>
      </c>
      <c r="D143" s="25"/>
      <c r="E143" s="25"/>
      <c r="F143" s="25"/>
      <c r="G143" s="25"/>
      <c r="H143" s="27" t="s">
        <v>142</v>
      </c>
    </row>
    <row r="144" spans="1:8" x14ac:dyDescent="0.2">
      <c r="A144" s="25"/>
      <c r="B144" s="25"/>
      <c r="C144" s="26" t="s">
        <v>141</v>
      </c>
      <c r="D144" s="25"/>
      <c r="E144" s="25" t="s">
        <v>142</v>
      </c>
      <c r="F144" s="37" t="s">
        <v>144</v>
      </c>
      <c r="G144" s="34">
        <v>0</v>
      </c>
      <c r="H144" s="27" t="s">
        <v>142</v>
      </c>
    </row>
    <row r="145" spans="1:17" x14ac:dyDescent="0.2">
      <c r="A145" s="25"/>
      <c r="B145" s="25"/>
      <c r="C145" s="35"/>
      <c r="D145" s="25"/>
      <c r="E145" s="25"/>
      <c r="F145" s="36"/>
      <c r="G145" s="36"/>
      <c r="H145" s="27" t="s">
        <v>142</v>
      </c>
    </row>
    <row r="146" spans="1:17" x14ac:dyDescent="0.2">
      <c r="A146" s="25"/>
      <c r="B146" s="25"/>
      <c r="C146" s="26" t="s">
        <v>166</v>
      </c>
      <c r="D146" s="25"/>
      <c r="E146" s="25"/>
      <c r="F146" s="36"/>
      <c r="G146" s="36"/>
      <c r="H146" s="27" t="s">
        <v>142</v>
      </c>
    </row>
    <row r="147" spans="1:17" x14ac:dyDescent="0.2">
      <c r="A147" s="25"/>
      <c r="B147" s="25"/>
      <c r="C147" s="26" t="s">
        <v>141</v>
      </c>
      <c r="D147" s="25"/>
      <c r="E147" s="25" t="s">
        <v>142</v>
      </c>
      <c r="F147" s="37" t="s">
        <v>144</v>
      </c>
      <c r="G147" s="34">
        <v>0</v>
      </c>
      <c r="H147" s="27" t="s">
        <v>142</v>
      </c>
    </row>
    <row r="148" spans="1:17" x14ac:dyDescent="0.2">
      <c r="A148" s="25"/>
      <c r="B148" s="25"/>
      <c r="C148" s="35"/>
      <c r="D148" s="25"/>
      <c r="E148" s="25"/>
      <c r="F148" s="36"/>
      <c r="G148" s="36"/>
      <c r="H148" s="27" t="s">
        <v>142</v>
      </c>
    </row>
    <row r="149" spans="1:17" x14ac:dyDescent="0.2">
      <c r="A149" s="39"/>
      <c r="B149" s="29"/>
      <c r="C149" s="29" t="s">
        <v>618</v>
      </c>
      <c r="D149" s="29"/>
      <c r="E149" s="39"/>
      <c r="F149" s="31">
        <v>110.6400428</v>
      </c>
      <c r="G149" s="32">
        <v>3.6972699999999999E-3</v>
      </c>
      <c r="H149" s="27" t="s">
        <v>142</v>
      </c>
    </row>
    <row r="150" spans="1:17" x14ac:dyDescent="0.2">
      <c r="A150" s="39"/>
      <c r="B150" s="29"/>
      <c r="C150" s="38" t="s">
        <v>903</v>
      </c>
      <c r="D150" s="29"/>
      <c r="E150" s="39"/>
      <c r="F150" s="31">
        <f>20510.26634439+F97</f>
        <v>55.368386389996886</v>
      </c>
      <c r="G150" s="32">
        <f>F150/F151</f>
        <v>1.8502524485731683E-3</v>
      </c>
      <c r="H150" s="27" t="s">
        <v>142</v>
      </c>
    </row>
    <row r="151" spans="1:17" x14ac:dyDescent="0.2">
      <c r="A151" s="35"/>
      <c r="B151" s="35"/>
      <c r="C151" s="26" t="s">
        <v>168</v>
      </c>
      <c r="D151" s="36"/>
      <c r="E151" s="36"/>
      <c r="F151" s="33">
        <f>F150+F149+F140+F134+F115+F99</f>
        <v>29924.774012699996</v>
      </c>
      <c r="G151" s="40">
        <f>G150+G149+G140+G134+G115+G99</f>
        <v>1.0000000024485733</v>
      </c>
      <c r="H151" s="27" t="s">
        <v>142</v>
      </c>
    </row>
    <row r="152" spans="1:17" x14ac:dyDescent="0.2">
      <c r="A152" s="41"/>
      <c r="B152" s="41"/>
      <c r="C152" s="41"/>
      <c r="D152" s="42"/>
      <c r="E152" s="42"/>
      <c r="F152" s="42"/>
      <c r="G152" s="42"/>
    </row>
    <row r="153" spans="1:17" x14ac:dyDescent="0.2">
      <c r="A153" s="43"/>
      <c r="B153" s="210" t="s">
        <v>879</v>
      </c>
      <c r="C153" s="210"/>
      <c r="D153" s="210"/>
      <c r="E153" s="210"/>
      <c r="F153" s="210"/>
      <c r="G153" s="210"/>
      <c r="H153" s="210"/>
      <c r="J153" s="45"/>
    </row>
    <row r="154" spans="1:17" x14ac:dyDescent="0.2">
      <c r="A154" s="43"/>
      <c r="B154" s="210" t="s">
        <v>880</v>
      </c>
      <c r="C154" s="210"/>
      <c r="D154" s="210"/>
      <c r="E154" s="210"/>
      <c r="F154" s="210"/>
      <c r="G154" s="210"/>
      <c r="H154" s="210"/>
      <c r="J154" s="45"/>
    </row>
    <row r="155" spans="1:17" x14ac:dyDescent="0.2">
      <c r="A155" s="43"/>
      <c r="B155" s="210" t="s">
        <v>881</v>
      </c>
      <c r="C155" s="210"/>
      <c r="D155" s="210"/>
      <c r="E155" s="210"/>
      <c r="F155" s="210"/>
      <c r="G155" s="210"/>
      <c r="H155" s="210"/>
      <c r="J155" s="45"/>
    </row>
    <row r="156" spans="1:17" s="47" customFormat="1" ht="66.75" customHeight="1" x14ac:dyDescent="0.25">
      <c r="A156" s="46"/>
      <c r="B156" s="211" t="s">
        <v>882</v>
      </c>
      <c r="C156" s="211"/>
      <c r="D156" s="211"/>
      <c r="E156" s="211"/>
      <c r="F156" s="211"/>
      <c r="G156" s="211"/>
      <c r="H156" s="211"/>
      <c r="I156"/>
      <c r="J156" s="45"/>
      <c r="K156"/>
      <c r="L156"/>
      <c r="M156"/>
      <c r="N156"/>
      <c r="O156"/>
      <c r="P156"/>
      <c r="Q156"/>
    </row>
    <row r="157" spans="1:17" x14ac:dyDescent="0.2">
      <c r="A157" s="43"/>
      <c r="B157" s="210" t="s">
        <v>883</v>
      </c>
      <c r="C157" s="210"/>
      <c r="D157" s="210"/>
      <c r="E157" s="210"/>
      <c r="F157" s="210"/>
      <c r="G157" s="210"/>
      <c r="H157" s="210"/>
      <c r="J157" s="45"/>
    </row>
    <row r="158" spans="1:17" x14ac:dyDescent="0.2">
      <c r="A158" s="48"/>
      <c r="B158" s="48"/>
      <c r="C158" s="48"/>
      <c r="D158" s="49"/>
      <c r="E158" s="49"/>
      <c r="F158" s="49"/>
      <c r="G158" s="49"/>
    </row>
    <row r="159" spans="1:17" x14ac:dyDescent="0.2">
      <c r="A159" s="48"/>
      <c r="B159" s="212" t="s">
        <v>169</v>
      </c>
      <c r="C159" s="213"/>
      <c r="D159" s="214"/>
      <c r="E159" s="50"/>
      <c r="F159" s="49"/>
      <c r="G159" s="49"/>
    </row>
    <row r="160" spans="1:17" ht="27.75" customHeight="1" x14ac:dyDescent="0.2">
      <c r="A160" s="48"/>
      <c r="B160" s="215" t="s">
        <v>170</v>
      </c>
      <c r="C160" s="216"/>
      <c r="D160" s="111" t="s">
        <v>941</v>
      </c>
      <c r="E160" s="50"/>
      <c r="F160" s="49"/>
      <c r="G160" s="49"/>
    </row>
    <row r="161" spans="1:10" ht="12.75" customHeight="1" x14ac:dyDescent="0.2">
      <c r="A161" s="43"/>
      <c r="B161" s="217" t="s">
        <v>884</v>
      </c>
      <c r="C161" s="218"/>
      <c r="D161" s="51" t="s">
        <v>171</v>
      </c>
      <c r="E161" s="52"/>
      <c r="F161" s="53"/>
      <c r="G161" s="53"/>
    </row>
    <row r="162" spans="1:10" x14ac:dyDescent="0.2">
      <c r="A162" s="48"/>
      <c r="B162" s="215" t="s">
        <v>172</v>
      </c>
      <c r="C162" s="216"/>
      <c r="D162" s="36" t="s">
        <v>142</v>
      </c>
      <c r="E162" s="50"/>
      <c r="F162" s="49"/>
      <c r="G162" s="49"/>
    </row>
    <row r="163" spans="1:10" x14ac:dyDescent="0.2">
      <c r="A163" s="54"/>
      <c r="B163" s="55" t="s">
        <v>142</v>
      </c>
      <c r="C163" s="55" t="s">
        <v>885</v>
      </c>
      <c r="D163" s="55" t="s">
        <v>173</v>
      </c>
      <c r="E163" s="54"/>
      <c r="F163" s="54"/>
      <c r="G163" s="54"/>
      <c r="H163" s="54"/>
      <c r="J163" s="45"/>
    </row>
    <row r="164" spans="1:10" x14ac:dyDescent="0.2">
      <c r="A164" s="54"/>
      <c r="B164" s="56" t="s">
        <v>174</v>
      </c>
      <c r="C164" s="57">
        <v>45777</v>
      </c>
      <c r="D164" s="57">
        <v>45808</v>
      </c>
      <c r="E164" s="54"/>
      <c r="F164" s="54"/>
      <c r="G164" s="54"/>
      <c r="J164" s="45"/>
    </row>
    <row r="165" spans="1:10" x14ac:dyDescent="0.2">
      <c r="A165" s="58"/>
      <c r="B165" s="29" t="s">
        <v>175</v>
      </c>
      <c r="C165" s="59">
        <v>15.077400000000001</v>
      </c>
      <c r="D165" s="59">
        <v>15.1488</v>
      </c>
      <c r="E165" s="58"/>
      <c r="F165" s="60"/>
      <c r="G165" s="61"/>
    </row>
    <row r="166" spans="1:10" ht="25.5" x14ac:dyDescent="0.2">
      <c r="A166" s="58"/>
      <c r="B166" s="29" t="s">
        <v>1008</v>
      </c>
      <c r="C166" s="59">
        <v>13.036799999999999</v>
      </c>
      <c r="D166" s="59">
        <v>13.098599999999999</v>
      </c>
      <c r="E166" s="58"/>
      <c r="F166" s="60"/>
      <c r="G166" s="61"/>
    </row>
    <row r="167" spans="1:10" x14ac:dyDescent="0.2">
      <c r="A167" s="58"/>
      <c r="B167" s="29" t="s">
        <v>177</v>
      </c>
      <c r="C167" s="59">
        <v>14.312799999999999</v>
      </c>
      <c r="D167" s="59">
        <v>14.3705</v>
      </c>
      <c r="E167" s="58"/>
      <c r="F167" s="60"/>
      <c r="G167" s="61"/>
    </row>
    <row r="168" spans="1:10" ht="25.5" x14ac:dyDescent="0.2">
      <c r="A168" s="58"/>
      <c r="B168" s="29" t="s">
        <v>1009</v>
      </c>
      <c r="C168" s="59">
        <v>12.584</v>
      </c>
      <c r="D168" s="59">
        <v>12.6347</v>
      </c>
      <c r="E168" s="58"/>
      <c r="F168" s="60"/>
      <c r="G168" s="61"/>
    </row>
    <row r="169" spans="1:10" x14ac:dyDescent="0.2">
      <c r="A169" s="58"/>
      <c r="B169" s="58"/>
      <c r="C169" s="58"/>
      <c r="D169" s="58"/>
      <c r="E169" s="58"/>
      <c r="F169" s="58"/>
      <c r="G169" s="58"/>
    </row>
    <row r="170" spans="1:10" x14ac:dyDescent="0.2">
      <c r="A170" s="54"/>
      <c r="B170" s="217" t="s">
        <v>887</v>
      </c>
      <c r="C170" s="218"/>
      <c r="D170" s="51" t="s">
        <v>171</v>
      </c>
      <c r="E170" s="54"/>
      <c r="F170" s="54"/>
      <c r="G170" s="54"/>
    </row>
    <row r="171" spans="1:10" x14ac:dyDescent="0.2">
      <c r="A171" s="54"/>
      <c r="B171" s="70"/>
      <c r="C171" s="70"/>
      <c r="D171" s="70"/>
      <c r="E171" s="54"/>
      <c r="F171" s="54"/>
      <c r="G171" s="54"/>
    </row>
    <row r="172" spans="1:10" ht="29.1" customHeight="1" x14ac:dyDescent="0.2">
      <c r="A172" s="54"/>
      <c r="B172" s="217" t="s">
        <v>180</v>
      </c>
      <c r="C172" s="218"/>
      <c r="D172" s="51" t="s">
        <v>999</v>
      </c>
      <c r="E172" s="65"/>
      <c r="F172" s="54"/>
      <c r="G172" s="54"/>
    </row>
    <row r="173" spans="1:10" ht="29.1" customHeight="1" x14ac:dyDescent="0.2">
      <c r="A173" s="54"/>
      <c r="B173" s="217" t="s">
        <v>181</v>
      </c>
      <c r="C173" s="218"/>
      <c r="D173" s="51" t="s">
        <v>171</v>
      </c>
      <c r="E173" s="65"/>
      <c r="F173" s="54"/>
      <c r="G173" s="54"/>
      <c r="I173" s="112"/>
    </row>
    <row r="174" spans="1:10" ht="17.100000000000001" customHeight="1" x14ac:dyDescent="0.2">
      <c r="A174" s="54"/>
      <c r="B174" s="217" t="s">
        <v>182</v>
      </c>
      <c r="C174" s="218"/>
      <c r="D174" s="51" t="s">
        <v>171</v>
      </c>
      <c r="E174" s="65"/>
      <c r="F174" s="54"/>
      <c r="G174" s="54"/>
    </row>
    <row r="175" spans="1:10" ht="17.100000000000001" customHeight="1" x14ac:dyDescent="0.2">
      <c r="A175" s="54"/>
      <c r="B175" s="217" t="s">
        <v>183</v>
      </c>
      <c r="C175" s="218"/>
      <c r="D175" s="66">
        <v>9.5906601916763048</v>
      </c>
      <c r="E175" s="54"/>
      <c r="F175" s="44"/>
      <c r="G175" s="64"/>
    </row>
    <row r="177" spans="2:16" s="93" customFormat="1" x14ac:dyDescent="0.2">
      <c r="B177" s="94" t="s">
        <v>1086</v>
      </c>
      <c r="C177" s="94"/>
      <c r="D177" s="94"/>
      <c r="E177" s="11"/>
      <c r="F177" s="12"/>
      <c r="I177"/>
      <c r="J177"/>
      <c r="K177"/>
      <c r="L177"/>
      <c r="M177"/>
      <c r="N177"/>
    </row>
    <row r="178" spans="2:16" ht="13.5" customHeight="1" x14ac:dyDescent="0.2">
      <c r="B178" s="220" t="s">
        <v>942</v>
      </c>
      <c r="C178" s="220" t="s">
        <v>943</v>
      </c>
      <c r="D178" s="223" t="s">
        <v>944</v>
      </c>
      <c r="E178" s="224"/>
      <c r="F178" s="225"/>
      <c r="G178" s="226" t="s">
        <v>945</v>
      </c>
      <c r="H178" s="227"/>
      <c r="I178" s="228"/>
      <c r="J178" s="113"/>
      <c r="K178" s="113"/>
      <c r="L178" s="113"/>
      <c r="M178" s="113"/>
      <c r="N178" s="113"/>
      <c r="O178" s="113"/>
    </row>
    <row r="179" spans="2:16" ht="46.5" customHeight="1" x14ac:dyDescent="0.2">
      <c r="B179" s="221"/>
      <c r="C179" s="221"/>
      <c r="D179" s="229" t="s">
        <v>946</v>
      </c>
      <c r="E179" s="229" t="s">
        <v>947</v>
      </c>
      <c r="F179" s="229" t="s">
        <v>948</v>
      </c>
      <c r="G179" s="231" t="s">
        <v>949</v>
      </c>
      <c r="H179" s="232"/>
      <c r="I179" s="229" t="s">
        <v>950</v>
      </c>
      <c r="J179" s="113"/>
      <c r="K179" s="113"/>
      <c r="L179" s="113"/>
      <c r="M179" s="113"/>
      <c r="N179" s="113"/>
      <c r="O179" s="113"/>
    </row>
    <row r="180" spans="2:16" ht="21" customHeight="1" x14ac:dyDescent="0.2">
      <c r="B180" s="222"/>
      <c r="C180" s="222"/>
      <c r="D180" s="230"/>
      <c r="E180" s="230"/>
      <c r="F180" s="230"/>
      <c r="G180" s="114" t="s">
        <v>951</v>
      </c>
      <c r="H180" s="114" t="s">
        <v>952</v>
      </c>
      <c r="I180" s="230"/>
      <c r="J180" s="113"/>
      <c r="K180" s="113"/>
      <c r="L180" s="113"/>
      <c r="M180" s="113"/>
      <c r="N180" s="113"/>
      <c r="O180" s="113"/>
    </row>
    <row r="181" spans="2:16" ht="13.5" x14ac:dyDescent="0.25">
      <c r="B181" s="115" t="s">
        <v>953</v>
      </c>
      <c r="C181" s="116" t="s">
        <v>954</v>
      </c>
      <c r="D181" s="117">
        <v>48.884799999999998</v>
      </c>
      <c r="E181" s="8">
        <v>1.1152</v>
      </c>
      <c r="F181" s="118">
        <f>D181+E181</f>
        <v>50</v>
      </c>
      <c r="G181" s="9">
        <v>2.1270963690000002</v>
      </c>
      <c r="H181" s="9">
        <v>1.34</v>
      </c>
      <c r="I181" s="9">
        <f>G181+H181</f>
        <v>3.4670963690000001</v>
      </c>
      <c r="J181" s="113"/>
      <c r="K181" s="113"/>
      <c r="L181" s="113"/>
      <c r="M181" s="113"/>
      <c r="N181" s="113"/>
      <c r="O181" s="113"/>
    </row>
    <row r="182" spans="2:16" s="93" customFormat="1" x14ac:dyDescent="0.2">
      <c r="B182" s="119"/>
      <c r="C182" s="120"/>
      <c r="D182" s="121"/>
      <c r="E182" s="13"/>
      <c r="F182" s="122"/>
      <c r="G182" s="119"/>
      <c r="I182"/>
      <c r="J182"/>
      <c r="K182"/>
      <c r="L182"/>
      <c r="M182"/>
      <c r="N182"/>
      <c r="O182"/>
    </row>
    <row r="183" spans="2:16" ht="42" customHeight="1" x14ac:dyDescent="0.2">
      <c r="B183" s="233" t="s">
        <v>955</v>
      </c>
      <c r="C183" s="233"/>
      <c r="D183" s="233"/>
      <c r="E183" s="233"/>
      <c r="F183" s="233"/>
      <c r="G183" s="233"/>
      <c r="H183" s="233"/>
      <c r="I183" s="233"/>
      <c r="J183" s="123"/>
      <c r="K183" s="113"/>
      <c r="L183" s="113"/>
      <c r="M183" s="113"/>
      <c r="N183" s="113"/>
      <c r="O183" s="113"/>
    </row>
    <row r="184" spans="2:16" ht="13.5" x14ac:dyDescent="0.25">
      <c r="B184" s="124" t="s">
        <v>956</v>
      </c>
      <c r="I184" s="113"/>
      <c r="J184" s="24"/>
      <c r="K184" s="113"/>
      <c r="L184" s="113"/>
      <c r="M184" s="113"/>
      <c r="N184" s="113"/>
      <c r="O184" s="113"/>
      <c r="P184" s="113"/>
    </row>
    <row r="185" spans="2:16" x14ac:dyDescent="0.2">
      <c r="B185" s="10" t="s">
        <v>957</v>
      </c>
      <c r="J185" s="24"/>
      <c r="K185" s="113"/>
      <c r="L185" s="113"/>
      <c r="M185" s="113"/>
      <c r="N185" s="113"/>
      <c r="O185" s="113"/>
    </row>
    <row r="186" spans="2:16" s="93" customFormat="1" x14ac:dyDescent="0.2">
      <c r="I186"/>
      <c r="J186"/>
      <c r="K186"/>
      <c r="L186"/>
      <c r="M186"/>
      <c r="N186"/>
      <c r="O186"/>
      <c r="P186"/>
    </row>
    <row r="187" spans="2:16" s="93" customFormat="1" x14ac:dyDescent="0.2">
      <c r="B187" s="245" t="s">
        <v>968</v>
      </c>
      <c r="C187" s="246"/>
      <c r="D187" s="247"/>
      <c r="I187"/>
      <c r="J187"/>
      <c r="K187"/>
      <c r="L187"/>
      <c r="M187"/>
      <c r="N187"/>
      <c r="O187"/>
      <c r="P187"/>
    </row>
    <row r="188" spans="2:16" s="93" customFormat="1" ht="25.5" x14ac:dyDescent="0.2">
      <c r="B188" s="248" t="s">
        <v>969</v>
      </c>
      <c r="C188" s="248"/>
      <c r="D188" s="88" t="s">
        <v>621</v>
      </c>
      <c r="I188"/>
      <c r="J188"/>
      <c r="K188"/>
      <c r="L188"/>
      <c r="M188"/>
      <c r="N188"/>
      <c r="O188"/>
      <c r="P188"/>
    </row>
    <row r="189" spans="2:16" s="93" customFormat="1" x14ac:dyDescent="0.2">
      <c r="B189" s="248" t="s">
        <v>970</v>
      </c>
      <c r="C189" s="248"/>
      <c r="D189" s="72"/>
      <c r="I189"/>
      <c r="J189"/>
      <c r="K189"/>
      <c r="L189"/>
      <c r="M189"/>
      <c r="N189"/>
      <c r="O189"/>
      <c r="P189"/>
    </row>
    <row r="190" spans="2:16" s="93" customFormat="1" x14ac:dyDescent="0.2">
      <c r="B190" s="249"/>
      <c r="C190" s="250"/>
      <c r="D190" s="73"/>
      <c r="I190"/>
      <c r="J190"/>
      <c r="K190"/>
      <c r="L190"/>
      <c r="M190"/>
      <c r="N190"/>
      <c r="O190"/>
      <c r="P190"/>
    </row>
    <row r="191" spans="2:16" s="93" customFormat="1" x14ac:dyDescent="0.2">
      <c r="B191" s="248" t="s">
        <v>971</v>
      </c>
      <c r="C191" s="248"/>
      <c r="D191" s="74">
        <v>4.1657687043302634</v>
      </c>
      <c r="I191"/>
      <c r="J191"/>
      <c r="K191"/>
      <c r="L191"/>
      <c r="M191"/>
      <c r="N191"/>
      <c r="O191"/>
      <c r="P191"/>
    </row>
    <row r="192" spans="2:16" s="93" customFormat="1" x14ac:dyDescent="0.2">
      <c r="B192" s="249"/>
      <c r="C192" s="250"/>
      <c r="D192" s="73"/>
      <c r="I192"/>
      <c r="J192"/>
      <c r="K192"/>
      <c r="L192"/>
      <c r="M192"/>
      <c r="N192"/>
      <c r="O192"/>
      <c r="P192"/>
    </row>
    <row r="193" spans="2:16" s="93" customFormat="1" x14ac:dyDescent="0.2">
      <c r="B193" s="248" t="s">
        <v>972</v>
      </c>
      <c r="C193" s="248"/>
      <c r="D193" s="74">
        <v>0.30904621087760842</v>
      </c>
      <c r="I193"/>
      <c r="J193"/>
      <c r="K193"/>
      <c r="L193"/>
      <c r="M193"/>
      <c r="N193"/>
      <c r="O193"/>
      <c r="P193"/>
    </row>
    <row r="194" spans="2:16" s="93" customFormat="1" x14ac:dyDescent="0.2">
      <c r="B194" s="248" t="s">
        <v>973</v>
      </c>
      <c r="C194" s="248"/>
      <c r="D194" s="74">
        <v>0.32742466921624214</v>
      </c>
      <c r="I194"/>
      <c r="J194"/>
      <c r="K194"/>
      <c r="L194"/>
      <c r="M194"/>
      <c r="N194"/>
      <c r="O194"/>
      <c r="P194"/>
    </row>
    <row r="195" spans="2:16" s="93" customFormat="1" x14ac:dyDescent="0.2">
      <c r="B195" s="249"/>
      <c r="C195" s="250"/>
      <c r="D195" s="73"/>
      <c r="I195"/>
      <c r="J195"/>
      <c r="K195"/>
      <c r="L195"/>
      <c r="M195"/>
      <c r="N195"/>
      <c r="O195"/>
      <c r="P195"/>
    </row>
    <row r="196" spans="2:16" s="93" customFormat="1" x14ac:dyDescent="0.2">
      <c r="B196" s="248" t="s">
        <v>974</v>
      </c>
      <c r="C196" s="248"/>
      <c r="D196" s="75" t="s">
        <v>1091</v>
      </c>
      <c r="I196"/>
      <c r="J196"/>
      <c r="K196"/>
      <c r="L196"/>
      <c r="M196"/>
      <c r="N196"/>
      <c r="O196"/>
      <c r="P196"/>
    </row>
    <row r="197" spans="2:16" s="93" customFormat="1" x14ac:dyDescent="0.2">
      <c r="B197" s="249" t="s">
        <v>975</v>
      </c>
      <c r="C197" s="251"/>
      <c r="D197" s="250"/>
      <c r="I197"/>
      <c r="J197"/>
      <c r="K197"/>
      <c r="L197"/>
      <c r="M197"/>
      <c r="N197"/>
      <c r="O197"/>
      <c r="P197"/>
    </row>
    <row r="199" spans="2:16" x14ac:dyDescent="0.2">
      <c r="B199" s="219" t="s">
        <v>888</v>
      </c>
      <c r="C199" s="219"/>
    </row>
    <row r="201" spans="2:16" ht="153.75" customHeight="1" x14ac:dyDescent="0.2"/>
    <row r="204" spans="2:16" x14ac:dyDescent="0.2">
      <c r="B204" s="67" t="s">
        <v>889</v>
      </c>
      <c r="C204" s="68"/>
      <c r="D204" s="67"/>
    </row>
    <row r="205" spans="2:16" x14ac:dyDescent="0.2">
      <c r="B205" s="67" t="s">
        <v>1000</v>
      </c>
      <c r="D205" s="67"/>
    </row>
    <row r="206" spans="2:16" ht="165" customHeight="1" x14ac:dyDescent="0.2"/>
    <row r="208" spans="2:16" x14ac:dyDescent="0.2">
      <c r="J208" s="24"/>
    </row>
  </sheetData>
  <mergeCells count="39">
    <mergeCell ref="B196:C196"/>
    <mergeCell ref="B197:D197"/>
    <mergeCell ref="B199:C199"/>
    <mergeCell ref="B191:C191"/>
    <mergeCell ref="B192:C192"/>
    <mergeCell ref="B193:C193"/>
    <mergeCell ref="B194:C194"/>
    <mergeCell ref="B195:C195"/>
    <mergeCell ref="B183:I183"/>
    <mergeCell ref="B187:D187"/>
    <mergeCell ref="B188:C188"/>
    <mergeCell ref="B189:C189"/>
    <mergeCell ref="B190:C190"/>
    <mergeCell ref="B175:C175"/>
    <mergeCell ref="B172:C172"/>
    <mergeCell ref="B173:C173"/>
    <mergeCell ref="D178:F178"/>
    <mergeCell ref="G178:I178"/>
    <mergeCell ref="B178:B180"/>
    <mergeCell ref="C178:C180"/>
    <mergeCell ref="D179:D180"/>
    <mergeCell ref="E179:E180"/>
    <mergeCell ref="F179:F180"/>
    <mergeCell ref="G179:H179"/>
    <mergeCell ref="I179:I180"/>
    <mergeCell ref="A1:H1"/>
    <mergeCell ref="A2:H2"/>
    <mergeCell ref="A3:H3"/>
    <mergeCell ref="B153:H153"/>
    <mergeCell ref="B154:H154"/>
    <mergeCell ref="B161:C161"/>
    <mergeCell ref="B162:C162"/>
    <mergeCell ref="B170:C170"/>
    <mergeCell ref="B174:C174"/>
    <mergeCell ref="B155:H155"/>
    <mergeCell ref="B156:H156"/>
    <mergeCell ref="B157:H157"/>
    <mergeCell ref="B159:D159"/>
    <mergeCell ref="B160:C160"/>
  </mergeCells>
  <hyperlinks>
    <hyperlink ref="I1" location="Index!B2" display="Index" xr:uid="{D1213E0F-5B67-4EB8-854E-9779F427A4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EFEB-FE07-46E6-A1BC-8F6B6655673F}">
  <sheetPr>
    <outlinePr summaryBelow="0" summaryRight="0"/>
  </sheetPr>
  <dimension ref="A1:Q225"/>
  <sheetViews>
    <sheetView showGridLines="0" workbookViewId="0">
      <selection activeCell="D185" sqref="D185"/>
    </sheetView>
  </sheetViews>
  <sheetFormatPr defaultRowHeight="12.75" x14ac:dyDescent="0.2"/>
  <cols>
    <col min="1" max="1" width="5.85546875" bestFit="1" customWidth="1"/>
    <col min="2" max="2" width="21.5703125" customWidth="1"/>
    <col min="3" max="3" width="44.140625" customWidth="1"/>
    <col min="4" max="4" width="18.85546875" customWidth="1"/>
    <col min="5" max="5" width="9.14062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647</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14</v>
      </c>
      <c r="C7" s="29" t="s">
        <v>15</v>
      </c>
      <c r="D7" s="29" t="s">
        <v>16</v>
      </c>
      <c r="E7" s="30">
        <v>625347</v>
      </c>
      <c r="F7" s="31">
        <v>8885.5555230000009</v>
      </c>
      <c r="G7" s="32">
        <v>5.6835330000000003E-2</v>
      </c>
      <c r="H7" s="27" t="s">
        <v>142</v>
      </c>
    </row>
    <row r="8" spans="1:9" x14ac:dyDescent="0.2">
      <c r="A8" s="28">
        <v>2</v>
      </c>
      <c r="B8" s="29" t="s">
        <v>26</v>
      </c>
      <c r="C8" s="29" t="s">
        <v>27</v>
      </c>
      <c r="D8" s="29" t="s">
        <v>28</v>
      </c>
      <c r="E8" s="30">
        <v>605913</v>
      </c>
      <c r="F8" s="31">
        <v>8760.2901540000003</v>
      </c>
      <c r="G8" s="32">
        <v>5.6034090000000002E-2</v>
      </c>
      <c r="H8" s="27" t="s">
        <v>142</v>
      </c>
    </row>
    <row r="9" spans="1:9" x14ac:dyDescent="0.2">
      <c r="A9" s="28">
        <v>3</v>
      </c>
      <c r="B9" s="29" t="s">
        <v>317</v>
      </c>
      <c r="C9" s="29" t="s">
        <v>318</v>
      </c>
      <c r="D9" s="29" t="s">
        <v>28</v>
      </c>
      <c r="E9" s="30">
        <v>381805</v>
      </c>
      <c r="F9" s="31">
        <v>7425.725445</v>
      </c>
      <c r="G9" s="32">
        <v>4.749772E-2</v>
      </c>
      <c r="H9" s="27" t="s">
        <v>142</v>
      </c>
    </row>
    <row r="10" spans="1:9" x14ac:dyDescent="0.2">
      <c r="A10" s="28">
        <v>4</v>
      </c>
      <c r="B10" s="29" t="s">
        <v>11</v>
      </c>
      <c r="C10" s="29" t="s">
        <v>12</v>
      </c>
      <c r="D10" s="29" t="s">
        <v>13</v>
      </c>
      <c r="E10" s="30">
        <v>342510</v>
      </c>
      <c r="F10" s="31">
        <v>6357.6706199999999</v>
      </c>
      <c r="G10" s="32">
        <v>4.0666040000000001E-2</v>
      </c>
      <c r="H10" s="27" t="s">
        <v>142</v>
      </c>
    </row>
    <row r="11" spans="1:9" x14ac:dyDescent="0.2">
      <c r="A11" s="28">
        <v>5</v>
      </c>
      <c r="B11" s="29" t="s">
        <v>321</v>
      </c>
      <c r="C11" s="29" t="s">
        <v>322</v>
      </c>
      <c r="D11" s="29" t="s">
        <v>28</v>
      </c>
      <c r="E11" s="30">
        <v>247220</v>
      </c>
      <c r="F11" s="31">
        <v>5129.0733399999999</v>
      </c>
      <c r="G11" s="32">
        <v>3.2807469999999998E-2</v>
      </c>
      <c r="H11" s="27" t="s">
        <v>142</v>
      </c>
    </row>
    <row r="12" spans="1:9" x14ac:dyDescent="0.2">
      <c r="A12" s="28">
        <v>6</v>
      </c>
      <c r="B12" s="29" t="s">
        <v>46</v>
      </c>
      <c r="C12" s="29" t="s">
        <v>47</v>
      </c>
      <c r="D12" s="29" t="s">
        <v>28</v>
      </c>
      <c r="E12" s="30">
        <v>439960</v>
      </c>
      <c r="F12" s="31">
        <v>3573.7950799999999</v>
      </c>
      <c r="G12" s="32">
        <v>2.2859330000000001E-2</v>
      </c>
      <c r="H12" s="27" t="s">
        <v>142</v>
      </c>
    </row>
    <row r="13" spans="1:9" x14ac:dyDescent="0.2">
      <c r="A13" s="28">
        <v>7</v>
      </c>
      <c r="B13" s="29" t="s">
        <v>323</v>
      </c>
      <c r="C13" s="29" t="s">
        <v>324</v>
      </c>
      <c r="D13" s="29" t="s">
        <v>200</v>
      </c>
      <c r="E13" s="30">
        <v>214375</v>
      </c>
      <c r="F13" s="31">
        <v>3350.038125</v>
      </c>
      <c r="G13" s="32">
        <v>2.1428099999999999E-2</v>
      </c>
      <c r="H13" s="27" t="s">
        <v>142</v>
      </c>
    </row>
    <row r="14" spans="1:9" x14ac:dyDescent="0.2">
      <c r="A14" s="28">
        <v>8</v>
      </c>
      <c r="B14" s="29" t="s">
        <v>319</v>
      </c>
      <c r="C14" s="29" t="s">
        <v>320</v>
      </c>
      <c r="D14" s="29" t="s">
        <v>28</v>
      </c>
      <c r="E14" s="30">
        <v>247104</v>
      </c>
      <c r="F14" s="31">
        <v>2945.973888</v>
      </c>
      <c r="G14" s="32">
        <v>1.8843550000000001E-2</v>
      </c>
      <c r="H14" s="27" t="s">
        <v>142</v>
      </c>
    </row>
    <row r="15" spans="1:9" x14ac:dyDescent="0.2">
      <c r="A15" s="89">
        <v>9</v>
      </c>
      <c r="B15" s="38" t="s">
        <v>1001</v>
      </c>
      <c r="C15" s="38" t="s">
        <v>1002</v>
      </c>
      <c r="D15" s="38" t="s">
        <v>58</v>
      </c>
      <c r="E15" s="90">
        <v>700000</v>
      </c>
      <c r="F15" s="91">
        <f>266980000/10^5</f>
        <v>2669.8</v>
      </c>
      <c r="G15" s="92">
        <f>F15/F175</f>
        <v>1.7077038691660645E-2</v>
      </c>
      <c r="H15" s="27" t="s">
        <v>142</v>
      </c>
    </row>
    <row r="16" spans="1:9" x14ac:dyDescent="0.2">
      <c r="A16" s="28">
        <v>10</v>
      </c>
      <c r="B16" s="29" t="s">
        <v>494</v>
      </c>
      <c r="C16" s="29" t="s">
        <v>495</v>
      </c>
      <c r="D16" s="29" t="s">
        <v>254</v>
      </c>
      <c r="E16" s="30">
        <v>79750</v>
      </c>
      <c r="F16" s="31">
        <v>2373.998</v>
      </c>
      <c r="G16" s="32">
        <v>1.5184980000000001E-2</v>
      </c>
      <c r="H16" s="27" t="s">
        <v>142</v>
      </c>
    </row>
    <row r="17" spans="1:8" x14ac:dyDescent="0.2">
      <c r="A17" s="28">
        <v>11</v>
      </c>
      <c r="B17" s="29" t="s">
        <v>17</v>
      </c>
      <c r="C17" s="29" t="s">
        <v>18</v>
      </c>
      <c r="D17" s="29" t="s">
        <v>19</v>
      </c>
      <c r="E17" s="30">
        <v>64350</v>
      </c>
      <c r="F17" s="31">
        <v>2364.9268499999998</v>
      </c>
      <c r="G17" s="32">
        <v>1.512696E-2</v>
      </c>
      <c r="H17" s="27" t="s">
        <v>142</v>
      </c>
    </row>
    <row r="18" spans="1:8" x14ac:dyDescent="0.2">
      <c r="A18" s="28">
        <v>12</v>
      </c>
      <c r="B18" s="29" t="s">
        <v>325</v>
      </c>
      <c r="C18" s="29" t="s">
        <v>326</v>
      </c>
      <c r="D18" s="29" t="s">
        <v>28</v>
      </c>
      <c r="E18" s="30">
        <v>930150</v>
      </c>
      <c r="F18" s="31">
        <v>2321.1893249999998</v>
      </c>
      <c r="G18" s="32">
        <v>1.48472E-2</v>
      </c>
      <c r="H18" s="27" t="s">
        <v>142</v>
      </c>
    </row>
    <row r="19" spans="1:8" x14ac:dyDescent="0.2">
      <c r="A19" s="28">
        <v>13</v>
      </c>
      <c r="B19" s="29" t="s">
        <v>629</v>
      </c>
      <c r="C19" s="29" t="s">
        <v>630</v>
      </c>
      <c r="D19" s="29" t="s">
        <v>28</v>
      </c>
      <c r="E19" s="30">
        <v>1917000</v>
      </c>
      <c r="F19" s="31">
        <v>2199.9492</v>
      </c>
      <c r="G19" s="32">
        <v>1.4071699999999999E-2</v>
      </c>
      <c r="H19" s="27" t="s">
        <v>142</v>
      </c>
    </row>
    <row r="20" spans="1:8" x14ac:dyDescent="0.2">
      <c r="A20" s="28">
        <v>14</v>
      </c>
      <c r="B20" s="29" t="s">
        <v>190</v>
      </c>
      <c r="C20" s="29" t="s">
        <v>191</v>
      </c>
      <c r="D20" s="29" t="s">
        <v>61</v>
      </c>
      <c r="E20" s="30">
        <v>375000</v>
      </c>
      <c r="F20" s="31">
        <v>2101.5</v>
      </c>
      <c r="G20" s="32">
        <v>1.3441979999999999E-2</v>
      </c>
      <c r="H20" s="27" t="s">
        <v>142</v>
      </c>
    </row>
    <row r="21" spans="1:8" ht="25.5" x14ac:dyDescent="0.2">
      <c r="A21" s="28">
        <v>15</v>
      </c>
      <c r="B21" s="29" t="s">
        <v>430</v>
      </c>
      <c r="C21" s="29" t="s">
        <v>431</v>
      </c>
      <c r="D21" s="29" t="s">
        <v>194</v>
      </c>
      <c r="E21" s="30">
        <v>128700</v>
      </c>
      <c r="F21" s="31">
        <v>1886.3559</v>
      </c>
      <c r="G21" s="32">
        <v>1.206584E-2</v>
      </c>
      <c r="H21" s="27" t="s">
        <v>142</v>
      </c>
    </row>
    <row r="22" spans="1:8" x14ac:dyDescent="0.2">
      <c r="A22" s="28">
        <v>16</v>
      </c>
      <c r="B22" s="29" t="s">
        <v>358</v>
      </c>
      <c r="C22" s="29" t="s">
        <v>359</v>
      </c>
      <c r="D22" s="29" t="s">
        <v>200</v>
      </c>
      <c r="E22" s="30">
        <v>53584</v>
      </c>
      <c r="F22" s="31">
        <v>1855.828256</v>
      </c>
      <c r="G22" s="32">
        <v>1.187057E-2</v>
      </c>
      <c r="H22" s="27" t="s">
        <v>142</v>
      </c>
    </row>
    <row r="23" spans="1:8" x14ac:dyDescent="0.2">
      <c r="A23" s="28">
        <v>17</v>
      </c>
      <c r="B23" s="29" t="s">
        <v>282</v>
      </c>
      <c r="C23" s="29" t="s">
        <v>283</v>
      </c>
      <c r="D23" s="29" t="s">
        <v>132</v>
      </c>
      <c r="E23" s="30">
        <v>288000</v>
      </c>
      <c r="F23" s="31">
        <v>1841.328</v>
      </c>
      <c r="G23" s="32">
        <v>1.177782E-2</v>
      </c>
      <c r="H23" s="27" t="s">
        <v>142</v>
      </c>
    </row>
    <row r="24" spans="1:8" x14ac:dyDescent="0.2">
      <c r="A24" s="28">
        <v>18</v>
      </c>
      <c r="B24" s="29" t="s">
        <v>434</v>
      </c>
      <c r="C24" s="29" t="s">
        <v>435</v>
      </c>
      <c r="D24" s="29" t="s">
        <v>345</v>
      </c>
      <c r="E24" s="30">
        <v>74602</v>
      </c>
      <c r="F24" s="31">
        <v>1751.878766</v>
      </c>
      <c r="G24" s="32">
        <v>1.1205669999999999E-2</v>
      </c>
      <c r="H24" s="27" t="s">
        <v>142</v>
      </c>
    </row>
    <row r="25" spans="1:8" x14ac:dyDescent="0.2">
      <c r="A25" s="28">
        <v>19</v>
      </c>
      <c r="B25" s="29" t="s">
        <v>59</v>
      </c>
      <c r="C25" s="29" t="s">
        <v>60</v>
      </c>
      <c r="D25" s="29" t="s">
        <v>61</v>
      </c>
      <c r="E25" s="30">
        <v>25796</v>
      </c>
      <c r="F25" s="31">
        <v>1674.5473400000001</v>
      </c>
      <c r="G25" s="32">
        <v>1.071103E-2</v>
      </c>
      <c r="H25" s="27" t="s">
        <v>142</v>
      </c>
    </row>
    <row r="26" spans="1:8" x14ac:dyDescent="0.2">
      <c r="A26" s="28">
        <v>20</v>
      </c>
      <c r="B26" s="29" t="s">
        <v>343</v>
      </c>
      <c r="C26" s="29" t="s">
        <v>344</v>
      </c>
      <c r="D26" s="29" t="s">
        <v>345</v>
      </c>
      <c r="E26" s="30">
        <v>399836</v>
      </c>
      <c r="F26" s="31">
        <v>1671.514398</v>
      </c>
      <c r="G26" s="32">
        <v>1.0691630000000001E-2</v>
      </c>
      <c r="H26" s="27" t="s">
        <v>142</v>
      </c>
    </row>
    <row r="27" spans="1:8" x14ac:dyDescent="0.2">
      <c r="A27" s="28">
        <v>21</v>
      </c>
      <c r="B27" s="29" t="s">
        <v>421</v>
      </c>
      <c r="C27" s="29" t="s">
        <v>422</v>
      </c>
      <c r="D27" s="29" t="s">
        <v>200</v>
      </c>
      <c r="E27" s="30">
        <v>100100</v>
      </c>
      <c r="F27" s="31">
        <v>1638.2366</v>
      </c>
      <c r="G27" s="32">
        <v>1.047877E-2</v>
      </c>
      <c r="H27" s="27" t="s">
        <v>142</v>
      </c>
    </row>
    <row r="28" spans="1:8" x14ac:dyDescent="0.2">
      <c r="A28" s="28">
        <v>22</v>
      </c>
      <c r="B28" s="29" t="s">
        <v>37</v>
      </c>
      <c r="C28" s="29" t="s">
        <v>38</v>
      </c>
      <c r="D28" s="29" t="s">
        <v>16</v>
      </c>
      <c r="E28" s="30">
        <v>505000</v>
      </c>
      <c r="F28" s="31">
        <v>1607.92</v>
      </c>
      <c r="G28" s="32">
        <v>1.028486E-2</v>
      </c>
      <c r="H28" s="27" t="s">
        <v>142</v>
      </c>
    </row>
    <row r="29" spans="1:8" x14ac:dyDescent="0.2">
      <c r="A29" s="28">
        <v>23</v>
      </c>
      <c r="B29" s="29" t="s">
        <v>496</v>
      </c>
      <c r="C29" s="29" t="s">
        <v>497</v>
      </c>
      <c r="D29" s="29" t="s">
        <v>226</v>
      </c>
      <c r="E29" s="30">
        <v>105600</v>
      </c>
      <c r="F29" s="31">
        <v>1605.2256</v>
      </c>
      <c r="G29" s="32">
        <v>1.026762E-2</v>
      </c>
      <c r="H29" s="27" t="s">
        <v>142</v>
      </c>
    </row>
    <row r="30" spans="1:8" x14ac:dyDescent="0.2">
      <c r="A30" s="28">
        <v>24</v>
      </c>
      <c r="B30" s="29" t="s">
        <v>327</v>
      </c>
      <c r="C30" s="29" t="s">
        <v>328</v>
      </c>
      <c r="D30" s="29" t="s">
        <v>132</v>
      </c>
      <c r="E30" s="30">
        <v>17250</v>
      </c>
      <c r="F30" s="31">
        <v>1583.63625</v>
      </c>
      <c r="G30" s="32">
        <v>1.0129529999999999E-2</v>
      </c>
      <c r="H30" s="27" t="s">
        <v>142</v>
      </c>
    </row>
    <row r="31" spans="1:8" ht="25.5" x14ac:dyDescent="0.2">
      <c r="A31" s="28">
        <v>25</v>
      </c>
      <c r="B31" s="29" t="s">
        <v>185</v>
      </c>
      <c r="C31" s="29" t="s">
        <v>186</v>
      </c>
      <c r="D31" s="29" t="s">
        <v>187</v>
      </c>
      <c r="E31" s="30">
        <v>68500</v>
      </c>
      <c r="F31" s="31">
        <v>1568.239</v>
      </c>
      <c r="G31" s="32">
        <v>1.003104E-2</v>
      </c>
      <c r="H31" s="27" t="s">
        <v>142</v>
      </c>
    </row>
    <row r="32" spans="1:8" x14ac:dyDescent="0.2">
      <c r="A32" s="28">
        <v>26</v>
      </c>
      <c r="B32" s="29" t="s">
        <v>512</v>
      </c>
      <c r="C32" s="29" t="s">
        <v>513</v>
      </c>
      <c r="D32" s="29" t="s">
        <v>132</v>
      </c>
      <c r="E32" s="30">
        <v>76000</v>
      </c>
      <c r="F32" s="31">
        <v>1533.2239999999999</v>
      </c>
      <c r="G32" s="32">
        <v>9.8070699999999993E-3</v>
      </c>
      <c r="H32" s="27" t="s">
        <v>142</v>
      </c>
    </row>
    <row r="33" spans="1:8" ht="25.5" x14ac:dyDescent="0.2">
      <c r="A33" s="28">
        <v>27</v>
      </c>
      <c r="B33" s="29" t="s">
        <v>331</v>
      </c>
      <c r="C33" s="29" t="s">
        <v>332</v>
      </c>
      <c r="D33" s="29" t="s">
        <v>194</v>
      </c>
      <c r="E33" s="30">
        <v>87700</v>
      </c>
      <c r="F33" s="31">
        <v>1471.2552000000001</v>
      </c>
      <c r="G33" s="32">
        <v>9.4106999999999993E-3</v>
      </c>
      <c r="H33" s="27" t="s">
        <v>142</v>
      </c>
    </row>
    <row r="34" spans="1:8" ht="25.5" x14ac:dyDescent="0.2">
      <c r="A34" s="28">
        <v>28</v>
      </c>
      <c r="B34" s="29" t="s">
        <v>425</v>
      </c>
      <c r="C34" s="29" t="s">
        <v>426</v>
      </c>
      <c r="D34" s="29" t="s">
        <v>203</v>
      </c>
      <c r="E34" s="30">
        <v>124750</v>
      </c>
      <c r="F34" s="31">
        <v>1380.10925</v>
      </c>
      <c r="G34" s="32">
        <v>8.8277000000000008E-3</v>
      </c>
      <c r="H34" s="27" t="s">
        <v>142</v>
      </c>
    </row>
    <row r="35" spans="1:8" x14ac:dyDescent="0.2">
      <c r="A35" s="28">
        <v>29</v>
      </c>
      <c r="B35" s="29" t="s">
        <v>498</v>
      </c>
      <c r="C35" s="29" t="s">
        <v>499</v>
      </c>
      <c r="D35" s="29" t="s">
        <v>254</v>
      </c>
      <c r="E35" s="30">
        <v>11177</v>
      </c>
      <c r="F35" s="31">
        <v>1376.89463</v>
      </c>
      <c r="G35" s="32">
        <v>8.8071299999999998E-3</v>
      </c>
      <c r="H35" s="27" t="s">
        <v>142</v>
      </c>
    </row>
    <row r="36" spans="1:8" ht="25.5" x14ac:dyDescent="0.2">
      <c r="A36" s="28">
        <v>30</v>
      </c>
      <c r="B36" s="29" t="s">
        <v>220</v>
      </c>
      <c r="C36" s="29" t="s">
        <v>221</v>
      </c>
      <c r="D36" s="29" t="s">
        <v>194</v>
      </c>
      <c r="E36" s="30">
        <v>22900</v>
      </c>
      <c r="F36" s="31">
        <v>1167.5564999999999</v>
      </c>
      <c r="G36" s="32">
        <v>7.4681299999999999E-3</v>
      </c>
      <c r="H36" s="27" t="s">
        <v>142</v>
      </c>
    </row>
    <row r="37" spans="1:8" x14ac:dyDescent="0.2">
      <c r="A37" s="28">
        <v>31</v>
      </c>
      <c r="B37" s="29" t="s">
        <v>458</v>
      </c>
      <c r="C37" s="29" t="s">
        <v>459</v>
      </c>
      <c r="D37" s="29" t="s">
        <v>64</v>
      </c>
      <c r="E37" s="30">
        <v>29104</v>
      </c>
      <c r="F37" s="31">
        <v>1099.7528480000001</v>
      </c>
      <c r="G37" s="32">
        <v>7.0344300000000004E-3</v>
      </c>
      <c r="H37" s="27" t="s">
        <v>142</v>
      </c>
    </row>
    <row r="38" spans="1:8" x14ac:dyDescent="0.2">
      <c r="A38" s="28">
        <v>32</v>
      </c>
      <c r="B38" s="29" t="s">
        <v>97</v>
      </c>
      <c r="C38" s="29" t="s">
        <v>98</v>
      </c>
      <c r="D38" s="29" t="s">
        <v>73</v>
      </c>
      <c r="E38" s="30">
        <v>33402</v>
      </c>
      <c r="F38" s="31">
        <v>1091.610762</v>
      </c>
      <c r="G38" s="32">
        <v>6.98235E-3</v>
      </c>
      <c r="H38" s="27" t="s">
        <v>142</v>
      </c>
    </row>
    <row r="39" spans="1:8" ht="25.5" x14ac:dyDescent="0.2">
      <c r="A39" s="28">
        <v>33</v>
      </c>
      <c r="B39" s="29" t="s">
        <v>23</v>
      </c>
      <c r="C39" s="29" t="s">
        <v>24</v>
      </c>
      <c r="D39" s="29" t="s">
        <v>25</v>
      </c>
      <c r="E39" s="30">
        <v>9450</v>
      </c>
      <c r="F39" s="31">
        <v>1059.345</v>
      </c>
      <c r="G39" s="32">
        <v>6.7759700000000001E-3</v>
      </c>
      <c r="H39" s="27" t="s">
        <v>142</v>
      </c>
    </row>
    <row r="40" spans="1:8" ht="25.5" x14ac:dyDescent="0.2">
      <c r="A40" s="28">
        <v>34</v>
      </c>
      <c r="B40" s="29" t="s">
        <v>339</v>
      </c>
      <c r="C40" s="29" t="s">
        <v>340</v>
      </c>
      <c r="D40" s="29" t="s">
        <v>25</v>
      </c>
      <c r="E40" s="30">
        <v>40900</v>
      </c>
      <c r="F40" s="31">
        <v>1041.2321999999999</v>
      </c>
      <c r="G40" s="32">
        <v>6.6601100000000003E-3</v>
      </c>
      <c r="H40" s="27" t="s">
        <v>142</v>
      </c>
    </row>
    <row r="41" spans="1:8" x14ac:dyDescent="0.2">
      <c r="A41" s="28">
        <v>35</v>
      </c>
      <c r="B41" s="29" t="s">
        <v>278</v>
      </c>
      <c r="C41" s="29" t="s">
        <v>279</v>
      </c>
      <c r="D41" s="29" t="s">
        <v>212</v>
      </c>
      <c r="E41" s="30">
        <v>25900</v>
      </c>
      <c r="F41" s="31">
        <v>1025.9249</v>
      </c>
      <c r="G41" s="32">
        <v>6.5621999999999998E-3</v>
      </c>
      <c r="H41" s="27" t="s">
        <v>142</v>
      </c>
    </row>
    <row r="42" spans="1:8" x14ac:dyDescent="0.2">
      <c r="A42" s="28">
        <v>36</v>
      </c>
      <c r="B42" s="29" t="s">
        <v>41</v>
      </c>
      <c r="C42" s="29" t="s">
        <v>42</v>
      </c>
      <c r="D42" s="29" t="s">
        <v>22</v>
      </c>
      <c r="E42" s="30">
        <v>260000</v>
      </c>
      <c r="F42" s="31">
        <v>1021.28</v>
      </c>
      <c r="G42" s="32">
        <v>6.5324900000000002E-3</v>
      </c>
      <c r="H42" s="27" t="s">
        <v>142</v>
      </c>
    </row>
    <row r="43" spans="1:8" x14ac:dyDescent="0.2">
      <c r="A43" s="28">
        <v>37</v>
      </c>
      <c r="B43" s="29" t="s">
        <v>227</v>
      </c>
      <c r="C43" s="29" t="s">
        <v>228</v>
      </c>
      <c r="D43" s="29" t="s">
        <v>229</v>
      </c>
      <c r="E43" s="30">
        <v>149401</v>
      </c>
      <c r="F43" s="31">
        <v>979.3982555</v>
      </c>
      <c r="G43" s="32">
        <v>6.2646000000000004E-3</v>
      </c>
      <c r="H43" s="27" t="s">
        <v>142</v>
      </c>
    </row>
    <row r="44" spans="1:8" x14ac:dyDescent="0.2">
      <c r="A44" s="28">
        <v>38</v>
      </c>
      <c r="B44" s="29" t="s">
        <v>500</v>
      </c>
      <c r="C44" s="29" t="s">
        <v>501</v>
      </c>
      <c r="D44" s="29" t="s">
        <v>132</v>
      </c>
      <c r="E44" s="30">
        <v>75500</v>
      </c>
      <c r="F44" s="31">
        <v>962.47400000000005</v>
      </c>
      <c r="G44" s="32">
        <v>6.1563399999999997E-3</v>
      </c>
      <c r="H44" s="27" t="s">
        <v>142</v>
      </c>
    </row>
    <row r="45" spans="1:8" x14ac:dyDescent="0.2">
      <c r="A45" s="28">
        <v>39</v>
      </c>
      <c r="B45" s="29" t="s">
        <v>502</v>
      </c>
      <c r="C45" s="29" t="s">
        <v>503</v>
      </c>
      <c r="D45" s="29" t="s">
        <v>254</v>
      </c>
      <c r="E45" s="30">
        <v>10860</v>
      </c>
      <c r="F45" s="31">
        <v>934.72019999999998</v>
      </c>
      <c r="G45" s="32">
        <v>5.9788200000000001E-3</v>
      </c>
      <c r="H45" s="27" t="s">
        <v>142</v>
      </c>
    </row>
    <row r="46" spans="1:8" x14ac:dyDescent="0.2">
      <c r="A46" s="28">
        <v>40</v>
      </c>
      <c r="B46" s="29" t="s">
        <v>29</v>
      </c>
      <c r="C46" s="29" t="s">
        <v>30</v>
      </c>
      <c r="D46" s="29" t="s">
        <v>31</v>
      </c>
      <c r="E46" s="30">
        <v>242100</v>
      </c>
      <c r="F46" s="31">
        <v>931.11659999999995</v>
      </c>
      <c r="G46" s="32">
        <v>5.95577E-3</v>
      </c>
      <c r="H46" s="27" t="s">
        <v>142</v>
      </c>
    </row>
    <row r="47" spans="1:8" ht="25.5" x14ac:dyDescent="0.2">
      <c r="A47" s="28">
        <v>41</v>
      </c>
      <c r="B47" s="29" t="s">
        <v>201</v>
      </c>
      <c r="C47" s="29" t="s">
        <v>202</v>
      </c>
      <c r="D47" s="29" t="s">
        <v>203</v>
      </c>
      <c r="E47" s="30">
        <v>129000</v>
      </c>
      <c r="F47" s="31">
        <v>924.22050000000002</v>
      </c>
      <c r="G47" s="32">
        <v>5.91166E-3</v>
      </c>
      <c r="H47" s="27" t="s">
        <v>142</v>
      </c>
    </row>
    <row r="48" spans="1:8" x14ac:dyDescent="0.2">
      <c r="A48" s="28">
        <v>42</v>
      </c>
      <c r="B48" s="29" t="s">
        <v>280</v>
      </c>
      <c r="C48" s="29" t="s">
        <v>281</v>
      </c>
      <c r="D48" s="29" t="s">
        <v>64</v>
      </c>
      <c r="E48" s="30">
        <v>88045</v>
      </c>
      <c r="F48" s="31">
        <v>886.30499250000003</v>
      </c>
      <c r="G48" s="32">
        <v>5.6691399999999996E-3</v>
      </c>
      <c r="H48" s="27" t="s">
        <v>142</v>
      </c>
    </row>
    <row r="49" spans="1:8" ht="25.5" x14ac:dyDescent="0.2">
      <c r="A49" s="28">
        <v>43</v>
      </c>
      <c r="B49" s="29" t="s">
        <v>276</v>
      </c>
      <c r="C49" s="29" t="s">
        <v>277</v>
      </c>
      <c r="D49" s="29" t="s">
        <v>194</v>
      </c>
      <c r="E49" s="30">
        <v>35000</v>
      </c>
      <c r="F49" s="31">
        <v>863.69500000000005</v>
      </c>
      <c r="G49" s="32">
        <v>5.5245199999999998E-3</v>
      </c>
      <c r="H49" s="27" t="s">
        <v>142</v>
      </c>
    </row>
    <row r="50" spans="1:8" ht="25.5" x14ac:dyDescent="0.2">
      <c r="A50" s="28">
        <v>44</v>
      </c>
      <c r="B50" s="29" t="s">
        <v>284</v>
      </c>
      <c r="C50" s="29" t="s">
        <v>285</v>
      </c>
      <c r="D50" s="29" t="s">
        <v>194</v>
      </c>
      <c r="E50" s="30">
        <v>92306</v>
      </c>
      <c r="F50" s="31">
        <v>858.44579999999996</v>
      </c>
      <c r="G50" s="32">
        <v>5.4909399999999997E-3</v>
      </c>
      <c r="H50" s="27" t="s">
        <v>142</v>
      </c>
    </row>
    <row r="51" spans="1:8" x14ac:dyDescent="0.2">
      <c r="A51" s="28">
        <v>45</v>
      </c>
      <c r="B51" s="29" t="s">
        <v>423</v>
      </c>
      <c r="C51" s="29" t="s">
        <v>424</v>
      </c>
      <c r="D51" s="29" t="s">
        <v>270</v>
      </c>
      <c r="E51" s="30">
        <v>47100</v>
      </c>
      <c r="F51" s="31">
        <v>853.5462</v>
      </c>
      <c r="G51" s="32">
        <v>5.4596000000000002E-3</v>
      </c>
      <c r="H51" s="27" t="s">
        <v>142</v>
      </c>
    </row>
    <row r="52" spans="1:8" x14ac:dyDescent="0.2">
      <c r="A52" s="28">
        <v>46</v>
      </c>
      <c r="B52" s="29" t="s">
        <v>352</v>
      </c>
      <c r="C52" s="29" t="s">
        <v>353</v>
      </c>
      <c r="D52" s="29" t="s">
        <v>254</v>
      </c>
      <c r="E52" s="30">
        <v>116294</v>
      </c>
      <c r="F52" s="31">
        <v>836.73532999999998</v>
      </c>
      <c r="G52" s="32">
        <v>5.3520699999999996E-3</v>
      </c>
      <c r="H52" s="27" t="s">
        <v>142</v>
      </c>
    </row>
    <row r="53" spans="1:8" x14ac:dyDescent="0.2">
      <c r="A53" s="28">
        <v>47</v>
      </c>
      <c r="B53" s="38" t="s">
        <v>1003</v>
      </c>
      <c r="C53" s="38" t="s">
        <v>1004</v>
      </c>
      <c r="D53" s="38" t="s">
        <v>22</v>
      </c>
      <c r="E53" s="90">
        <v>998132</v>
      </c>
      <c r="F53" s="91">
        <f>81826861.36/10^5</f>
        <v>818.26861359999998</v>
      </c>
      <c r="G53" s="92">
        <f>F53/F175</f>
        <v>5.2339518970030384E-3</v>
      </c>
      <c r="H53" s="27" t="s">
        <v>142</v>
      </c>
    </row>
    <row r="54" spans="1:8" x14ac:dyDescent="0.2">
      <c r="A54" s="28">
        <v>48</v>
      </c>
      <c r="B54" s="29" t="s">
        <v>504</v>
      </c>
      <c r="C54" s="29" t="s">
        <v>505</v>
      </c>
      <c r="D54" s="29" t="s">
        <v>200</v>
      </c>
      <c r="E54" s="30">
        <v>50616</v>
      </c>
      <c r="F54" s="31">
        <v>796.64522399999998</v>
      </c>
      <c r="G54" s="32">
        <v>5.0956400000000002E-3</v>
      </c>
      <c r="H54" s="27" t="s">
        <v>142</v>
      </c>
    </row>
    <row r="55" spans="1:8" ht="25.5" x14ac:dyDescent="0.2">
      <c r="A55" s="28">
        <v>49</v>
      </c>
      <c r="B55" s="29" t="s">
        <v>192</v>
      </c>
      <c r="C55" s="29" t="s">
        <v>193</v>
      </c>
      <c r="D55" s="29" t="s">
        <v>194</v>
      </c>
      <c r="E55" s="30">
        <v>40000</v>
      </c>
      <c r="F55" s="31">
        <v>783.08</v>
      </c>
      <c r="G55" s="32">
        <v>5.0088700000000003E-3</v>
      </c>
      <c r="H55" s="27" t="s">
        <v>142</v>
      </c>
    </row>
    <row r="56" spans="1:8" ht="25.5" x14ac:dyDescent="0.2">
      <c r="A56" s="28">
        <v>50</v>
      </c>
      <c r="B56" s="29" t="s">
        <v>39</v>
      </c>
      <c r="C56" s="29" t="s">
        <v>40</v>
      </c>
      <c r="D56" s="29" t="s">
        <v>25</v>
      </c>
      <c r="E56" s="30">
        <v>14127</v>
      </c>
      <c r="F56" s="31">
        <v>776.63182500000005</v>
      </c>
      <c r="G56" s="32">
        <v>4.9676299999999998E-3</v>
      </c>
      <c r="H56" s="27" t="s">
        <v>142</v>
      </c>
    </row>
    <row r="57" spans="1:8" x14ac:dyDescent="0.2">
      <c r="A57" s="28">
        <v>51</v>
      </c>
      <c r="B57" s="29" t="s">
        <v>195</v>
      </c>
      <c r="C57" s="29" t="s">
        <v>196</v>
      </c>
      <c r="D57" s="29" t="s">
        <v>197</v>
      </c>
      <c r="E57" s="30">
        <v>100000</v>
      </c>
      <c r="F57" s="31">
        <v>706.3</v>
      </c>
      <c r="G57" s="32">
        <v>4.51776E-3</v>
      </c>
      <c r="H57" s="27" t="s">
        <v>142</v>
      </c>
    </row>
    <row r="58" spans="1:8" x14ac:dyDescent="0.2">
      <c r="A58" s="28">
        <v>52</v>
      </c>
      <c r="B58" s="29" t="s">
        <v>350</v>
      </c>
      <c r="C58" s="29" t="s">
        <v>351</v>
      </c>
      <c r="D58" s="29" t="s">
        <v>226</v>
      </c>
      <c r="E58" s="30">
        <v>145000</v>
      </c>
      <c r="F58" s="31">
        <v>690.12750000000005</v>
      </c>
      <c r="G58" s="32">
        <v>4.4143100000000003E-3</v>
      </c>
      <c r="H58" s="27" t="s">
        <v>142</v>
      </c>
    </row>
    <row r="59" spans="1:8" x14ac:dyDescent="0.2">
      <c r="A59" s="28">
        <v>53</v>
      </c>
      <c r="B59" s="29" t="s">
        <v>506</v>
      </c>
      <c r="C59" s="29" t="s">
        <v>507</v>
      </c>
      <c r="D59" s="29" t="s">
        <v>64</v>
      </c>
      <c r="E59" s="30">
        <v>63209</v>
      </c>
      <c r="F59" s="31">
        <v>651.52676750000001</v>
      </c>
      <c r="G59" s="32">
        <v>4.1674099999999999E-3</v>
      </c>
      <c r="H59" s="27" t="s">
        <v>142</v>
      </c>
    </row>
    <row r="60" spans="1:8" x14ac:dyDescent="0.2">
      <c r="A60" s="28">
        <v>54</v>
      </c>
      <c r="B60" s="29" t="s">
        <v>427</v>
      </c>
      <c r="C60" s="29" t="s">
        <v>428</v>
      </c>
      <c r="D60" s="29" t="s">
        <v>429</v>
      </c>
      <c r="E60" s="30">
        <v>98000</v>
      </c>
      <c r="F60" s="31">
        <v>620.83000000000004</v>
      </c>
      <c r="G60" s="32">
        <v>3.9710600000000002E-3</v>
      </c>
      <c r="H60" s="27" t="s">
        <v>142</v>
      </c>
    </row>
    <row r="61" spans="1:8" x14ac:dyDescent="0.2">
      <c r="A61" s="28">
        <v>55</v>
      </c>
      <c r="B61" s="29" t="s">
        <v>128</v>
      </c>
      <c r="C61" s="29" t="s">
        <v>129</v>
      </c>
      <c r="D61" s="29" t="s">
        <v>73</v>
      </c>
      <c r="E61" s="30">
        <v>34166</v>
      </c>
      <c r="F61" s="31">
        <v>613.82635600000003</v>
      </c>
      <c r="G61" s="32">
        <v>3.92626E-3</v>
      </c>
      <c r="H61" s="27" t="s">
        <v>142</v>
      </c>
    </row>
    <row r="62" spans="1:8" x14ac:dyDescent="0.2">
      <c r="A62" s="28">
        <v>56</v>
      </c>
      <c r="B62" s="29" t="s">
        <v>78</v>
      </c>
      <c r="C62" s="29" t="s">
        <v>79</v>
      </c>
      <c r="D62" s="29" t="s">
        <v>13</v>
      </c>
      <c r="E62" s="30">
        <v>159020</v>
      </c>
      <c r="F62" s="31">
        <v>610.87532999999996</v>
      </c>
      <c r="G62" s="32">
        <v>3.9073900000000002E-3</v>
      </c>
      <c r="H62" s="27" t="s">
        <v>142</v>
      </c>
    </row>
    <row r="63" spans="1:8" x14ac:dyDescent="0.2">
      <c r="A63" s="28">
        <v>57</v>
      </c>
      <c r="B63" s="29" t="s">
        <v>84</v>
      </c>
      <c r="C63" s="29" t="s">
        <v>85</v>
      </c>
      <c r="D63" s="29" t="s">
        <v>86</v>
      </c>
      <c r="E63" s="30">
        <v>293425</v>
      </c>
      <c r="F63" s="31">
        <v>556.92065000000002</v>
      </c>
      <c r="G63" s="32">
        <v>3.5622700000000002E-3</v>
      </c>
      <c r="H63" s="27" t="s">
        <v>142</v>
      </c>
    </row>
    <row r="64" spans="1:8" x14ac:dyDescent="0.2">
      <c r="A64" s="28">
        <v>58</v>
      </c>
      <c r="B64" s="29" t="s">
        <v>308</v>
      </c>
      <c r="C64" s="29" t="s">
        <v>309</v>
      </c>
      <c r="D64" s="29" t="s">
        <v>229</v>
      </c>
      <c r="E64" s="30">
        <v>60937</v>
      </c>
      <c r="F64" s="31">
        <v>469.12349449999999</v>
      </c>
      <c r="G64" s="32">
        <v>3.0006899999999999E-3</v>
      </c>
      <c r="H64" s="27" t="s">
        <v>142</v>
      </c>
    </row>
    <row r="65" spans="1:8" x14ac:dyDescent="0.2">
      <c r="A65" s="28">
        <v>59</v>
      </c>
      <c r="B65" s="29" t="s">
        <v>469</v>
      </c>
      <c r="C65" s="29" t="s">
        <v>470</v>
      </c>
      <c r="D65" s="29" t="s">
        <v>212</v>
      </c>
      <c r="E65" s="30">
        <v>15673</v>
      </c>
      <c r="F65" s="31">
        <v>462.77667100000002</v>
      </c>
      <c r="G65" s="32">
        <v>2.9600899999999999E-3</v>
      </c>
      <c r="H65" s="27" t="s">
        <v>142</v>
      </c>
    </row>
    <row r="66" spans="1:8" x14ac:dyDescent="0.2">
      <c r="A66" s="28">
        <v>60</v>
      </c>
      <c r="B66" s="29" t="s">
        <v>246</v>
      </c>
      <c r="C66" s="29" t="s">
        <v>247</v>
      </c>
      <c r="D66" s="29" t="s">
        <v>73</v>
      </c>
      <c r="E66" s="30">
        <v>7500</v>
      </c>
      <c r="F66" s="31">
        <v>449.32499999999999</v>
      </c>
      <c r="G66" s="32">
        <v>2.87405E-3</v>
      </c>
      <c r="H66" s="27" t="s">
        <v>142</v>
      </c>
    </row>
    <row r="67" spans="1:8" x14ac:dyDescent="0.2">
      <c r="A67" s="28">
        <v>61</v>
      </c>
      <c r="B67" s="29" t="s">
        <v>20</v>
      </c>
      <c r="C67" s="29" t="s">
        <v>21</v>
      </c>
      <c r="D67" s="29" t="s">
        <v>22</v>
      </c>
      <c r="E67" s="30">
        <v>116162</v>
      </c>
      <c r="F67" s="31">
        <v>387.86491799999999</v>
      </c>
      <c r="G67" s="32">
        <v>2.4809300000000001E-3</v>
      </c>
      <c r="H67" s="27" t="s">
        <v>142</v>
      </c>
    </row>
    <row r="68" spans="1:8" x14ac:dyDescent="0.2">
      <c r="A68" s="28">
        <v>62</v>
      </c>
      <c r="B68" s="29" t="s">
        <v>310</v>
      </c>
      <c r="C68" s="29" t="s">
        <v>311</v>
      </c>
      <c r="D68" s="29" t="s">
        <v>200</v>
      </c>
      <c r="E68" s="30">
        <v>13750</v>
      </c>
      <c r="F68" s="31">
        <v>351.83499999999998</v>
      </c>
      <c r="G68" s="32">
        <v>2.2504700000000001E-3</v>
      </c>
      <c r="H68" s="27" t="s">
        <v>142</v>
      </c>
    </row>
    <row r="69" spans="1:8" x14ac:dyDescent="0.2">
      <c r="A69" s="28">
        <v>62</v>
      </c>
      <c r="B69" s="29" t="s">
        <v>354</v>
      </c>
      <c r="C69" s="29" t="s">
        <v>355</v>
      </c>
      <c r="D69" s="29" t="s">
        <v>61</v>
      </c>
      <c r="E69" s="30">
        <v>3500</v>
      </c>
      <c r="F69" s="31">
        <v>124.425</v>
      </c>
      <c r="G69" s="32">
        <v>7.9586999999999995E-4</v>
      </c>
      <c r="H69" s="27" t="s">
        <v>142</v>
      </c>
    </row>
    <row r="70" spans="1:8" x14ac:dyDescent="0.2">
      <c r="A70" s="28">
        <v>63</v>
      </c>
      <c r="B70" s="29" t="s">
        <v>648</v>
      </c>
      <c r="C70" s="29" t="s">
        <v>649</v>
      </c>
      <c r="D70" s="29" t="s">
        <v>86</v>
      </c>
      <c r="E70" s="30">
        <v>4400</v>
      </c>
      <c r="F70" s="31">
        <v>58.308799999999998</v>
      </c>
      <c r="G70" s="32">
        <v>3.7296999999999997E-4</v>
      </c>
      <c r="H70" s="27" t="s">
        <v>142</v>
      </c>
    </row>
    <row r="71" spans="1:8" x14ac:dyDescent="0.2">
      <c r="A71" s="25"/>
      <c r="B71" s="25"/>
      <c r="C71" s="26" t="s">
        <v>141</v>
      </c>
      <c r="D71" s="25"/>
      <c r="E71" s="25" t="s">
        <v>142</v>
      </c>
      <c r="F71" s="33">
        <f>SUM(F7:F70)</f>
        <v>111371.72897760001</v>
      </c>
      <c r="G71" s="34">
        <f>SUM(G7:G70)</f>
        <v>0.71237523058866403</v>
      </c>
      <c r="H71" s="27" t="s">
        <v>142</v>
      </c>
    </row>
    <row r="72" spans="1:8" x14ac:dyDescent="0.2">
      <c r="A72" s="25"/>
      <c r="B72" s="25"/>
      <c r="C72" s="35"/>
      <c r="D72" s="25"/>
      <c r="E72" s="25"/>
      <c r="F72" s="36"/>
      <c r="G72" s="36"/>
      <c r="H72" s="27" t="s">
        <v>142</v>
      </c>
    </row>
    <row r="73" spans="1:8" x14ac:dyDescent="0.2">
      <c r="A73" s="25"/>
      <c r="B73" s="25"/>
      <c r="C73" s="26" t="s">
        <v>143</v>
      </c>
      <c r="D73" s="25"/>
      <c r="E73" s="25"/>
      <c r="F73" s="25"/>
      <c r="G73" s="25"/>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145</v>
      </c>
      <c r="D76" s="25"/>
      <c r="E76" s="25"/>
      <c r="F76" s="25"/>
      <c r="G76" s="25"/>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146</v>
      </c>
      <c r="D79" s="25"/>
      <c r="E79" s="25"/>
      <c r="F79" s="25"/>
      <c r="G79" s="25"/>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147</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100"/>
      <c r="B84" s="100"/>
      <c r="C84" s="101"/>
      <c r="D84" s="100"/>
      <c r="E84" s="100"/>
      <c r="F84" s="102"/>
      <c r="G84" s="102"/>
      <c r="H84" s="27" t="s">
        <v>142</v>
      </c>
    </row>
    <row r="85" spans="1:8" x14ac:dyDescent="0.2">
      <c r="A85" s="100"/>
      <c r="B85" s="100"/>
      <c r="C85" s="51" t="s">
        <v>907</v>
      </c>
      <c r="D85" s="100"/>
      <c r="E85" s="100"/>
      <c r="F85" s="100"/>
      <c r="G85" s="100"/>
      <c r="H85" s="27" t="s">
        <v>142</v>
      </c>
    </row>
    <row r="86" spans="1:8" ht="25.5" x14ac:dyDescent="0.2">
      <c r="A86" s="89">
        <v>1</v>
      </c>
      <c r="B86" s="38" t="s">
        <v>908</v>
      </c>
      <c r="C86" s="38" t="s">
        <v>909</v>
      </c>
      <c r="D86" s="38" t="s">
        <v>910</v>
      </c>
      <c r="E86" s="90">
        <v>750</v>
      </c>
      <c r="F86" s="91">
        <f>86042607.15/10^5</f>
        <v>860.42607150000003</v>
      </c>
      <c r="G86" s="103">
        <f>F86/F175</f>
        <v>5.5036067549326046E-3</v>
      </c>
      <c r="H86" s="27">
        <v>7.3949999999999996</v>
      </c>
    </row>
    <row r="87" spans="1:8" x14ac:dyDescent="0.2">
      <c r="A87" s="100"/>
      <c r="B87" s="100"/>
      <c r="C87" s="51" t="s">
        <v>141</v>
      </c>
      <c r="D87" s="100"/>
      <c r="E87" s="100" t="s">
        <v>142</v>
      </c>
      <c r="F87" s="104">
        <f>SUM(F86)</f>
        <v>860.42607150000003</v>
      </c>
      <c r="G87" s="105">
        <f>SUM(G86)</f>
        <v>5.5036067549326046E-3</v>
      </c>
      <c r="H87" s="27" t="s">
        <v>142</v>
      </c>
    </row>
    <row r="88" spans="1:8" x14ac:dyDescent="0.2">
      <c r="A88" s="25"/>
      <c r="B88" s="25"/>
      <c r="C88" s="35"/>
      <c r="D88" s="25"/>
      <c r="E88" s="25"/>
      <c r="F88" s="36"/>
      <c r="G88" s="36"/>
      <c r="H88" s="27" t="s">
        <v>142</v>
      </c>
    </row>
    <row r="89" spans="1:8" x14ac:dyDescent="0.2">
      <c r="A89" s="25"/>
      <c r="B89" s="25"/>
      <c r="C89" s="26" t="s">
        <v>148</v>
      </c>
      <c r="D89" s="25"/>
      <c r="E89" s="25"/>
      <c r="F89" s="36"/>
      <c r="G89" s="36"/>
      <c r="H89" s="27" t="s">
        <v>142</v>
      </c>
    </row>
    <row r="90" spans="1:8" x14ac:dyDescent="0.2">
      <c r="A90" s="28">
        <v>1</v>
      </c>
      <c r="B90" s="29"/>
      <c r="C90" s="29" t="s">
        <v>997</v>
      </c>
      <c r="D90" s="29" t="s">
        <v>523</v>
      </c>
      <c r="E90" s="30">
        <v>-1250</v>
      </c>
      <c r="F90" s="31">
        <v>-15.001250000000001</v>
      </c>
      <c r="G90" s="32">
        <f>F90/$F$175</f>
        <v>-9.5953602020104213E-5</v>
      </c>
      <c r="H90" s="27" t="s">
        <v>142</v>
      </c>
    </row>
    <row r="91" spans="1:8" x14ac:dyDescent="0.2">
      <c r="A91" s="28">
        <v>2</v>
      </c>
      <c r="B91" s="29"/>
      <c r="C91" s="29" t="s">
        <v>928</v>
      </c>
      <c r="D91" s="29" t="s">
        <v>523</v>
      </c>
      <c r="E91" s="30">
        <v>-1000</v>
      </c>
      <c r="F91" s="31">
        <v>-25.602</v>
      </c>
      <c r="G91" s="32">
        <f t="shared" ref="G91:G109" si="0">F91/$F$175</f>
        <v>-1.6375996126447517E-4</v>
      </c>
      <c r="H91" s="27" t="s">
        <v>142</v>
      </c>
    </row>
    <row r="92" spans="1:8" x14ac:dyDescent="0.2">
      <c r="A92" s="28">
        <v>3</v>
      </c>
      <c r="B92" s="29"/>
      <c r="C92" s="29" t="s">
        <v>1005</v>
      </c>
      <c r="D92" s="29" t="s">
        <v>523</v>
      </c>
      <c r="E92" s="30">
        <v>-4400</v>
      </c>
      <c r="F92" s="31">
        <v>-58.652000000000001</v>
      </c>
      <c r="G92" s="32">
        <f t="shared" si="0"/>
        <v>-3.75160114369346E-4</v>
      </c>
      <c r="H92" s="27" t="s">
        <v>142</v>
      </c>
    </row>
    <row r="93" spans="1:8" x14ac:dyDescent="0.2">
      <c r="A93" s="28">
        <v>4</v>
      </c>
      <c r="B93" s="29"/>
      <c r="C93" s="29" t="s">
        <v>1006</v>
      </c>
      <c r="D93" s="29" t="s">
        <v>523</v>
      </c>
      <c r="E93" s="30">
        <v>-3500</v>
      </c>
      <c r="F93" s="31">
        <v>-124.985</v>
      </c>
      <c r="G93" s="32">
        <f t="shared" si="0"/>
        <v>-7.9945077566754262E-4</v>
      </c>
      <c r="H93" s="27" t="s">
        <v>142</v>
      </c>
    </row>
    <row r="94" spans="1:8" x14ac:dyDescent="0.2">
      <c r="A94" s="28">
        <v>5</v>
      </c>
      <c r="B94" s="29"/>
      <c r="C94" s="29" t="s">
        <v>1007</v>
      </c>
      <c r="D94" s="29" t="s">
        <v>523</v>
      </c>
      <c r="E94" s="30">
        <v>-70500</v>
      </c>
      <c r="F94" s="31">
        <v>-134.54220000000001</v>
      </c>
      <c r="G94" s="32">
        <f t="shared" si="0"/>
        <v>-8.6058219906402897E-4</v>
      </c>
      <c r="H94" s="27" t="s">
        <v>142</v>
      </c>
    </row>
    <row r="95" spans="1:8" x14ac:dyDescent="0.2">
      <c r="A95" s="28">
        <v>6</v>
      </c>
      <c r="B95" s="29"/>
      <c r="C95" s="29" t="s">
        <v>998</v>
      </c>
      <c r="D95" s="29" t="s">
        <v>523</v>
      </c>
      <c r="E95" s="30">
        <v>-44800</v>
      </c>
      <c r="F95" s="31">
        <v>-188.20480000000001</v>
      </c>
      <c r="G95" s="32">
        <f t="shared" si="0"/>
        <v>-1.2038282461443752E-3</v>
      </c>
      <c r="H95" s="27" t="s">
        <v>142</v>
      </c>
    </row>
    <row r="96" spans="1:8" x14ac:dyDescent="0.2">
      <c r="A96" s="28">
        <v>7</v>
      </c>
      <c r="B96" s="29"/>
      <c r="C96" s="29" t="s">
        <v>931</v>
      </c>
      <c r="D96" s="29" t="s">
        <v>523</v>
      </c>
      <c r="E96" s="30">
        <v>-11400</v>
      </c>
      <c r="F96" s="31">
        <v>-266.60039999999998</v>
      </c>
      <c r="G96" s="32">
        <f t="shared" si="0"/>
        <v>-1.7052758056828989E-3</v>
      </c>
      <c r="H96" s="27" t="s">
        <v>142</v>
      </c>
    </row>
    <row r="97" spans="1:8" x14ac:dyDescent="0.2">
      <c r="A97" s="28">
        <v>8</v>
      </c>
      <c r="B97" s="29"/>
      <c r="C97" s="29" t="s">
        <v>927</v>
      </c>
      <c r="D97" s="29" t="s">
        <v>523</v>
      </c>
      <c r="E97" s="30">
        <v>-8225</v>
      </c>
      <c r="F97" s="31">
        <v>-284.13262500000002</v>
      </c>
      <c r="G97" s="32">
        <f t="shared" si="0"/>
        <v>-1.8174184698060171E-3</v>
      </c>
      <c r="H97" s="27" t="s">
        <v>142</v>
      </c>
    </row>
    <row r="98" spans="1:8" x14ac:dyDescent="0.2">
      <c r="A98" s="28">
        <v>9</v>
      </c>
      <c r="B98" s="29"/>
      <c r="C98" s="29" t="s">
        <v>989</v>
      </c>
      <c r="D98" s="29" t="s">
        <v>523</v>
      </c>
      <c r="E98" s="30">
        <v>-62700</v>
      </c>
      <c r="F98" s="31">
        <v>-449.37090000000001</v>
      </c>
      <c r="G98" s="32">
        <f t="shared" si="0"/>
        <v>-2.8743442378479159E-3</v>
      </c>
      <c r="H98" s="27" t="s">
        <v>142</v>
      </c>
    </row>
    <row r="99" spans="1:8" x14ac:dyDescent="0.2">
      <c r="A99" s="28">
        <v>10</v>
      </c>
      <c r="B99" s="29"/>
      <c r="C99" s="29" t="s">
        <v>939</v>
      </c>
      <c r="D99" s="29" t="s">
        <v>523</v>
      </c>
      <c r="E99" s="30">
        <v>-24750</v>
      </c>
      <c r="F99" s="31">
        <v>-483.66449999999998</v>
      </c>
      <c r="G99" s="32">
        <f t="shared" si="0"/>
        <v>-3.0936989213733983E-3</v>
      </c>
      <c r="H99" s="27" t="s">
        <v>142</v>
      </c>
    </row>
    <row r="100" spans="1:8" x14ac:dyDescent="0.2">
      <c r="A100" s="28">
        <v>11</v>
      </c>
      <c r="B100" s="29"/>
      <c r="C100" s="29" t="s">
        <v>992</v>
      </c>
      <c r="D100" s="29" t="s">
        <v>523</v>
      </c>
      <c r="E100" s="30">
        <v>-98000</v>
      </c>
      <c r="F100" s="31">
        <v>-624.75</v>
      </c>
      <c r="G100" s="32">
        <f t="shared" si="0"/>
        <v>-3.9961345129279294E-3</v>
      </c>
      <c r="H100" s="27" t="s">
        <v>142</v>
      </c>
    </row>
    <row r="101" spans="1:8" x14ac:dyDescent="0.2">
      <c r="A101" s="28">
        <v>12</v>
      </c>
      <c r="B101" s="29"/>
      <c r="C101" s="29" t="s">
        <v>936</v>
      </c>
      <c r="D101" s="29" t="s">
        <v>523</v>
      </c>
      <c r="E101" s="30">
        <v>-48400</v>
      </c>
      <c r="F101" s="31">
        <v>-759.29920000000004</v>
      </c>
      <c r="G101" s="32">
        <f t="shared" si="0"/>
        <v>-4.8567614866083502E-3</v>
      </c>
      <c r="H101" s="27" t="s">
        <v>142</v>
      </c>
    </row>
    <row r="102" spans="1:8" x14ac:dyDescent="0.2">
      <c r="A102" s="28">
        <v>13</v>
      </c>
      <c r="B102" s="29"/>
      <c r="C102" s="29" t="s">
        <v>924</v>
      </c>
      <c r="D102" s="29" t="s">
        <v>523</v>
      </c>
      <c r="E102" s="30">
        <v>-76000</v>
      </c>
      <c r="F102" s="31">
        <v>-1542.3440000000001</v>
      </c>
      <c r="G102" s="32">
        <f t="shared" si="0"/>
        <v>-9.8654087062141887E-3</v>
      </c>
      <c r="H102" s="27" t="s">
        <v>142</v>
      </c>
    </row>
    <row r="103" spans="1:8" x14ac:dyDescent="0.2">
      <c r="A103" s="28">
        <v>14</v>
      </c>
      <c r="B103" s="29"/>
      <c r="C103" s="29" t="s">
        <v>923</v>
      </c>
      <c r="D103" s="29" t="s">
        <v>523</v>
      </c>
      <c r="E103" s="30">
        <v>-114800</v>
      </c>
      <c r="F103" s="31">
        <v>-1670.6844000000001</v>
      </c>
      <c r="G103" s="32">
        <f t="shared" si="0"/>
        <v>-1.0686321874430237E-2</v>
      </c>
      <c r="H103" s="27" t="s">
        <v>142</v>
      </c>
    </row>
    <row r="104" spans="1:8" x14ac:dyDescent="0.2">
      <c r="A104" s="28">
        <v>15</v>
      </c>
      <c r="B104" s="29"/>
      <c r="C104" s="29" t="s">
        <v>987</v>
      </c>
      <c r="D104" s="29" t="s">
        <v>523</v>
      </c>
      <c r="E104" s="30">
        <v>-128700</v>
      </c>
      <c r="F104" s="31">
        <v>-1897.2954</v>
      </c>
      <c r="G104" s="32">
        <f t="shared" si="0"/>
        <v>-1.2135810530867389E-2</v>
      </c>
      <c r="H104" s="27" t="s">
        <v>142</v>
      </c>
    </row>
    <row r="105" spans="1:8" x14ac:dyDescent="0.2">
      <c r="A105" s="28">
        <v>16</v>
      </c>
      <c r="B105" s="29"/>
      <c r="C105" s="29" t="s">
        <v>982</v>
      </c>
      <c r="D105" s="29" t="s">
        <v>523</v>
      </c>
      <c r="E105" s="30">
        <v>-1917000</v>
      </c>
      <c r="F105" s="31">
        <v>-2210.8761</v>
      </c>
      <c r="G105" s="32">
        <f t="shared" si="0"/>
        <v>-1.4141589895186074E-2</v>
      </c>
      <c r="H105" s="27" t="s">
        <v>142</v>
      </c>
    </row>
    <row r="106" spans="1:8" x14ac:dyDescent="0.2">
      <c r="A106" s="28">
        <v>17</v>
      </c>
      <c r="B106" s="29"/>
      <c r="C106" s="29" t="s">
        <v>938</v>
      </c>
      <c r="D106" s="29" t="s">
        <v>523</v>
      </c>
      <c r="E106" s="30">
        <v>-161000</v>
      </c>
      <c r="F106" s="31">
        <v>-2301.4949999999999</v>
      </c>
      <c r="G106" s="32">
        <f t="shared" si="0"/>
        <v>-1.4721222250229796E-2</v>
      </c>
      <c r="H106" s="27" t="s">
        <v>142</v>
      </c>
    </row>
    <row r="107" spans="1:8" x14ac:dyDescent="0.2">
      <c r="A107" s="28">
        <v>18</v>
      </c>
      <c r="B107" s="29"/>
      <c r="C107" s="29" t="s">
        <v>990</v>
      </c>
      <c r="D107" s="29" t="s">
        <v>523</v>
      </c>
      <c r="E107" s="30">
        <v>-930150</v>
      </c>
      <c r="F107" s="31">
        <v>-2338.4901150000001</v>
      </c>
      <c r="G107" s="32">
        <f t="shared" si="0"/>
        <v>-1.4957856833441061E-2</v>
      </c>
      <c r="H107" s="27" t="s">
        <v>142</v>
      </c>
    </row>
    <row r="108" spans="1:8" x14ac:dyDescent="0.2">
      <c r="A108" s="28">
        <v>19</v>
      </c>
      <c r="B108" s="29"/>
      <c r="C108" s="29" t="s">
        <v>934</v>
      </c>
      <c r="D108" s="29" t="s">
        <v>523</v>
      </c>
      <c r="E108" s="30">
        <v>-126350</v>
      </c>
      <c r="F108" s="31">
        <v>-2360.8497499999999</v>
      </c>
      <c r="G108" s="32">
        <f t="shared" si="0"/>
        <v>-1.5100877416266143E-2</v>
      </c>
      <c r="H108" s="27" t="s">
        <v>142</v>
      </c>
    </row>
    <row r="109" spans="1:8" x14ac:dyDescent="0.2">
      <c r="A109" s="28">
        <v>20</v>
      </c>
      <c r="B109" s="29"/>
      <c r="C109" s="29" t="s">
        <v>935</v>
      </c>
      <c r="D109" s="29" t="s">
        <v>523</v>
      </c>
      <c r="E109" s="30">
        <v>-122800</v>
      </c>
      <c r="F109" s="31">
        <v>-2564.4324000000001</v>
      </c>
      <c r="G109" s="32">
        <f t="shared" si="0"/>
        <v>-1.6403068138792481E-2</v>
      </c>
      <c r="H109" s="27" t="s">
        <v>142</v>
      </c>
    </row>
    <row r="110" spans="1:8" x14ac:dyDescent="0.2">
      <c r="A110" s="25"/>
      <c r="B110" s="25"/>
      <c r="C110" s="26" t="s">
        <v>141</v>
      </c>
      <c r="D110" s="25"/>
      <c r="E110" s="25" t="s">
        <v>142</v>
      </c>
      <c r="F110" s="33">
        <f>SUM(F90:F109)</f>
        <v>-20301.272040000003</v>
      </c>
      <c r="G110" s="34">
        <f>SUM(G90:G109)</f>
        <v>-0.12985452397820377</v>
      </c>
      <c r="H110" s="27" t="s">
        <v>142</v>
      </c>
    </row>
    <row r="111" spans="1:8" x14ac:dyDescent="0.2">
      <c r="A111" s="25"/>
      <c r="B111" s="25"/>
      <c r="C111" s="35"/>
      <c r="D111" s="25"/>
      <c r="E111" s="25"/>
      <c r="F111" s="36"/>
      <c r="G111" s="36"/>
      <c r="H111" s="27" t="s">
        <v>142</v>
      </c>
    </row>
    <row r="112" spans="1:8" x14ac:dyDescent="0.2">
      <c r="A112" s="25"/>
      <c r="B112" s="25"/>
      <c r="C112" s="26" t="s">
        <v>149</v>
      </c>
      <c r="D112" s="25"/>
      <c r="E112" s="25"/>
      <c r="F112" s="33">
        <f>F87+F71</f>
        <v>112232.15504910001</v>
      </c>
      <c r="G112" s="34">
        <f>G87+G71</f>
        <v>0.71787883734359659</v>
      </c>
      <c r="H112" s="27" t="s">
        <v>142</v>
      </c>
    </row>
    <row r="113" spans="1:8" x14ac:dyDescent="0.2">
      <c r="A113" s="25"/>
      <c r="B113" s="25"/>
      <c r="C113" s="35"/>
      <c r="D113" s="25"/>
      <c r="E113" s="25"/>
      <c r="F113" s="36"/>
      <c r="G113" s="36"/>
      <c r="H113" s="27" t="s">
        <v>142</v>
      </c>
    </row>
    <row r="114" spans="1:8" x14ac:dyDescent="0.2">
      <c r="A114" s="25"/>
      <c r="B114" s="25"/>
      <c r="C114" s="26" t="s">
        <v>150</v>
      </c>
      <c r="D114" s="25"/>
      <c r="E114" s="25"/>
      <c r="F114" s="36"/>
      <c r="G114" s="36"/>
      <c r="H114" s="27" t="s">
        <v>142</v>
      </c>
    </row>
    <row r="115" spans="1:8" x14ac:dyDescent="0.2">
      <c r="A115" s="25"/>
      <c r="B115" s="25"/>
      <c r="C115" s="26" t="s">
        <v>10</v>
      </c>
      <c r="D115" s="25"/>
      <c r="E115" s="25"/>
      <c r="F115" s="36"/>
      <c r="G115" s="36"/>
      <c r="H115" s="27" t="s">
        <v>142</v>
      </c>
    </row>
    <row r="116" spans="1:8" x14ac:dyDescent="0.2">
      <c r="A116" s="28">
        <v>1</v>
      </c>
      <c r="B116" s="29" t="s">
        <v>650</v>
      </c>
      <c r="C116" s="29" t="s">
        <v>651</v>
      </c>
      <c r="D116" s="29" t="s">
        <v>526</v>
      </c>
      <c r="E116" s="30">
        <v>2500</v>
      </c>
      <c r="F116" s="31">
        <v>2582.2725</v>
      </c>
      <c r="G116" s="32">
        <v>1.6517179999999999E-2</v>
      </c>
      <c r="H116" s="27">
        <v>6.6161000000000003</v>
      </c>
    </row>
    <row r="117" spans="1:8" x14ac:dyDescent="0.2">
      <c r="A117" s="28">
        <v>2</v>
      </c>
      <c r="B117" s="29" t="s">
        <v>539</v>
      </c>
      <c r="C117" s="29" t="s">
        <v>540</v>
      </c>
      <c r="D117" s="29" t="s">
        <v>529</v>
      </c>
      <c r="E117" s="30">
        <v>150</v>
      </c>
      <c r="F117" s="31">
        <v>1577.682</v>
      </c>
      <c r="G117" s="32">
        <v>1.009144E-2</v>
      </c>
      <c r="H117" s="27">
        <v>7.13</v>
      </c>
    </row>
    <row r="118" spans="1:8" ht="25.5" x14ac:dyDescent="0.2">
      <c r="A118" s="28">
        <v>3</v>
      </c>
      <c r="B118" s="29" t="s">
        <v>543</v>
      </c>
      <c r="C118" s="29" t="s">
        <v>544</v>
      </c>
      <c r="D118" s="29" t="s">
        <v>526</v>
      </c>
      <c r="E118" s="30">
        <v>1500</v>
      </c>
      <c r="F118" s="31">
        <v>1535.001</v>
      </c>
      <c r="G118" s="32">
        <v>9.8184399999999995E-3</v>
      </c>
      <c r="H118" s="27">
        <v>6.61</v>
      </c>
    </row>
    <row r="119" spans="1:8" ht="25.5" x14ac:dyDescent="0.2">
      <c r="A119" s="28">
        <v>4</v>
      </c>
      <c r="B119" s="29" t="s">
        <v>527</v>
      </c>
      <c r="C119" s="29" t="s">
        <v>528</v>
      </c>
      <c r="D119" s="29" t="s">
        <v>529</v>
      </c>
      <c r="E119" s="30">
        <v>1500</v>
      </c>
      <c r="F119" s="31">
        <v>1515.1395</v>
      </c>
      <c r="G119" s="32">
        <v>9.6913999999999993E-3</v>
      </c>
      <c r="H119" s="27">
        <v>6.62</v>
      </c>
    </row>
    <row r="120" spans="1:8" ht="25.5" x14ac:dyDescent="0.2">
      <c r="A120" s="28">
        <v>5</v>
      </c>
      <c r="B120" s="29" t="s">
        <v>562</v>
      </c>
      <c r="C120" s="29" t="s">
        <v>563</v>
      </c>
      <c r="D120" s="29" t="s">
        <v>529</v>
      </c>
      <c r="E120" s="30">
        <v>1000</v>
      </c>
      <c r="F120" s="31">
        <v>1076.4290000000001</v>
      </c>
      <c r="G120" s="32">
        <v>6.8852399999999999E-3</v>
      </c>
      <c r="H120" s="27">
        <v>6.8250000000000002</v>
      </c>
    </row>
    <row r="121" spans="1:8" x14ac:dyDescent="0.2">
      <c r="A121" s="28">
        <v>6</v>
      </c>
      <c r="B121" s="29" t="s">
        <v>564</v>
      </c>
      <c r="C121" s="29" t="s">
        <v>565</v>
      </c>
      <c r="D121" s="29" t="s">
        <v>529</v>
      </c>
      <c r="E121" s="30">
        <v>1000</v>
      </c>
      <c r="F121" s="31">
        <v>1045.6959999999999</v>
      </c>
      <c r="G121" s="32">
        <v>6.6886599999999999E-3</v>
      </c>
      <c r="H121" s="27">
        <v>7.0250000000000004</v>
      </c>
    </row>
    <row r="122" spans="1:8" x14ac:dyDescent="0.2">
      <c r="A122" s="28">
        <v>7</v>
      </c>
      <c r="B122" s="29" t="s">
        <v>587</v>
      </c>
      <c r="C122" s="29" t="s">
        <v>588</v>
      </c>
      <c r="D122" s="29" t="s">
        <v>529</v>
      </c>
      <c r="E122" s="30">
        <v>1000</v>
      </c>
      <c r="F122" s="31">
        <v>1010.107</v>
      </c>
      <c r="G122" s="32">
        <v>6.4610199999999996E-3</v>
      </c>
      <c r="H122" s="27">
        <v>6.55</v>
      </c>
    </row>
    <row r="123" spans="1:8" x14ac:dyDescent="0.2">
      <c r="A123" s="28">
        <v>8</v>
      </c>
      <c r="B123" s="29" t="s">
        <v>652</v>
      </c>
      <c r="C123" s="29" t="s">
        <v>653</v>
      </c>
      <c r="D123" s="29" t="s">
        <v>529</v>
      </c>
      <c r="E123" s="30">
        <v>100</v>
      </c>
      <c r="F123" s="31">
        <v>1003.855</v>
      </c>
      <c r="G123" s="32">
        <v>6.4210300000000003E-3</v>
      </c>
      <c r="H123" s="27">
        <v>6.7450000000000001</v>
      </c>
    </row>
    <row r="124" spans="1:8" x14ac:dyDescent="0.2">
      <c r="A124" s="28">
        <v>9</v>
      </c>
      <c r="B124" s="29" t="s">
        <v>578</v>
      </c>
      <c r="C124" s="29" t="s">
        <v>579</v>
      </c>
      <c r="D124" s="29" t="s">
        <v>529</v>
      </c>
      <c r="E124" s="30">
        <v>50</v>
      </c>
      <c r="F124" s="31">
        <v>496.01049999999998</v>
      </c>
      <c r="G124" s="32">
        <v>3.1726699999999998E-3</v>
      </c>
      <c r="H124" s="27">
        <v>6.82</v>
      </c>
    </row>
    <row r="125" spans="1:8" x14ac:dyDescent="0.2">
      <c r="A125" s="25"/>
      <c r="B125" s="25"/>
      <c r="C125" s="26" t="s">
        <v>141</v>
      </c>
      <c r="D125" s="25"/>
      <c r="E125" s="25" t="s">
        <v>142</v>
      </c>
      <c r="F125" s="33">
        <v>11842.192499999999</v>
      </c>
      <c r="G125" s="34">
        <v>7.5747079999999994E-2</v>
      </c>
      <c r="H125" s="27" t="s">
        <v>142</v>
      </c>
    </row>
    <row r="126" spans="1:8" x14ac:dyDescent="0.2">
      <c r="A126" s="25"/>
      <c r="B126" s="25"/>
      <c r="C126" s="35"/>
      <c r="D126" s="25"/>
      <c r="E126" s="25"/>
      <c r="F126" s="36"/>
      <c r="G126" s="36"/>
      <c r="H126" s="27" t="s">
        <v>142</v>
      </c>
    </row>
    <row r="127" spans="1:8" x14ac:dyDescent="0.2">
      <c r="A127" s="25"/>
      <c r="B127" s="25"/>
      <c r="C127" s="26" t="s">
        <v>151</v>
      </c>
      <c r="D127" s="25"/>
      <c r="E127" s="25"/>
      <c r="F127" s="25"/>
      <c r="G127" s="25"/>
      <c r="H127" s="27" t="s">
        <v>142</v>
      </c>
    </row>
    <row r="128" spans="1:8" x14ac:dyDescent="0.2">
      <c r="A128" s="25"/>
      <c r="B128" s="25"/>
      <c r="C128" s="26" t="s">
        <v>141</v>
      </c>
      <c r="D128" s="25"/>
      <c r="E128" s="25" t="s">
        <v>142</v>
      </c>
      <c r="F128" s="37" t="s">
        <v>144</v>
      </c>
      <c r="G128" s="34">
        <v>0</v>
      </c>
      <c r="H128" s="27" t="s">
        <v>142</v>
      </c>
    </row>
    <row r="129" spans="1:8" x14ac:dyDescent="0.2">
      <c r="A129" s="25"/>
      <c r="B129" s="25"/>
      <c r="C129" s="35"/>
      <c r="D129" s="25"/>
      <c r="E129" s="25"/>
      <c r="F129" s="36"/>
      <c r="G129" s="36"/>
      <c r="H129" s="27" t="s">
        <v>142</v>
      </c>
    </row>
    <row r="130" spans="1:8" x14ac:dyDescent="0.2">
      <c r="A130" s="25"/>
      <c r="B130" s="25"/>
      <c r="C130" s="26" t="s">
        <v>152</v>
      </c>
      <c r="D130" s="25"/>
      <c r="E130" s="25"/>
      <c r="F130" s="25"/>
      <c r="G130" s="25"/>
      <c r="H130" s="27" t="s">
        <v>142</v>
      </c>
    </row>
    <row r="131" spans="1:8" x14ac:dyDescent="0.2">
      <c r="A131" s="28">
        <v>1</v>
      </c>
      <c r="B131" s="29" t="s">
        <v>599</v>
      </c>
      <c r="C131" s="29" t="s">
        <v>1083</v>
      </c>
      <c r="D131" s="29" t="s">
        <v>601</v>
      </c>
      <c r="E131" s="30">
        <v>8500000</v>
      </c>
      <c r="F131" s="31">
        <v>8960.5300000000007</v>
      </c>
      <c r="G131" s="32">
        <v>5.7314900000000002E-2</v>
      </c>
      <c r="H131" s="27">
        <v>6.3898000000000001</v>
      </c>
    </row>
    <row r="132" spans="1:8" x14ac:dyDescent="0.2">
      <c r="A132" s="28">
        <v>2</v>
      </c>
      <c r="B132" s="29" t="s">
        <v>602</v>
      </c>
      <c r="C132" s="29" t="s">
        <v>1077</v>
      </c>
      <c r="D132" s="29" t="s">
        <v>601</v>
      </c>
      <c r="E132" s="30">
        <v>3000000</v>
      </c>
      <c r="F132" s="31">
        <v>3219.654</v>
      </c>
      <c r="G132" s="32">
        <v>2.0594109999999999E-2</v>
      </c>
      <c r="H132" s="27">
        <v>6.5266999999999999</v>
      </c>
    </row>
    <row r="133" spans="1:8" x14ac:dyDescent="0.2">
      <c r="A133" s="28">
        <v>3</v>
      </c>
      <c r="B133" s="29" t="s">
        <v>654</v>
      </c>
      <c r="C133" s="29" t="s">
        <v>1082</v>
      </c>
      <c r="D133" s="29" t="s">
        <v>601</v>
      </c>
      <c r="E133" s="30">
        <v>3000000</v>
      </c>
      <c r="F133" s="31">
        <v>3189.9929999999999</v>
      </c>
      <c r="G133" s="32">
        <v>2.0404390000000001E-2</v>
      </c>
      <c r="H133" s="27">
        <v>6.0298999999999996</v>
      </c>
    </row>
    <row r="134" spans="1:8" x14ac:dyDescent="0.2">
      <c r="A134" s="28">
        <v>4</v>
      </c>
      <c r="B134" s="29" t="s">
        <v>642</v>
      </c>
      <c r="C134" s="29" t="s">
        <v>643</v>
      </c>
      <c r="D134" s="29" t="s">
        <v>601</v>
      </c>
      <c r="E134" s="30">
        <v>3000000</v>
      </c>
      <c r="F134" s="31">
        <v>3095.8139999999999</v>
      </c>
      <c r="G134" s="32">
        <v>1.980198E-2</v>
      </c>
      <c r="H134" s="27">
        <v>5.7880000000000003</v>
      </c>
    </row>
    <row r="135" spans="1:8" x14ac:dyDescent="0.2">
      <c r="A135" s="28">
        <v>5</v>
      </c>
      <c r="B135" s="29" t="s">
        <v>605</v>
      </c>
      <c r="C135" s="29" t="s">
        <v>606</v>
      </c>
      <c r="D135" s="29" t="s">
        <v>601</v>
      </c>
      <c r="E135" s="30">
        <v>1500000</v>
      </c>
      <c r="F135" s="31">
        <v>1596.6510000000001</v>
      </c>
      <c r="G135" s="32">
        <v>1.0212779999999999E-2</v>
      </c>
      <c r="H135" s="27">
        <v>6.9802</v>
      </c>
    </row>
    <row r="136" spans="1:8" x14ac:dyDescent="0.2">
      <c r="A136" s="28">
        <v>6</v>
      </c>
      <c r="B136" s="29" t="s">
        <v>655</v>
      </c>
      <c r="C136" s="29" t="s">
        <v>656</v>
      </c>
      <c r="D136" s="29" t="s">
        <v>601</v>
      </c>
      <c r="E136" s="30">
        <v>1000000</v>
      </c>
      <c r="F136" s="31">
        <v>1053.896</v>
      </c>
      <c r="G136" s="32">
        <v>6.7411099999999998E-3</v>
      </c>
      <c r="H136" s="27">
        <v>5.9672000000000001</v>
      </c>
    </row>
    <row r="137" spans="1:8" ht="25.5" x14ac:dyDescent="0.2">
      <c r="A137" s="28">
        <v>7</v>
      </c>
      <c r="B137" s="29" t="s">
        <v>613</v>
      </c>
      <c r="C137" s="29" t="s">
        <v>614</v>
      </c>
      <c r="D137" s="29" t="s">
        <v>601</v>
      </c>
      <c r="E137" s="30">
        <v>500000</v>
      </c>
      <c r="F137" s="31">
        <v>526.12800000000004</v>
      </c>
      <c r="G137" s="32">
        <v>3.3653099999999998E-3</v>
      </c>
      <c r="H137" s="27">
        <v>6.7545999999999999</v>
      </c>
    </row>
    <row r="138" spans="1:8" ht="25.5" x14ac:dyDescent="0.2">
      <c r="A138" s="28">
        <v>8</v>
      </c>
      <c r="B138" s="29" t="s">
        <v>612</v>
      </c>
      <c r="C138" s="38" t="s">
        <v>940</v>
      </c>
      <c r="D138" s="29" t="s">
        <v>601</v>
      </c>
      <c r="E138" s="30">
        <v>500000</v>
      </c>
      <c r="F138" s="31">
        <v>505.64550000000003</v>
      </c>
      <c r="G138" s="32">
        <v>3.2342999999999998E-3</v>
      </c>
      <c r="H138" s="27">
        <v>6.9532154220557754</v>
      </c>
    </row>
    <row r="139" spans="1:8" x14ac:dyDescent="0.2">
      <c r="A139" s="25"/>
      <c r="B139" s="25"/>
      <c r="C139" s="26" t="s">
        <v>141</v>
      </c>
      <c r="D139" s="25"/>
      <c r="E139" s="25" t="s">
        <v>142</v>
      </c>
      <c r="F139" s="33">
        <v>22148.3115</v>
      </c>
      <c r="G139" s="34">
        <v>0.14166888</v>
      </c>
      <c r="H139" s="27" t="s">
        <v>142</v>
      </c>
    </row>
    <row r="140" spans="1:8" x14ac:dyDescent="0.2">
      <c r="A140" s="25"/>
      <c r="B140" s="25"/>
      <c r="C140" s="35"/>
      <c r="D140" s="25"/>
      <c r="E140" s="25"/>
      <c r="F140" s="36"/>
      <c r="G140" s="36"/>
      <c r="H140" s="27" t="s">
        <v>142</v>
      </c>
    </row>
    <row r="141" spans="1:8" x14ac:dyDescent="0.2">
      <c r="A141" s="25"/>
      <c r="B141" s="25"/>
      <c r="C141" s="26" t="s">
        <v>153</v>
      </c>
      <c r="D141" s="25"/>
      <c r="E141" s="25"/>
      <c r="F141" s="36"/>
      <c r="G141" s="36"/>
      <c r="H141" s="27" t="s">
        <v>142</v>
      </c>
    </row>
    <row r="142" spans="1:8" x14ac:dyDescent="0.2">
      <c r="A142" s="25"/>
      <c r="B142" s="25"/>
      <c r="C142" s="26" t="s">
        <v>141</v>
      </c>
      <c r="D142" s="25"/>
      <c r="E142" s="25" t="s">
        <v>142</v>
      </c>
      <c r="F142" s="37" t="s">
        <v>144</v>
      </c>
      <c r="G142" s="34">
        <v>0</v>
      </c>
      <c r="H142" s="27" t="s">
        <v>142</v>
      </c>
    </row>
    <row r="143" spans="1:8" x14ac:dyDescent="0.2">
      <c r="A143" s="25"/>
      <c r="B143" s="25"/>
      <c r="C143" s="35"/>
      <c r="D143" s="25"/>
      <c r="E143" s="25"/>
      <c r="F143" s="36"/>
      <c r="G143" s="36"/>
      <c r="H143" s="27" t="s">
        <v>142</v>
      </c>
    </row>
    <row r="144" spans="1:8" x14ac:dyDescent="0.2">
      <c r="A144" s="25"/>
      <c r="B144" s="25"/>
      <c r="C144" s="26" t="s">
        <v>154</v>
      </c>
      <c r="D144" s="25"/>
      <c r="E144" s="25"/>
      <c r="F144" s="33">
        <v>33990.504000000001</v>
      </c>
      <c r="G144" s="34">
        <v>0.21741595999999999</v>
      </c>
      <c r="H144" s="27" t="s">
        <v>142</v>
      </c>
    </row>
    <row r="145" spans="1:8" x14ac:dyDescent="0.2">
      <c r="A145" s="25"/>
      <c r="B145" s="25"/>
      <c r="C145" s="35"/>
      <c r="D145" s="25"/>
      <c r="E145" s="25"/>
      <c r="F145" s="36"/>
      <c r="G145" s="36"/>
      <c r="H145" s="27" t="s">
        <v>142</v>
      </c>
    </row>
    <row r="146" spans="1:8" x14ac:dyDescent="0.2">
      <c r="A146" s="25"/>
      <c r="B146" s="25"/>
      <c r="C146" s="26" t="s">
        <v>155</v>
      </c>
      <c r="D146" s="25"/>
      <c r="E146" s="25"/>
      <c r="F146" s="36"/>
      <c r="G146" s="36"/>
      <c r="H146" s="27" t="s">
        <v>142</v>
      </c>
    </row>
    <row r="147" spans="1:8" x14ac:dyDescent="0.2">
      <c r="A147" s="25"/>
      <c r="B147" s="25"/>
      <c r="C147" s="26" t="s">
        <v>156</v>
      </c>
      <c r="D147" s="25"/>
      <c r="E147" s="25"/>
      <c r="F147" s="36"/>
      <c r="G147" s="36"/>
      <c r="H147" s="27" t="s">
        <v>142</v>
      </c>
    </row>
    <row r="148" spans="1:8" x14ac:dyDescent="0.2">
      <c r="A148" s="25"/>
      <c r="B148" s="25"/>
      <c r="C148" s="26" t="s">
        <v>141</v>
      </c>
      <c r="D148" s="25"/>
      <c r="E148" s="25" t="s">
        <v>142</v>
      </c>
      <c r="F148" s="37" t="s">
        <v>144</v>
      </c>
      <c r="G148" s="34">
        <v>0</v>
      </c>
      <c r="H148" s="27" t="s">
        <v>142</v>
      </c>
    </row>
    <row r="149" spans="1:8" x14ac:dyDescent="0.2">
      <c r="A149" s="25"/>
      <c r="B149" s="25"/>
      <c r="C149" s="35"/>
      <c r="D149" s="25"/>
      <c r="E149" s="25"/>
      <c r="F149" s="36"/>
      <c r="G149" s="36"/>
      <c r="H149" s="27" t="s">
        <v>142</v>
      </c>
    </row>
    <row r="150" spans="1:8" x14ac:dyDescent="0.2">
      <c r="A150" s="25"/>
      <c r="B150" s="25"/>
      <c r="C150" s="26" t="s">
        <v>157</v>
      </c>
      <c r="D150" s="25"/>
      <c r="E150" s="25"/>
      <c r="F150" s="36"/>
      <c r="G150" s="36"/>
      <c r="H150" s="27" t="s">
        <v>142</v>
      </c>
    </row>
    <row r="151" spans="1:8" x14ac:dyDescent="0.2">
      <c r="A151" s="25"/>
      <c r="B151" s="25"/>
      <c r="C151" s="26" t="s">
        <v>141</v>
      </c>
      <c r="D151" s="25"/>
      <c r="E151" s="25" t="s">
        <v>142</v>
      </c>
      <c r="F151" s="37" t="s">
        <v>144</v>
      </c>
      <c r="G151" s="34">
        <v>0</v>
      </c>
      <c r="H151" s="27" t="s">
        <v>142</v>
      </c>
    </row>
    <row r="152" spans="1:8" x14ac:dyDescent="0.2">
      <c r="A152" s="25"/>
      <c r="B152" s="25"/>
      <c r="C152" s="35"/>
      <c r="D152" s="25"/>
      <c r="E152" s="25"/>
      <c r="F152" s="36"/>
      <c r="G152" s="36"/>
      <c r="H152" s="27" t="s">
        <v>142</v>
      </c>
    </row>
    <row r="153" spans="1:8" x14ac:dyDescent="0.2">
      <c r="A153" s="25"/>
      <c r="B153" s="25"/>
      <c r="C153" s="26" t="s">
        <v>158</v>
      </c>
      <c r="D153" s="25"/>
      <c r="E153" s="25"/>
      <c r="F153" s="36"/>
      <c r="G153" s="36"/>
      <c r="H153" s="27" t="s">
        <v>142</v>
      </c>
    </row>
    <row r="154" spans="1:8" x14ac:dyDescent="0.2">
      <c r="A154" s="25"/>
      <c r="B154" s="25"/>
      <c r="C154" s="26" t="s">
        <v>141</v>
      </c>
      <c r="D154" s="25"/>
      <c r="E154" s="25" t="s">
        <v>142</v>
      </c>
      <c r="F154" s="37" t="s">
        <v>144</v>
      </c>
      <c r="G154" s="34">
        <v>0</v>
      </c>
      <c r="H154" s="27" t="s">
        <v>142</v>
      </c>
    </row>
    <row r="155" spans="1:8" x14ac:dyDescent="0.2">
      <c r="A155" s="25"/>
      <c r="B155" s="25"/>
      <c r="C155" s="35"/>
      <c r="D155" s="25"/>
      <c r="E155" s="25"/>
      <c r="F155" s="36"/>
      <c r="G155" s="36"/>
      <c r="H155" s="27" t="s">
        <v>142</v>
      </c>
    </row>
    <row r="156" spans="1:8" x14ac:dyDescent="0.2">
      <c r="A156" s="25"/>
      <c r="B156" s="25"/>
      <c r="C156" s="26" t="s">
        <v>159</v>
      </c>
      <c r="D156" s="25"/>
      <c r="E156" s="25"/>
      <c r="F156" s="36"/>
      <c r="G156" s="36"/>
      <c r="H156" s="27" t="s">
        <v>142</v>
      </c>
    </row>
    <row r="157" spans="1:8" x14ac:dyDescent="0.2">
      <c r="A157" s="28">
        <v>1</v>
      </c>
      <c r="B157" s="29"/>
      <c r="C157" s="29" t="s">
        <v>160</v>
      </c>
      <c r="D157" s="29"/>
      <c r="E157" s="39"/>
      <c r="F157" s="31">
        <v>8956.0814753750001</v>
      </c>
      <c r="G157" s="32">
        <v>5.7286450000000003E-2</v>
      </c>
      <c r="H157" s="27">
        <v>5.76</v>
      </c>
    </row>
    <row r="158" spans="1:8" x14ac:dyDescent="0.2">
      <c r="A158" s="25"/>
      <c r="B158" s="25"/>
      <c r="C158" s="26" t="s">
        <v>141</v>
      </c>
      <c r="D158" s="25"/>
      <c r="E158" s="25" t="s">
        <v>142</v>
      </c>
      <c r="F158" s="33">
        <v>8956.0814753750001</v>
      </c>
      <c r="G158" s="34">
        <v>5.7286450000000003E-2</v>
      </c>
      <c r="H158" s="27" t="s">
        <v>142</v>
      </c>
    </row>
    <row r="159" spans="1:8" x14ac:dyDescent="0.2">
      <c r="A159" s="25"/>
      <c r="B159" s="25"/>
      <c r="C159" s="35"/>
      <c r="D159" s="25"/>
      <c r="E159" s="25"/>
      <c r="F159" s="36"/>
      <c r="G159" s="36"/>
      <c r="H159" s="27" t="s">
        <v>142</v>
      </c>
    </row>
    <row r="160" spans="1:8" x14ac:dyDescent="0.2">
      <c r="A160" s="25"/>
      <c r="B160" s="25"/>
      <c r="C160" s="26" t="s">
        <v>161</v>
      </c>
      <c r="D160" s="25"/>
      <c r="E160" s="25"/>
      <c r="F160" s="33">
        <v>8956.0814753750001</v>
      </c>
      <c r="G160" s="34">
        <v>5.7286450000000003E-2</v>
      </c>
      <c r="H160" s="27" t="s">
        <v>142</v>
      </c>
    </row>
    <row r="161" spans="1:8" x14ac:dyDescent="0.2">
      <c r="A161" s="25"/>
      <c r="B161" s="25"/>
      <c r="C161" s="36"/>
      <c r="D161" s="25"/>
      <c r="E161" s="25"/>
      <c r="F161" s="25"/>
      <c r="G161" s="25"/>
      <c r="H161" s="27" t="s">
        <v>142</v>
      </c>
    </row>
    <row r="162" spans="1:8" x14ac:dyDescent="0.2">
      <c r="A162" s="25"/>
      <c r="B162" s="25"/>
      <c r="C162" s="26" t="s">
        <v>162</v>
      </c>
      <c r="D162" s="25"/>
      <c r="E162" s="25"/>
      <c r="F162" s="25"/>
      <c r="G162" s="25"/>
      <c r="H162" s="27" t="s">
        <v>142</v>
      </c>
    </row>
    <row r="163" spans="1:8" x14ac:dyDescent="0.2">
      <c r="A163" s="25"/>
      <c r="B163" s="25"/>
      <c r="C163" s="26" t="s">
        <v>163</v>
      </c>
      <c r="D163" s="25"/>
      <c r="E163" s="25"/>
      <c r="F163" s="25"/>
      <c r="G163" s="25"/>
      <c r="H163" s="27" t="s">
        <v>142</v>
      </c>
    </row>
    <row r="164" spans="1:8" x14ac:dyDescent="0.2">
      <c r="A164" s="25"/>
      <c r="B164" s="25"/>
      <c r="C164" s="26" t="s">
        <v>141</v>
      </c>
      <c r="D164" s="25"/>
      <c r="E164" s="25" t="s">
        <v>142</v>
      </c>
      <c r="F164" s="37" t="s">
        <v>144</v>
      </c>
      <c r="G164" s="34">
        <v>0</v>
      </c>
      <c r="H164" s="27" t="s">
        <v>142</v>
      </c>
    </row>
    <row r="165" spans="1:8" x14ac:dyDescent="0.2">
      <c r="A165" s="25"/>
      <c r="B165" s="25"/>
      <c r="C165" s="35"/>
      <c r="D165" s="25"/>
      <c r="E165" s="25"/>
      <c r="F165" s="36"/>
      <c r="G165" s="36"/>
      <c r="H165" s="27" t="s">
        <v>142</v>
      </c>
    </row>
    <row r="166" spans="1:8" x14ac:dyDescent="0.2">
      <c r="A166" s="25"/>
      <c r="B166" s="25"/>
      <c r="C166" s="26" t="s">
        <v>164</v>
      </c>
      <c r="D166" s="25"/>
      <c r="E166" s="25"/>
      <c r="F166" s="25"/>
      <c r="G166" s="25"/>
      <c r="H166" s="27" t="s">
        <v>142</v>
      </c>
    </row>
    <row r="167" spans="1:8" x14ac:dyDescent="0.2">
      <c r="A167" s="25"/>
      <c r="B167" s="25"/>
      <c r="C167" s="26" t="s">
        <v>165</v>
      </c>
      <c r="D167" s="25"/>
      <c r="E167" s="25"/>
      <c r="F167" s="25"/>
      <c r="G167" s="25"/>
      <c r="H167" s="27" t="s">
        <v>142</v>
      </c>
    </row>
    <row r="168" spans="1:8" x14ac:dyDescent="0.2">
      <c r="A168" s="25"/>
      <c r="B168" s="25"/>
      <c r="C168" s="26" t="s">
        <v>141</v>
      </c>
      <c r="D168" s="25"/>
      <c r="E168" s="25" t="s">
        <v>142</v>
      </c>
      <c r="F168" s="37" t="s">
        <v>144</v>
      </c>
      <c r="G168" s="34">
        <v>0</v>
      </c>
      <c r="H168" s="27" t="s">
        <v>142</v>
      </c>
    </row>
    <row r="169" spans="1:8" x14ac:dyDescent="0.2">
      <c r="A169" s="25"/>
      <c r="B169" s="25"/>
      <c r="C169" s="35"/>
      <c r="D169" s="25"/>
      <c r="E169" s="25"/>
      <c r="F169" s="36"/>
      <c r="G169" s="36"/>
      <c r="H169" s="27" t="s">
        <v>142</v>
      </c>
    </row>
    <row r="170" spans="1:8" x14ac:dyDescent="0.2">
      <c r="A170" s="25"/>
      <c r="B170" s="25"/>
      <c r="C170" s="26" t="s">
        <v>166</v>
      </c>
      <c r="D170" s="25"/>
      <c r="E170" s="25"/>
      <c r="F170" s="36"/>
      <c r="G170" s="36"/>
      <c r="H170" s="27" t="s">
        <v>142</v>
      </c>
    </row>
    <row r="171" spans="1:8" x14ac:dyDescent="0.2">
      <c r="A171" s="25"/>
      <c r="B171" s="25"/>
      <c r="C171" s="26" t="s">
        <v>141</v>
      </c>
      <c r="D171" s="25"/>
      <c r="E171" s="25" t="s">
        <v>142</v>
      </c>
      <c r="F171" s="37" t="s">
        <v>144</v>
      </c>
      <c r="G171" s="34">
        <v>0</v>
      </c>
      <c r="H171" s="27" t="s">
        <v>142</v>
      </c>
    </row>
    <row r="172" spans="1:8" x14ac:dyDescent="0.2">
      <c r="A172" s="25"/>
      <c r="B172" s="25"/>
      <c r="C172" s="35"/>
      <c r="D172" s="25"/>
      <c r="E172" s="25"/>
      <c r="F172" s="36"/>
      <c r="G172" s="36"/>
      <c r="H172" s="27" t="s">
        <v>142</v>
      </c>
    </row>
    <row r="173" spans="1:8" x14ac:dyDescent="0.2">
      <c r="A173" s="39"/>
      <c r="B173" s="29"/>
      <c r="C173" s="29" t="s">
        <v>618</v>
      </c>
      <c r="D173" s="29"/>
      <c r="E173" s="39"/>
      <c r="F173" s="31">
        <v>444.03455960000002</v>
      </c>
      <c r="G173" s="32">
        <v>2.8402100000000001E-3</v>
      </c>
      <c r="H173" s="27" t="s">
        <v>142</v>
      </c>
    </row>
    <row r="174" spans="1:8" x14ac:dyDescent="0.2">
      <c r="A174" s="39"/>
      <c r="B174" s="29"/>
      <c r="C174" s="29" t="s">
        <v>1092</v>
      </c>
      <c r="D174" s="29"/>
      <c r="E174" s="39"/>
      <c r="F174" s="31">
        <f>21017.07814704+F110</f>
        <v>715.80610703999628</v>
      </c>
      <c r="G174" s="32">
        <f>F174/F175</f>
        <v>4.5785634076144265E-3</v>
      </c>
      <c r="H174" s="27" t="s">
        <v>142</v>
      </c>
    </row>
    <row r="175" spans="1:8" x14ac:dyDescent="0.2">
      <c r="A175" s="35"/>
      <c r="B175" s="35"/>
      <c r="C175" s="26" t="s">
        <v>168</v>
      </c>
      <c r="D175" s="36"/>
      <c r="E175" s="36"/>
      <c r="F175" s="33">
        <f>F174+F173+F160+F144+F112</f>
        <v>156338.58119111502</v>
      </c>
      <c r="G175" s="40">
        <f>G174+G173+G160+G144+G112</f>
        <v>1.000000020751211</v>
      </c>
      <c r="H175" s="27" t="s">
        <v>142</v>
      </c>
    </row>
    <row r="176" spans="1:8" x14ac:dyDescent="0.2">
      <c r="A176" s="41"/>
      <c r="B176" s="41"/>
      <c r="C176" s="41"/>
      <c r="D176" s="42"/>
      <c r="E176" s="42"/>
      <c r="F176" s="42"/>
      <c r="G176" s="42"/>
    </row>
    <row r="177" spans="1:17" x14ac:dyDescent="0.2">
      <c r="A177" s="43"/>
      <c r="B177" s="210" t="s">
        <v>879</v>
      </c>
      <c r="C177" s="210"/>
      <c r="D177" s="210"/>
      <c r="E177" s="210"/>
      <c r="F177" s="210"/>
      <c r="G177" s="210"/>
      <c r="H177" s="210"/>
      <c r="J177" s="45"/>
    </row>
    <row r="178" spans="1:17" x14ac:dyDescent="0.2">
      <c r="A178" s="43"/>
      <c r="B178" s="210" t="s">
        <v>880</v>
      </c>
      <c r="C178" s="210"/>
      <c r="D178" s="210"/>
      <c r="E178" s="210"/>
      <c r="F178" s="210"/>
      <c r="G178" s="210"/>
      <c r="H178" s="210"/>
      <c r="J178" s="45"/>
    </row>
    <row r="179" spans="1:17" x14ac:dyDescent="0.2">
      <c r="A179" s="43"/>
      <c r="B179" s="210" t="s">
        <v>881</v>
      </c>
      <c r="C179" s="210"/>
      <c r="D179" s="210"/>
      <c r="E179" s="210"/>
      <c r="F179" s="210"/>
      <c r="G179" s="210"/>
      <c r="H179" s="210"/>
      <c r="J179" s="45"/>
    </row>
    <row r="180" spans="1:17" s="47" customFormat="1" ht="66.75" customHeight="1" x14ac:dyDescent="0.25">
      <c r="A180" s="46"/>
      <c r="B180" s="211" t="s">
        <v>882</v>
      </c>
      <c r="C180" s="211"/>
      <c r="D180" s="211"/>
      <c r="E180" s="211"/>
      <c r="F180" s="211"/>
      <c r="G180" s="211"/>
      <c r="H180" s="211"/>
      <c r="I180"/>
      <c r="J180" s="45"/>
      <c r="K180"/>
      <c r="L180"/>
      <c r="M180"/>
      <c r="N180"/>
      <c r="O180"/>
      <c r="P180"/>
      <c r="Q180"/>
    </row>
    <row r="181" spans="1:17" x14ac:dyDescent="0.2">
      <c r="A181" s="43"/>
      <c r="B181" s="210" t="s">
        <v>883</v>
      </c>
      <c r="C181" s="210"/>
      <c r="D181" s="210"/>
      <c r="E181" s="210"/>
      <c r="F181" s="210"/>
      <c r="G181" s="210"/>
      <c r="H181" s="210"/>
      <c r="J181" s="45"/>
    </row>
    <row r="182" spans="1:17" x14ac:dyDescent="0.2">
      <c r="A182" s="48"/>
      <c r="B182" s="48"/>
      <c r="C182" s="48"/>
      <c r="D182" s="49"/>
      <c r="E182" s="49"/>
      <c r="F182" s="49"/>
      <c r="G182" s="49"/>
    </row>
    <row r="183" spans="1:17" x14ac:dyDescent="0.2">
      <c r="A183" s="48"/>
      <c r="B183" s="212" t="s">
        <v>169</v>
      </c>
      <c r="C183" s="213"/>
      <c r="D183" s="214"/>
      <c r="E183" s="50"/>
      <c r="F183" s="49"/>
      <c r="G183" s="49"/>
    </row>
    <row r="184" spans="1:17" ht="27.75" customHeight="1" x14ac:dyDescent="0.2">
      <c r="A184" s="48"/>
      <c r="B184" s="215" t="s">
        <v>170</v>
      </c>
      <c r="C184" s="216"/>
      <c r="D184" s="26" t="s">
        <v>171</v>
      </c>
      <c r="E184" s="50"/>
      <c r="F184" s="49"/>
      <c r="G184" s="49"/>
    </row>
    <row r="185" spans="1:17" ht="12.75" customHeight="1" x14ac:dyDescent="0.2">
      <c r="A185" s="43"/>
      <c r="B185" s="217" t="s">
        <v>884</v>
      </c>
      <c r="C185" s="218"/>
      <c r="D185" s="26" t="s">
        <v>171</v>
      </c>
      <c r="E185" s="52"/>
      <c r="F185" s="53"/>
      <c r="G185" s="53"/>
    </row>
    <row r="186" spans="1:17" x14ac:dyDescent="0.2">
      <c r="A186" s="48"/>
      <c r="B186" s="215" t="s">
        <v>172</v>
      </c>
      <c r="C186" s="216"/>
      <c r="D186" s="36" t="s">
        <v>142</v>
      </c>
      <c r="E186" s="50"/>
      <c r="F186" s="49"/>
      <c r="G186" s="49"/>
    </row>
    <row r="187" spans="1:17" x14ac:dyDescent="0.2">
      <c r="A187" s="54"/>
      <c r="B187" s="55" t="s">
        <v>142</v>
      </c>
      <c r="C187" s="55" t="s">
        <v>885</v>
      </c>
      <c r="D187" s="55" t="s">
        <v>173</v>
      </c>
      <c r="E187" s="54"/>
      <c r="F187" s="54"/>
      <c r="G187" s="54"/>
      <c r="H187" s="54"/>
      <c r="J187" s="45"/>
    </row>
    <row r="188" spans="1:17" x14ac:dyDescent="0.2">
      <c r="A188" s="54"/>
      <c r="B188" s="56" t="s">
        <v>174</v>
      </c>
      <c r="C188" s="57">
        <v>45777</v>
      </c>
      <c r="D188" s="57">
        <v>45808</v>
      </c>
      <c r="E188" s="54"/>
      <c r="F188" s="54"/>
      <c r="G188" s="54"/>
      <c r="J188" s="45"/>
    </row>
    <row r="189" spans="1:17" x14ac:dyDescent="0.2">
      <c r="A189" s="58"/>
      <c r="B189" s="38" t="s">
        <v>175</v>
      </c>
      <c r="C189" s="59">
        <v>40.201300000000003</v>
      </c>
      <c r="D189" s="59">
        <v>40.788600000000002</v>
      </c>
      <c r="E189" s="58"/>
      <c r="F189" s="60"/>
      <c r="G189" s="61"/>
    </row>
    <row r="190" spans="1:17" ht="25.5" x14ac:dyDescent="0.2">
      <c r="A190" s="58"/>
      <c r="B190" s="38" t="s">
        <v>1008</v>
      </c>
      <c r="C190" s="59">
        <v>19.005199999999999</v>
      </c>
      <c r="D190" s="59">
        <v>19.1434</v>
      </c>
      <c r="E190" s="58"/>
      <c r="F190" s="60"/>
      <c r="G190" s="61"/>
    </row>
    <row r="191" spans="1:17" x14ac:dyDescent="0.2">
      <c r="A191" s="58"/>
      <c r="B191" s="38" t="s">
        <v>177</v>
      </c>
      <c r="C191" s="59">
        <v>34.3782</v>
      </c>
      <c r="D191" s="59">
        <v>34.837200000000003</v>
      </c>
      <c r="E191" s="58"/>
      <c r="F191" s="60"/>
      <c r="G191" s="61"/>
    </row>
    <row r="192" spans="1:17" ht="25.5" x14ac:dyDescent="0.2">
      <c r="A192" s="58"/>
      <c r="B192" s="38" t="s">
        <v>1009</v>
      </c>
      <c r="C192" s="59">
        <v>15.5967</v>
      </c>
      <c r="D192" s="59">
        <v>15.6905</v>
      </c>
      <c r="E192" s="58"/>
      <c r="F192" s="60"/>
      <c r="G192" s="61"/>
    </row>
    <row r="193" spans="1:7" x14ac:dyDescent="0.2">
      <c r="A193" s="58"/>
      <c r="B193" s="58"/>
      <c r="C193" s="58"/>
      <c r="D193" s="58"/>
      <c r="E193" s="58"/>
      <c r="F193" s="58"/>
      <c r="G193" s="58"/>
    </row>
    <row r="194" spans="1:7" x14ac:dyDescent="0.2">
      <c r="A194" s="58"/>
      <c r="B194" s="215" t="s">
        <v>887</v>
      </c>
      <c r="C194" s="216"/>
      <c r="D194" s="26" t="s">
        <v>142</v>
      </c>
      <c r="E194" s="58"/>
      <c r="F194" s="58"/>
      <c r="G194" s="58"/>
    </row>
    <row r="195" spans="1:7" x14ac:dyDescent="0.2">
      <c r="A195" s="58"/>
      <c r="B195" s="106" t="s">
        <v>174</v>
      </c>
      <c r="C195" s="107" t="s">
        <v>619</v>
      </c>
      <c r="D195" s="107" t="s">
        <v>620</v>
      </c>
      <c r="E195" s="58"/>
      <c r="F195" s="58"/>
      <c r="G195" s="58"/>
    </row>
    <row r="196" spans="1:7" ht="25.5" x14ac:dyDescent="0.2">
      <c r="A196" s="58"/>
      <c r="B196" s="38" t="s">
        <v>1008</v>
      </c>
      <c r="C196" s="108">
        <v>0.14000000000000001</v>
      </c>
      <c r="D196" s="108" t="s">
        <v>657</v>
      </c>
      <c r="E196" s="58"/>
      <c r="F196" s="60"/>
      <c r="G196" s="61"/>
    </row>
    <row r="197" spans="1:7" ht="25.5" x14ac:dyDescent="0.2">
      <c r="A197" s="58"/>
      <c r="B197" s="38" t="s">
        <v>1009</v>
      </c>
      <c r="C197" s="108">
        <v>0.115</v>
      </c>
      <c r="D197" s="108">
        <v>0.115</v>
      </c>
      <c r="E197" s="58"/>
      <c r="F197" s="60"/>
      <c r="G197" s="61"/>
    </row>
    <row r="198" spans="1:7" x14ac:dyDescent="0.2">
      <c r="A198" s="58"/>
      <c r="B198" s="109"/>
      <c r="C198" s="109"/>
      <c r="D198" s="110"/>
      <c r="E198" s="58"/>
      <c r="F198" s="60"/>
      <c r="G198" s="61"/>
    </row>
    <row r="199" spans="1:7" ht="29.1" customHeight="1" x14ac:dyDescent="0.2">
      <c r="A199" s="54"/>
      <c r="B199" s="217" t="s">
        <v>180</v>
      </c>
      <c r="C199" s="218"/>
      <c r="D199" s="51" t="s">
        <v>999</v>
      </c>
      <c r="E199" s="65"/>
      <c r="F199" s="54"/>
      <c r="G199" s="54"/>
    </row>
    <row r="200" spans="1:7" ht="29.1" customHeight="1" x14ac:dyDescent="0.2">
      <c r="A200" s="54"/>
      <c r="B200" s="217" t="s">
        <v>181</v>
      </c>
      <c r="C200" s="218"/>
      <c r="D200" s="51" t="s">
        <v>171</v>
      </c>
      <c r="E200" s="65"/>
      <c r="F200" s="54"/>
      <c r="G200" s="54"/>
    </row>
    <row r="201" spans="1:7" ht="17.100000000000001" customHeight="1" x14ac:dyDescent="0.2">
      <c r="A201" s="54"/>
      <c r="B201" s="217" t="s">
        <v>182</v>
      </c>
      <c r="C201" s="218"/>
      <c r="D201" s="51" t="s">
        <v>171</v>
      </c>
      <c r="E201" s="65"/>
      <c r="F201" s="54"/>
      <c r="G201" s="54"/>
    </row>
    <row r="202" spans="1:7" ht="17.100000000000001" customHeight="1" x14ac:dyDescent="0.2">
      <c r="A202" s="54"/>
      <c r="B202" s="217" t="s">
        <v>183</v>
      </c>
      <c r="C202" s="218"/>
      <c r="D202" s="66">
        <v>2.8371334189683739</v>
      </c>
      <c r="E202" s="54"/>
      <c r="F202" s="44"/>
      <c r="G202" s="64"/>
    </row>
    <row r="204" spans="1:7" x14ac:dyDescent="0.2">
      <c r="B204" s="245" t="s">
        <v>968</v>
      </c>
      <c r="C204" s="246"/>
      <c r="D204" s="247"/>
      <c r="F204" s="54"/>
      <c r="G204" s="54"/>
    </row>
    <row r="205" spans="1:7" ht="25.5" x14ac:dyDescent="0.2">
      <c r="B205" s="248" t="s">
        <v>969</v>
      </c>
      <c r="C205" s="248"/>
      <c r="D205" s="88" t="s">
        <v>647</v>
      </c>
    </row>
    <row r="206" spans="1:7" x14ac:dyDescent="0.2">
      <c r="B206" s="248" t="s">
        <v>970</v>
      </c>
      <c r="C206" s="248"/>
      <c r="D206" s="72"/>
    </row>
    <row r="207" spans="1:7" x14ac:dyDescent="0.2">
      <c r="B207" s="249"/>
      <c r="C207" s="250"/>
      <c r="D207" s="73"/>
    </row>
    <row r="208" spans="1:7" x14ac:dyDescent="0.2">
      <c r="B208" s="248" t="s">
        <v>971</v>
      </c>
      <c r="C208" s="248"/>
      <c r="D208" s="74">
        <v>6.348321376799773</v>
      </c>
    </row>
    <row r="209" spans="2:4" x14ac:dyDescent="0.2">
      <c r="B209" s="249"/>
      <c r="C209" s="250"/>
      <c r="D209" s="73"/>
    </row>
    <row r="210" spans="2:4" x14ac:dyDescent="0.2">
      <c r="B210" s="248" t="s">
        <v>972</v>
      </c>
      <c r="C210" s="248"/>
      <c r="D210" s="74">
        <v>4.1234441905936796</v>
      </c>
    </row>
    <row r="211" spans="2:4" x14ac:dyDescent="0.2">
      <c r="B211" s="248" t="s">
        <v>973</v>
      </c>
      <c r="C211" s="248"/>
      <c r="D211" s="74">
        <v>6.201155035238811</v>
      </c>
    </row>
    <row r="212" spans="2:4" x14ac:dyDescent="0.2">
      <c r="B212" s="249"/>
      <c r="C212" s="250"/>
      <c r="D212" s="73"/>
    </row>
    <row r="213" spans="2:4" x14ac:dyDescent="0.2">
      <c r="B213" s="248" t="s">
        <v>974</v>
      </c>
      <c r="C213" s="248"/>
      <c r="D213" s="75" t="s">
        <v>1091</v>
      </c>
    </row>
    <row r="214" spans="2:4" x14ac:dyDescent="0.2">
      <c r="B214" s="249" t="s">
        <v>975</v>
      </c>
      <c r="C214" s="251"/>
      <c r="D214" s="250"/>
    </row>
    <row r="216" spans="2:4" x14ac:dyDescent="0.2">
      <c r="B216" s="219" t="s">
        <v>888</v>
      </c>
      <c r="C216" s="219"/>
    </row>
    <row r="218" spans="2:4" ht="153.75" customHeight="1" x14ac:dyDescent="0.2"/>
    <row r="221" spans="2:4" x14ac:dyDescent="0.2">
      <c r="B221" s="67" t="s">
        <v>889</v>
      </c>
      <c r="C221" s="68"/>
      <c r="D221" s="67"/>
    </row>
    <row r="222" spans="2:4" x14ac:dyDescent="0.2">
      <c r="B222" s="67" t="s">
        <v>1010</v>
      </c>
      <c r="D222" s="67"/>
    </row>
    <row r="223" spans="2:4" ht="165" customHeight="1" x14ac:dyDescent="0.2"/>
    <row r="225" spans="10:10" x14ac:dyDescent="0.2">
      <c r="J225" s="24"/>
    </row>
  </sheetData>
  <mergeCells count="29">
    <mergeCell ref="B202:C202"/>
    <mergeCell ref="B199:C199"/>
    <mergeCell ref="B204:D204"/>
    <mergeCell ref="B185:C185"/>
    <mergeCell ref="B186:C186"/>
    <mergeCell ref="B194:C194"/>
    <mergeCell ref="B200:C200"/>
    <mergeCell ref="B201:C201"/>
    <mergeCell ref="B179:H179"/>
    <mergeCell ref="B180:H180"/>
    <mergeCell ref="B181:H181"/>
    <mergeCell ref="B183:D183"/>
    <mergeCell ref="B184:C184"/>
    <mergeCell ref="A1:H1"/>
    <mergeCell ref="A2:H2"/>
    <mergeCell ref="A3:H3"/>
    <mergeCell ref="B177:H177"/>
    <mergeCell ref="B178:H178"/>
    <mergeCell ref="B205:C205"/>
    <mergeCell ref="B206:C206"/>
    <mergeCell ref="B207:C207"/>
    <mergeCell ref="B208:C208"/>
    <mergeCell ref="B209:C209"/>
    <mergeCell ref="B216:C216"/>
    <mergeCell ref="B210:C210"/>
    <mergeCell ref="B211:C211"/>
    <mergeCell ref="B212:C212"/>
    <mergeCell ref="B213:C213"/>
    <mergeCell ref="B214:D214"/>
  </mergeCells>
  <hyperlinks>
    <hyperlink ref="I1" location="Index!B2" display="Index" xr:uid="{FF732345-4BB3-4FB2-BB24-95D1742DE2C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84FF-B17E-4000-99BC-D07FE256A500}">
  <sheetPr>
    <outlinePr summaryBelow="0" summaryRight="0"/>
  </sheetPr>
  <dimension ref="A1:S165"/>
  <sheetViews>
    <sheetView showGridLines="0" workbookViewId="0">
      <selection activeCell="D162" sqref="D162"/>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658</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375000</v>
      </c>
      <c r="F7" s="31">
        <v>7293.375</v>
      </c>
      <c r="G7" s="32">
        <v>8.1517930000000002E-2</v>
      </c>
      <c r="H7" s="27" t="s">
        <v>142</v>
      </c>
    </row>
    <row r="8" spans="1:9" x14ac:dyDescent="0.2">
      <c r="A8" s="28">
        <v>2</v>
      </c>
      <c r="B8" s="29" t="s">
        <v>26</v>
      </c>
      <c r="C8" s="29" t="s">
        <v>27</v>
      </c>
      <c r="D8" s="29" t="s">
        <v>28</v>
      </c>
      <c r="E8" s="30">
        <v>300000</v>
      </c>
      <c r="F8" s="31">
        <v>4337.3999999999996</v>
      </c>
      <c r="G8" s="32">
        <v>4.8479050000000003E-2</v>
      </c>
      <c r="H8" s="27" t="s">
        <v>142</v>
      </c>
    </row>
    <row r="9" spans="1:9" x14ac:dyDescent="0.2">
      <c r="A9" s="28">
        <v>3</v>
      </c>
      <c r="B9" s="29" t="s">
        <v>20</v>
      </c>
      <c r="C9" s="29" t="s">
        <v>21</v>
      </c>
      <c r="D9" s="29" t="s">
        <v>22</v>
      </c>
      <c r="E9" s="30">
        <v>950000</v>
      </c>
      <c r="F9" s="31">
        <v>3172.05</v>
      </c>
      <c r="G9" s="32">
        <v>3.5453949999999998E-2</v>
      </c>
      <c r="H9" s="27" t="s">
        <v>142</v>
      </c>
    </row>
    <row r="10" spans="1:9" x14ac:dyDescent="0.2">
      <c r="A10" s="28">
        <v>4</v>
      </c>
      <c r="B10" s="29" t="s">
        <v>323</v>
      </c>
      <c r="C10" s="29" t="s">
        <v>324</v>
      </c>
      <c r="D10" s="29" t="s">
        <v>200</v>
      </c>
      <c r="E10" s="30">
        <v>190000</v>
      </c>
      <c r="F10" s="31">
        <v>2969.13</v>
      </c>
      <c r="G10" s="32">
        <v>3.3185920000000001E-2</v>
      </c>
      <c r="H10" s="27" t="s">
        <v>142</v>
      </c>
    </row>
    <row r="11" spans="1:9" x14ac:dyDescent="0.2">
      <c r="A11" s="28">
        <v>5</v>
      </c>
      <c r="B11" s="29" t="s">
        <v>32</v>
      </c>
      <c r="C11" s="29" t="s">
        <v>33</v>
      </c>
      <c r="D11" s="29" t="s">
        <v>22</v>
      </c>
      <c r="E11" s="30">
        <v>875000</v>
      </c>
      <c r="F11" s="31">
        <v>2535.3125</v>
      </c>
      <c r="G11" s="32">
        <v>2.8337149999999998E-2</v>
      </c>
      <c r="H11" s="27" t="s">
        <v>142</v>
      </c>
    </row>
    <row r="12" spans="1:9" x14ac:dyDescent="0.2">
      <c r="A12" s="28">
        <v>6</v>
      </c>
      <c r="B12" s="29" t="s">
        <v>343</v>
      </c>
      <c r="C12" s="29" t="s">
        <v>344</v>
      </c>
      <c r="D12" s="29" t="s">
        <v>345</v>
      </c>
      <c r="E12" s="30">
        <v>600000</v>
      </c>
      <c r="F12" s="31">
        <v>2508.3000000000002</v>
      </c>
      <c r="G12" s="32">
        <v>2.8035230000000001E-2</v>
      </c>
      <c r="H12" s="27" t="s">
        <v>142</v>
      </c>
    </row>
    <row r="13" spans="1:9" x14ac:dyDescent="0.2">
      <c r="A13" s="28">
        <v>7</v>
      </c>
      <c r="B13" s="29" t="s">
        <v>14</v>
      </c>
      <c r="C13" s="29" t="s">
        <v>15</v>
      </c>
      <c r="D13" s="29" t="s">
        <v>16</v>
      </c>
      <c r="E13" s="30">
        <v>170000</v>
      </c>
      <c r="F13" s="31">
        <v>2415.5300000000002</v>
      </c>
      <c r="G13" s="32">
        <v>2.6998339999999999E-2</v>
      </c>
      <c r="H13" s="27" t="s">
        <v>142</v>
      </c>
    </row>
    <row r="14" spans="1:9" x14ac:dyDescent="0.2">
      <c r="A14" s="89">
        <v>8</v>
      </c>
      <c r="B14" s="38" t="s">
        <v>1001</v>
      </c>
      <c r="C14" s="38" t="s">
        <v>1002</v>
      </c>
      <c r="D14" s="38" t="s">
        <v>58</v>
      </c>
      <c r="E14" s="90">
        <v>625000</v>
      </c>
      <c r="F14" s="91">
        <f>23.8375*100</f>
        <v>2383.75</v>
      </c>
      <c r="G14" s="92">
        <f>F14/F125</f>
        <v>2.6643134614781194E-2</v>
      </c>
      <c r="H14" s="27" t="s">
        <v>142</v>
      </c>
    </row>
    <row r="15" spans="1:9" x14ac:dyDescent="0.2">
      <c r="A15" s="28">
        <v>9</v>
      </c>
      <c r="B15" s="29" t="s">
        <v>498</v>
      </c>
      <c r="C15" s="29" t="s">
        <v>499</v>
      </c>
      <c r="D15" s="29" t="s">
        <v>254</v>
      </c>
      <c r="E15" s="30">
        <v>19000</v>
      </c>
      <c r="F15" s="31">
        <v>2340.61</v>
      </c>
      <c r="G15" s="32">
        <v>2.616096E-2</v>
      </c>
      <c r="H15" s="27" t="s">
        <v>142</v>
      </c>
    </row>
    <row r="16" spans="1:9" x14ac:dyDescent="0.2">
      <c r="A16" s="28">
        <v>10</v>
      </c>
      <c r="B16" s="29" t="s">
        <v>46</v>
      </c>
      <c r="C16" s="29" t="s">
        <v>47</v>
      </c>
      <c r="D16" s="29" t="s">
        <v>28</v>
      </c>
      <c r="E16" s="30">
        <v>280000</v>
      </c>
      <c r="F16" s="31">
        <v>2274.44</v>
      </c>
      <c r="G16" s="32">
        <v>2.542138E-2</v>
      </c>
      <c r="H16" s="27" t="s">
        <v>142</v>
      </c>
    </row>
    <row r="17" spans="1:8" x14ac:dyDescent="0.2">
      <c r="A17" s="28">
        <v>11</v>
      </c>
      <c r="B17" s="29" t="s">
        <v>68</v>
      </c>
      <c r="C17" s="29" t="s">
        <v>69</v>
      </c>
      <c r="D17" s="29" t="s">
        <v>70</v>
      </c>
      <c r="E17" s="30">
        <v>950000</v>
      </c>
      <c r="F17" s="31">
        <v>2274.3000000000002</v>
      </c>
      <c r="G17" s="32">
        <v>2.5419810000000001E-2</v>
      </c>
      <c r="H17" s="27" t="s">
        <v>142</v>
      </c>
    </row>
    <row r="18" spans="1:8" x14ac:dyDescent="0.2">
      <c r="A18" s="28">
        <v>12</v>
      </c>
      <c r="B18" s="29" t="s">
        <v>358</v>
      </c>
      <c r="C18" s="29" t="s">
        <v>359</v>
      </c>
      <c r="D18" s="29" t="s">
        <v>200</v>
      </c>
      <c r="E18" s="30">
        <v>65000</v>
      </c>
      <c r="F18" s="31">
        <v>2251.21</v>
      </c>
      <c r="G18" s="32">
        <v>2.5161739999999998E-2</v>
      </c>
      <c r="H18" s="27" t="s">
        <v>142</v>
      </c>
    </row>
    <row r="19" spans="1:8" x14ac:dyDescent="0.2">
      <c r="A19" s="28">
        <v>13</v>
      </c>
      <c r="B19" s="29" t="s">
        <v>11</v>
      </c>
      <c r="C19" s="29" t="s">
        <v>12</v>
      </c>
      <c r="D19" s="29" t="s">
        <v>13</v>
      </c>
      <c r="E19" s="30">
        <v>115000</v>
      </c>
      <c r="F19" s="31">
        <v>2134.63</v>
      </c>
      <c r="G19" s="32">
        <v>2.385872E-2</v>
      </c>
      <c r="H19" s="27" t="s">
        <v>142</v>
      </c>
    </row>
    <row r="20" spans="1:8" x14ac:dyDescent="0.2">
      <c r="A20" s="28">
        <v>14</v>
      </c>
      <c r="B20" s="29" t="s">
        <v>17</v>
      </c>
      <c r="C20" s="29" t="s">
        <v>18</v>
      </c>
      <c r="D20" s="29" t="s">
        <v>19</v>
      </c>
      <c r="E20" s="30">
        <v>57000</v>
      </c>
      <c r="F20" s="31">
        <v>2094.8069999999998</v>
      </c>
      <c r="G20" s="32">
        <v>2.341362E-2</v>
      </c>
      <c r="H20" s="27" t="s">
        <v>142</v>
      </c>
    </row>
    <row r="21" spans="1:8" x14ac:dyDescent="0.2">
      <c r="A21" s="28">
        <v>15</v>
      </c>
      <c r="B21" s="29" t="s">
        <v>84</v>
      </c>
      <c r="C21" s="29" t="s">
        <v>85</v>
      </c>
      <c r="D21" s="29" t="s">
        <v>86</v>
      </c>
      <c r="E21" s="30">
        <v>1000000</v>
      </c>
      <c r="F21" s="31">
        <v>1898</v>
      </c>
      <c r="G21" s="32">
        <v>2.1213920000000001E-2</v>
      </c>
      <c r="H21" s="27" t="s">
        <v>142</v>
      </c>
    </row>
    <row r="22" spans="1:8" x14ac:dyDescent="0.2">
      <c r="A22" s="28">
        <v>16</v>
      </c>
      <c r="B22" s="29" t="s">
        <v>421</v>
      </c>
      <c r="C22" s="29" t="s">
        <v>422</v>
      </c>
      <c r="D22" s="29" t="s">
        <v>200</v>
      </c>
      <c r="E22" s="30">
        <v>110000</v>
      </c>
      <c r="F22" s="31">
        <v>1800.26</v>
      </c>
      <c r="G22" s="32">
        <v>2.0121480000000001E-2</v>
      </c>
      <c r="H22" s="27" t="s">
        <v>142</v>
      </c>
    </row>
    <row r="23" spans="1:8" x14ac:dyDescent="0.2">
      <c r="A23" s="28">
        <v>17</v>
      </c>
      <c r="B23" s="29" t="s">
        <v>633</v>
      </c>
      <c r="C23" s="29" t="s">
        <v>634</v>
      </c>
      <c r="D23" s="29" t="s">
        <v>635</v>
      </c>
      <c r="E23" s="30">
        <v>450000</v>
      </c>
      <c r="F23" s="31">
        <v>1787.85</v>
      </c>
      <c r="G23" s="32">
        <v>1.998277E-2</v>
      </c>
      <c r="H23" s="27" t="s">
        <v>142</v>
      </c>
    </row>
    <row r="24" spans="1:8" x14ac:dyDescent="0.2">
      <c r="A24" s="28">
        <v>18</v>
      </c>
      <c r="B24" s="29" t="s">
        <v>434</v>
      </c>
      <c r="C24" s="29" t="s">
        <v>435</v>
      </c>
      <c r="D24" s="29" t="s">
        <v>345</v>
      </c>
      <c r="E24" s="30">
        <v>73000</v>
      </c>
      <c r="F24" s="31">
        <v>1714.259</v>
      </c>
      <c r="G24" s="32">
        <v>1.916025E-2</v>
      </c>
      <c r="H24" s="27" t="s">
        <v>142</v>
      </c>
    </row>
    <row r="25" spans="1:8" x14ac:dyDescent="0.2">
      <c r="A25" s="28">
        <v>19</v>
      </c>
      <c r="B25" s="29" t="s">
        <v>29</v>
      </c>
      <c r="C25" s="29" t="s">
        <v>30</v>
      </c>
      <c r="D25" s="29" t="s">
        <v>31</v>
      </c>
      <c r="E25" s="30">
        <v>400000</v>
      </c>
      <c r="F25" s="31">
        <v>1538.4</v>
      </c>
      <c r="G25" s="32">
        <v>1.7194669999999999E-2</v>
      </c>
      <c r="H25" s="27" t="s">
        <v>142</v>
      </c>
    </row>
    <row r="26" spans="1:8" x14ac:dyDescent="0.2">
      <c r="A26" s="28">
        <v>20</v>
      </c>
      <c r="B26" s="29" t="s">
        <v>325</v>
      </c>
      <c r="C26" s="29" t="s">
        <v>326</v>
      </c>
      <c r="D26" s="29" t="s">
        <v>28</v>
      </c>
      <c r="E26" s="30">
        <v>600000</v>
      </c>
      <c r="F26" s="31">
        <v>1497.3</v>
      </c>
      <c r="G26" s="32">
        <v>1.6735300000000002E-2</v>
      </c>
      <c r="H26" s="27" t="s">
        <v>142</v>
      </c>
    </row>
    <row r="27" spans="1:8" x14ac:dyDescent="0.2">
      <c r="A27" s="28">
        <v>21</v>
      </c>
      <c r="B27" s="29" t="s">
        <v>361</v>
      </c>
      <c r="C27" s="29" t="s">
        <v>362</v>
      </c>
      <c r="D27" s="29" t="s">
        <v>197</v>
      </c>
      <c r="E27" s="30">
        <v>265000</v>
      </c>
      <c r="F27" s="31">
        <v>1482.145</v>
      </c>
      <c r="G27" s="32">
        <v>1.656591E-2</v>
      </c>
      <c r="H27" s="27" t="s">
        <v>142</v>
      </c>
    </row>
    <row r="28" spans="1:8" x14ac:dyDescent="0.2">
      <c r="A28" s="28">
        <v>22</v>
      </c>
      <c r="B28" s="29" t="s">
        <v>319</v>
      </c>
      <c r="C28" s="29" t="s">
        <v>320</v>
      </c>
      <c r="D28" s="29" t="s">
        <v>28</v>
      </c>
      <c r="E28" s="30">
        <v>120000</v>
      </c>
      <c r="F28" s="31">
        <v>1430.64</v>
      </c>
      <c r="G28" s="32">
        <v>1.5990239999999999E-2</v>
      </c>
      <c r="H28" s="27" t="s">
        <v>142</v>
      </c>
    </row>
    <row r="29" spans="1:8" ht="25.5" x14ac:dyDescent="0.2">
      <c r="A29" s="28">
        <v>23</v>
      </c>
      <c r="B29" s="29" t="s">
        <v>331</v>
      </c>
      <c r="C29" s="29" t="s">
        <v>332</v>
      </c>
      <c r="D29" s="29" t="s">
        <v>194</v>
      </c>
      <c r="E29" s="30">
        <v>85000</v>
      </c>
      <c r="F29" s="31">
        <v>1425.96</v>
      </c>
      <c r="G29" s="32">
        <v>1.5937929999999999E-2</v>
      </c>
      <c r="H29" s="27" t="s">
        <v>142</v>
      </c>
    </row>
    <row r="30" spans="1:8" x14ac:dyDescent="0.2">
      <c r="A30" s="28">
        <v>24</v>
      </c>
      <c r="B30" s="29" t="s">
        <v>204</v>
      </c>
      <c r="C30" s="29" t="s">
        <v>205</v>
      </c>
      <c r="D30" s="29" t="s">
        <v>16</v>
      </c>
      <c r="E30" s="30">
        <v>340000</v>
      </c>
      <c r="F30" s="31">
        <v>1397.57</v>
      </c>
      <c r="G30" s="32">
        <v>1.562062E-2</v>
      </c>
      <c r="H30" s="27" t="s">
        <v>142</v>
      </c>
    </row>
    <row r="31" spans="1:8" x14ac:dyDescent="0.2">
      <c r="A31" s="28">
        <v>25</v>
      </c>
      <c r="B31" s="29" t="s">
        <v>303</v>
      </c>
      <c r="C31" s="29" t="s">
        <v>304</v>
      </c>
      <c r="D31" s="29" t="s">
        <v>305</v>
      </c>
      <c r="E31" s="30">
        <v>225000</v>
      </c>
      <c r="F31" s="31">
        <v>1314.45</v>
      </c>
      <c r="G31" s="32">
        <v>1.4691589999999999E-2</v>
      </c>
      <c r="H31" s="27" t="s">
        <v>142</v>
      </c>
    </row>
    <row r="32" spans="1:8" x14ac:dyDescent="0.2">
      <c r="A32" s="28">
        <v>26</v>
      </c>
      <c r="B32" s="29" t="s">
        <v>659</v>
      </c>
      <c r="C32" s="29" t="s">
        <v>660</v>
      </c>
      <c r="D32" s="29" t="s">
        <v>22</v>
      </c>
      <c r="E32" s="30">
        <v>1500000</v>
      </c>
      <c r="F32" s="31">
        <v>1311.15</v>
      </c>
      <c r="G32" s="32">
        <v>1.46547E-2</v>
      </c>
      <c r="H32" s="27" t="s">
        <v>142</v>
      </c>
    </row>
    <row r="33" spans="1:8" x14ac:dyDescent="0.2">
      <c r="A33" s="28">
        <v>27</v>
      </c>
      <c r="B33" s="29" t="s">
        <v>407</v>
      </c>
      <c r="C33" s="29" t="s">
        <v>408</v>
      </c>
      <c r="D33" s="29" t="s">
        <v>137</v>
      </c>
      <c r="E33" s="30">
        <v>800000</v>
      </c>
      <c r="F33" s="31">
        <v>1288.1600000000001</v>
      </c>
      <c r="G33" s="32">
        <v>1.4397739999999999E-2</v>
      </c>
      <c r="H33" s="27" t="s">
        <v>142</v>
      </c>
    </row>
    <row r="34" spans="1:8" x14ac:dyDescent="0.2">
      <c r="A34" s="28">
        <v>28</v>
      </c>
      <c r="B34" s="29" t="s">
        <v>661</v>
      </c>
      <c r="C34" s="29" t="s">
        <v>662</v>
      </c>
      <c r="D34" s="29" t="s">
        <v>449</v>
      </c>
      <c r="E34" s="30">
        <v>23000</v>
      </c>
      <c r="F34" s="31">
        <v>1267.415</v>
      </c>
      <c r="G34" s="32">
        <v>1.416588E-2</v>
      </c>
      <c r="H34" s="27" t="s">
        <v>142</v>
      </c>
    </row>
    <row r="35" spans="1:8" x14ac:dyDescent="0.2">
      <c r="A35" s="28">
        <v>29</v>
      </c>
      <c r="B35" s="29" t="s">
        <v>504</v>
      </c>
      <c r="C35" s="29" t="s">
        <v>505</v>
      </c>
      <c r="D35" s="29" t="s">
        <v>200</v>
      </c>
      <c r="E35" s="30">
        <v>80000</v>
      </c>
      <c r="F35" s="31">
        <v>1259.1199999999999</v>
      </c>
      <c r="G35" s="32">
        <v>1.4073159999999999E-2</v>
      </c>
      <c r="H35" s="27" t="s">
        <v>142</v>
      </c>
    </row>
    <row r="36" spans="1:8" x14ac:dyDescent="0.2">
      <c r="A36" s="28">
        <v>30</v>
      </c>
      <c r="B36" s="29" t="s">
        <v>333</v>
      </c>
      <c r="C36" s="29" t="s">
        <v>334</v>
      </c>
      <c r="D36" s="29" t="s">
        <v>31</v>
      </c>
      <c r="E36" s="30">
        <v>25000</v>
      </c>
      <c r="F36" s="31">
        <v>1243.5250000000001</v>
      </c>
      <c r="G36" s="32">
        <v>1.3898860000000001E-2</v>
      </c>
      <c r="H36" s="27" t="s">
        <v>142</v>
      </c>
    </row>
    <row r="37" spans="1:8" ht="25.5" x14ac:dyDescent="0.2">
      <c r="A37" s="89">
        <v>31</v>
      </c>
      <c r="B37" s="38" t="s">
        <v>1003</v>
      </c>
      <c r="C37" s="38" t="s">
        <v>1011</v>
      </c>
      <c r="D37" s="38" t="s">
        <v>58</v>
      </c>
      <c r="E37" s="90">
        <v>1400000</v>
      </c>
      <c r="F37" s="91">
        <f>11.4772*100</f>
        <v>1147.72</v>
      </c>
      <c r="G37" s="92">
        <f>F37/F125</f>
        <v>1.2828047597305369E-2</v>
      </c>
      <c r="H37" s="27" t="s">
        <v>142</v>
      </c>
    </row>
    <row r="38" spans="1:8" x14ac:dyDescent="0.2">
      <c r="A38" s="28">
        <v>32</v>
      </c>
      <c r="B38" s="29" t="s">
        <v>97</v>
      </c>
      <c r="C38" s="29" t="s">
        <v>98</v>
      </c>
      <c r="D38" s="29" t="s">
        <v>73</v>
      </c>
      <c r="E38" s="30">
        <v>35000</v>
      </c>
      <c r="F38" s="31">
        <v>1143.835</v>
      </c>
      <c r="G38" s="32">
        <v>1.278463E-2</v>
      </c>
      <c r="H38" s="27" t="s">
        <v>142</v>
      </c>
    </row>
    <row r="39" spans="1:8" x14ac:dyDescent="0.2">
      <c r="A39" s="28">
        <v>33</v>
      </c>
      <c r="B39" s="29" t="s">
        <v>321</v>
      </c>
      <c r="C39" s="29" t="s">
        <v>322</v>
      </c>
      <c r="D39" s="29" t="s">
        <v>28</v>
      </c>
      <c r="E39" s="30">
        <v>55000</v>
      </c>
      <c r="F39" s="31">
        <v>1141.085</v>
      </c>
      <c r="G39" s="32">
        <v>1.275389E-2</v>
      </c>
      <c r="H39" s="27" t="s">
        <v>142</v>
      </c>
    </row>
    <row r="40" spans="1:8" x14ac:dyDescent="0.2">
      <c r="A40" s="28">
        <v>34</v>
      </c>
      <c r="B40" s="29" t="s">
        <v>494</v>
      </c>
      <c r="C40" s="29" t="s">
        <v>495</v>
      </c>
      <c r="D40" s="29" t="s">
        <v>254</v>
      </c>
      <c r="E40" s="30">
        <v>37000</v>
      </c>
      <c r="F40" s="31">
        <v>1101.4159999999999</v>
      </c>
      <c r="G40" s="32">
        <v>1.231051E-2</v>
      </c>
      <c r="H40" s="27" t="s">
        <v>142</v>
      </c>
    </row>
    <row r="41" spans="1:8" x14ac:dyDescent="0.2">
      <c r="A41" s="28">
        <v>35</v>
      </c>
      <c r="B41" s="29" t="s">
        <v>663</v>
      </c>
      <c r="C41" s="29" t="s">
        <v>664</v>
      </c>
      <c r="D41" s="29" t="s">
        <v>254</v>
      </c>
      <c r="E41" s="30">
        <v>25000</v>
      </c>
      <c r="F41" s="31">
        <v>1077.325</v>
      </c>
      <c r="G41" s="32">
        <v>1.204124E-2</v>
      </c>
      <c r="H41" s="27" t="s">
        <v>142</v>
      </c>
    </row>
    <row r="42" spans="1:8" x14ac:dyDescent="0.2">
      <c r="A42" s="28">
        <v>36</v>
      </c>
      <c r="B42" s="29" t="s">
        <v>310</v>
      </c>
      <c r="C42" s="29" t="s">
        <v>311</v>
      </c>
      <c r="D42" s="29" t="s">
        <v>200</v>
      </c>
      <c r="E42" s="30">
        <v>42000</v>
      </c>
      <c r="F42" s="31">
        <v>1074.6959999999999</v>
      </c>
      <c r="G42" s="32">
        <v>1.2011859999999999E-2</v>
      </c>
      <c r="H42" s="27" t="s">
        <v>142</v>
      </c>
    </row>
    <row r="43" spans="1:8" x14ac:dyDescent="0.2">
      <c r="A43" s="28">
        <v>37</v>
      </c>
      <c r="B43" s="29" t="s">
        <v>222</v>
      </c>
      <c r="C43" s="29" t="s">
        <v>223</v>
      </c>
      <c r="D43" s="29" t="s">
        <v>64</v>
      </c>
      <c r="E43" s="30">
        <v>225000</v>
      </c>
      <c r="F43" s="31">
        <v>1058.7375</v>
      </c>
      <c r="G43" s="32">
        <v>1.183349E-2</v>
      </c>
      <c r="H43" s="27" t="s">
        <v>142</v>
      </c>
    </row>
    <row r="44" spans="1:8" x14ac:dyDescent="0.2">
      <c r="A44" s="28">
        <v>38</v>
      </c>
      <c r="B44" s="29" t="s">
        <v>665</v>
      </c>
      <c r="C44" s="29" t="s">
        <v>666</v>
      </c>
      <c r="D44" s="29" t="s">
        <v>22</v>
      </c>
      <c r="E44" s="30">
        <v>635000</v>
      </c>
      <c r="F44" s="31">
        <v>1031.24</v>
      </c>
      <c r="G44" s="32">
        <v>1.1526150000000001E-2</v>
      </c>
      <c r="H44" s="27" t="s">
        <v>142</v>
      </c>
    </row>
    <row r="45" spans="1:8" x14ac:dyDescent="0.2">
      <c r="A45" s="28">
        <v>39</v>
      </c>
      <c r="B45" s="29" t="s">
        <v>130</v>
      </c>
      <c r="C45" s="29" t="s">
        <v>131</v>
      </c>
      <c r="D45" s="29" t="s">
        <v>132</v>
      </c>
      <c r="E45" s="30">
        <v>240000</v>
      </c>
      <c r="F45" s="31">
        <v>965.52</v>
      </c>
      <c r="G45" s="32">
        <v>1.07916E-2</v>
      </c>
      <c r="H45" s="27" t="s">
        <v>142</v>
      </c>
    </row>
    <row r="46" spans="1:8" x14ac:dyDescent="0.2">
      <c r="A46" s="28">
        <v>40</v>
      </c>
      <c r="B46" s="29" t="s">
        <v>638</v>
      </c>
      <c r="C46" s="29" t="s">
        <v>639</v>
      </c>
      <c r="D46" s="29" t="s">
        <v>16</v>
      </c>
      <c r="E46" s="30">
        <v>675000</v>
      </c>
      <c r="F46" s="31">
        <v>958.29750000000001</v>
      </c>
      <c r="G46" s="32">
        <v>1.0710880000000001E-2</v>
      </c>
      <c r="H46" s="27" t="s">
        <v>142</v>
      </c>
    </row>
    <row r="47" spans="1:8" ht="25.5" x14ac:dyDescent="0.2">
      <c r="A47" s="28">
        <v>41</v>
      </c>
      <c r="B47" s="29" t="s">
        <v>23</v>
      </c>
      <c r="C47" s="29" t="s">
        <v>24</v>
      </c>
      <c r="D47" s="29" t="s">
        <v>25</v>
      </c>
      <c r="E47" s="30">
        <v>8500</v>
      </c>
      <c r="F47" s="31">
        <v>952.85</v>
      </c>
      <c r="G47" s="32">
        <v>1.064999E-2</v>
      </c>
      <c r="H47" s="27" t="s">
        <v>142</v>
      </c>
    </row>
    <row r="48" spans="1:8" ht="25.5" x14ac:dyDescent="0.2">
      <c r="A48" s="28">
        <v>42</v>
      </c>
      <c r="B48" s="29" t="s">
        <v>667</v>
      </c>
      <c r="C48" s="29" t="s">
        <v>668</v>
      </c>
      <c r="D48" s="29" t="s">
        <v>194</v>
      </c>
      <c r="E48" s="30">
        <v>15333</v>
      </c>
      <c r="F48" s="31">
        <v>949.49602500000003</v>
      </c>
      <c r="G48" s="32">
        <v>1.06125E-2</v>
      </c>
      <c r="H48" s="27" t="s">
        <v>142</v>
      </c>
    </row>
    <row r="49" spans="1:8" x14ac:dyDescent="0.2">
      <c r="A49" s="28">
        <v>43</v>
      </c>
      <c r="B49" s="29" t="s">
        <v>502</v>
      </c>
      <c r="C49" s="29" t="s">
        <v>503</v>
      </c>
      <c r="D49" s="29" t="s">
        <v>254</v>
      </c>
      <c r="E49" s="30">
        <v>11000</v>
      </c>
      <c r="F49" s="31">
        <v>946.77</v>
      </c>
      <c r="G49" s="32">
        <v>1.0582029999999999E-2</v>
      </c>
      <c r="H49" s="27" t="s">
        <v>142</v>
      </c>
    </row>
    <row r="50" spans="1:8" x14ac:dyDescent="0.2">
      <c r="A50" s="28">
        <v>44</v>
      </c>
      <c r="B50" s="29" t="s">
        <v>218</v>
      </c>
      <c r="C50" s="29" t="s">
        <v>219</v>
      </c>
      <c r="D50" s="29" t="s">
        <v>200</v>
      </c>
      <c r="E50" s="30">
        <v>10000</v>
      </c>
      <c r="F50" s="31">
        <v>855.05</v>
      </c>
      <c r="G50" s="32">
        <v>9.5568800000000002E-3</v>
      </c>
      <c r="H50" s="27" t="s">
        <v>142</v>
      </c>
    </row>
    <row r="51" spans="1:8" x14ac:dyDescent="0.2">
      <c r="A51" s="28">
        <v>45</v>
      </c>
      <c r="B51" s="29" t="s">
        <v>261</v>
      </c>
      <c r="C51" s="29" t="s">
        <v>262</v>
      </c>
      <c r="D51" s="29" t="s">
        <v>263</v>
      </c>
      <c r="E51" s="30">
        <v>17500</v>
      </c>
      <c r="F51" s="31">
        <v>764.33</v>
      </c>
      <c r="G51" s="32">
        <v>8.5429000000000008E-3</v>
      </c>
      <c r="H51" s="27" t="s">
        <v>142</v>
      </c>
    </row>
    <row r="52" spans="1:8" x14ac:dyDescent="0.2">
      <c r="A52" s="28">
        <v>46</v>
      </c>
      <c r="B52" s="29" t="s">
        <v>669</v>
      </c>
      <c r="C52" s="29" t="s">
        <v>670</v>
      </c>
      <c r="D52" s="29" t="s">
        <v>16</v>
      </c>
      <c r="E52" s="30">
        <v>350000</v>
      </c>
      <c r="F52" s="31">
        <v>756.77</v>
      </c>
      <c r="G52" s="32">
        <v>8.4584099999999995E-3</v>
      </c>
      <c r="H52" s="27" t="s">
        <v>142</v>
      </c>
    </row>
    <row r="53" spans="1:8" ht="25.5" x14ac:dyDescent="0.2">
      <c r="A53" s="28">
        <v>47</v>
      </c>
      <c r="B53" s="29" t="s">
        <v>430</v>
      </c>
      <c r="C53" s="29" t="s">
        <v>431</v>
      </c>
      <c r="D53" s="29" t="s">
        <v>194</v>
      </c>
      <c r="E53" s="30">
        <v>50000</v>
      </c>
      <c r="F53" s="31">
        <v>732.85</v>
      </c>
      <c r="G53" s="32">
        <v>8.1910500000000001E-3</v>
      </c>
      <c r="H53" s="27" t="s">
        <v>142</v>
      </c>
    </row>
    <row r="54" spans="1:8" x14ac:dyDescent="0.2">
      <c r="A54" s="28">
        <v>48</v>
      </c>
      <c r="B54" s="29" t="s">
        <v>479</v>
      </c>
      <c r="C54" s="29" t="s">
        <v>480</v>
      </c>
      <c r="D54" s="29" t="s">
        <v>212</v>
      </c>
      <c r="E54" s="30">
        <v>61489</v>
      </c>
      <c r="F54" s="31">
        <v>731.84207800000001</v>
      </c>
      <c r="G54" s="32">
        <v>8.1797899999999993E-3</v>
      </c>
      <c r="H54" s="27" t="s">
        <v>142</v>
      </c>
    </row>
    <row r="55" spans="1:8" ht="25.5" x14ac:dyDescent="0.2">
      <c r="A55" s="28">
        <v>49</v>
      </c>
      <c r="B55" s="29" t="s">
        <v>671</v>
      </c>
      <c r="C55" s="29" t="s">
        <v>672</v>
      </c>
      <c r="D55" s="29" t="s">
        <v>187</v>
      </c>
      <c r="E55" s="30">
        <v>10000</v>
      </c>
      <c r="F55" s="31">
        <v>567.83000000000004</v>
      </c>
      <c r="G55" s="32">
        <v>6.3466299999999998E-3</v>
      </c>
      <c r="H55" s="27" t="s">
        <v>142</v>
      </c>
    </row>
    <row r="56" spans="1:8" x14ac:dyDescent="0.2">
      <c r="A56" s="28">
        <v>50</v>
      </c>
      <c r="B56" s="29" t="s">
        <v>673</v>
      </c>
      <c r="C56" s="29" t="s">
        <v>674</v>
      </c>
      <c r="D56" s="29" t="s">
        <v>61</v>
      </c>
      <c r="E56" s="30">
        <v>25000</v>
      </c>
      <c r="F56" s="31">
        <v>564.77499999999998</v>
      </c>
      <c r="G56" s="32">
        <v>6.3124799999999997E-3</v>
      </c>
      <c r="H56" s="27" t="s">
        <v>142</v>
      </c>
    </row>
    <row r="57" spans="1:8" x14ac:dyDescent="0.2">
      <c r="A57" s="28">
        <v>51</v>
      </c>
      <c r="B57" s="29" t="s">
        <v>327</v>
      </c>
      <c r="C57" s="29" t="s">
        <v>328</v>
      </c>
      <c r="D57" s="29" t="s">
        <v>132</v>
      </c>
      <c r="E57" s="30">
        <v>6000</v>
      </c>
      <c r="F57" s="31">
        <v>550.83000000000004</v>
      </c>
      <c r="G57" s="32">
        <v>6.1566199999999998E-3</v>
      </c>
      <c r="H57" s="27" t="s">
        <v>142</v>
      </c>
    </row>
    <row r="58" spans="1:8" x14ac:dyDescent="0.2">
      <c r="A58" s="28">
        <v>52</v>
      </c>
      <c r="B58" s="29" t="s">
        <v>282</v>
      </c>
      <c r="C58" s="29" t="s">
        <v>283</v>
      </c>
      <c r="D58" s="29" t="s">
        <v>132</v>
      </c>
      <c r="E58" s="30">
        <v>65000</v>
      </c>
      <c r="F58" s="31">
        <v>415.57749999999999</v>
      </c>
      <c r="G58" s="32">
        <v>4.6449000000000004E-3</v>
      </c>
      <c r="H58" s="27" t="s">
        <v>142</v>
      </c>
    </row>
    <row r="59" spans="1:8" x14ac:dyDescent="0.2">
      <c r="A59" s="25"/>
      <c r="B59" s="25"/>
      <c r="C59" s="26" t="s">
        <v>141</v>
      </c>
      <c r="D59" s="25"/>
      <c r="E59" s="25" t="s">
        <v>142</v>
      </c>
      <c r="F59" s="33">
        <f>SUM(F7:F58)</f>
        <v>84129.891103000045</v>
      </c>
      <c r="G59" s="34">
        <f>SUM(G7:G58)</f>
        <v>0.94031843221208655</v>
      </c>
      <c r="H59" s="27" t="s">
        <v>142</v>
      </c>
    </row>
    <row r="60" spans="1:8" x14ac:dyDescent="0.2">
      <c r="A60" s="25"/>
      <c r="B60" s="25"/>
      <c r="C60" s="35"/>
      <c r="D60" s="25"/>
      <c r="E60" s="25"/>
      <c r="F60" s="36"/>
      <c r="G60" s="36"/>
      <c r="H60" s="27" t="s">
        <v>142</v>
      </c>
    </row>
    <row r="61" spans="1:8" x14ac:dyDescent="0.2">
      <c r="A61" s="25"/>
      <c r="B61" s="25"/>
      <c r="C61" s="26" t="s">
        <v>143</v>
      </c>
      <c r="D61" s="25"/>
      <c r="E61" s="25"/>
      <c r="F61" s="25"/>
      <c r="G61" s="25"/>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145</v>
      </c>
      <c r="D64" s="25"/>
      <c r="E64" s="25"/>
      <c r="F64" s="25"/>
      <c r="G64" s="25"/>
      <c r="H64" s="27" t="s">
        <v>142</v>
      </c>
    </row>
    <row r="65" spans="1:8" x14ac:dyDescent="0.2">
      <c r="A65" s="28">
        <v>1</v>
      </c>
      <c r="B65" s="29" t="s">
        <v>676</v>
      </c>
      <c r="C65" s="29" t="s">
        <v>1012</v>
      </c>
      <c r="D65" s="29"/>
      <c r="E65" s="30">
        <v>200000</v>
      </c>
      <c r="F65" s="31">
        <v>1.9999999999999999E-6</v>
      </c>
      <c r="G65" s="39" t="s">
        <v>140</v>
      </c>
      <c r="H65" s="27" t="s">
        <v>142</v>
      </c>
    </row>
    <row r="66" spans="1:8" x14ac:dyDescent="0.2">
      <c r="A66" s="28">
        <v>2</v>
      </c>
      <c r="B66" s="29" t="s">
        <v>675</v>
      </c>
      <c r="C66" s="29" t="s">
        <v>1013</v>
      </c>
      <c r="D66" s="29"/>
      <c r="E66" s="30">
        <v>50000</v>
      </c>
      <c r="F66" s="31">
        <v>4.9999999999999998E-7</v>
      </c>
      <c r="G66" s="39" t="s">
        <v>140</v>
      </c>
      <c r="H66" s="27" t="s">
        <v>142</v>
      </c>
    </row>
    <row r="67" spans="1:8" x14ac:dyDescent="0.2">
      <c r="A67" s="28">
        <v>3</v>
      </c>
      <c r="B67" s="29" t="s">
        <v>678</v>
      </c>
      <c r="C67" s="29" t="s">
        <v>1014</v>
      </c>
      <c r="D67" s="29"/>
      <c r="E67" s="30">
        <v>50000</v>
      </c>
      <c r="F67" s="31">
        <v>4.9999999999999998E-7</v>
      </c>
      <c r="G67" s="39" t="s">
        <v>140</v>
      </c>
      <c r="H67" s="27" t="s">
        <v>142</v>
      </c>
    </row>
    <row r="68" spans="1:8" x14ac:dyDescent="0.2">
      <c r="A68" s="28">
        <v>4</v>
      </c>
      <c r="B68" s="29" t="s">
        <v>677</v>
      </c>
      <c r="C68" s="29" t="s">
        <v>1015</v>
      </c>
      <c r="D68" s="29"/>
      <c r="E68" s="30">
        <v>20</v>
      </c>
      <c r="F68" s="31">
        <v>0</v>
      </c>
      <c r="G68" s="39" t="s">
        <v>140</v>
      </c>
      <c r="H68" s="27" t="s">
        <v>142</v>
      </c>
    </row>
    <row r="69" spans="1:8" x14ac:dyDescent="0.2">
      <c r="A69" s="25"/>
      <c r="B69" s="25"/>
      <c r="C69" s="26" t="s">
        <v>141</v>
      </c>
      <c r="D69" s="25"/>
      <c r="E69" s="25" t="s">
        <v>142</v>
      </c>
      <c r="F69" s="37" t="s">
        <v>144</v>
      </c>
      <c r="G69" s="34">
        <v>0</v>
      </c>
      <c r="H69" s="27" t="s">
        <v>142</v>
      </c>
    </row>
    <row r="70" spans="1:8" x14ac:dyDescent="0.2">
      <c r="A70" s="25"/>
      <c r="B70" s="25"/>
      <c r="C70" s="35"/>
      <c r="D70" s="25"/>
      <c r="E70" s="25"/>
      <c r="F70" s="36"/>
      <c r="G70" s="36"/>
      <c r="H70" s="27" t="s">
        <v>142</v>
      </c>
    </row>
    <row r="71" spans="1:8" x14ac:dyDescent="0.2">
      <c r="A71" s="25"/>
      <c r="B71" s="25"/>
      <c r="C71" s="26" t="s">
        <v>146</v>
      </c>
      <c r="D71" s="25"/>
      <c r="E71" s="25"/>
      <c r="F71" s="25"/>
      <c r="G71" s="25"/>
      <c r="H71" s="27" t="s">
        <v>142</v>
      </c>
    </row>
    <row r="72" spans="1:8" x14ac:dyDescent="0.2">
      <c r="A72" s="25"/>
      <c r="B72" s="25"/>
      <c r="C72" s="26" t="s">
        <v>141</v>
      </c>
      <c r="D72" s="25"/>
      <c r="E72" s="25" t="s">
        <v>142</v>
      </c>
      <c r="F72" s="37" t="s">
        <v>144</v>
      </c>
      <c r="G72" s="34">
        <v>0</v>
      </c>
      <c r="H72" s="27" t="s">
        <v>142</v>
      </c>
    </row>
    <row r="73" spans="1:8" x14ac:dyDescent="0.2">
      <c r="A73" s="25"/>
      <c r="B73" s="25"/>
      <c r="C73" s="35"/>
      <c r="D73" s="25"/>
      <c r="E73" s="25"/>
      <c r="F73" s="36"/>
      <c r="G73" s="36"/>
      <c r="H73" s="27" t="s">
        <v>142</v>
      </c>
    </row>
    <row r="74" spans="1:8" x14ac:dyDescent="0.2">
      <c r="A74" s="25"/>
      <c r="B74" s="25"/>
      <c r="C74" s="26" t="s">
        <v>147</v>
      </c>
      <c r="D74" s="25"/>
      <c r="E74" s="25"/>
      <c r="F74" s="36"/>
      <c r="G74" s="36"/>
      <c r="H74" s="27" t="s">
        <v>142</v>
      </c>
    </row>
    <row r="75" spans="1:8" x14ac:dyDescent="0.2">
      <c r="A75" s="25"/>
      <c r="B75" s="25"/>
      <c r="C75" s="26" t="s">
        <v>141</v>
      </c>
      <c r="D75" s="25"/>
      <c r="E75" s="25" t="s">
        <v>142</v>
      </c>
      <c r="F75" s="37" t="s">
        <v>144</v>
      </c>
      <c r="G75" s="34">
        <v>0</v>
      </c>
      <c r="H75" s="27" t="s">
        <v>142</v>
      </c>
    </row>
    <row r="76" spans="1:8" x14ac:dyDescent="0.2">
      <c r="A76" s="25"/>
      <c r="B76" s="25"/>
      <c r="C76" s="35"/>
      <c r="D76" s="25"/>
      <c r="E76" s="25"/>
      <c r="F76" s="36"/>
      <c r="G76" s="36"/>
      <c r="H76" s="27" t="s">
        <v>142</v>
      </c>
    </row>
    <row r="77" spans="1:8" x14ac:dyDescent="0.2">
      <c r="A77" s="25"/>
      <c r="B77" s="25"/>
      <c r="C77" s="26" t="s">
        <v>148</v>
      </c>
      <c r="D77" s="25"/>
      <c r="E77" s="25"/>
      <c r="F77" s="36"/>
      <c r="G77" s="36"/>
      <c r="H77" s="27" t="s">
        <v>142</v>
      </c>
    </row>
    <row r="78" spans="1:8" x14ac:dyDescent="0.2">
      <c r="A78" s="25"/>
      <c r="B78" s="25"/>
      <c r="C78" s="26" t="s">
        <v>141</v>
      </c>
      <c r="D78" s="25"/>
      <c r="E78" s="25" t="s">
        <v>142</v>
      </c>
      <c r="F78" s="37" t="s">
        <v>144</v>
      </c>
      <c r="G78" s="34">
        <v>0</v>
      </c>
      <c r="H78" s="27" t="s">
        <v>142</v>
      </c>
    </row>
    <row r="79" spans="1:8" x14ac:dyDescent="0.2">
      <c r="A79" s="25"/>
      <c r="B79" s="25"/>
      <c r="C79" s="35"/>
      <c r="D79" s="25"/>
      <c r="E79" s="25"/>
      <c r="F79" s="36"/>
      <c r="G79" s="36"/>
      <c r="H79" s="27" t="s">
        <v>142</v>
      </c>
    </row>
    <row r="80" spans="1:8" x14ac:dyDescent="0.2">
      <c r="A80" s="25"/>
      <c r="B80" s="25"/>
      <c r="C80" s="26" t="s">
        <v>149</v>
      </c>
      <c r="D80" s="25"/>
      <c r="E80" s="25"/>
      <c r="F80" s="33">
        <f>F59</f>
        <v>84129.891103000045</v>
      </c>
      <c r="G80" s="34">
        <f>G59</f>
        <v>0.94031843221208655</v>
      </c>
      <c r="H80" s="27" t="s">
        <v>142</v>
      </c>
    </row>
    <row r="81" spans="1:8" x14ac:dyDescent="0.2">
      <c r="A81" s="25"/>
      <c r="B81" s="25"/>
      <c r="C81" s="35"/>
      <c r="D81" s="25"/>
      <c r="E81" s="25"/>
      <c r="F81" s="36"/>
      <c r="G81" s="36"/>
      <c r="H81" s="27" t="s">
        <v>142</v>
      </c>
    </row>
    <row r="82" spans="1:8" x14ac:dyDescent="0.2">
      <c r="A82" s="25"/>
      <c r="B82" s="25"/>
      <c r="C82" s="26" t="s">
        <v>150</v>
      </c>
      <c r="D82" s="25"/>
      <c r="E82" s="25"/>
      <c r="F82" s="36"/>
      <c r="G82" s="36"/>
      <c r="H82" s="27" t="s">
        <v>142</v>
      </c>
    </row>
    <row r="83" spans="1:8" x14ac:dyDescent="0.2">
      <c r="A83" s="25"/>
      <c r="B83" s="25"/>
      <c r="C83" s="26" t="s">
        <v>10</v>
      </c>
      <c r="D83" s="25"/>
      <c r="E83" s="25"/>
      <c r="F83" s="36"/>
      <c r="G83" s="36"/>
      <c r="H83" s="27" t="s">
        <v>142</v>
      </c>
    </row>
    <row r="84" spans="1:8" x14ac:dyDescent="0.2">
      <c r="A84" s="25"/>
      <c r="B84" s="25"/>
      <c r="C84" s="26" t="s">
        <v>141</v>
      </c>
      <c r="D84" s="25"/>
      <c r="E84" s="25" t="s">
        <v>142</v>
      </c>
      <c r="F84" s="37" t="s">
        <v>144</v>
      </c>
      <c r="G84" s="34">
        <v>0</v>
      </c>
      <c r="H84" s="27" t="s">
        <v>142</v>
      </c>
    </row>
    <row r="85" spans="1:8" x14ac:dyDescent="0.2">
      <c r="A85" s="25"/>
      <c r="B85" s="25"/>
      <c r="C85" s="35"/>
      <c r="D85" s="25"/>
      <c r="E85" s="25"/>
      <c r="F85" s="36"/>
      <c r="G85" s="36"/>
      <c r="H85" s="27" t="s">
        <v>142</v>
      </c>
    </row>
    <row r="86" spans="1:8" x14ac:dyDescent="0.2">
      <c r="A86" s="25"/>
      <c r="B86" s="25"/>
      <c r="C86" s="26" t="s">
        <v>151</v>
      </c>
      <c r="D86" s="25"/>
      <c r="E86" s="25"/>
      <c r="F86" s="25"/>
      <c r="G86" s="25"/>
      <c r="H86" s="27" t="s">
        <v>142</v>
      </c>
    </row>
    <row r="87" spans="1:8" x14ac:dyDescent="0.2">
      <c r="A87" s="25"/>
      <c r="B87" s="25"/>
      <c r="C87" s="26" t="s">
        <v>141</v>
      </c>
      <c r="D87" s="25"/>
      <c r="E87" s="25" t="s">
        <v>142</v>
      </c>
      <c r="F87" s="37" t="s">
        <v>144</v>
      </c>
      <c r="G87" s="34">
        <v>0</v>
      </c>
      <c r="H87" s="27" t="s">
        <v>142</v>
      </c>
    </row>
    <row r="88" spans="1:8" x14ac:dyDescent="0.2">
      <c r="A88" s="25"/>
      <c r="B88" s="25"/>
      <c r="C88" s="35"/>
      <c r="D88" s="25"/>
      <c r="E88" s="25"/>
      <c r="F88" s="36"/>
      <c r="G88" s="36"/>
      <c r="H88" s="27" t="s">
        <v>142</v>
      </c>
    </row>
    <row r="89" spans="1:8" x14ac:dyDescent="0.2">
      <c r="A89" s="25"/>
      <c r="B89" s="25"/>
      <c r="C89" s="26" t="s">
        <v>152</v>
      </c>
      <c r="D89" s="25"/>
      <c r="E89" s="25"/>
      <c r="F89" s="25"/>
      <c r="G89" s="25"/>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153</v>
      </c>
      <c r="D92" s="25"/>
      <c r="E92" s="25"/>
      <c r="F92" s="36"/>
      <c r="G92" s="36"/>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154</v>
      </c>
      <c r="D95" s="25"/>
      <c r="E95" s="25"/>
      <c r="F95" s="33">
        <v>0</v>
      </c>
      <c r="G95" s="34">
        <v>0</v>
      </c>
      <c r="H95" s="27" t="s">
        <v>142</v>
      </c>
    </row>
    <row r="96" spans="1:8" x14ac:dyDescent="0.2">
      <c r="A96" s="25"/>
      <c r="B96" s="25"/>
      <c r="C96" s="35"/>
      <c r="D96" s="25"/>
      <c r="E96" s="25"/>
      <c r="F96" s="36"/>
      <c r="G96" s="36"/>
      <c r="H96" s="27" t="s">
        <v>142</v>
      </c>
    </row>
    <row r="97" spans="1:8" x14ac:dyDescent="0.2">
      <c r="A97" s="25"/>
      <c r="B97" s="25"/>
      <c r="C97" s="26" t="s">
        <v>155</v>
      </c>
      <c r="D97" s="25"/>
      <c r="E97" s="25"/>
      <c r="F97" s="36"/>
      <c r="G97" s="36"/>
      <c r="H97" s="27" t="s">
        <v>142</v>
      </c>
    </row>
    <row r="98" spans="1:8" x14ac:dyDescent="0.2">
      <c r="A98" s="25"/>
      <c r="B98" s="25"/>
      <c r="C98" s="26" t="s">
        <v>156</v>
      </c>
      <c r="D98" s="25"/>
      <c r="E98" s="25"/>
      <c r="F98" s="36"/>
      <c r="G98" s="36"/>
      <c r="H98" s="27" t="s">
        <v>142</v>
      </c>
    </row>
    <row r="99" spans="1:8" x14ac:dyDescent="0.2">
      <c r="A99" s="25"/>
      <c r="B99" s="25"/>
      <c r="C99" s="26" t="s">
        <v>141</v>
      </c>
      <c r="D99" s="25"/>
      <c r="E99" s="25" t="s">
        <v>142</v>
      </c>
      <c r="F99" s="37" t="s">
        <v>144</v>
      </c>
      <c r="G99" s="34">
        <v>0</v>
      </c>
      <c r="H99" s="27" t="s">
        <v>142</v>
      </c>
    </row>
    <row r="100" spans="1:8" x14ac:dyDescent="0.2">
      <c r="A100" s="25"/>
      <c r="B100" s="25"/>
      <c r="C100" s="35"/>
      <c r="D100" s="25"/>
      <c r="E100" s="25"/>
      <c r="F100" s="36"/>
      <c r="G100" s="36"/>
      <c r="H100" s="27" t="s">
        <v>142</v>
      </c>
    </row>
    <row r="101" spans="1:8" x14ac:dyDescent="0.2">
      <c r="A101" s="25"/>
      <c r="B101" s="25"/>
      <c r="C101" s="26" t="s">
        <v>157</v>
      </c>
      <c r="D101" s="25"/>
      <c r="E101" s="25"/>
      <c r="F101" s="36"/>
      <c r="G101" s="36"/>
      <c r="H101" s="27" t="s">
        <v>142</v>
      </c>
    </row>
    <row r="102" spans="1:8" x14ac:dyDescent="0.2">
      <c r="A102" s="25"/>
      <c r="B102" s="25"/>
      <c r="C102" s="26" t="s">
        <v>141</v>
      </c>
      <c r="D102" s="25"/>
      <c r="E102" s="25" t="s">
        <v>142</v>
      </c>
      <c r="F102" s="37" t="s">
        <v>144</v>
      </c>
      <c r="G102" s="34">
        <v>0</v>
      </c>
      <c r="H102" s="27" t="s">
        <v>142</v>
      </c>
    </row>
    <row r="103" spans="1:8" x14ac:dyDescent="0.2">
      <c r="A103" s="25"/>
      <c r="B103" s="25"/>
      <c r="C103" s="35"/>
      <c r="D103" s="25"/>
      <c r="E103" s="25"/>
      <c r="F103" s="36"/>
      <c r="G103" s="36"/>
      <c r="H103" s="27" t="s">
        <v>142</v>
      </c>
    </row>
    <row r="104" spans="1:8" x14ac:dyDescent="0.2">
      <c r="A104" s="25"/>
      <c r="B104" s="25"/>
      <c r="C104" s="26" t="s">
        <v>158</v>
      </c>
      <c r="D104" s="25"/>
      <c r="E104" s="25"/>
      <c r="F104" s="36"/>
      <c r="G104" s="36"/>
      <c r="H104" s="27" t="s">
        <v>142</v>
      </c>
    </row>
    <row r="105" spans="1:8" x14ac:dyDescent="0.2">
      <c r="A105" s="25"/>
      <c r="B105" s="25"/>
      <c r="C105" s="26" t="s">
        <v>141</v>
      </c>
      <c r="D105" s="25"/>
      <c r="E105" s="25" t="s">
        <v>142</v>
      </c>
      <c r="F105" s="37" t="s">
        <v>144</v>
      </c>
      <c r="G105" s="34">
        <v>0</v>
      </c>
      <c r="H105" s="27" t="s">
        <v>142</v>
      </c>
    </row>
    <row r="106" spans="1:8" x14ac:dyDescent="0.2">
      <c r="A106" s="25"/>
      <c r="B106" s="25"/>
      <c r="C106" s="35"/>
      <c r="D106" s="25"/>
      <c r="E106" s="25"/>
      <c r="F106" s="36"/>
      <c r="G106" s="36"/>
      <c r="H106" s="27" t="s">
        <v>142</v>
      </c>
    </row>
    <row r="107" spans="1:8" x14ac:dyDescent="0.2">
      <c r="A107" s="25"/>
      <c r="B107" s="25"/>
      <c r="C107" s="26" t="s">
        <v>159</v>
      </c>
      <c r="D107" s="25"/>
      <c r="E107" s="25"/>
      <c r="F107" s="36"/>
      <c r="G107" s="36"/>
      <c r="H107" s="27" t="s">
        <v>142</v>
      </c>
    </row>
    <row r="108" spans="1:8" x14ac:dyDescent="0.2">
      <c r="A108" s="28">
        <v>1</v>
      </c>
      <c r="B108" s="29"/>
      <c r="C108" s="29" t="s">
        <v>160</v>
      </c>
      <c r="D108" s="29"/>
      <c r="E108" s="39"/>
      <c r="F108" s="31">
        <v>4910.4354160069997</v>
      </c>
      <c r="G108" s="32">
        <v>5.488386E-2</v>
      </c>
      <c r="H108" s="27">
        <v>5.76</v>
      </c>
    </row>
    <row r="109" spans="1:8" x14ac:dyDescent="0.2">
      <c r="A109" s="25"/>
      <c r="B109" s="25"/>
      <c r="C109" s="26" t="s">
        <v>141</v>
      </c>
      <c r="D109" s="25"/>
      <c r="E109" s="25" t="s">
        <v>142</v>
      </c>
      <c r="F109" s="33">
        <v>4910.4354160069997</v>
      </c>
      <c r="G109" s="34">
        <v>5.488386E-2</v>
      </c>
      <c r="H109" s="27" t="s">
        <v>142</v>
      </c>
    </row>
    <row r="110" spans="1:8" x14ac:dyDescent="0.2">
      <c r="A110" s="25"/>
      <c r="B110" s="25"/>
      <c r="C110" s="35"/>
      <c r="D110" s="25"/>
      <c r="E110" s="25"/>
      <c r="F110" s="36"/>
      <c r="G110" s="36"/>
      <c r="H110" s="27" t="s">
        <v>142</v>
      </c>
    </row>
    <row r="111" spans="1:8" x14ac:dyDescent="0.2">
      <c r="A111" s="25"/>
      <c r="B111" s="25"/>
      <c r="C111" s="26" t="s">
        <v>161</v>
      </c>
      <c r="D111" s="25"/>
      <c r="E111" s="25"/>
      <c r="F111" s="33">
        <v>4910.4354160069997</v>
      </c>
      <c r="G111" s="34">
        <v>5.488386E-2</v>
      </c>
      <c r="H111" s="27" t="s">
        <v>142</v>
      </c>
    </row>
    <row r="112" spans="1:8" x14ac:dyDescent="0.2">
      <c r="A112" s="25"/>
      <c r="B112" s="25"/>
      <c r="C112" s="36"/>
      <c r="D112" s="25"/>
      <c r="E112" s="25"/>
      <c r="F112" s="25"/>
      <c r="G112" s="25"/>
      <c r="H112" s="27" t="s">
        <v>142</v>
      </c>
    </row>
    <row r="113" spans="1:10" x14ac:dyDescent="0.2">
      <c r="A113" s="25"/>
      <c r="B113" s="25"/>
      <c r="C113" s="26" t="s">
        <v>162</v>
      </c>
      <c r="D113" s="25"/>
      <c r="E113" s="25"/>
      <c r="F113" s="25"/>
      <c r="G113" s="25"/>
      <c r="H113" s="27" t="s">
        <v>142</v>
      </c>
    </row>
    <row r="114" spans="1:10" x14ac:dyDescent="0.2">
      <c r="A114" s="25"/>
      <c r="B114" s="25"/>
      <c r="C114" s="26" t="s">
        <v>163</v>
      </c>
      <c r="D114" s="25"/>
      <c r="E114" s="25"/>
      <c r="F114" s="25"/>
      <c r="G114" s="25"/>
      <c r="H114" s="27" t="s">
        <v>142</v>
      </c>
    </row>
    <row r="115" spans="1:10" x14ac:dyDescent="0.2">
      <c r="A115" s="25"/>
      <c r="B115" s="25"/>
      <c r="C115" s="26" t="s">
        <v>141</v>
      </c>
      <c r="D115" s="25"/>
      <c r="E115" s="25" t="s">
        <v>142</v>
      </c>
      <c r="F115" s="37" t="s">
        <v>144</v>
      </c>
      <c r="G115" s="34">
        <v>0</v>
      </c>
      <c r="H115" s="27" t="s">
        <v>142</v>
      </c>
    </row>
    <row r="116" spans="1:10" x14ac:dyDescent="0.2">
      <c r="A116" s="25"/>
      <c r="B116" s="25"/>
      <c r="C116" s="35"/>
      <c r="D116" s="25"/>
      <c r="E116" s="25"/>
      <c r="F116" s="36"/>
      <c r="G116" s="36"/>
      <c r="H116" s="27" t="s">
        <v>142</v>
      </c>
    </row>
    <row r="117" spans="1:10" x14ac:dyDescent="0.2">
      <c r="A117" s="25"/>
      <c r="B117" s="25"/>
      <c r="C117" s="26" t="s">
        <v>164</v>
      </c>
      <c r="D117" s="25"/>
      <c r="E117" s="25"/>
      <c r="F117" s="25"/>
      <c r="G117" s="25"/>
      <c r="H117" s="27" t="s">
        <v>142</v>
      </c>
    </row>
    <row r="118" spans="1:10" x14ac:dyDescent="0.2">
      <c r="A118" s="25"/>
      <c r="B118" s="25"/>
      <c r="C118" s="26" t="s">
        <v>165</v>
      </c>
      <c r="D118" s="25"/>
      <c r="E118" s="25"/>
      <c r="F118" s="25"/>
      <c r="G118" s="25"/>
      <c r="H118" s="27" t="s">
        <v>142</v>
      </c>
    </row>
    <row r="119" spans="1:10" x14ac:dyDescent="0.2">
      <c r="A119" s="25"/>
      <c r="B119" s="25"/>
      <c r="C119" s="26" t="s">
        <v>141</v>
      </c>
      <c r="D119" s="25"/>
      <c r="E119" s="25" t="s">
        <v>142</v>
      </c>
      <c r="F119" s="37" t="s">
        <v>144</v>
      </c>
      <c r="G119" s="34">
        <v>0</v>
      </c>
      <c r="H119" s="27" t="s">
        <v>142</v>
      </c>
    </row>
    <row r="120" spans="1:10" x14ac:dyDescent="0.2">
      <c r="A120" s="25"/>
      <c r="B120" s="25"/>
      <c r="C120" s="35"/>
      <c r="D120" s="25"/>
      <c r="E120" s="25"/>
      <c r="F120" s="36"/>
      <c r="G120" s="36"/>
      <c r="H120" s="27" t="s">
        <v>142</v>
      </c>
    </row>
    <row r="121" spans="1:10" x14ac:dyDescent="0.2">
      <c r="A121" s="25"/>
      <c r="B121" s="25"/>
      <c r="C121" s="26" t="s">
        <v>166</v>
      </c>
      <c r="D121" s="25"/>
      <c r="E121" s="25"/>
      <c r="F121" s="36"/>
      <c r="G121" s="36"/>
      <c r="H121" s="27" t="s">
        <v>142</v>
      </c>
    </row>
    <row r="122" spans="1:10" x14ac:dyDescent="0.2">
      <c r="A122" s="25"/>
      <c r="B122" s="25"/>
      <c r="C122" s="26" t="s">
        <v>141</v>
      </c>
      <c r="D122" s="25"/>
      <c r="E122" s="25" t="s">
        <v>142</v>
      </c>
      <c r="F122" s="37" t="s">
        <v>144</v>
      </c>
      <c r="G122" s="34">
        <v>0</v>
      </c>
      <c r="H122" s="27" t="s">
        <v>142</v>
      </c>
    </row>
    <row r="123" spans="1:10" x14ac:dyDescent="0.2">
      <c r="A123" s="25"/>
      <c r="B123" s="25"/>
      <c r="C123" s="35"/>
      <c r="D123" s="25"/>
      <c r="E123" s="25"/>
      <c r="F123" s="36"/>
      <c r="G123" s="36"/>
      <c r="H123" s="27" t="s">
        <v>142</v>
      </c>
    </row>
    <row r="124" spans="1:10" x14ac:dyDescent="0.2">
      <c r="A124" s="39"/>
      <c r="B124" s="29"/>
      <c r="C124" s="29" t="s">
        <v>167</v>
      </c>
      <c r="D124" s="29"/>
      <c r="E124" s="39"/>
      <c r="F124" s="31">
        <v>429.25108383000003</v>
      </c>
      <c r="G124" s="32">
        <v>4.7977300000000001E-3</v>
      </c>
      <c r="H124" s="27" t="s">
        <v>142</v>
      </c>
    </row>
    <row r="125" spans="1:10" x14ac:dyDescent="0.2">
      <c r="A125" s="35"/>
      <c r="B125" s="35"/>
      <c r="C125" s="26" t="s">
        <v>168</v>
      </c>
      <c r="D125" s="36"/>
      <c r="E125" s="36"/>
      <c r="F125" s="33">
        <f>F124+F111+F80+F95</f>
        <v>89469.577602837046</v>
      </c>
      <c r="G125" s="40">
        <f>G124+G111+G80+G95</f>
        <v>1.0000000222120866</v>
      </c>
      <c r="H125" s="27" t="s">
        <v>142</v>
      </c>
    </row>
    <row r="126" spans="1:10" x14ac:dyDescent="0.2">
      <c r="A126" s="41"/>
      <c r="B126" s="41"/>
      <c r="C126" s="41"/>
      <c r="D126" s="42"/>
      <c r="E126" s="42"/>
      <c r="F126" s="42"/>
      <c r="G126" s="42"/>
    </row>
    <row r="127" spans="1:10" x14ac:dyDescent="0.2">
      <c r="A127" s="43"/>
      <c r="B127" s="210" t="s">
        <v>879</v>
      </c>
      <c r="C127" s="210"/>
      <c r="D127" s="210"/>
      <c r="E127" s="210"/>
      <c r="F127" s="210"/>
      <c r="G127" s="210"/>
      <c r="H127" s="210"/>
      <c r="J127" s="45"/>
    </row>
    <row r="128" spans="1:10" x14ac:dyDescent="0.2">
      <c r="A128" s="43"/>
      <c r="B128" s="210" t="s">
        <v>880</v>
      </c>
      <c r="C128" s="210"/>
      <c r="D128" s="210"/>
      <c r="E128" s="210"/>
      <c r="F128" s="210"/>
      <c r="G128" s="210"/>
      <c r="H128" s="210"/>
      <c r="J128" s="45"/>
    </row>
    <row r="129" spans="1:17" x14ac:dyDescent="0.2">
      <c r="A129" s="43"/>
      <c r="B129" s="210" t="s">
        <v>881</v>
      </c>
      <c r="C129" s="210"/>
      <c r="D129" s="210"/>
      <c r="E129" s="210"/>
      <c r="F129" s="210"/>
      <c r="G129" s="210"/>
      <c r="H129" s="210"/>
      <c r="J129" s="45"/>
    </row>
    <row r="130" spans="1:17" s="47" customFormat="1" ht="66.75" customHeight="1" x14ac:dyDescent="0.25">
      <c r="A130" s="46"/>
      <c r="B130" s="211" t="s">
        <v>882</v>
      </c>
      <c r="C130" s="211"/>
      <c r="D130" s="211"/>
      <c r="E130" s="211"/>
      <c r="F130" s="211"/>
      <c r="G130" s="211"/>
      <c r="H130" s="211"/>
      <c r="I130"/>
      <c r="J130" s="45"/>
      <c r="K130"/>
      <c r="L130"/>
      <c r="M130"/>
      <c r="N130"/>
      <c r="O130"/>
      <c r="P130"/>
      <c r="Q130"/>
    </row>
    <row r="131" spans="1:17" x14ac:dyDescent="0.2">
      <c r="A131" s="43"/>
      <c r="B131" s="210" t="s">
        <v>883</v>
      </c>
      <c r="C131" s="210"/>
      <c r="D131" s="210"/>
      <c r="E131" s="210"/>
      <c r="F131" s="210"/>
      <c r="G131" s="210"/>
      <c r="H131" s="210"/>
      <c r="J131" s="45"/>
    </row>
    <row r="132" spans="1:17" x14ac:dyDescent="0.2">
      <c r="A132" s="48"/>
      <c r="B132" s="48"/>
      <c r="C132" s="48"/>
      <c r="D132" s="49"/>
      <c r="E132" s="49"/>
      <c r="F132" s="49"/>
      <c r="G132" s="49"/>
    </row>
    <row r="133" spans="1:17" x14ac:dyDescent="0.2">
      <c r="A133" s="48"/>
      <c r="B133" s="212" t="s">
        <v>169</v>
      </c>
      <c r="C133" s="213"/>
      <c r="D133" s="214"/>
      <c r="E133" s="50"/>
      <c r="F133" s="49"/>
      <c r="G133" s="49"/>
    </row>
    <row r="134" spans="1:17" ht="27.75" customHeight="1" x14ac:dyDescent="0.2">
      <c r="A134" s="48"/>
      <c r="B134" s="215" t="s">
        <v>170</v>
      </c>
      <c r="C134" s="216"/>
      <c r="D134" s="51" t="s">
        <v>941</v>
      </c>
      <c r="E134" s="50"/>
      <c r="F134" s="49"/>
      <c r="G134" s="49"/>
    </row>
    <row r="135" spans="1:17" ht="12.75" customHeight="1" x14ac:dyDescent="0.2">
      <c r="A135" s="43"/>
      <c r="B135" s="217" t="s">
        <v>884</v>
      </c>
      <c r="C135" s="218"/>
      <c r="D135" s="51" t="str">
        <f>"Rs. "&amp;TEXT(F63,"0.00")&amp;" lacs/ #"</f>
        <v>Rs. 0.00 lacs/ #</v>
      </c>
      <c r="E135" s="52"/>
      <c r="F135" s="53"/>
      <c r="G135" s="53"/>
    </row>
    <row r="136" spans="1:17" x14ac:dyDescent="0.2">
      <c r="A136" s="48"/>
      <c r="B136" s="215" t="s">
        <v>172</v>
      </c>
      <c r="C136" s="216"/>
      <c r="D136" s="36" t="s">
        <v>142</v>
      </c>
      <c r="E136" s="50"/>
      <c r="F136" s="49"/>
      <c r="G136" s="49"/>
    </row>
    <row r="137" spans="1:17" x14ac:dyDescent="0.2">
      <c r="A137" s="54"/>
      <c r="B137" s="55" t="s">
        <v>142</v>
      </c>
      <c r="C137" s="55" t="s">
        <v>885</v>
      </c>
      <c r="D137" s="55" t="s">
        <v>173</v>
      </c>
      <c r="E137" s="54"/>
      <c r="F137" s="54"/>
      <c r="G137" s="54"/>
      <c r="H137" s="54"/>
      <c r="J137" s="45"/>
    </row>
    <row r="138" spans="1:17" x14ac:dyDescent="0.2">
      <c r="A138" s="54"/>
      <c r="B138" s="56" t="s">
        <v>174</v>
      </c>
      <c r="C138" s="57">
        <v>45777</v>
      </c>
      <c r="D138" s="57">
        <v>45808</v>
      </c>
      <c r="E138" s="54"/>
      <c r="F138" s="54"/>
      <c r="G138" s="54"/>
      <c r="J138" s="45"/>
    </row>
    <row r="139" spans="1:17" x14ac:dyDescent="0.2">
      <c r="A139" s="58"/>
      <c r="B139" s="29" t="s">
        <v>175</v>
      </c>
      <c r="C139" s="59">
        <v>142.8304</v>
      </c>
      <c r="D139" s="59">
        <v>145.1728</v>
      </c>
      <c r="E139" s="58"/>
      <c r="F139" s="60"/>
      <c r="G139" s="61"/>
    </row>
    <row r="140" spans="1:17" ht="25.5" x14ac:dyDescent="0.2">
      <c r="A140" s="58"/>
      <c r="B140" s="29" t="s">
        <v>1067</v>
      </c>
      <c r="C140" s="59">
        <v>63.709499999999998</v>
      </c>
      <c r="D140" s="59">
        <v>64.754400000000004</v>
      </c>
      <c r="E140" s="58"/>
      <c r="F140" s="60"/>
      <c r="G140" s="61"/>
    </row>
    <row r="141" spans="1:17" x14ac:dyDescent="0.2">
      <c r="A141" s="58"/>
      <c r="B141" s="29" t="s">
        <v>177</v>
      </c>
      <c r="C141" s="59">
        <v>131.2321</v>
      </c>
      <c r="D141" s="59">
        <v>133.24629999999999</v>
      </c>
      <c r="E141" s="58"/>
      <c r="F141" s="60"/>
      <c r="G141" s="61"/>
    </row>
    <row r="142" spans="1:17" ht="25.5" x14ac:dyDescent="0.2">
      <c r="A142" s="58"/>
      <c r="B142" s="29" t="s">
        <v>1068</v>
      </c>
      <c r="C142" s="59">
        <v>38.1616</v>
      </c>
      <c r="D142" s="59">
        <v>38.747300000000003</v>
      </c>
      <c r="E142" s="58"/>
      <c r="F142" s="60"/>
      <c r="G142" s="61"/>
    </row>
    <row r="143" spans="1:17" x14ac:dyDescent="0.2">
      <c r="A143" s="58"/>
      <c r="B143" s="58"/>
      <c r="C143" s="58"/>
      <c r="D143" s="58"/>
      <c r="E143" s="58"/>
      <c r="F143" s="58"/>
      <c r="G143" s="58"/>
    </row>
    <row r="144" spans="1:17" x14ac:dyDescent="0.2">
      <c r="A144" s="58"/>
      <c r="B144" s="215" t="s">
        <v>887</v>
      </c>
      <c r="C144" s="216"/>
      <c r="D144" s="51" t="s">
        <v>171</v>
      </c>
      <c r="E144" s="58"/>
      <c r="F144" s="58"/>
      <c r="G144" s="58"/>
    </row>
    <row r="145" spans="1:19" x14ac:dyDescent="0.2">
      <c r="A145" s="58"/>
      <c r="B145" s="70"/>
      <c r="C145" s="70"/>
      <c r="D145" s="70"/>
      <c r="E145" s="58"/>
      <c r="F145" s="58"/>
      <c r="G145" s="58"/>
    </row>
    <row r="146" spans="1:19" x14ac:dyDescent="0.2">
      <c r="A146" s="54"/>
      <c r="B146" s="217" t="s">
        <v>180</v>
      </c>
      <c r="C146" s="218"/>
      <c r="D146" s="51" t="s">
        <v>171</v>
      </c>
      <c r="E146" s="65"/>
      <c r="F146" s="54"/>
      <c r="G146" s="54"/>
    </row>
    <row r="147" spans="1:19" x14ac:dyDescent="0.2">
      <c r="A147" s="54"/>
      <c r="B147" s="217" t="s">
        <v>181</v>
      </c>
      <c r="C147" s="218"/>
      <c r="D147" s="51" t="s">
        <v>171</v>
      </c>
      <c r="E147" s="65"/>
      <c r="F147" s="54"/>
      <c r="G147" s="54"/>
    </row>
    <row r="148" spans="1:19" ht="17.100000000000001" customHeight="1" x14ac:dyDescent="0.2">
      <c r="A148" s="54"/>
      <c r="B148" s="217" t="s">
        <v>182</v>
      </c>
      <c r="C148" s="218"/>
      <c r="D148" s="51" t="s">
        <v>171</v>
      </c>
      <c r="E148" s="65"/>
      <c r="F148" s="54"/>
      <c r="G148" s="54"/>
    </row>
    <row r="149" spans="1:19" ht="17.100000000000001" customHeight="1" x14ac:dyDescent="0.2">
      <c r="A149" s="54"/>
      <c r="B149" s="217" t="s">
        <v>183</v>
      </c>
      <c r="C149" s="218"/>
      <c r="D149" s="66">
        <v>0.6261301704116139</v>
      </c>
      <c r="E149" s="54"/>
      <c r="F149" s="44"/>
      <c r="G149" s="64"/>
    </row>
    <row r="151" spans="1:19" s="93" customFormat="1" x14ac:dyDescent="0.2">
      <c r="B151" s="94" t="s">
        <v>1086</v>
      </c>
      <c r="C151" s="94"/>
      <c r="D151" s="94"/>
      <c r="E151" s="11"/>
      <c r="F151" s="12"/>
      <c r="I151"/>
      <c r="J151"/>
      <c r="K151"/>
      <c r="L151"/>
      <c r="M151"/>
      <c r="N151"/>
    </row>
    <row r="152" spans="1:19" s="93" customFormat="1" ht="63.75" x14ac:dyDescent="0.2">
      <c r="B152" s="95" t="s">
        <v>1016</v>
      </c>
      <c r="C152" s="96" t="s">
        <v>1017</v>
      </c>
      <c r="D152" s="96" t="s">
        <v>1018</v>
      </c>
      <c r="E152" s="96" t="s">
        <v>1019</v>
      </c>
      <c r="F152" s="96" t="s">
        <v>1020</v>
      </c>
      <c r="I152"/>
      <c r="J152"/>
      <c r="K152"/>
      <c r="L152"/>
      <c r="M152"/>
      <c r="N152"/>
    </row>
    <row r="153" spans="1:19" s="93" customFormat="1" x14ac:dyDescent="0.2">
      <c r="B153" s="97" t="s">
        <v>1021</v>
      </c>
      <c r="C153" s="98" t="s">
        <v>1022</v>
      </c>
      <c r="D153" s="14">
        <v>0</v>
      </c>
      <c r="E153" s="15">
        <v>0</v>
      </c>
      <c r="F153" s="99">
        <v>241.97234</v>
      </c>
      <c r="I153"/>
      <c r="J153"/>
      <c r="K153"/>
      <c r="L153"/>
      <c r="M153"/>
      <c r="N153"/>
    </row>
    <row r="154" spans="1:19" s="93" customFormat="1" ht="25.5" x14ac:dyDescent="0.2">
      <c r="B154" s="97" t="s">
        <v>1023</v>
      </c>
      <c r="C154" s="98" t="s">
        <v>1022</v>
      </c>
      <c r="D154" s="14">
        <v>0</v>
      </c>
      <c r="E154" s="15">
        <v>0</v>
      </c>
      <c r="F154" s="99">
        <v>23.186299999999999</v>
      </c>
      <c r="I154"/>
      <c r="J154"/>
      <c r="K154"/>
      <c r="L154"/>
      <c r="M154"/>
      <c r="N154"/>
      <c r="O154"/>
      <c r="P154"/>
      <c r="Q154"/>
      <c r="R154"/>
      <c r="S154"/>
    </row>
    <row r="156" spans="1:19" x14ac:dyDescent="0.2">
      <c r="B156" s="219" t="s">
        <v>888</v>
      </c>
      <c r="C156" s="219"/>
    </row>
    <row r="158" spans="1:19" ht="153.75" customHeight="1" x14ac:dyDescent="0.2"/>
    <row r="161" spans="2:10" x14ac:dyDescent="0.2">
      <c r="B161" s="67" t="s">
        <v>889</v>
      </c>
      <c r="C161" s="68"/>
      <c r="D161" s="67" t="s">
        <v>892</v>
      </c>
    </row>
    <row r="162" spans="2:10" x14ac:dyDescent="0.2">
      <c r="B162" s="67" t="s">
        <v>1024</v>
      </c>
      <c r="D162" s="67" t="s">
        <v>1093</v>
      </c>
    </row>
    <row r="163" spans="2:10" ht="165" customHeight="1" x14ac:dyDescent="0.2"/>
    <row r="165" spans="2:10" x14ac:dyDescent="0.2">
      <c r="J165" s="24"/>
    </row>
  </sheetData>
  <mergeCells count="18">
    <mergeCell ref="B135:C135"/>
    <mergeCell ref="B136:C136"/>
    <mergeCell ref="B144:C144"/>
    <mergeCell ref="B129:H129"/>
    <mergeCell ref="B130:H130"/>
    <mergeCell ref="B131:H131"/>
    <mergeCell ref="B133:D133"/>
    <mergeCell ref="B134:C134"/>
    <mergeCell ref="A1:H1"/>
    <mergeCell ref="A2:H2"/>
    <mergeCell ref="A3:H3"/>
    <mergeCell ref="B127:H127"/>
    <mergeCell ref="B128:H128"/>
    <mergeCell ref="B148:C148"/>
    <mergeCell ref="B149:C149"/>
    <mergeCell ref="B146:C146"/>
    <mergeCell ref="B147:C147"/>
    <mergeCell ref="B156:C156"/>
  </mergeCells>
  <hyperlinks>
    <hyperlink ref="I1" location="Index!B2" display="Index" xr:uid="{9DDD5CA4-FF43-49E9-94DA-74114C94738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0B5F-2AE0-48BC-8692-79A6209C38BA}">
  <sheetPr>
    <outlinePr summaryBelow="0" summaryRight="0"/>
  </sheetPr>
  <dimension ref="A1:Q232"/>
  <sheetViews>
    <sheetView showGridLines="0" topLeftCell="B1" workbookViewId="0">
      <selection activeCell="D184" sqref="D184"/>
    </sheetView>
  </sheetViews>
  <sheetFormatPr defaultRowHeight="12.75" x14ac:dyDescent="0.2"/>
  <cols>
    <col min="1" max="1" width="5.85546875" bestFit="1" customWidth="1"/>
    <col min="2" max="2" width="21.5703125" customWidth="1"/>
    <col min="3" max="3" width="42.85546875" customWidth="1"/>
    <col min="4" max="4" width="18.85546875" customWidth="1"/>
    <col min="5" max="5" width="8.7109375" bestFit="1" customWidth="1"/>
    <col min="6" max="6" width="10.140625" bestFit="1" customWidth="1"/>
    <col min="7" max="7" width="14" bestFit="1" customWidth="1"/>
    <col min="8" max="8" width="9.42578125" customWidth="1"/>
  </cols>
  <sheetData>
    <row r="1" spans="1:9" ht="15" x14ac:dyDescent="0.2">
      <c r="A1" s="209" t="s">
        <v>0</v>
      </c>
      <c r="B1" s="209"/>
      <c r="C1" s="209"/>
      <c r="D1" s="209"/>
      <c r="E1" s="209"/>
      <c r="F1" s="209"/>
      <c r="G1" s="209"/>
      <c r="H1" s="209"/>
      <c r="I1" s="7" t="s">
        <v>878</v>
      </c>
    </row>
    <row r="2" spans="1:9" ht="15" x14ac:dyDescent="0.2">
      <c r="A2" s="209" t="s">
        <v>679</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14</v>
      </c>
      <c r="C7" s="29" t="s">
        <v>15</v>
      </c>
      <c r="D7" s="29" t="s">
        <v>16</v>
      </c>
      <c r="E7" s="30">
        <v>681500</v>
      </c>
      <c r="F7" s="31">
        <v>9683.4334999999992</v>
      </c>
      <c r="G7" s="32">
        <v>9.2286060000000003E-2</v>
      </c>
      <c r="H7" s="27" t="s">
        <v>142</v>
      </c>
    </row>
    <row r="8" spans="1:9" x14ac:dyDescent="0.2">
      <c r="A8" s="28">
        <v>2</v>
      </c>
      <c r="B8" s="29" t="s">
        <v>11</v>
      </c>
      <c r="C8" s="29" t="s">
        <v>12</v>
      </c>
      <c r="D8" s="29" t="s">
        <v>13</v>
      </c>
      <c r="E8" s="30">
        <v>487525</v>
      </c>
      <c r="F8" s="31">
        <v>9049.4390500000009</v>
      </c>
      <c r="G8" s="32">
        <v>8.6243899999999998E-2</v>
      </c>
      <c r="H8" s="27" t="s">
        <v>142</v>
      </c>
    </row>
    <row r="9" spans="1:9" x14ac:dyDescent="0.2">
      <c r="A9" s="28">
        <v>3</v>
      </c>
      <c r="B9" s="29" t="s">
        <v>323</v>
      </c>
      <c r="C9" s="29" t="s">
        <v>324</v>
      </c>
      <c r="D9" s="29" t="s">
        <v>200</v>
      </c>
      <c r="E9" s="30">
        <v>350700</v>
      </c>
      <c r="F9" s="31">
        <v>5480.3888999999999</v>
      </c>
      <c r="G9" s="32">
        <v>5.2229770000000002E-2</v>
      </c>
      <c r="H9" s="27" t="s">
        <v>142</v>
      </c>
    </row>
    <row r="10" spans="1:9" x14ac:dyDescent="0.2">
      <c r="A10" s="28">
        <v>4</v>
      </c>
      <c r="B10" s="29" t="s">
        <v>26</v>
      </c>
      <c r="C10" s="29" t="s">
        <v>27</v>
      </c>
      <c r="D10" s="29" t="s">
        <v>28</v>
      </c>
      <c r="E10" s="30">
        <v>237200</v>
      </c>
      <c r="F10" s="31">
        <v>3429.4376000000002</v>
      </c>
      <c r="G10" s="32">
        <v>3.2683579999999997E-2</v>
      </c>
      <c r="H10" s="27" t="s">
        <v>142</v>
      </c>
    </row>
    <row r="11" spans="1:9" x14ac:dyDescent="0.2">
      <c r="A11" s="28">
        <v>5</v>
      </c>
      <c r="B11" s="29" t="s">
        <v>319</v>
      </c>
      <c r="C11" s="29" t="s">
        <v>320</v>
      </c>
      <c r="D11" s="29" t="s">
        <v>28</v>
      </c>
      <c r="E11" s="30">
        <v>255500</v>
      </c>
      <c r="F11" s="31">
        <v>3046.0709999999999</v>
      </c>
      <c r="G11" s="32">
        <v>2.902998E-2</v>
      </c>
      <c r="H11" s="27" t="s">
        <v>142</v>
      </c>
    </row>
    <row r="12" spans="1:9" x14ac:dyDescent="0.2">
      <c r="A12" s="28">
        <v>6</v>
      </c>
      <c r="B12" s="29" t="s">
        <v>317</v>
      </c>
      <c r="C12" s="29" t="s">
        <v>318</v>
      </c>
      <c r="D12" s="29" t="s">
        <v>28</v>
      </c>
      <c r="E12" s="30">
        <v>155000</v>
      </c>
      <c r="F12" s="31">
        <v>3014.5949999999998</v>
      </c>
      <c r="G12" s="32">
        <v>2.8729999999999999E-2</v>
      </c>
      <c r="H12" s="27" t="s">
        <v>142</v>
      </c>
    </row>
    <row r="13" spans="1:9" x14ac:dyDescent="0.2">
      <c r="A13" s="28">
        <v>7</v>
      </c>
      <c r="B13" s="29" t="s">
        <v>343</v>
      </c>
      <c r="C13" s="29" t="s">
        <v>344</v>
      </c>
      <c r="D13" s="29" t="s">
        <v>345</v>
      </c>
      <c r="E13" s="30">
        <v>636600</v>
      </c>
      <c r="F13" s="31">
        <v>2661.3063000000002</v>
      </c>
      <c r="G13" s="32">
        <v>2.536306E-2</v>
      </c>
      <c r="H13" s="27" t="s">
        <v>142</v>
      </c>
    </row>
    <row r="14" spans="1:9" x14ac:dyDescent="0.2">
      <c r="A14" s="28">
        <v>8</v>
      </c>
      <c r="B14" s="29" t="s">
        <v>434</v>
      </c>
      <c r="C14" s="29" t="s">
        <v>435</v>
      </c>
      <c r="D14" s="29" t="s">
        <v>345</v>
      </c>
      <c r="E14" s="30">
        <v>100500</v>
      </c>
      <c r="F14" s="31">
        <v>2360.0414999999998</v>
      </c>
      <c r="G14" s="32">
        <v>2.249191E-2</v>
      </c>
      <c r="H14" s="27" t="s">
        <v>142</v>
      </c>
    </row>
    <row r="15" spans="1:9" x14ac:dyDescent="0.2">
      <c r="A15" s="28">
        <v>9</v>
      </c>
      <c r="B15" s="29" t="s">
        <v>34</v>
      </c>
      <c r="C15" s="29" t="s">
        <v>35</v>
      </c>
      <c r="D15" s="29" t="s">
        <v>36</v>
      </c>
      <c r="E15" s="30">
        <v>91000</v>
      </c>
      <c r="F15" s="31">
        <v>2039.674</v>
      </c>
      <c r="G15" s="32">
        <v>1.9438710000000001E-2</v>
      </c>
      <c r="H15" s="27" t="s">
        <v>142</v>
      </c>
    </row>
    <row r="16" spans="1:9" x14ac:dyDescent="0.2">
      <c r="A16" s="28">
        <v>10</v>
      </c>
      <c r="B16" s="29" t="s">
        <v>498</v>
      </c>
      <c r="C16" s="29" t="s">
        <v>499</v>
      </c>
      <c r="D16" s="29" t="s">
        <v>254</v>
      </c>
      <c r="E16" s="30">
        <v>13000</v>
      </c>
      <c r="F16" s="31">
        <v>1601.47</v>
      </c>
      <c r="G16" s="32">
        <v>1.52625E-2</v>
      </c>
      <c r="H16" s="27" t="s">
        <v>142</v>
      </c>
    </row>
    <row r="17" spans="1:8" x14ac:dyDescent="0.2">
      <c r="A17" s="28">
        <v>11</v>
      </c>
      <c r="B17" s="29" t="s">
        <v>17</v>
      </c>
      <c r="C17" s="29" t="s">
        <v>18</v>
      </c>
      <c r="D17" s="29" t="s">
        <v>19</v>
      </c>
      <c r="E17" s="30">
        <v>41750</v>
      </c>
      <c r="F17" s="31">
        <v>1534.3542500000001</v>
      </c>
      <c r="G17" s="32">
        <v>1.462286E-2</v>
      </c>
      <c r="H17" s="27" t="s">
        <v>142</v>
      </c>
    </row>
    <row r="18" spans="1:8" x14ac:dyDescent="0.2">
      <c r="A18" s="28">
        <v>12</v>
      </c>
      <c r="B18" s="29" t="s">
        <v>65</v>
      </c>
      <c r="C18" s="29" t="s">
        <v>66</v>
      </c>
      <c r="D18" s="29" t="s">
        <v>67</v>
      </c>
      <c r="E18" s="30">
        <v>27437</v>
      </c>
      <c r="F18" s="31">
        <v>1462.3921</v>
      </c>
      <c r="G18" s="32">
        <v>1.3937039999999999E-2</v>
      </c>
      <c r="H18" s="27" t="s">
        <v>142</v>
      </c>
    </row>
    <row r="19" spans="1:8" x14ac:dyDescent="0.2">
      <c r="A19" s="28">
        <v>13</v>
      </c>
      <c r="B19" s="29" t="s">
        <v>680</v>
      </c>
      <c r="C19" s="29" t="s">
        <v>681</v>
      </c>
      <c r="D19" s="29" t="s">
        <v>254</v>
      </c>
      <c r="E19" s="30">
        <v>10000</v>
      </c>
      <c r="F19" s="31">
        <v>1264.95</v>
      </c>
      <c r="G19" s="32">
        <v>1.2055359999999999E-2</v>
      </c>
      <c r="H19" s="27" t="s">
        <v>142</v>
      </c>
    </row>
    <row r="20" spans="1:8" ht="25.5" x14ac:dyDescent="0.2">
      <c r="A20" s="28">
        <v>14</v>
      </c>
      <c r="B20" s="29" t="s">
        <v>631</v>
      </c>
      <c r="C20" s="29" t="s">
        <v>632</v>
      </c>
      <c r="D20" s="29" t="s">
        <v>194</v>
      </c>
      <c r="E20" s="30">
        <v>107000</v>
      </c>
      <c r="F20" s="31">
        <v>1228.146</v>
      </c>
      <c r="G20" s="32">
        <v>1.1704600000000001E-2</v>
      </c>
      <c r="H20" s="27" t="s">
        <v>142</v>
      </c>
    </row>
    <row r="21" spans="1:8" x14ac:dyDescent="0.2">
      <c r="A21" s="28">
        <v>15</v>
      </c>
      <c r="B21" s="29" t="s">
        <v>682</v>
      </c>
      <c r="C21" s="29" t="s">
        <v>683</v>
      </c>
      <c r="D21" s="29" t="s">
        <v>61</v>
      </c>
      <c r="E21" s="30">
        <v>70000</v>
      </c>
      <c r="F21" s="31">
        <v>1173.27</v>
      </c>
      <c r="G21" s="32">
        <v>1.118162E-2</v>
      </c>
      <c r="H21" s="27" t="s">
        <v>142</v>
      </c>
    </row>
    <row r="22" spans="1:8" x14ac:dyDescent="0.2">
      <c r="A22" s="28">
        <v>16</v>
      </c>
      <c r="B22" s="29" t="s">
        <v>46</v>
      </c>
      <c r="C22" s="29" t="s">
        <v>47</v>
      </c>
      <c r="D22" s="29" t="s">
        <v>28</v>
      </c>
      <c r="E22" s="30">
        <v>139000</v>
      </c>
      <c r="F22" s="31">
        <v>1129.097</v>
      </c>
      <c r="G22" s="32">
        <v>1.076064E-2</v>
      </c>
      <c r="H22" s="27" t="s">
        <v>142</v>
      </c>
    </row>
    <row r="23" spans="1:8" x14ac:dyDescent="0.2">
      <c r="A23" s="28">
        <v>17</v>
      </c>
      <c r="B23" s="29" t="s">
        <v>321</v>
      </c>
      <c r="C23" s="29" t="s">
        <v>322</v>
      </c>
      <c r="D23" s="29" t="s">
        <v>28</v>
      </c>
      <c r="E23" s="30">
        <v>54400</v>
      </c>
      <c r="F23" s="31">
        <v>1128.6368</v>
      </c>
      <c r="G23" s="32">
        <v>1.075625E-2</v>
      </c>
      <c r="H23" s="27" t="s">
        <v>142</v>
      </c>
    </row>
    <row r="24" spans="1:8" ht="25.5" x14ac:dyDescent="0.2">
      <c r="A24" s="28">
        <v>18</v>
      </c>
      <c r="B24" s="29" t="s">
        <v>23</v>
      </c>
      <c r="C24" s="29" t="s">
        <v>24</v>
      </c>
      <c r="D24" s="29" t="s">
        <v>25</v>
      </c>
      <c r="E24" s="30">
        <v>9750</v>
      </c>
      <c r="F24" s="31">
        <v>1092.9749999999999</v>
      </c>
      <c r="G24" s="32">
        <v>1.0416379999999999E-2</v>
      </c>
      <c r="H24" s="27" t="s">
        <v>142</v>
      </c>
    </row>
    <row r="25" spans="1:8" x14ac:dyDescent="0.2">
      <c r="A25" s="28">
        <v>19</v>
      </c>
      <c r="B25" s="29" t="s">
        <v>325</v>
      </c>
      <c r="C25" s="29" t="s">
        <v>326</v>
      </c>
      <c r="D25" s="29" t="s">
        <v>28</v>
      </c>
      <c r="E25" s="30">
        <v>406575</v>
      </c>
      <c r="F25" s="31">
        <v>1014.6079125</v>
      </c>
      <c r="G25" s="32">
        <v>9.6695199999999992E-3</v>
      </c>
      <c r="H25" s="27" t="s">
        <v>142</v>
      </c>
    </row>
    <row r="26" spans="1:8" x14ac:dyDescent="0.2">
      <c r="A26" s="28">
        <v>20</v>
      </c>
      <c r="B26" s="29" t="s">
        <v>427</v>
      </c>
      <c r="C26" s="29" t="s">
        <v>428</v>
      </c>
      <c r="D26" s="29" t="s">
        <v>429</v>
      </c>
      <c r="E26" s="30">
        <v>149800</v>
      </c>
      <c r="F26" s="31">
        <v>948.98299999999995</v>
      </c>
      <c r="G26" s="32">
        <v>9.0440999999999994E-3</v>
      </c>
      <c r="H26" s="27" t="s">
        <v>142</v>
      </c>
    </row>
    <row r="27" spans="1:8" x14ac:dyDescent="0.2">
      <c r="A27" s="28">
        <v>21</v>
      </c>
      <c r="B27" s="29" t="s">
        <v>113</v>
      </c>
      <c r="C27" s="29" t="s">
        <v>114</v>
      </c>
      <c r="D27" s="29" t="s">
        <v>67</v>
      </c>
      <c r="E27" s="30">
        <v>263000</v>
      </c>
      <c r="F27" s="31">
        <v>941.54</v>
      </c>
      <c r="G27" s="32">
        <v>8.9731600000000009E-3</v>
      </c>
      <c r="H27" s="27" t="s">
        <v>142</v>
      </c>
    </row>
    <row r="28" spans="1:8" x14ac:dyDescent="0.2">
      <c r="A28" s="28">
        <v>22</v>
      </c>
      <c r="B28" s="29" t="s">
        <v>684</v>
      </c>
      <c r="C28" s="29" t="s">
        <v>685</v>
      </c>
      <c r="D28" s="29" t="s">
        <v>137</v>
      </c>
      <c r="E28" s="30">
        <v>89100</v>
      </c>
      <c r="F28" s="31">
        <v>885.20849999999996</v>
      </c>
      <c r="G28" s="32">
        <v>8.4363100000000007E-3</v>
      </c>
      <c r="H28" s="27" t="s">
        <v>142</v>
      </c>
    </row>
    <row r="29" spans="1:8" ht="25.5" x14ac:dyDescent="0.2">
      <c r="A29" s="28">
        <v>23</v>
      </c>
      <c r="B29" s="29" t="s">
        <v>99</v>
      </c>
      <c r="C29" s="29" t="s">
        <v>100</v>
      </c>
      <c r="D29" s="29" t="s">
        <v>25</v>
      </c>
      <c r="E29" s="30">
        <v>159000</v>
      </c>
      <c r="F29" s="31">
        <v>880.06500000000005</v>
      </c>
      <c r="G29" s="32">
        <v>8.3872900000000004E-3</v>
      </c>
      <c r="H29" s="27" t="s">
        <v>142</v>
      </c>
    </row>
    <row r="30" spans="1:8" x14ac:dyDescent="0.2">
      <c r="A30" s="28">
        <v>24</v>
      </c>
      <c r="B30" s="29" t="s">
        <v>686</v>
      </c>
      <c r="C30" s="29" t="s">
        <v>687</v>
      </c>
      <c r="D30" s="29" t="s">
        <v>212</v>
      </c>
      <c r="E30" s="30">
        <v>13000</v>
      </c>
      <c r="F30" s="31">
        <v>876.2</v>
      </c>
      <c r="G30" s="32">
        <v>8.3504500000000006E-3</v>
      </c>
      <c r="H30" s="27" t="s">
        <v>142</v>
      </c>
    </row>
    <row r="31" spans="1:8" x14ac:dyDescent="0.2">
      <c r="A31" s="28">
        <v>25</v>
      </c>
      <c r="B31" s="29" t="s">
        <v>188</v>
      </c>
      <c r="C31" s="29" t="s">
        <v>189</v>
      </c>
      <c r="D31" s="29" t="s">
        <v>28</v>
      </c>
      <c r="E31" s="30">
        <v>410000</v>
      </c>
      <c r="F31" s="31">
        <v>828.44600000000003</v>
      </c>
      <c r="G31" s="32">
        <v>7.8953400000000007E-3</v>
      </c>
      <c r="H31" s="27" t="s">
        <v>142</v>
      </c>
    </row>
    <row r="32" spans="1:8" x14ac:dyDescent="0.2">
      <c r="A32" s="28">
        <v>26</v>
      </c>
      <c r="B32" s="29" t="s">
        <v>252</v>
      </c>
      <c r="C32" s="29" t="s">
        <v>253</v>
      </c>
      <c r="D32" s="29" t="s">
        <v>254</v>
      </c>
      <c r="E32" s="30">
        <v>29750</v>
      </c>
      <c r="F32" s="31">
        <v>827.28800000000001</v>
      </c>
      <c r="G32" s="32">
        <v>7.8843100000000003E-3</v>
      </c>
      <c r="H32" s="27" t="s">
        <v>142</v>
      </c>
    </row>
    <row r="33" spans="1:8" ht="25.5" x14ac:dyDescent="0.2">
      <c r="A33" s="28">
        <v>27</v>
      </c>
      <c r="B33" s="29" t="s">
        <v>341</v>
      </c>
      <c r="C33" s="29" t="s">
        <v>342</v>
      </c>
      <c r="D33" s="29" t="s">
        <v>132</v>
      </c>
      <c r="E33" s="30">
        <v>48000</v>
      </c>
      <c r="F33" s="31">
        <v>768.48</v>
      </c>
      <c r="G33" s="32">
        <v>7.3238499999999998E-3</v>
      </c>
      <c r="H33" s="27" t="s">
        <v>142</v>
      </c>
    </row>
    <row r="34" spans="1:8" x14ac:dyDescent="0.2">
      <c r="A34" s="28">
        <v>28</v>
      </c>
      <c r="B34" s="29" t="s">
        <v>688</v>
      </c>
      <c r="C34" s="29" t="s">
        <v>689</v>
      </c>
      <c r="D34" s="29" t="s">
        <v>197</v>
      </c>
      <c r="E34" s="30">
        <v>11000</v>
      </c>
      <c r="F34" s="31">
        <v>756.85500000000002</v>
      </c>
      <c r="G34" s="32">
        <v>7.2130600000000003E-3</v>
      </c>
      <c r="H34" s="27" t="s">
        <v>142</v>
      </c>
    </row>
    <row r="35" spans="1:8" ht="25.5" x14ac:dyDescent="0.2">
      <c r="A35" s="28">
        <v>29</v>
      </c>
      <c r="B35" s="29" t="s">
        <v>331</v>
      </c>
      <c r="C35" s="29" t="s">
        <v>332</v>
      </c>
      <c r="D35" s="29" t="s">
        <v>194</v>
      </c>
      <c r="E35" s="30">
        <v>45000</v>
      </c>
      <c r="F35" s="31">
        <v>754.92</v>
      </c>
      <c r="G35" s="32">
        <v>7.1946199999999997E-3</v>
      </c>
      <c r="H35" s="27" t="s">
        <v>142</v>
      </c>
    </row>
    <row r="36" spans="1:8" x14ac:dyDescent="0.2">
      <c r="A36" s="28">
        <v>30</v>
      </c>
      <c r="B36" s="29" t="s">
        <v>436</v>
      </c>
      <c r="C36" s="29" t="s">
        <v>437</v>
      </c>
      <c r="D36" s="29" t="s">
        <v>28</v>
      </c>
      <c r="E36" s="30">
        <v>89000</v>
      </c>
      <c r="F36" s="31">
        <v>727.08550000000002</v>
      </c>
      <c r="G36" s="32">
        <v>6.9293499999999999E-3</v>
      </c>
      <c r="H36" s="27" t="s">
        <v>142</v>
      </c>
    </row>
    <row r="37" spans="1:8" x14ac:dyDescent="0.2">
      <c r="A37" s="28">
        <v>31</v>
      </c>
      <c r="B37" s="29" t="s">
        <v>352</v>
      </c>
      <c r="C37" s="29" t="s">
        <v>353</v>
      </c>
      <c r="D37" s="29" t="s">
        <v>254</v>
      </c>
      <c r="E37" s="30">
        <v>97750</v>
      </c>
      <c r="F37" s="31">
        <v>703.31124999999997</v>
      </c>
      <c r="G37" s="32">
        <v>6.7027700000000003E-3</v>
      </c>
      <c r="H37" s="27" t="s">
        <v>142</v>
      </c>
    </row>
    <row r="38" spans="1:8" x14ac:dyDescent="0.2">
      <c r="A38" s="28">
        <v>32</v>
      </c>
      <c r="B38" s="29" t="s">
        <v>348</v>
      </c>
      <c r="C38" s="29" t="s">
        <v>349</v>
      </c>
      <c r="D38" s="29" t="s">
        <v>290</v>
      </c>
      <c r="E38" s="30">
        <v>266000</v>
      </c>
      <c r="F38" s="31">
        <v>633.90459999999996</v>
      </c>
      <c r="G38" s="32">
        <v>6.0413000000000003E-3</v>
      </c>
      <c r="H38" s="27" t="s">
        <v>142</v>
      </c>
    </row>
    <row r="39" spans="1:8" x14ac:dyDescent="0.2">
      <c r="A39" s="28">
        <v>33</v>
      </c>
      <c r="B39" s="29" t="s">
        <v>514</v>
      </c>
      <c r="C39" s="29" t="s">
        <v>515</v>
      </c>
      <c r="D39" s="29" t="s">
        <v>270</v>
      </c>
      <c r="E39" s="30">
        <v>78100</v>
      </c>
      <c r="F39" s="31">
        <v>606.71984999999995</v>
      </c>
      <c r="G39" s="32">
        <v>5.7822200000000002E-3</v>
      </c>
      <c r="H39" s="27" t="s">
        <v>142</v>
      </c>
    </row>
    <row r="40" spans="1:8" x14ac:dyDescent="0.2">
      <c r="A40" s="28">
        <v>34</v>
      </c>
      <c r="B40" s="29" t="s">
        <v>20</v>
      </c>
      <c r="C40" s="29" t="s">
        <v>21</v>
      </c>
      <c r="D40" s="29" t="s">
        <v>22</v>
      </c>
      <c r="E40" s="30">
        <v>178500</v>
      </c>
      <c r="F40" s="31">
        <v>596.01149999999996</v>
      </c>
      <c r="G40" s="32">
        <v>5.68017E-3</v>
      </c>
      <c r="H40" s="27" t="s">
        <v>142</v>
      </c>
    </row>
    <row r="41" spans="1:8" x14ac:dyDescent="0.2">
      <c r="A41" s="28">
        <v>35</v>
      </c>
      <c r="B41" s="29" t="s">
        <v>278</v>
      </c>
      <c r="C41" s="29" t="s">
        <v>279</v>
      </c>
      <c r="D41" s="29" t="s">
        <v>212</v>
      </c>
      <c r="E41" s="30">
        <v>14000</v>
      </c>
      <c r="F41" s="31">
        <v>554.55399999999997</v>
      </c>
      <c r="G41" s="32">
        <v>5.2850700000000002E-3</v>
      </c>
      <c r="H41" s="27" t="s">
        <v>142</v>
      </c>
    </row>
    <row r="42" spans="1:8" x14ac:dyDescent="0.2">
      <c r="A42" s="28">
        <v>36</v>
      </c>
      <c r="B42" s="29" t="s">
        <v>327</v>
      </c>
      <c r="C42" s="29" t="s">
        <v>328</v>
      </c>
      <c r="D42" s="29" t="s">
        <v>132</v>
      </c>
      <c r="E42" s="30">
        <v>5750</v>
      </c>
      <c r="F42" s="31">
        <v>527.87874999999997</v>
      </c>
      <c r="G42" s="32">
        <v>5.0308499999999999E-3</v>
      </c>
      <c r="H42" s="27" t="s">
        <v>142</v>
      </c>
    </row>
    <row r="43" spans="1:8" x14ac:dyDescent="0.2">
      <c r="A43" s="28">
        <v>37</v>
      </c>
      <c r="B43" s="29" t="s">
        <v>95</v>
      </c>
      <c r="C43" s="29" t="s">
        <v>96</v>
      </c>
      <c r="D43" s="29" t="s">
        <v>64</v>
      </c>
      <c r="E43" s="30">
        <v>12000</v>
      </c>
      <c r="F43" s="31">
        <v>502.64400000000001</v>
      </c>
      <c r="G43" s="32">
        <v>4.7903499999999996E-3</v>
      </c>
      <c r="H43" s="27" t="s">
        <v>142</v>
      </c>
    </row>
    <row r="44" spans="1:8" ht="25.5" x14ac:dyDescent="0.2">
      <c r="A44" s="28">
        <v>38</v>
      </c>
      <c r="B44" s="29" t="s">
        <v>690</v>
      </c>
      <c r="C44" s="29" t="s">
        <v>691</v>
      </c>
      <c r="D44" s="29" t="s">
        <v>194</v>
      </c>
      <c r="E44" s="30">
        <v>40000</v>
      </c>
      <c r="F44" s="31">
        <v>500.48</v>
      </c>
      <c r="G44" s="32">
        <v>4.7697299999999998E-3</v>
      </c>
      <c r="H44" s="27" t="s">
        <v>142</v>
      </c>
    </row>
    <row r="45" spans="1:8" x14ac:dyDescent="0.2">
      <c r="A45" s="28">
        <v>39</v>
      </c>
      <c r="B45" s="29" t="s">
        <v>335</v>
      </c>
      <c r="C45" s="29" t="s">
        <v>336</v>
      </c>
      <c r="D45" s="29" t="s">
        <v>290</v>
      </c>
      <c r="E45" s="30">
        <v>30000</v>
      </c>
      <c r="F45" s="31">
        <v>428.25</v>
      </c>
      <c r="G45" s="32">
        <v>4.0813500000000001E-3</v>
      </c>
      <c r="H45" s="27" t="s">
        <v>142</v>
      </c>
    </row>
    <row r="46" spans="1:8" x14ac:dyDescent="0.2">
      <c r="A46" s="28">
        <v>40</v>
      </c>
      <c r="B46" s="29" t="s">
        <v>117</v>
      </c>
      <c r="C46" s="29" t="s">
        <v>118</v>
      </c>
      <c r="D46" s="29" t="s">
        <v>36</v>
      </c>
      <c r="E46" s="30">
        <v>68000</v>
      </c>
      <c r="F46" s="31">
        <v>395.25</v>
      </c>
      <c r="G46" s="32">
        <v>3.76685E-3</v>
      </c>
      <c r="H46" s="27" t="s">
        <v>142</v>
      </c>
    </row>
    <row r="47" spans="1:8" x14ac:dyDescent="0.2">
      <c r="A47" s="28">
        <v>41</v>
      </c>
      <c r="B47" s="29" t="s">
        <v>358</v>
      </c>
      <c r="C47" s="29" t="s">
        <v>359</v>
      </c>
      <c r="D47" s="29" t="s">
        <v>200</v>
      </c>
      <c r="E47" s="30">
        <v>10408</v>
      </c>
      <c r="F47" s="31">
        <v>360.47067199999998</v>
      </c>
      <c r="G47" s="32">
        <v>3.4353999999999999E-3</v>
      </c>
      <c r="H47" s="27" t="s">
        <v>142</v>
      </c>
    </row>
    <row r="48" spans="1:8" ht="25.5" x14ac:dyDescent="0.2">
      <c r="A48" s="28">
        <v>42</v>
      </c>
      <c r="B48" s="29" t="s">
        <v>121</v>
      </c>
      <c r="C48" s="29" t="s">
        <v>122</v>
      </c>
      <c r="D48" s="29" t="s">
        <v>123</v>
      </c>
      <c r="E48" s="30">
        <v>75000</v>
      </c>
      <c r="F48" s="31">
        <v>359.96249999999998</v>
      </c>
      <c r="G48" s="32">
        <v>3.4305500000000001E-3</v>
      </c>
      <c r="H48" s="27" t="s">
        <v>142</v>
      </c>
    </row>
    <row r="49" spans="1:8" x14ac:dyDescent="0.2">
      <c r="A49" s="28">
        <v>43</v>
      </c>
      <c r="B49" s="29" t="s">
        <v>329</v>
      </c>
      <c r="C49" s="29" t="s">
        <v>330</v>
      </c>
      <c r="D49" s="29" t="s">
        <v>212</v>
      </c>
      <c r="E49" s="30">
        <v>5000</v>
      </c>
      <c r="F49" s="31">
        <v>330.1</v>
      </c>
      <c r="G49" s="32">
        <v>3.1459499999999998E-3</v>
      </c>
      <c r="H49" s="27" t="s">
        <v>142</v>
      </c>
    </row>
    <row r="50" spans="1:8" ht="25.5" x14ac:dyDescent="0.2">
      <c r="A50" s="28">
        <v>44</v>
      </c>
      <c r="B50" s="29" t="s">
        <v>43</v>
      </c>
      <c r="C50" s="29" t="s">
        <v>44</v>
      </c>
      <c r="D50" s="29" t="s">
        <v>45</v>
      </c>
      <c r="E50" s="30">
        <v>23000</v>
      </c>
      <c r="F50" s="31">
        <v>329.54399999999998</v>
      </c>
      <c r="G50" s="32">
        <v>3.14065E-3</v>
      </c>
      <c r="H50" s="27" t="s">
        <v>142</v>
      </c>
    </row>
    <row r="51" spans="1:8" ht="25.5" x14ac:dyDescent="0.2">
      <c r="A51" s="28">
        <v>45</v>
      </c>
      <c r="B51" s="29" t="s">
        <v>692</v>
      </c>
      <c r="C51" s="29" t="s">
        <v>693</v>
      </c>
      <c r="D51" s="29" t="s">
        <v>25</v>
      </c>
      <c r="E51" s="30">
        <v>15869</v>
      </c>
      <c r="F51" s="31">
        <v>319.98251599999998</v>
      </c>
      <c r="G51" s="32">
        <v>3.0495299999999999E-3</v>
      </c>
      <c r="H51" s="27" t="s">
        <v>142</v>
      </c>
    </row>
    <row r="52" spans="1:8" ht="25.5" x14ac:dyDescent="0.2">
      <c r="A52" s="28">
        <v>46</v>
      </c>
      <c r="B52" s="29" t="s">
        <v>276</v>
      </c>
      <c r="C52" s="29" t="s">
        <v>277</v>
      </c>
      <c r="D52" s="29" t="s">
        <v>194</v>
      </c>
      <c r="E52" s="30">
        <v>12886</v>
      </c>
      <c r="F52" s="31">
        <v>317.98782199999999</v>
      </c>
      <c r="G52" s="32">
        <v>3.0305200000000001E-3</v>
      </c>
      <c r="H52" s="27" t="s">
        <v>142</v>
      </c>
    </row>
    <row r="53" spans="1:8" ht="25.5" x14ac:dyDescent="0.2">
      <c r="A53" s="28">
        <v>47</v>
      </c>
      <c r="B53" s="29" t="s">
        <v>622</v>
      </c>
      <c r="C53" s="29" t="s">
        <v>623</v>
      </c>
      <c r="D53" s="29" t="s">
        <v>624</v>
      </c>
      <c r="E53" s="30">
        <v>12600</v>
      </c>
      <c r="F53" s="31">
        <v>317.50740000000002</v>
      </c>
      <c r="G53" s="32">
        <v>3.02594E-3</v>
      </c>
      <c r="H53" s="27" t="s">
        <v>142</v>
      </c>
    </row>
    <row r="54" spans="1:8" x14ac:dyDescent="0.2">
      <c r="A54" s="28">
        <v>48</v>
      </c>
      <c r="B54" s="29" t="s">
        <v>423</v>
      </c>
      <c r="C54" s="29" t="s">
        <v>424</v>
      </c>
      <c r="D54" s="29" t="s">
        <v>270</v>
      </c>
      <c r="E54" s="30">
        <v>15750</v>
      </c>
      <c r="F54" s="31">
        <v>285.42149999999998</v>
      </c>
      <c r="G54" s="32">
        <v>2.7201500000000002E-3</v>
      </c>
      <c r="H54" s="27" t="s">
        <v>142</v>
      </c>
    </row>
    <row r="55" spans="1:8" x14ac:dyDescent="0.2">
      <c r="A55" s="28">
        <v>49</v>
      </c>
      <c r="B55" s="29" t="s">
        <v>504</v>
      </c>
      <c r="C55" s="29" t="s">
        <v>505</v>
      </c>
      <c r="D55" s="29" t="s">
        <v>200</v>
      </c>
      <c r="E55" s="30">
        <v>18000</v>
      </c>
      <c r="F55" s="31">
        <v>283.30200000000002</v>
      </c>
      <c r="G55" s="32">
        <v>2.69995E-3</v>
      </c>
      <c r="H55" s="27" t="s">
        <v>142</v>
      </c>
    </row>
    <row r="56" spans="1:8" x14ac:dyDescent="0.2">
      <c r="A56" s="28">
        <v>50</v>
      </c>
      <c r="B56" s="29" t="s">
        <v>636</v>
      </c>
      <c r="C56" s="29" t="s">
        <v>637</v>
      </c>
      <c r="D56" s="29" t="s">
        <v>58</v>
      </c>
      <c r="E56" s="30">
        <v>35475</v>
      </c>
      <c r="F56" s="31">
        <v>283.03728749999999</v>
      </c>
      <c r="G56" s="32">
        <v>2.6974299999999998E-3</v>
      </c>
      <c r="H56" s="27" t="s">
        <v>142</v>
      </c>
    </row>
    <row r="57" spans="1:8" x14ac:dyDescent="0.2">
      <c r="A57" s="28">
        <v>51</v>
      </c>
      <c r="B57" s="29" t="s">
        <v>496</v>
      </c>
      <c r="C57" s="29" t="s">
        <v>497</v>
      </c>
      <c r="D57" s="29" t="s">
        <v>226</v>
      </c>
      <c r="E57" s="30">
        <v>18200</v>
      </c>
      <c r="F57" s="31">
        <v>276.65820000000002</v>
      </c>
      <c r="G57" s="32">
        <v>2.63664E-3</v>
      </c>
      <c r="H57" s="27" t="s">
        <v>142</v>
      </c>
    </row>
    <row r="58" spans="1:8" x14ac:dyDescent="0.2">
      <c r="A58" s="28">
        <v>52</v>
      </c>
      <c r="B58" s="29" t="s">
        <v>494</v>
      </c>
      <c r="C58" s="29" t="s">
        <v>495</v>
      </c>
      <c r="D58" s="29" t="s">
        <v>254</v>
      </c>
      <c r="E58" s="30">
        <v>8400</v>
      </c>
      <c r="F58" s="31">
        <v>250.05119999999999</v>
      </c>
      <c r="G58" s="32">
        <v>2.3830600000000002E-3</v>
      </c>
      <c r="H58" s="27" t="s">
        <v>142</v>
      </c>
    </row>
    <row r="59" spans="1:8" x14ac:dyDescent="0.2">
      <c r="A59" s="28">
        <v>53</v>
      </c>
      <c r="B59" s="29" t="s">
        <v>93</v>
      </c>
      <c r="C59" s="29" t="s">
        <v>94</v>
      </c>
      <c r="D59" s="29" t="s">
        <v>73</v>
      </c>
      <c r="E59" s="30">
        <v>12603</v>
      </c>
      <c r="F59" s="31">
        <v>228.328551</v>
      </c>
      <c r="G59" s="32">
        <v>2.1760400000000002E-3</v>
      </c>
      <c r="H59" s="27" t="s">
        <v>142</v>
      </c>
    </row>
    <row r="60" spans="1:8" ht="25.5" x14ac:dyDescent="0.2">
      <c r="A60" s="28">
        <v>54</v>
      </c>
      <c r="B60" s="29" t="s">
        <v>192</v>
      </c>
      <c r="C60" s="29" t="s">
        <v>193</v>
      </c>
      <c r="D60" s="29" t="s">
        <v>194</v>
      </c>
      <c r="E60" s="30">
        <v>7650</v>
      </c>
      <c r="F60" s="31">
        <v>149.76405</v>
      </c>
      <c r="G60" s="32">
        <v>1.4273000000000001E-3</v>
      </c>
      <c r="H60" s="27" t="s">
        <v>142</v>
      </c>
    </row>
    <row r="61" spans="1:8" ht="25.5" x14ac:dyDescent="0.2">
      <c r="A61" s="28">
        <v>55</v>
      </c>
      <c r="B61" s="29" t="s">
        <v>460</v>
      </c>
      <c r="C61" s="29" t="s">
        <v>461</v>
      </c>
      <c r="D61" s="29" t="s">
        <v>194</v>
      </c>
      <c r="E61" s="30">
        <v>1058</v>
      </c>
      <c r="F61" s="31">
        <v>121.70174</v>
      </c>
      <c r="G61" s="32">
        <v>1.15985E-3</v>
      </c>
      <c r="H61" s="27" t="s">
        <v>142</v>
      </c>
    </row>
    <row r="62" spans="1:8" x14ac:dyDescent="0.2">
      <c r="A62" s="28">
        <v>56</v>
      </c>
      <c r="B62" s="29" t="s">
        <v>512</v>
      </c>
      <c r="C62" s="29" t="s">
        <v>513</v>
      </c>
      <c r="D62" s="29" t="s">
        <v>132</v>
      </c>
      <c r="E62" s="30">
        <v>6000</v>
      </c>
      <c r="F62" s="31">
        <v>121.044</v>
      </c>
      <c r="G62" s="32">
        <v>1.1535899999999999E-3</v>
      </c>
      <c r="H62" s="27" t="s">
        <v>142</v>
      </c>
    </row>
    <row r="63" spans="1:8" ht="25.5" x14ac:dyDescent="0.2">
      <c r="A63" s="28">
        <v>57</v>
      </c>
      <c r="B63" s="29" t="s">
        <v>339</v>
      </c>
      <c r="C63" s="29" t="s">
        <v>340</v>
      </c>
      <c r="D63" s="29" t="s">
        <v>25</v>
      </c>
      <c r="E63" s="30">
        <v>2000</v>
      </c>
      <c r="F63" s="31">
        <v>50.915999999999997</v>
      </c>
      <c r="G63" s="32">
        <v>4.8525E-4</v>
      </c>
      <c r="H63" s="27" t="s">
        <v>142</v>
      </c>
    </row>
    <row r="64" spans="1:8" x14ac:dyDescent="0.2">
      <c r="A64" s="28">
        <v>58</v>
      </c>
      <c r="B64" s="29" t="s">
        <v>673</v>
      </c>
      <c r="C64" s="29" t="s">
        <v>674</v>
      </c>
      <c r="D64" s="29" t="s">
        <v>61</v>
      </c>
      <c r="E64" s="30">
        <v>1200</v>
      </c>
      <c r="F64" s="31">
        <v>27.109200000000001</v>
      </c>
      <c r="G64" s="32">
        <v>2.5836000000000001E-4</v>
      </c>
      <c r="H64" s="27" t="s">
        <v>142</v>
      </c>
    </row>
    <row r="65" spans="1:8" x14ac:dyDescent="0.2">
      <c r="A65" s="28">
        <v>59</v>
      </c>
      <c r="B65" s="29" t="s">
        <v>78</v>
      </c>
      <c r="C65" s="29" t="s">
        <v>79</v>
      </c>
      <c r="D65" s="29" t="s">
        <v>13</v>
      </c>
      <c r="E65" s="30">
        <v>3400</v>
      </c>
      <c r="F65" s="31">
        <v>13.0611</v>
      </c>
      <c r="G65" s="32">
        <v>1.2448E-4</v>
      </c>
      <c r="H65" s="27" t="s">
        <v>142</v>
      </c>
    </row>
    <row r="66" spans="1:8" x14ac:dyDescent="0.2">
      <c r="A66" s="28">
        <v>60</v>
      </c>
      <c r="B66" s="29" t="s">
        <v>354</v>
      </c>
      <c r="C66" s="29" t="s">
        <v>355</v>
      </c>
      <c r="D66" s="29" t="s">
        <v>61</v>
      </c>
      <c r="E66" s="30">
        <v>175</v>
      </c>
      <c r="F66" s="31">
        <v>6.2212500000000004</v>
      </c>
      <c r="G66" s="32">
        <v>5.9290000000000003E-5</v>
      </c>
      <c r="H66" s="27" t="s">
        <v>142</v>
      </c>
    </row>
    <row r="67" spans="1:8" x14ac:dyDescent="0.2">
      <c r="A67" s="25"/>
      <c r="B67" s="25"/>
      <c r="C67" s="26" t="s">
        <v>141</v>
      </c>
      <c r="D67" s="25"/>
      <c r="E67" s="25" t="s">
        <v>142</v>
      </c>
      <c r="F67" s="33">
        <v>72470.531851000007</v>
      </c>
      <c r="G67" s="34">
        <v>0.69066616999999997</v>
      </c>
      <c r="H67" s="27" t="s">
        <v>142</v>
      </c>
    </row>
    <row r="68" spans="1:8" x14ac:dyDescent="0.2">
      <c r="A68" s="25"/>
      <c r="B68" s="25"/>
      <c r="C68" s="35"/>
      <c r="D68" s="25"/>
      <c r="E68" s="25"/>
      <c r="F68" s="36"/>
      <c r="G68" s="36"/>
      <c r="H68" s="27" t="s">
        <v>142</v>
      </c>
    </row>
    <row r="69" spans="1:8" x14ac:dyDescent="0.2">
      <c r="A69" s="25"/>
      <c r="B69" s="25"/>
      <c r="C69" s="26" t="s">
        <v>143</v>
      </c>
      <c r="D69" s="25"/>
      <c r="E69" s="25"/>
      <c r="F69" s="25"/>
      <c r="G69" s="25"/>
      <c r="H69" s="27" t="s">
        <v>142</v>
      </c>
    </row>
    <row r="70" spans="1:8" x14ac:dyDescent="0.2">
      <c r="A70" s="25"/>
      <c r="B70" s="25"/>
      <c r="C70" s="26" t="s">
        <v>141</v>
      </c>
      <c r="D70" s="25"/>
      <c r="E70" s="25" t="s">
        <v>142</v>
      </c>
      <c r="F70" s="37" t="s">
        <v>144</v>
      </c>
      <c r="G70" s="34">
        <v>0</v>
      </c>
      <c r="H70" s="27" t="s">
        <v>142</v>
      </c>
    </row>
    <row r="71" spans="1:8" x14ac:dyDescent="0.2">
      <c r="A71" s="25"/>
      <c r="B71" s="25"/>
      <c r="C71" s="35"/>
      <c r="D71" s="25"/>
      <c r="E71" s="25"/>
      <c r="F71" s="36"/>
      <c r="G71" s="36"/>
      <c r="H71" s="27" t="s">
        <v>142</v>
      </c>
    </row>
    <row r="72" spans="1:8" x14ac:dyDescent="0.2">
      <c r="A72" s="25"/>
      <c r="B72" s="25"/>
      <c r="C72" s="26" t="s">
        <v>145</v>
      </c>
      <c r="D72" s="25"/>
      <c r="E72" s="25"/>
      <c r="F72" s="25"/>
      <c r="G72" s="25"/>
      <c r="H72" s="27" t="s">
        <v>142</v>
      </c>
    </row>
    <row r="73" spans="1:8" x14ac:dyDescent="0.2">
      <c r="A73" s="25"/>
      <c r="B73" s="25"/>
      <c r="C73" s="26" t="s">
        <v>141</v>
      </c>
      <c r="D73" s="25"/>
      <c r="E73" s="25" t="s">
        <v>142</v>
      </c>
      <c r="F73" s="37" t="s">
        <v>144</v>
      </c>
      <c r="G73" s="34">
        <v>0</v>
      </c>
      <c r="H73" s="27" t="s">
        <v>142</v>
      </c>
    </row>
    <row r="74" spans="1:8" x14ac:dyDescent="0.2">
      <c r="A74" s="25"/>
      <c r="B74" s="25"/>
      <c r="C74" s="35"/>
      <c r="D74" s="25"/>
      <c r="E74" s="25"/>
      <c r="F74" s="36"/>
      <c r="G74" s="36"/>
      <c r="H74" s="27" t="s">
        <v>142</v>
      </c>
    </row>
    <row r="75" spans="1:8" x14ac:dyDescent="0.2">
      <c r="A75" s="25"/>
      <c r="B75" s="25"/>
      <c r="C75" s="26" t="s">
        <v>146</v>
      </c>
      <c r="D75" s="25"/>
      <c r="E75" s="25"/>
      <c r="F75" s="25"/>
      <c r="G75" s="25"/>
      <c r="H75" s="27" t="s">
        <v>142</v>
      </c>
    </row>
    <row r="76" spans="1:8" x14ac:dyDescent="0.2">
      <c r="A76" s="25"/>
      <c r="B76" s="25"/>
      <c r="C76" s="26" t="s">
        <v>141</v>
      </c>
      <c r="D76" s="25"/>
      <c r="E76" s="25" t="s">
        <v>142</v>
      </c>
      <c r="F76" s="37" t="s">
        <v>144</v>
      </c>
      <c r="G76" s="34">
        <v>0</v>
      </c>
      <c r="H76" s="27" t="s">
        <v>142</v>
      </c>
    </row>
    <row r="77" spans="1:8" x14ac:dyDescent="0.2">
      <c r="A77" s="25"/>
      <c r="B77" s="25"/>
      <c r="C77" s="35"/>
      <c r="D77" s="25"/>
      <c r="E77" s="25"/>
      <c r="F77" s="36"/>
      <c r="G77" s="36"/>
      <c r="H77" s="27" t="s">
        <v>142</v>
      </c>
    </row>
    <row r="78" spans="1:8" x14ac:dyDescent="0.2">
      <c r="A78" s="25"/>
      <c r="B78" s="25"/>
      <c r="C78" s="26" t="s">
        <v>147</v>
      </c>
      <c r="D78" s="25"/>
      <c r="E78" s="25"/>
      <c r="F78" s="36"/>
      <c r="G78" s="36"/>
      <c r="H78" s="27" t="s">
        <v>142</v>
      </c>
    </row>
    <row r="79" spans="1:8" x14ac:dyDescent="0.2">
      <c r="A79" s="25"/>
      <c r="B79" s="25"/>
      <c r="C79" s="26" t="s">
        <v>141</v>
      </c>
      <c r="D79" s="25"/>
      <c r="E79" s="25" t="s">
        <v>142</v>
      </c>
      <c r="F79" s="37" t="s">
        <v>144</v>
      </c>
      <c r="G79" s="34">
        <v>0</v>
      </c>
      <c r="H79" s="27" t="s">
        <v>142</v>
      </c>
    </row>
    <row r="80" spans="1:8" x14ac:dyDescent="0.2">
      <c r="A80" s="25"/>
      <c r="B80" s="25"/>
      <c r="C80" s="35"/>
      <c r="D80" s="25"/>
      <c r="E80" s="25"/>
      <c r="F80" s="36"/>
      <c r="G80" s="36"/>
      <c r="H80" s="27" t="s">
        <v>142</v>
      </c>
    </row>
    <row r="81" spans="1:8" x14ac:dyDescent="0.2">
      <c r="A81" s="25"/>
      <c r="B81" s="25"/>
      <c r="C81" s="26" t="s">
        <v>148</v>
      </c>
      <c r="D81" s="25"/>
      <c r="E81" s="25"/>
      <c r="F81" s="36"/>
      <c r="G81" s="36"/>
      <c r="H81" s="27" t="s">
        <v>142</v>
      </c>
    </row>
    <row r="82" spans="1:8" x14ac:dyDescent="0.2">
      <c r="A82" s="28">
        <v>1</v>
      </c>
      <c r="B82" s="29"/>
      <c r="C82" s="29" t="s">
        <v>1006</v>
      </c>
      <c r="D82" s="29" t="s">
        <v>523</v>
      </c>
      <c r="E82" s="30">
        <v>-175</v>
      </c>
      <c r="F82" s="31">
        <v>-6.24925</v>
      </c>
      <c r="G82" s="32">
        <f>F82/$F$175</f>
        <v>-5.9557247307580487E-5</v>
      </c>
      <c r="H82" s="27" t="s">
        <v>142</v>
      </c>
    </row>
    <row r="83" spans="1:8" x14ac:dyDescent="0.2">
      <c r="A83" s="28">
        <v>2</v>
      </c>
      <c r="B83" s="29"/>
      <c r="C83" s="29" t="s">
        <v>996</v>
      </c>
      <c r="D83" s="29" t="s">
        <v>523</v>
      </c>
      <c r="E83" s="30">
        <v>-3400</v>
      </c>
      <c r="F83" s="31">
        <v>-13.135899999999999</v>
      </c>
      <c r="G83" s="32">
        <f t="shared" ref="G83:G113" si="0">F83/$F$175</f>
        <v>-1.2518910987840883E-4</v>
      </c>
      <c r="H83" s="27" t="s">
        <v>142</v>
      </c>
    </row>
    <row r="84" spans="1:8" x14ac:dyDescent="0.2">
      <c r="A84" s="28">
        <v>3</v>
      </c>
      <c r="B84" s="29"/>
      <c r="C84" s="29" t="s">
        <v>995</v>
      </c>
      <c r="D84" s="29" t="s">
        <v>523</v>
      </c>
      <c r="E84" s="30">
        <v>-9000</v>
      </c>
      <c r="F84" s="31">
        <v>-49.887</v>
      </c>
      <c r="G84" s="32">
        <f t="shared" si="0"/>
        <v>-4.7543823601764495E-4</v>
      </c>
      <c r="H84" s="27" t="s">
        <v>142</v>
      </c>
    </row>
    <row r="85" spans="1:8" x14ac:dyDescent="0.2">
      <c r="A85" s="28">
        <v>4</v>
      </c>
      <c r="B85" s="29"/>
      <c r="C85" s="29" t="s">
        <v>928</v>
      </c>
      <c r="D85" s="29" t="s">
        <v>523</v>
      </c>
      <c r="E85" s="30">
        <v>-2000</v>
      </c>
      <c r="F85" s="31">
        <v>-51.204000000000001</v>
      </c>
      <c r="G85" s="32">
        <f t="shared" si="0"/>
        <v>-4.8798964533941692E-4</v>
      </c>
      <c r="H85" s="27" t="s">
        <v>142</v>
      </c>
    </row>
    <row r="86" spans="1:8" x14ac:dyDescent="0.2">
      <c r="A86" s="28">
        <v>5</v>
      </c>
      <c r="B86" s="29"/>
      <c r="C86" s="29" t="s">
        <v>994</v>
      </c>
      <c r="D86" s="29" t="s">
        <v>523</v>
      </c>
      <c r="E86" s="30">
        <v>-750</v>
      </c>
      <c r="F86" s="31">
        <v>-69.161249999999995</v>
      </c>
      <c r="G86" s="32">
        <f t="shared" si="0"/>
        <v>-6.5912768257813347E-4</v>
      </c>
      <c r="H86" s="27" t="s">
        <v>142</v>
      </c>
    </row>
    <row r="87" spans="1:8" x14ac:dyDescent="0.2">
      <c r="A87" s="28">
        <v>6</v>
      </c>
      <c r="B87" s="29"/>
      <c r="C87" s="29" t="s">
        <v>924</v>
      </c>
      <c r="D87" s="29" t="s">
        <v>523</v>
      </c>
      <c r="E87" s="30">
        <v>-6000</v>
      </c>
      <c r="F87" s="31">
        <v>-121.764</v>
      </c>
      <c r="G87" s="32">
        <f t="shared" si="0"/>
        <v>-1.1604478395263798E-3</v>
      </c>
      <c r="H87" s="27" t="s">
        <v>142</v>
      </c>
    </row>
    <row r="88" spans="1:8" x14ac:dyDescent="0.2">
      <c r="A88" s="28">
        <v>7</v>
      </c>
      <c r="B88" s="29"/>
      <c r="C88" s="29" t="s">
        <v>1025</v>
      </c>
      <c r="D88" s="29" t="s">
        <v>523</v>
      </c>
      <c r="E88" s="30">
        <v>-7650</v>
      </c>
      <c r="F88" s="31">
        <v>-150.32249999999999</v>
      </c>
      <c r="G88" s="32">
        <f t="shared" si="0"/>
        <v>-1.4326190036234375E-3</v>
      </c>
      <c r="H88" s="27" t="s">
        <v>142</v>
      </c>
    </row>
    <row r="89" spans="1:8" x14ac:dyDescent="0.2">
      <c r="A89" s="28">
        <v>8</v>
      </c>
      <c r="B89" s="29"/>
      <c r="C89" s="29" t="s">
        <v>927</v>
      </c>
      <c r="D89" s="29" t="s">
        <v>523</v>
      </c>
      <c r="E89" s="30">
        <v>-4550</v>
      </c>
      <c r="F89" s="31">
        <v>-157.17975000000001</v>
      </c>
      <c r="G89" s="32">
        <f t="shared" si="0"/>
        <v>-1.4979706752800215E-3</v>
      </c>
      <c r="H89" s="27" t="s">
        <v>142</v>
      </c>
    </row>
    <row r="90" spans="1:8" x14ac:dyDescent="0.2">
      <c r="A90" s="28">
        <v>9</v>
      </c>
      <c r="B90" s="29"/>
      <c r="C90" s="29" t="s">
        <v>923</v>
      </c>
      <c r="D90" s="29" t="s">
        <v>523</v>
      </c>
      <c r="E90" s="30">
        <v>-11200</v>
      </c>
      <c r="F90" s="31">
        <v>-162.99359999999999</v>
      </c>
      <c r="G90" s="32">
        <f t="shared" si="0"/>
        <v>-1.5533784285718846E-3</v>
      </c>
      <c r="H90" s="27" t="s">
        <v>142</v>
      </c>
    </row>
    <row r="91" spans="1:8" x14ac:dyDescent="0.2">
      <c r="A91" s="28">
        <v>10</v>
      </c>
      <c r="B91" s="29"/>
      <c r="C91" s="29" t="s">
        <v>989</v>
      </c>
      <c r="D91" s="29" t="s">
        <v>523</v>
      </c>
      <c r="E91" s="30">
        <v>-27500</v>
      </c>
      <c r="F91" s="31">
        <v>-197.0925</v>
      </c>
      <c r="G91" s="32">
        <f t="shared" si="0"/>
        <v>-1.878351284549235E-3</v>
      </c>
      <c r="H91" s="27" t="s">
        <v>142</v>
      </c>
    </row>
    <row r="92" spans="1:8" x14ac:dyDescent="0.2">
      <c r="A92" s="28">
        <v>11</v>
      </c>
      <c r="B92" s="29"/>
      <c r="C92" s="29" t="s">
        <v>912</v>
      </c>
      <c r="D92" s="29" t="s">
        <v>523</v>
      </c>
      <c r="E92" s="30">
        <v>-1750</v>
      </c>
      <c r="F92" s="31">
        <v>-197.13749999999999</v>
      </c>
      <c r="G92" s="32">
        <f t="shared" si="0"/>
        <v>-1.8787801481934868E-3</v>
      </c>
      <c r="H92" s="27" t="s">
        <v>142</v>
      </c>
    </row>
    <row r="93" spans="1:8" x14ac:dyDescent="0.2">
      <c r="A93" s="28">
        <v>12</v>
      </c>
      <c r="B93" s="29"/>
      <c r="C93" s="29" t="s">
        <v>920</v>
      </c>
      <c r="D93" s="29" t="s">
        <v>523</v>
      </c>
      <c r="E93" s="30">
        <v>-8400</v>
      </c>
      <c r="F93" s="31">
        <v>-251.07599999999999</v>
      </c>
      <c r="G93" s="32">
        <f t="shared" si="0"/>
        <v>-2.3928304076486101E-3</v>
      </c>
      <c r="H93" s="27" t="s">
        <v>142</v>
      </c>
    </row>
    <row r="94" spans="1:8" x14ac:dyDescent="0.2">
      <c r="A94" s="28">
        <v>13</v>
      </c>
      <c r="B94" s="29"/>
      <c r="C94" s="29" t="s">
        <v>1026</v>
      </c>
      <c r="D94" s="29" t="s">
        <v>523</v>
      </c>
      <c r="E94" s="30">
        <v>-18200</v>
      </c>
      <c r="F94" s="31">
        <v>-277.9504</v>
      </c>
      <c r="G94" s="32">
        <f t="shared" si="0"/>
        <v>-2.6489515881171211E-3</v>
      </c>
      <c r="H94" s="27" t="s">
        <v>142</v>
      </c>
    </row>
    <row r="95" spans="1:8" x14ac:dyDescent="0.2">
      <c r="A95" s="28">
        <v>14</v>
      </c>
      <c r="B95" s="29"/>
      <c r="C95" s="29" t="s">
        <v>979</v>
      </c>
      <c r="D95" s="29" t="s">
        <v>523</v>
      </c>
      <c r="E95" s="30">
        <v>-35475</v>
      </c>
      <c r="F95" s="31">
        <v>-284.403075</v>
      </c>
      <c r="G95" s="32">
        <f t="shared" si="0"/>
        <v>-2.7104475373543003E-3</v>
      </c>
      <c r="H95" s="27" t="s">
        <v>142</v>
      </c>
    </row>
    <row r="96" spans="1:8" x14ac:dyDescent="0.2">
      <c r="A96" s="28">
        <v>15</v>
      </c>
      <c r="B96" s="29"/>
      <c r="C96" s="29" t="s">
        <v>915</v>
      </c>
      <c r="D96" s="29" t="s">
        <v>523</v>
      </c>
      <c r="E96" s="30">
        <v>-15750</v>
      </c>
      <c r="F96" s="31">
        <v>-286.88625000000002</v>
      </c>
      <c r="G96" s="32">
        <f t="shared" si="0"/>
        <v>-2.7341129480168602E-3</v>
      </c>
      <c r="H96" s="27" t="s">
        <v>142</v>
      </c>
    </row>
    <row r="97" spans="1:8" x14ac:dyDescent="0.2">
      <c r="A97" s="28">
        <v>16</v>
      </c>
      <c r="B97" s="29"/>
      <c r="C97" s="29" t="s">
        <v>993</v>
      </c>
      <c r="D97" s="29" t="s">
        <v>523</v>
      </c>
      <c r="E97" s="30">
        <v>-12600</v>
      </c>
      <c r="F97" s="31">
        <v>-318.74220000000003</v>
      </c>
      <c r="G97" s="32">
        <f t="shared" si="0"/>
        <v>-3.0377098104192152E-3</v>
      </c>
      <c r="H97" s="27" t="s">
        <v>142</v>
      </c>
    </row>
    <row r="98" spans="1:8" x14ac:dyDescent="0.2">
      <c r="A98" s="28">
        <v>17</v>
      </c>
      <c r="B98" s="29"/>
      <c r="C98" s="29" t="s">
        <v>981</v>
      </c>
      <c r="D98" s="29" t="s">
        <v>523</v>
      </c>
      <c r="E98" s="30">
        <v>-44000</v>
      </c>
      <c r="F98" s="31">
        <v>-508.28800000000001</v>
      </c>
      <c r="G98" s="32">
        <f t="shared" si="0"/>
        <v>-4.8441387557667673E-3</v>
      </c>
      <c r="H98" s="27" t="s">
        <v>142</v>
      </c>
    </row>
    <row r="99" spans="1:8" x14ac:dyDescent="0.2">
      <c r="A99" s="28">
        <v>18</v>
      </c>
      <c r="B99" s="29"/>
      <c r="C99" s="29" t="s">
        <v>932</v>
      </c>
      <c r="D99" s="29" t="s">
        <v>523</v>
      </c>
      <c r="E99" s="30">
        <v>-178500</v>
      </c>
      <c r="F99" s="31">
        <v>-599.13525000000004</v>
      </c>
      <c r="G99" s="32">
        <f t="shared" si="0"/>
        <v>-5.709940593661489E-3</v>
      </c>
      <c r="H99" s="27" t="s">
        <v>142</v>
      </c>
    </row>
    <row r="100" spans="1:8" x14ac:dyDescent="0.2">
      <c r="A100" s="28">
        <v>19</v>
      </c>
      <c r="B100" s="29"/>
      <c r="C100" s="29" t="s">
        <v>922</v>
      </c>
      <c r="D100" s="29" t="s">
        <v>523</v>
      </c>
      <c r="E100" s="30">
        <v>-78100</v>
      </c>
      <c r="F100" s="31">
        <v>-608.86760000000004</v>
      </c>
      <c r="G100" s="32">
        <f t="shared" si="0"/>
        <v>-5.8026928400644866E-3</v>
      </c>
      <c r="H100" s="27" t="s">
        <v>142</v>
      </c>
    </row>
    <row r="101" spans="1:8" x14ac:dyDescent="0.2">
      <c r="A101" s="28">
        <v>20</v>
      </c>
      <c r="B101" s="29"/>
      <c r="C101" s="29" t="s">
        <v>935</v>
      </c>
      <c r="D101" s="29" t="s">
        <v>523</v>
      </c>
      <c r="E101" s="30">
        <v>-32400</v>
      </c>
      <c r="F101" s="31">
        <v>-676.60919999999999</v>
      </c>
      <c r="G101" s="32">
        <f t="shared" si="0"/>
        <v>-6.4482908276967928E-3</v>
      </c>
      <c r="H101" s="27" t="s">
        <v>142</v>
      </c>
    </row>
    <row r="102" spans="1:8" x14ac:dyDescent="0.2">
      <c r="A102" s="28">
        <v>21</v>
      </c>
      <c r="B102" s="29"/>
      <c r="C102" s="29" t="s">
        <v>931</v>
      </c>
      <c r="D102" s="29" t="s">
        <v>523</v>
      </c>
      <c r="E102" s="30">
        <v>-31500</v>
      </c>
      <c r="F102" s="31">
        <v>-736.65899999999999</v>
      </c>
      <c r="G102" s="32">
        <f t="shared" si="0"/>
        <v>-7.0205836291322848E-3</v>
      </c>
      <c r="H102" s="27" t="s">
        <v>142</v>
      </c>
    </row>
    <row r="103" spans="1:8" x14ac:dyDescent="0.2">
      <c r="A103" s="28">
        <v>22</v>
      </c>
      <c r="B103" s="29"/>
      <c r="C103" s="29" t="s">
        <v>925</v>
      </c>
      <c r="D103" s="29" t="s">
        <v>523</v>
      </c>
      <c r="E103" s="30">
        <v>-21750</v>
      </c>
      <c r="F103" s="31">
        <v>-795.22349999999994</v>
      </c>
      <c r="G103" s="32">
        <f t="shared" si="0"/>
        <v>-7.5787210712165024E-3</v>
      </c>
      <c r="H103" s="27" t="s">
        <v>142</v>
      </c>
    </row>
    <row r="104" spans="1:8" x14ac:dyDescent="0.2">
      <c r="A104" s="28">
        <v>23</v>
      </c>
      <c r="B104" s="29"/>
      <c r="C104" s="29" t="s">
        <v>1027</v>
      </c>
      <c r="D104" s="29" t="s">
        <v>523</v>
      </c>
      <c r="E104" s="30">
        <v>-29750</v>
      </c>
      <c r="F104" s="31">
        <v>-831.89925000000005</v>
      </c>
      <c r="G104" s="32">
        <f t="shared" si="0"/>
        <v>-7.9282520890091978E-3</v>
      </c>
      <c r="H104" s="27" t="s">
        <v>142</v>
      </c>
    </row>
    <row r="105" spans="1:8" x14ac:dyDescent="0.2">
      <c r="A105" s="28">
        <v>24</v>
      </c>
      <c r="B105" s="29"/>
      <c r="C105" s="29" t="s">
        <v>1028</v>
      </c>
      <c r="D105" s="29" t="s">
        <v>523</v>
      </c>
      <c r="E105" s="30">
        <v>-15750</v>
      </c>
      <c r="F105" s="31">
        <v>-844.75125000000003</v>
      </c>
      <c r="G105" s="32">
        <f t="shared" si="0"/>
        <v>-8.0507355458075362E-3</v>
      </c>
      <c r="H105" s="27" t="s">
        <v>142</v>
      </c>
    </row>
    <row r="106" spans="1:8" x14ac:dyDescent="0.2">
      <c r="A106" s="28">
        <v>25</v>
      </c>
      <c r="B106" s="29"/>
      <c r="C106" s="29" t="s">
        <v>1029</v>
      </c>
      <c r="D106" s="29" t="s">
        <v>523</v>
      </c>
      <c r="E106" s="30">
        <v>-89100</v>
      </c>
      <c r="F106" s="31">
        <v>-890.19809999999995</v>
      </c>
      <c r="G106" s="32">
        <f t="shared" si="0"/>
        <v>-8.4838578060468465E-3</v>
      </c>
      <c r="H106" s="27" t="s">
        <v>142</v>
      </c>
    </row>
    <row r="107" spans="1:8" x14ac:dyDescent="0.2">
      <c r="A107" s="28">
        <v>26</v>
      </c>
      <c r="B107" s="29"/>
      <c r="C107" s="29" t="s">
        <v>992</v>
      </c>
      <c r="D107" s="29" t="s">
        <v>523</v>
      </c>
      <c r="E107" s="30">
        <v>-149800</v>
      </c>
      <c r="F107" s="31">
        <v>-954.97500000000002</v>
      </c>
      <c r="G107" s="32">
        <f t="shared" si="0"/>
        <v>-9.1012013037655194E-3</v>
      </c>
      <c r="H107" s="27" t="s">
        <v>142</v>
      </c>
    </row>
    <row r="108" spans="1:8" x14ac:dyDescent="0.2">
      <c r="A108" s="28">
        <v>27</v>
      </c>
      <c r="B108" s="29"/>
      <c r="C108" s="29" t="s">
        <v>990</v>
      </c>
      <c r="D108" s="29" t="s">
        <v>523</v>
      </c>
      <c r="E108" s="30">
        <v>-406575</v>
      </c>
      <c r="F108" s="31">
        <v>-1022.1702074999999</v>
      </c>
      <c r="G108" s="32">
        <f t="shared" si="0"/>
        <v>-9.7415920052035618E-3</v>
      </c>
      <c r="H108" s="27" t="s">
        <v>142</v>
      </c>
    </row>
    <row r="109" spans="1:8" x14ac:dyDescent="0.2">
      <c r="A109" s="28">
        <v>28</v>
      </c>
      <c r="B109" s="29"/>
      <c r="C109" s="29" t="s">
        <v>998</v>
      </c>
      <c r="D109" s="29" t="s">
        <v>523</v>
      </c>
      <c r="E109" s="30">
        <v>-321600</v>
      </c>
      <c r="F109" s="31">
        <v>-1351.0416</v>
      </c>
      <c r="G109" s="32">
        <f t="shared" si="0"/>
        <v>-1.2875836091375641E-2</v>
      </c>
      <c r="H109" s="27" t="s">
        <v>142</v>
      </c>
    </row>
    <row r="110" spans="1:8" x14ac:dyDescent="0.2">
      <c r="A110" s="28">
        <v>29</v>
      </c>
      <c r="B110" s="29"/>
      <c r="C110" s="29" t="s">
        <v>997</v>
      </c>
      <c r="D110" s="29" t="s">
        <v>523</v>
      </c>
      <c r="E110" s="30">
        <v>-137500</v>
      </c>
      <c r="F110" s="31">
        <v>-1650.1375</v>
      </c>
      <c r="G110" s="32">
        <f t="shared" si="0"/>
        <v>-1.5726310705926727E-2</v>
      </c>
      <c r="H110" s="27" t="s">
        <v>142</v>
      </c>
    </row>
    <row r="111" spans="1:8" x14ac:dyDescent="0.2">
      <c r="A111" s="28">
        <v>30</v>
      </c>
      <c r="B111" s="29"/>
      <c r="C111" s="29" t="s">
        <v>936</v>
      </c>
      <c r="D111" s="29" t="s">
        <v>523</v>
      </c>
      <c r="E111" s="30">
        <v>-312400</v>
      </c>
      <c r="F111" s="31">
        <v>-4900.9312</v>
      </c>
      <c r="G111" s="32">
        <f t="shared" si="0"/>
        <v>-4.6707360325773044E-2</v>
      </c>
      <c r="H111" s="27" t="s">
        <v>142</v>
      </c>
    </row>
    <row r="112" spans="1:8" x14ac:dyDescent="0.2">
      <c r="A112" s="28">
        <v>31</v>
      </c>
      <c r="B112" s="29"/>
      <c r="C112" s="29" t="s">
        <v>934</v>
      </c>
      <c r="D112" s="29" t="s">
        <v>523</v>
      </c>
      <c r="E112" s="30">
        <v>-417525</v>
      </c>
      <c r="F112" s="31">
        <v>-7801.4546250000003</v>
      </c>
      <c r="G112" s="32">
        <f t="shared" si="0"/>
        <v>-7.4350228020961334E-2</v>
      </c>
      <c r="H112" s="27" t="s">
        <v>142</v>
      </c>
    </row>
    <row r="113" spans="1:8" x14ac:dyDescent="0.2">
      <c r="A113" s="28">
        <v>32</v>
      </c>
      <c r="B113" s="29"/>
      <c r="C113" s="29" t="s">
        <v>938</v>
      </c>
      <c r="D113" s="29" t="s">
        <v>523</v>
      </c>
      <c r="E113" s="30">
        <v>-609500</v>
      </c>
      <c r="F113" s="31">
        <v>-8712.8024999999998</v>
      </c>
      <c r="G113" s="32">
        <f t="shared" si="0"/>
        <v>-8.3035649595488342E-2</v>
      </c>
      <c r="H113" s="27" t="s">
        <v>142</v>
      </c>
    </row>
    <row r="114" spans="1:8" x14ac:dyDescent="0.2">
      <c r="A114" s="25"/>
      <c r="B114" s="25"/>
      <c r="C114" s="26" t="s">
        <v>141</v>
      </c>
      <c r="D114" s="25"/>
      <c r="E114" s="25" t="s">
        <v>142</v>
      </c>
      <c r="F114" s="33">
        <v>-35480.328957500002</v>
      </c>
      <c r="G114" s="34">
        <v>-0.3381383</v>
      </c>
      <c r="H114" s="27" t="s">
        <v>142</v>
      </c>
    </row>
    <row r="115" spans="1:8" x14ac:dyDescent="0.2">
      <c r="A115" s="25"/>
      <c r="B115" s="25"/>
      <c r="C115" s="35"/>
      <c r="D115" s="25"/>
      <c r="E115" s="25"/>
      <c r="F115" s="36"/>
      <c r="G115" s="36"/>
      <c r="H115" s="27" t="s">
        <v>142</v>
      </c>
    </row>
    <row r="116" spans="1:8" x14ac:dyDescent="0.2">
      <c r="A116" s="25"/>
      <c r="B116" s="25"/>
      <c r="C116" s="26" t="s">
        <v>149</v>
      </c>
      <c r="D116" s="25"/>
      <c r="E116" s="25"/>
      <c r="F116" s="33">
        <f>F67</f>
        <v>72470.531851000007</v>
      </c>
      <c r="G116" s="34">
        <f>G67</f>
        <v>0.69066616999999997</v>
      </c>
      <c r="H116" s="27" t="s">
        <v>142</v>
      </c>
    </row>
    <row r="117" spans="1:8" x14ac:dyDescent="0.2">
      <c r="A117" s="25"/>
      <c r="B117" s="25"/>
      <c r="C117" s="35"/>
      <c r="D117" s="25"/>
      <c r="E117" s="25"/>
      <c r="F117" s="36"/>
      <c r="G117" s="36"/>
      <c r="H117" s="27" t="s">
        <v>142</v>
      </c>
    </row>
    <row r="118" spans="1:8" x14ac:dyDescent="0.2">
      <c r="A118" s="25"/>
      <c r="B118" s="25"/>
      <c r="C118" s="26" t="s">
        <v>150</v>
      </c>
      <c r="D118" s="25"/>
      <c r="E118" s="25"/>
      <c r="F118" s="36"/>
      <c r="G118" s="36"/>
      <c r="H118" s="27" t="s">
        <v>142</v>
      </c>
    </row>
    <row r="119" spans="1:8" x14ac:dyDescent="0.2">
      <c r="A119" s="25"/>
      <c r="B119" s="25"/>
      <c r="C119" s="26" t="s">
        <v>10</v>
      </c>
      <c r="D119" s="25"/>
      <c r="E119" s="25"/>
      <c r="F119" s="36"/>
      <c r="G119" s="36"/>
      <c r="H119" s="27" t="s">
        <v>142</v>
      </c>
    </row>
    <row r="120" spans="1:8" x14ac:dyDescent="0.2">
      <c r="A120" s="28">
        <v>1</v>
      </c>
      <c r="B120" s="29" t="s">
        <v>694</v>
      </c>
      <c r="C120" s="29" t="s">
        <v>695</v>
      </c>
      <c r="D120" s="29" t="s">
        <v>529</v>
      </c>
      <c r="E120" s="30">
        <v>250</v>
      </c>
      <c r="F120" s="31">
        <v>2491.2525000000001</v>
      </c>
      <c r="G120" s="32">
        <v>2.3742389999999999E-2</v>
      </c>
      <c r="H120" s="27">
        <v>6.8449999999999998</v>
      </c>
    </row>
    <row r="121" spans="1:8" ht="25.5" x14ac:dyDescent="0.2">
      <c r="A121" s="28">
        <v>2</v>
      </c>
      <c r="B121" s="29" t="s">
        <v>549</v>
      </c>
      <c r="C121" s="29" t="s">
        <v>550</v>
      </c>
      <c r="D121" s="29" t="s">
        <v>529</v>
      </c>
      <c r="E121" s="30">
        <v>1500</v>
      </c>
      <c r="F121" s="31">
        <v>1513.644</v>
      </c>
      <c r="G121" s="32">
        <v>1.4425489999999999E-2</v>
      </c>
      <c r="H121" s="27">
        <v>6.6092000000000004</v>
      </c>
    </row>
    <row r="122" spans="1:8" ht="25.5" x14ac:dyDescent="0.2">
      <c r="A122" s="28">
        <v>3</v>
      </c>
      <c r="B122" s="29" t="s">
        <v>524</v>
      </c>
      <c r="C122" s="29" t="s">
        <v>525</v>
      </c>
      <c r="D122" s="29" t="s">
        <v>526</v>
      </c>
      <c r="E122" s="30">
        <v>1000</v>
      </c>
      <c r="F122" s="31">
        <v>1019.651</v>
      </c>
      <c r="G122" s="32">
        <v>9.71758E-3</v>
      </c>
      <c r="H122" s="27">
        <v>6.5730000000000004</v>
      </c>
    </row>
    <row r="123" spans="1:8" ht="25.5" x14ac:dyDescent="0.2">
      <c r="A123" s="28">
        <v>4</v>
      </c>
      <c r="B123" s="29" t="s">
        <v>696</v>
      </c>
      <c r="C123" s="29" t="s">
        <v>697</v>
      </c>
      <c r="D123" s="29" t="s">
        <v>529</v>
      </c>
      <c r="E123" s="30">
        <v>100</v>
      </c>
      <c r="F123" s="31">
        <v>1012.439</v>
      </c>
      <c r="G123" s="32">
        <v>9.6488500000000005E-3</v>
      </c>
      <c r="H123" s="27">
        <v>6.55</v>
      </c>
    </row>
    <row r="124" spans="1:8" ht="25.5" x14ac:dyDescent="0.2">
      <c r="A124" s="28">
        <v>5</v>
      </c>
      <c r="B124" s="29" t="s">
        <v>698</v>
      </c>
      <c r="C124" s="29" t="s">
        <v>699</v>
      </c>
      <c r="D124" s="29" t="s">
        <v>526</v>
      </c>
      <c r="E124" s="30">
        <v>100</v>
      </c>
      <c r="F124" s="31">
        <v>1010.07</v>
      </c>
      <c r="G124" s="32">
        <v>9.6262699999999993E-3</v>
      </c>
      <c r="H124" s="27">
        <v>6.5167999999999999</v>
      </c>
    </row>
    <row r="125" spans="1:8" ht="25.5" x14ac:dyDescent="0.2">
      <c r="A125" s="28">
        <v>6</v>
      </c>
      <c r="B125" s="29" t="s">
        <v>700</v>
      </c>
      <c r="C125" s="29" t="s">
        <v>701</v>
      </c>
      <c r="D125" s="29" t="s">
        <v>529</v>
      </c>
      <c r="E125" s="30">
        <v>1000</v>
      </c>
      <c r="F125" s="31">
        <v>1009.798</v>
      </c>
      <c r="G125" s="32">
        <v>9.6236800000000008E-3</v>
      </c>
      <c r="H125" s="27">
        <v>6.6182999999999996</v>
      </c>
    </row>
    <row r="126" spans="1:8" x14ac:dyDescent="0.2">
      <c r="A126" s="25"/>
      <c r="B126" s="25"/>
      <c r="C126" s="26" t="s">
        <v>141</v>
      </c>
      <c r="D126" s="25"/>
      <c r="E126" s="25" t="s">
        <v>142</v>
      </c>
      <c r="F126" s="33">
        <v>8056.8545000000004</v>
      </c>
      <c r="G126" s="34">
        <v>7.6784259999999993E-2</v>
      </c>
      <c r="H126" s="27" t="s">
        <v>142</v>
      </c>
    </row>
    <row r="127" spans="1:8" x14ac:dyDescent="0.2">
      <c r="A127" s="25"/>
      <c r="B127" s="25"/>
      <c r="C127" s="35"/>
      <c r="D127" s="25"/>
      <c r="E127" s="25"/>
      <c r="F127" s="36"/>
      <c r="G127" s="36"/>
      <c r="H127" s="27" t="s">
        <v>142</v>
      </c>
    </row>
    <row r="128" spans="1:8" x14ac:dyDescent="0.2">
      <c r="A128" s="25"/>
      <c r="B128" s="25"/>
      <c r="C128" s="26" t="s">
        <v>151</v>
      </c>
      <c r="D128" s="25"/>
      <c r="E128" s="25"/>
      <c r="F128" s="25"/>
      <c r="G128" s="25"/>
      <c r="H128" s="27" t="s">
        <v>142</v>
      </c>
    </row>
    <row r="129" spans="1:8" x14ac:dyDescent="0.2">
      <c r="A129" s="25"/>
      <c r="B129" s="25"/>
      <c r="C129" s="26" t="s">
        <v>141</v>
      </c>
      <c r="D129" s="25"/>
      <c r="E129" s="25" t="s">
        <v>142</v>
      </c>
      <c r="F129" s="37" t="s">
        <v>144</v>
      </c>
      <c r="G129" s="34">
        <v>0</v>
      </c>
      <c r="H129" s="27" t="s">
        <v>142</v>
      </c>
    </row>
    <row r="130" spans="1:8" x14ac:dyDescent="0.2">
      <c r="A130" s="25"/>
      <c r="B130" s="25"/>
      <c r="C130" s="35"/>
      <c r="D130" s="25"/>
      <c r="E130" s="25"/>
      <c r="F130" s="36"/>
      <c r="G130" s="36"/>
      <c r="H130" s="27" t="s">
        <v>142</v>
      </c>
    </row>
    <row r="131" spans="1:8" x14ac:dyDescent="0.2">
      <c r="A131" s="25"/>
      <c r="B131" s="25"/>
      <c r="C131" s="26" t="s">
        <v>152</v>
      </c>
      <c r="D131" s="25"/>
      <c r="E131" s="25"/>
      <c r="F131" s="25"/>
      <c r="G131" s="25"/>
      <c r="H131" s="27" t="s">
        <v>142</v>
      </c>
    </row>
    <row r="132" spans="1:8" x14ac:dyDescent="0.2">
      <c r="A132" s="28">
        <v>1</v>
      </c>
      <c r="B132" s="29" t="s">
        <v>599</v>
      </c>
      <c r="C132" s="29" t="s">
        <v>1083</v>
      </c>
      <c r="D132" s="29" t="s">
        <v>601</v>
      </c>
      <c r="E132" s="30">
        <v>6500000</v>
      </c>
      <c r="F132" s="31">
        <v>6852.17</v>
      </c>
      <c r="G132" s="32">
        <v>6.5303260000000002E-2</v>
      </c>
      <c r="H132" s="27">
        <v>6.3898000000000001</v>
      </c>
    </row>
    <row r="133" spans="1:8" x14ac:dyDescent="0.2">
      <c r="A133" s="28">
        <v>2</v>
      </c>
      <c r="B133" s="29" t="s">
        <v>602</v>
      </c>
      <c r="C133" s="29" t="s">
        <v>1077</v>
      </c>
      <c r="D133" s="29" t="s">
        <v>601</v>
      </c>
      <c r="E133" s="30">
        <v>1500000</v>
      </c>
      <c r="F133" s="31">
        <v>1609.827</v>
      </c>
      <c r="G133" s="32">
        <v>1.5342140000000001E-2</v>
      </c>
      <c r="H133" s="27">
        <v>6.5266999999999999</v>
      </c>
    </row>
    <row r="134" spans="1:8" x14ac:dyDescent="0.2">
      <c r="A134" s="28">
        <v>3</v>
      </c>
      <c r="B134" s="29" t="s">
        <v>702</v>
      </c>
      <c r="C134" s="29" t="s">
        <v>1084</v>
      </c>
      <c r="D134" s="29" t="s">
        <v>601</v>
      </c>
      <c r="E134" s="30">
        <v>1500000</v>
      </c>
      <c r="F134" s="31">
        <v>1573.884</v>
      </c>
      <c r="G134" s="32">
        <v>1.499959E-2</v>
      </c>
      <c r="H134" s="27">
        <v>5.8318000000000003</v>
      </c>
    </row>
    <row r="135" spans="1:8" x14ac:dyDescent="0.2">
      <c r="A135" s="28">
        <v>4</v>
      </c>
      <c r="B135" s="29" t="s">
        <v>704</v>
      </c>
      <c r="C135" s="29" t="s">
        <v>705</v>
      </c>
      <c r="D135" s="29" t="s">
        <v>601</v>
      </c>
      <c r="E135" s="30">
        <v>500000</v>
      </c>
      <c r="F135" s="31">
        <v>520.79750000000001</v>
      </c>
      <c r="G135" s="32">
        <v>4.96336E-3</v>
      </c>
      <c r="H135" s="27">
        <v>5.9455</v>
      </c>
    </row>
    <row r="136" spans="1:8" x14ac:dyDescent="0.2">
      <c r="A136" s="25"/>
      <c r="B136" s="25"/>
      <c r="C136" s="26" t="s">
        <v>141</v>
      </c>
      <c r="D136" s="25"/>
      <c r="E136" s="25" t="s">
        <v>142</v>
      </c>
      <c r="F136" s="33">
        <v>10556.6785</v>
      </c>
      <c r="G136" s="34">
        <v>0.10060835</v>
      </c>
      <c r="H136" s="27" t="s">
        <v>142</v>
      </c>
    </row>
    <row r="137" spans="1:8" x14ac:dyDescent="0.2">
      <c r="A137" s="25"/>
      <c r="B137" s="25"/>
      <c r="C137" s="35"/>
      <c r="D137" s="25"/>
      <c r="E137" s="25"/>
      <c r="F137" s="36"/>
      <c r="G137" s="36"/>
      <c r="H137" s="27" t="s">
        <v>142</v>
      </c>
    </row>
    <row r="138" spans="1:8" x14ac:dyDescent="0.2">
      <c r="A138" s="25"/>
      <c r="B138" s="25"/>
      <c r="C138" s="26" t="s">
        <v>153</v>
      </c>
      <c r="D138" s="25"/>
      <c r="E138" s="25"/>
      <c r="F138" s="36"/>
      <c r="G138" s="36"/>
      <c r="H138" s="27" t="s">
        <v>142</v>
      </c>
    </row>
    <row r="139" spans="1:8" x14ac:dyDescent="0.2">
      <c r="A139" s="25"/>
      <c r="B139" s="25"/>
      <c r="C139" s="26" t="s">
        <v>141</v>
      </c>
      <c r="D139" s="25"/>
      <c r="E139" s="25" t="s">
        <v>142</v>
      </c>
      <c r="F139" s="37" t="s">
        <v>144</v>
      </c>
      <c r="G139" s="34">
        <v>0</v>
      </c>
      <c r="H139" s="27" t="s">
        <v>142</v>
      </c>
    </row>
    <row r="140" spans="1:8" x14ac:dyDescent="0.2">
      <c r="A140" s="25"/>
      <c r="B140" s="25"/>
      <c r="C140" s="35"/>
      <c r="D140" s="25"/>
      <c r="E140" s="25"/>
      <c r="F140" s="36"/>
      <c r="G140" s="36"/>
      <c r="H140" s="27" t="s">
        <v>142</v>
      </c>
    </row>
    <row r="141" spans="1:8" x14ac:dyDescent="0.2">
      <c r="A141" s="25"/>
      <c r="B141" s="25"/>
      <c r="C141" s="26" t="s">
        <v>154</v>
      </c>
      <c r="D141" s="25"/>
      <c r="E141" s="25"/>
      <c r="F141" s="33">
        <v>18613.532999999999</v>
      </c>
      <c r="G141" s="34">
        <v>0.17739261000000001</v>
      </c>
      <c r="H141" s="27" t="s">
        <v>142</v>
      </c>
    </row>
    <row r="142" spans="1:8" x14ac:dyDescent="0.2">
      <c r="A142" s="25"/>
      <c r="B142" s="25"/>
      <c r="C142" s="35"/>
      <c r="D142" s="25"/>
      <c r="E142" s="25"/>
      <c r="F142" s="36"/>
      <c r="G142" s="36"/>
      <c r="H142" s="27" t="s">
        <v>142</v>
      </c>
    </row>
    <row r="143" spans="1:8" x14ac:dyDescent="0.2">
      <c r="A143" s="25"/>
      <c r="B143" s="25"/>
      <c r="C143" s="26" t="s">
        <v>155</v>
      </c>
      <c r="D143" s="25"/>
      <c r="E143" s="25"/>
      <c r="F143" s="36"/>
      <c r="G143" s="36"/>
      <c r="H143" s="27" t="s">
        <v>142</v>
      </c>
    </row>
    <row r="144" spans="1:8" x14ac:dyDescent="0.2">
      <c r="A144" s="25"/>
      <c r="B144" s="25"/>
      <c r="C144" s="26" t="s">
        <v>156</v>
      </c>
      <c r="D144" s="25"/>
      <c r="E144" s="25"/>
      <c r="F144" s="36"/>
      <c r="G144" s="36"/>
      <c r="H144" s="27" t="s">
        <v>142</v>
      </c>
    </row>
    <row r="145" spans="1:8" x14ac:dyDescent="0.2">
      <c r="A145" s="28">
        <v>1</v>
      </c>
      <c r="B145" s="29" t="s">
        <v>706</v>
      </c>
      <c r="C145" s="29" t="s">
        <v>707</v>
      </c>
      <c r="D145" s="29" t="s">
        <v>617</v>
      </c>
      <c r="E145" s="30">
        <v>500</v>
      </c>
      <c r="F145" s="31">
        <v>2420.4425000000001</v>
      </c>
      <c r="G145" s="32">
        <v>2.3067549999999999E-2</v>
      </c>
      <c r="H145" s="27">
        <v>6.45</v>
      </c>
    </row>
    <row r="146" spans="1:8" x14ac:dyDescent="0.2">
      <c r="A146" s="28">
        <v>2</v>
      </c>
      <c r="B146" s="29" t="s">
        <v>708</v>
      </c>
      <c r="C146" s="29" t="s">
        <v>709</v>
      </c>
      <c r="D146" s="29" t="s">
        <v>617</v>
      </c>
      <c r="E146" s="30">
        <v>500</v>
      </c>
      <c r="F146" s="31">
        <v>2410.13</v>
      </c>
      <c r="G146" s="32">
        <v>2.296927E-2</v>
      </c>
      <c r="H146" s="27">
        <v>6.42</v>
      </c>
    </row>
    <row r="147" spans="1:8" x14ac:dyDescent="0.2">
      <c r="A147" s="25"/>
      <c r="B147" s="25"/>
      <c r="C147" s="26" t="s">
        <v>141</v>
      </c>
      <c r="D147" s="25"/>
      <c r="E147" s="25" t="s">
        <v>142</v>
      </c>
      <c r="F147" s="33">
        <v>4830.5725000000002</v>
      </c>
      <c r="G147" s="34">
        <v>4.6036819999999999E-2</v>
      </c>
      <c r="H147" s="27" t="s">
        <v>142</v>
      </c>
    </row>
    <row r="148" spans="1:8" x14ac:dyDescent="0.2">
      <c r="A148" s="25"/>
      <c r="B148" s="25"/>
      <c r="C148" s="35"/>
      <c r="D148" s="25"/>
      <c r="E148" s="25"/>
      <c r="F148" s="36"/>
      <c r="G148" s="36"/>
      <c r="H148" s="27" t="s">
        <v>142</v>
      </c>
    </row>
    <row r="149" spans="1:8" x14ac:dyDescent="0.2">
      <c r="A149" s="25"/>
      <c r="B149" s="25"/>
      <c r="C149" s="26" t="s">
        <v>157</v>
      </c>
      <c r="D149" s="25"/>
      <c r="E149" s="25"/>
      <c r="F149" s="36"/>
      <c r="G149" s="36"/>
      <c r="H149" s="27" t="s">
        <v>142</v>
      </c>
    </row>
    <row r="150" spans="1:8" x14ac:dyDescent="0.2">
      <c r="A150" s="25"/>
      <c r="B150" s="25"/>
      <c r="C150" s="26" t="s">
        <v>141</v>
      </c>
      <c r="D150" s="25"/>
      <c r="E150" s="25" t="s">
        <v>142</v>
      </c>
      <c r="F150" s="37" t="s">
        <v>144</v>
      </c>
      <c r="G150" s="34">
        <v>0</v>
      </c>
      <c r="H150" s="27" t="s">
        <v>142</v>
      </c>
    </row>
    <row r="151" spans="1:8" x14ac:dyDescent="0.2">
      <c r="A151" s="25"/>
      <c r="B151" s="25"/>
      <c r="C151" s="35"/>
      <c r="D151" s="25"/>
      <c r="E151" s="25"/>
      <c r="F151" s="36"/>
      <c r="G151" s="36"/>
      <c r="H151" s="27" t="s">
        <v>142</v>
      </c>
    </row>
    <row r="152" spans="1:8" x14ac:dyDescent="0.2">
      <c r="A152" s="25"/>
      <c r="B152" s="25"/>
      <c r="C152" s="26" t="s">
        <v>158</v>
      </c>
      <c r="D152" s="25"/>
      <c r="E152" s="25"/>
      <c r="F152" s="36"/>
      <c r="G152" s="36"/>
      <c r="H152" s="27" t="s">
        <v>142</v>
      </c>
    </row>
    <row r="153" spans="1:8" x14ac:dyDescent="0.2">
      <c r="A153" s="28">
        <v>1</v>
      </c>
      <c r="B153" s="29" t="s">
        <v>710</v>
      </c>
      <c r="C153" s="29" t="s">
        <v>711</v>
      </c>
      <c r="D153" s="29" t="s">
        <v>601</v>
      </c>
      <c r="E153" s="30">
        <v>2500000</v>
      </c>
      <c r="F153" s="31">
        <v>2425.5524999999998</v>
      </c>
      <c r="G153" s="32">
        <v>2.3116250000000001E-2</v>
      </c>
      <c r="H153" s="27">
        <v>5.6014999999999997</v>
      </c>
    </row>
    <row r="154" spans="1:8" x14ac:dyDescent="0.2">
      <c r="A154" s="25"/>
      <c r="B154" s="25"/>
      <c r="C154" s="26" t="s">
        <v>141</v>
      </c>
      <c r="D154" s="25"/>
      <c r="E154" s="25" t="s">
        <v>142</v>
      </c>
      <c r="F154" s="33">
        <v>2425.5524999999998</v>
      </c>
      <c r="G154" s="34">
        <v>2.3116250000000001E-2</v>
      </c>
      <c r="H154" s="27" t="s">
        <v>142</v>
      </c>
    </row>
    <row r="155" spans="1:8" x14ac:dyDescent="0.2">
      <c r="A155" s="25"/>
      <c r="B155" s="25"/>
      <c r="C155" s="35"/>
      <c r="D155" s="25"/>
      <c r="E155" s="25"/>
      <c r="F155" s="36"/>
      <c r="G155" s="36"/>
      <c r="H155" s="27" t="s">
        <v>142</v>
      </c>
    </row>
    <row r="156" spans="1:8" x14ac:dyDescent="0.2">
      <c r="A156" s="25"/>
      <c r="B156" s="25"/>
      <c r="C156" s="26" t="s">
        <v>159</v>
      </c>
      <c r="D156" s="25"/>
      <c r="E156" s="25"/>
      <c r="F156" s="36"/>
      <c r="G156" s="36"/>
      <c r="H156" s="27" t="s">
        <v>142</v>
      </c>
    </row>
    <row r="157" spans="1:8" x14ac:dyDescent="0.2">
      <c r="A157" s="28">
        <v>1</v>
      </c>
      <c r="B157" s="29"/>
      <c r="C157" s="29" t="s">
        <v>160</v>
      </c>
      <c r="D157" s="29"/>
      <c r="E157" s="39"/>
      <c r="F157" s="31">
        <v>5094.4852757950002</v>
      </c>
      <c r="G157" s="32">
        <v>4.8551990000000003E-2</v>
      </c>
      <c r="H157" s="27">
        <v>5.76</v>
      </c>
    </row>
    <row r="158" spans="1:8" x14ac:dyDescent="0.2">
      <c r="A158" s="25"/>
      <c r="B158" s="25"/>
      <c r="C158" s="26" t="s">
        <v>141</v>
      </c>
      <c r="D158" s="25"/>
      <c r="E158" s="25" t="s">
        <v>142</v>
      </c>
      <c r="F158" s="33">
        <v>5094.4852757950002</v>
      </c>
      <c r="G158" s="34">
        <v>4.8551990000000003E-2</v>
      </c>
      <c r="H158" s="27" t="s">
        <v>142</v>
      </c>
    </row>
    <row r="159" spans="1:8" x14ac:dyDescent="0.2">
      <c r="A159" s="25"/>
      <c r="B159" s="25"/>
      <c r="C159" s="35"/>
      <c r="D159" s="25"/>
      <c r="E159" s="25"/>
      <c r="F159" s="36"/>
      <c r="G159" s="36"/>
      <c r="H159" s="27" t="s">
        <v>142</v>
      </c>
    </row>
    <row r="160" spans="1:8" x14ac:dyDescent="0.2">
      <c r="A160" s="25"/>
      <c r="B160" s="25"/>
      <c r="C160" s="26" t="s">
        <v>161</v>
      </c>
      <c r="D160" s="25"/>
      <c r="E160" s="25"/>
      <c r="F160" s="33">
        <v>12350.610275794999</v>
      </c>
      <c r="G160" s="34">
        <v>0.11770506</v>
      </c>
      <c r="H160" s="27" t="s">
        <v>142</v>
      </c>
    </row>
    <row r="161" spans="1:8" x14ac:dyDescent="0.2">
      <c r="A161" s="25"/>
      <c r="B161" s="25"/>
      <c r="C161" s="36"/>
      <c r="D161" s="25"/>
      <c r="E161" s="25"/>
      <c r="F161" s="25"/>
      <c r="G161" s="25"/>
      <c r="H161" s="27" t="s">
        <v>142</v>
      </c>
    </row>
    <row r="162" spans="1:8" x14ac:dyDescent="0.2">
      <c r="A162" s="25"/>
      <c r="B162" s="25"/>
      <c r="C162" s="26" t="s">
        <v>162</v>
      </c>
      <c r="D162" s="25"/>
      <c r="E162" s="25"/>
      <c r="F162" s="25"/>
      <c r="G162" s="25"/>
      <c r="H162" s="27" t="s">
        <v>142</v>
      </c>
    </row>
    <row r="163" spans="1:8" x14ac:dyDescent="0.2">
      <c r="A163" s="25"/>
      <c r="B163" s="25"/>
      <c r="C163" s="26" t="s">
        <v>163</v>
      </c>
      <c r="D163" s="25"/>
      <c r="E163" s="25"/>
      <c r="F163" s="25"/>
      <c r="G163" s="25"/>
      <c r="H163" s="27" t="s">
        <v>142</v>
      </c>
    </row>
    <row r="164" spans="1:8" x14ac:dyDescent="0.2">
      <c r="A164" s="25"/>
      <c r="B164" s="25"/>
      <c r="C164" s="26" t="s">
        <v>141</v>
      </c>
      <c r="D164" s="25"/>
      <c r="E164" s="25" t="s">
        <v>142</v>
      </c>
      <c r="F164" s="37" t="s">
        <v>144</v>
      </c>
      <c r="G164" s="34">
        <v>0</v>
      </c>
      <c r="H164" s="27" t="s">
        <v>142</v>
      </c>
    </row>
    <row r="165" spans="1:8" x14ac:dyDescent="0.2">
      <c r="A165" s="25"/>
      <c r="B165" s="25"/>
      <c r="C165" s="35"/>
      <c r="D165" s="25"/>
      <c r="E165" s="25"/>
      <c r="F165" s="36"/>
      <c r="G165" s="36"/>
      <c r="H165" s="27" t="s">
        <v>142</v>
      </c>
    </row>
    <row r="166" spans="1:8" x14ac:dyDescent="0.2">
      <c r="A166" s="25"/>
      <c r="B166" s="25"/>
      <c r="C166" s="26" t="s">
        <v>164</v>
      </c>
      <c r="D166" s="25"/>
      <c r="E166" s="25"/>
      <c r="F166" s="25"/>
      <c r="G166" s="25"/>
      <c r="H166" s="27" t="s">
        <v>142</v>
      </c>
    </row>
    <row r="167" spans="1:8" x14ac:dyDescent="0.2">
      <c r="A167" s="25"/>
      <c r="B167" s="25"/>
      <c r="C167" s="26" t="s">
        <v>165</v>
      </c>
      <c r="D167" s="25"/>
      <c r="E167" s="25"/>
      <c r="F167" s="25"/>
      <c r="G167" s="25"/>
      <c r="H167" s="27" t="s">
        <v>142</v>
      </c>
    </row>
    <row r="168" spans="1:8" x14ac:dyDescent="0.2">
      <c r="A168" s="25"/>
      <c r="B168" s="25"/>
      <c r="C168" s="26" t="s">
        <v>141</v>
      </c>
      <c r="D168" s="25"/>
      <c r="E168" s="25" t="s">
        <v>142</v>
      </c>
      <c r="F168" s="37" t="s">
        <v>144</v>
      </c>
      <c r="G168" s="34">
        <v>0</v>
      </c>
      <c r="H168" s="27" t="s">
        <v>142</v>
      </c>
    </row>
    <row r="169" spans="1:8" x14ac:dyDescent="0.2">
      <c r="A169" s="25"/>
      <c r="B169" s="25"/>
      <c r="C169" s="35"/>
      <c r="D169" s="25"/>
      <c r="E169" s="25"/>
      <c r="F169" s="36"/>
      <c r="G169" s="36"/>
      <c r="H169" s="27" t="s">
        <v>142</v>
      </c>
    </row>
    <row r="170" spans="1:8" x14ac:dyDescent="0.2">
      <c r="A170" s="25"/>
      <c r="B170" s="25"/>
      <c r="C170" s="26" t="s">
        <v>166</v>
      </c>
      <c r="D170" s="25"/>
      <c r="E170" s="25"/>
      <c r="F170" s="36"/>
      <c r="G170" s="36"/>
      <c r="H170" s="27" t="s">
        <v>142</v>
      </c>
    </row>
    <row r="171" spans="1:8" x14ac:dyDescent="0.2">
      <c r="A171" s="25"/>
      <c r="B171" s="25"/>
      <c r="C171" s="26" t="s">
        <v>141</v>
      </c>
      <c r="D171" s="25"/>
      <c r="E171" s="25" t="s">
        <v>142</v>
      </c>
      <c r="F171" s="37" t="s">
        <v>144</v>
      </c>
      <c r="G171" s="34">
        <v>0</v>
      </c>
      <c r="H171" s="27" t="s">
        <v>142</v>
      </c>
    </row>
    <row r="172" spans="1:8" x14ac:dyDescent="0.2">
      <c r="A172" s="25"/>
      <c r="B172" s="25"/>
      <c r="C172" s="35"/>
      <c r="D172" s="25"/>
      <c r="E172" s="25"/>
      <c r="F172" s="36"/>
      <c r="G172" s="36"/>
      <c r="H172" s="27" t="s">
        <v>142</v>
      </c>
    </row>
    <row r="173" spans="1:8" x14ac:dyDescent="0.2">
      <c r="A173" s="39"/>
      <c r="B173" s="29"/>
      <c r="C173" s="29" t="s">
        <v>618</v>
      </c>
      <c r="D173" s="29"/>
      <c r="E173" s="39"/>
      <c r="F173" s="31">
        <v>1098.0526622</v>
      </c>
      <c r="G173" s="32">
        <v>1.046478E-2</v>
      </c>
      <c r="H173" s="27" t="s">
        <v>142</v>
      </c>
    </row>
    <row r="174" spans="1:8" x14ac:dyDescent="0.2">
      <c r="A174" s="39"/>
      <c r="B174" s="29"/>
      <c r="C174" s="38" t="s">
        <v>903</v>
      </c>
      <c r="D174" s="29"/>
      <c r="E174" s="39"/>
      <c r="F174" s="31">
        <f>35876.05710815+F114</f>
        <v>395.72815065000032</v>
      </c>
      <c r="G174" s="32">
        <f>F174/F175</f>
        <v>3.771409262684888E-3</v>
      </c>
      <c r="H174" s="27" t="s">
        <v>142</v>
      </c>
    </row>
    <row r="175" spans="1:8" x14ac:dyDescent="0.2">
      <c r="A175" s="35"/>
      <c r="B175" s="35"/>
      <c r="C175" s="26" t="s">
        <v>168</v>
      </c>
      <c r="D175" s="36"/>
      <c r="E175" s="36"/>
      <c r="F175" s="33">
        <v>104928.45593964501</v>
      </c>
      <c r="G175" s="40">
        <v>1.0000000200000001</v>
      </c>
      <c r="H175" s="27" t="s">
        <v>142</v>
      </c>
    </row>
    <row r="176" spans="1:8" x14ac:dyDescent="0.2">
      <c r="A176" s="41"/>
      <c r="B176" s="41"/>
      <c r="C176" s="41"/>
      <c r="D176" s="42"/>
      <c r="E176" s="42"/>
      <c r="F176" s="42"/>
      <c r="G176" s="42"/>
    </row>
    <row r="177" spans="1:17" x14ac:dyDescent="0.2">
      <c r="A177" s="43"/>
      <c r="B177" s="210" t="s">
        <v>879</v>
      </c>
      <c r="C177" s="210"/>
      <c r="D177" s="210"/>
      <c r="E177" s="210"/>
      <c r="F177" s="210"/>
      <c r="G177" s="210"/>
      <c r="H177" s="210"/>
      <c r="J177" s="45"/>
    </row>
    <row r="178" spans="1:17" x14ac:dyDescent="0.2">
      <c r="A178" s="43"/>
      <c r="B178" s="210" t="s">
        <v>880</v>
      </c>
      <c r="C178" s="210"/>
      <c r="D178" s="210"/>
      <c r="E178" s="210"/>
      <c r="F178" s="210"/>
      <c r="G178" s="210"/>
      <c r="H178" s="210"/>
      <c r="J178" s="45"/>
    </row>
    <row r="179" spans="1:17" x14ac:dyDescent="0.2">
      <c r="A179" s="43"/>
      <c r="B179" s="210" t="s">
        <v>881</v>
      </c>
      <c r="C179" s="210"/>
      <c r="D179" s="210"/>
      <c r="E179" s="210"/>
      <c r="F179" s="210"/>
      <c r="G179" s="210"/>
      <c r="H179" s="210"/>
      <c r="J179" s="45"/>
    </row>
    <row r="180" spans="1:17" s="47" customFormat="1" ht="66.75" customHeight="1" x14ac:dyDescent="0.25">
      <c r="A180" s="46"/>
      <c r="B180" s="211" t="s">
        <v>882</v>
      </c>
      <c r="C180" s="211"/>
      <c r="D180" s="211"/>
      <c r="E180" s="211"/>
      <c r="F180" s="211"/>
      <c r="G180" s="211"/>
      <c r="H180" s="211"/>
      <c r="I180"/>
      <c r="J180" s="45"/>
      <c r="K180"/>
      <c r="L180"/>
      <c r="M180"/>
      <c r="N180"/>
      <c r="O180"/>
      <c r="P180"/>
      <c r="Q180"/>
    </row>
    <row r="181" spans="1:17" x14ac:dyDescent="0.2">
      <c r="A181" s="43"/>
      <c r="B181" s="210" t="s">
        <v>883</v>
      </c>
      <c r="C181" s="210"/>
      <c r="D181" s="210"/>
      <c r="E181" s="210"/>
      <c r="F181" s="210"/>
      <c r="G181" s="210"/>
      <c r="H181" s="210"/>
      <c r="J181" s="45"/>
    </row>
    <row r="182" spans="1:17" x14ac:dyDescent="0.2">
      <c r="A182" s="48"/>
      <c r="B182" s="48"/>
      <c r="C182" s="48"/>
      <c r="D182" s="49"/>
      <c r="E182" s="49"/>
      <c r="F182" s="49"/>
      <c r="G182" s="49"/>
    </row>
    <row r="183" spans="1:17" x14ac:dyDescent="0.2">
      <c r="A183" s="48"/>
      <c r="B183" s="212" t="s">
        <v>169</v>
      </c>
      <c r="C183" s="213"/>
      <c r="D183" s="214"/>
      <c r="E183" s="50"/>
      <c r="F183" s="49"/>
      <c r="G183" s="49"/>
    </row>
    <row r="184" spans="1:17" ht="27.75" customHeight="1" x14ac:dyDescent="0.2">
      <c r="A184" s="48"/>
      <c r="B184" s="215" t="s">
        <v>170</v>
      </c>
      <c r="C184" s="216"/>
      <c r="D184" s="26" t="s">
        <v>171</v>
      </c>
      <c r="E184" s="50"/>
      <c r="F184" s="49"/>
      <c r="G184" s="49"/>
    </row>
    <row r="185" spans="1:17" ht="12.75" customHeight="1" x14ac:dyDescent="0.2">
      <c r="A185" s="43"/>
      <c r="B185" s="217" t="s">
        <v>884</v>
      </c>
      <c r="C185" s="218"/>
      <c r="D185" s="26" t="s">
        <v>171</v>
      </c>
      <c r="E185" s="52"/>
      <c r="F185" s="53"/>
      <c r="G185" s="53"/>
    </row>
    <row r="186" spans="1:17" x14ac:dyDescent="0.2">
      <c r="A186" s="48"/>
      <c r="B186" s="215" t="s">
        <v>172</v>
      </c>
      <c r="C186" s="216"/>
      <c r="D186" s="36" t="s">
        <v>142</v>
      </c>
      <c r="E186" s="50"/>
      <c r="F186" s="49"/>
      <c r="G186" s="49"/>
    </row>
    <row r="187" spans="1:17" x14ac:dyDescent="0.2">
      <c r="A187" s="54"/>
      <c r="B187" s="55" t="s">
        <v>142</v>
      </c>
      <c r="C187" s="55" t="s">
        <v>885</v>
      </c>
      <c r="D187" s="55" t="s">
        <v>173</v>
      </c>
      <c r="E187" s="54"/>
      <c r="F187" s="54"/>
      <c r="G187" s="54"/>
      <c r="H187" s="54"/>
      <c r="J187" s="45"/>
    </row>
    <row r="188" spans="1:17" x14ac:dyDescent="0.2">
      <c r="A188" s="54"/>
      <c r="B188" s="56" t="s">
        <v>174</v>
      </c>
      <c r="C188" s="57">
        <v>45777</v>
      </c>
      <c r="D188" s="57">
        <v>45808</v>
      </c>
      <c r="E188" s="54"/>
      <c r="F188" s="54"/>
      <c r="G188" s="54"/>
      <c r="J188" s="45"/>
    </row>
    <row r="189" spans="1:17" x14ac:dyDescent="0.2">
      <c r="A189" s="58"/>
      <c r="B189" s="29" t="s">
        <v>175</v>
      </c>
      <c r="C189" s="59">
        <v>79.360500000000002</v>
      </c>
      <c r="D189" s="59">
        <v>80.975300000000004</v>
      </c>
      <c r="E189" s="58"/>
      <c r="F189" s="60"/>
      <c r="G189" s="61"/>
    </row>
    <row r="190" spans="1:17" ht="25.5" x14ac:dyDescent="0.2">
      <c r="A190" s="58"/>
      <c r="B190" s="38" t="s">
        <v>1030</v>
      </c>
      <c r="C190" s="59">
        <v>16.388300000000001</v>
      </c>
      <c r="D190" s="59">
        <v>16.721699999999998</v>
      </c>
      <c r="E190" s="58"/>
      <c r="F190" s="60"/>
      <c r="G190" s="61"/>
    </row>
    <row r="191" spans="1:17" ht="25.5" x14ac:dyDescent="0.2">
      <c r="A191" s="58"/>
      <c r="B191" s="29" t="s">
        <v>1031</v>
      </c>
      <c r="C191" s="59">
        <v>24.4954</v>
      </c>
      <c r="D191" s="59">
        <v>24.9938</v>
      </c>
      <c r="E191" s="58"/>
      <c r="F191" s="60"/>
      <c r="G191" s="61"/>
    </row>
    <row r="192" spans="1:17" x14ac:dyDescent="0.2">
      <c r="A192" s="58"/>
      <c r="B192" s="29" t="s">
        <v>177</v>
      </c>
      <c r="C192" s="59">
        <v>68.591300000000004</v>
      </c>
      <c r="D192" s="59">
        <v>69.895399999999995</v>
      </c>
      <c r="E192" s="58"/>
      <c r="F192" s="60"/>
      <c r="G192" s="61"/>
    </row>
    <row r="193" spans="1:7" ht="25.5" x14ac:dyDescent="0.2">
      <c r="A193" s="58"/>
      <c r="B193" s="38" t="s">
        <v>1032</v>
      </c>
      <c r="C193" s="59">
        <v>15.3253</v>
      </c>
      <c r="D193" s="59">
        <v>15.6167</v>
      </c>
      <c r="E193" s="58"/>
      <c r="F193" s="60"/>
      <c r="G193" s="61"/>
    </row>
    <row r="194" spans="1:7" ht="25.5" x14ac:dyDescent="0.2">
      <c r="A194" s="58"/>
      <c r="B194" s="29" t="s">
        <v>1033</v>
      </c>
      <c r="C194" s="59">
        <v>16.835899999999999</v>
      </c>
      <c r="D194" s="59">
        <v>17.155999999999999</v>
      </c>
      <c r="E194" s="58"/>
      <c r="F194" s="60"/>
      <c r="G194" s="61"/>
    </row>
    <row r="195" spans="1:7" x14ac:dyDescent="0.2">
      <c r="A195" s="58"/>
      <c r="B195" s="58"/>
      <c r="C195" s="58"/>
      <c r="D195" s="58"/>
      <c r="E195" s="58"/>
      <c r="F195" s="58"/>
      <c r="G195" s="58"/>
    </row>
    <row r="196" spans="1:7" x14ac:dyDescent="0.2">
      <c r="A196" s="58"/>
      <c r="B196" s="215" t="s">
        <v>887</v>
      </c>
      <c r="C196" s="216"/>
      <c r="D196" s="51" t="s">
        <v>171</v>
      </c>
      <c r="E196" s="58"/>
      <c r="F196" s="58"/>
      <c r="G196" s="58"/>
    </row>
    <row r="197" spans="1:7" x14ac:dyDescent="0.2">
      <c r="A197" s="58"/>
      <c r="B197" s="70"/>
      <c r="C197" s="70"/>
      <c r="D197" s="70"/>
      <c r="E197" s="58"/>
      <c r="F197" s="58"/>
      <c r="G197" s="58"/>
    </row>
    <row r="198" spans="1:7" x14ac:dyDescent="0.2">
      <c r="A198" s="54"/>
      <c r="B198" s="217" t="s">
        <v>180</v>
      </c>
      <c r="C198" s="218"/>
      <c r="D198" s="51" t="s">
        <v>999</v>
      </c>
      <c r="E198" s="65"/>
      <c r="F198" s="54"/>
      <c r="G198" s="54"/>
    </row>
    <row r="199" spans="1:7" x14ac:dyDescent="0.2">
      <c r="A199" s="54"/>
      <c r="B199" s="217" t="s">
        <v>181</v>
      </c>
      <c r="C199" s="218"/>
      <c r="D199" s="51" t="s">
        <v>171</v>
      </c>
      <c r="E199" s="65"/>
      <c r="F199" s="54"/>
      <c r="G199" s="54"/>
    </row>
    <row r="200" spans="1:7" ht="17.100000000000001" customHeight="1" x14ac:dyDescent="0.2">
      <c r="A200" s="54"/>
      <c r="B200" s="217" t="s">
        <v>182</v>
      </c>
      <c r="C200" s="218"/>
      <c r="D200" s="51" t="s">
        <v>171</v>
      </c>
      <c r="E200" s="65"/>
      <c r="F200" s="54"/>
      <c r="G200" s="54"/>
    </row>
    <row r="201" spans="1:7" ht="17.100000000000001" customHeight="1" x14ac:dyDescent="0.2">
      <c r="A201" s="54"/>
      <c r="B201" s="217" t="s">
        <v>183</v>
      </c>
      <c r="C201" s="218"/>
      <c r="D201" s="66">
        <v>5.1325643498350706</v>
      </c>
      <c r="E201" s="54"/>
      <c r="F201" s="44"/>
      <c r="G201" s="64"/>
    </row>
    <row r="203" spans="1:7" x14ac:dyDescent="0.2">
      <c r="B203" s="245" t="s">
        <v>968</v>
      </c>
      <c r="C203" s="246"/>
      <c r="D203" s="247"/>
    </row>
    <row r="204" spans="1:7" ht="25.5" x14ac:dyDescent="0.2">
      <c r="B204" s="248" t="s">
        <v>969</v>
      </c>
      <c r="C204" s="248"/>
      <c r="D204" s="88" t="s">
        <v>679</v>
      </c>
    </row>
    <row r="205" spans="1:7" x14ac:dyDescent="0.2">
      <c r="B205" s="248" t="s">
        <v>970</v>
      </c>
      <c r="C205" s="248"/>
      <c r="D205" s="72"/>
    </row>
    <row r="206" spans="1:7" x14ac:dyDescent="0.2">
      <c r="B206" s="249"/>
      <c r="C206" s="250"/>
      <c r="D206" s="73"/>
    </row>
    <row r="207" spans="1:7" x14ac:dyDescent="0.2">
      <c r="B207" s="248" t="s">
        <v>971</v>
      </c>
      <c r="C207" s="248"/>
      <c r="D207" s="74">
        <v>6.2616354958602667</v>
      </c>
    </row>
    <row r="208" spans="1:7" x14ac:dyDescent="0.2">
      <c r="B208" s="249"/>
      <c r="C208" s="250"/>
      <c r="D208" s="73"/>
    </row>
    <row r="209" spans="2:10" x14ac:dyDescent="0.2">
      <c r="B209" s="248" t="s">
        <v>972</v>
      </c>
      <c r="C209" s="248"/>
      <c r="D209" s="74">
        <v>2.5743710776518323</v>
      </c>
    </row>
    <row r="210" spans="2:10" x14ac:dyDescent="0.2">
      <c r="B210" s="248" t="s">
        <v>973</v>
      </c>
      <c r="C210" s="248"/>
      <c r="D210" s="74">
        <v>3.3117169614533171</v>
      </c>
    </row>
    <row r="211" spans="2:10" x14ac:dyDescent="0.2">
      <c r="B211" s="249"/>
      <c r="C211" s="250"/>
      <c r="D211" s="73"/>
    </row>
    <row r="212" spans="2:10" x14ac:dyDescent="0.2">
      <c r="B212" s="248" t="s">
        <v>974</v>
      </c>
      <c r="C212" s="248"/>
      <c r="D212" s="75" t="s">
        <v>1091</v>
      </c>
    </row>
    <row r="213" spans="2:10" ht="12.75" customHeight="1" x14ac:dyDescent="0.2">
      <c r="B213" s="249" t="s">
        <v>975</v>
      </c>
      <c r="C213" s="251"/>
      <c r="D213" s="250"/>
    </row>
    <row r="215" spans="2:10" x14ac:dyDescent="0.2">
      <c r="B215" s="219" t="s">
        <v>888</v>
      </c>
      <c r="C215" s="219"/>
    </row>
    <row r="217" spans="2:10" ht="153.75" customHeight="1" x14ac:dyDescent="0.2"/>
    <row r="220" spans="2:10" x14ac:dyDescent="0.2">
      <c r="B220" s="67" t="s">
        <v>889</v>
      </c>
      <c r="C220" s="68"/>
      <c r="D220" s="67"/>
    </row>
    <row r="221" spans="2:10" x14ac:dyDescent="0.2">
      <c r="B221" s="67" t="s">
        <v>1034</v>
      </c>
      <c r="D221" s="67"/>
    </row>
    <row r="222" spans="2:10" ht="165" customHeight="1" x14ac:dyDescent="0.2"/>
    <row r="224" spans="2:10" x14ac:dyDescent="0.2">
      <c r="J224" s="24"/>
    </row>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sheetData>
  <mergeCells count="29">
    <mergeCell ref="B185:C185"/>
    <mergeCell ref="B186:C186"/>
    <mergeCell ref="B204:C204"/>
    <mergeCell ref="B196:C196"/>
    <mergeCell ref="B200:C200"/>
    <mergeCell ref="B201:C201"/>
    <mergeCell ref="B198:C198"/>
    <mergeCell ref="B199:C199"/>
    <mergeCell ref="B203:D203"/>
    <mergeCell ref="B179:H179"/>
    <mergeCell ref="B180:H180"/>
    <mergeCell ref="B181:H181"/>
    <mergeCell ref="B183:D183"/>
    <mergeCell ref="B184:C184"/>
    <mergeCell ref="A1:H1"/>
    <mergeCell ref="A2:H2"/>
    <mergeCell ref="A3:H3"/>
    <mergeCell ref="B177:H177"/>
    <mergeCell ref="B178:H178"/>
    <mergeCell ref="B205:C205"/>
    <mergeCell ref="B206:C206"/>
    <mergeCell ref="B207:C207"/>
    <mergeCell ref="B208:C208"/>
    <mergeCell ref="B209:C209"/>
    <mergeCell ref="B210:C210"/>
    <mergeCell ref="B211:C211"/>
    <mergeCell ref="B212:C212"/>
    <mergeCell ref="B213:D213"/>
    <mergeCell ref="B215:C215"/>
  </mergeCells>
  <hyperlinks>
    <hyperlink ref="I1" location="Index!B2" display="Index" xr:uid="{8A1106C2-2B14-4B13-A262-DF754B7EC87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D91E-BA3B-4192-8454-5956FE4F2D4A}">
  <sheetPr>
    <outlinePr summaryBelow="0" summaryRight="0"/>
  </sheetPr>
  <dimension ref="A1:Q125"/>
  <sheetViews>
    <sheetView showGridLines="0" topLeftCell="A87" workbookViewId="0">
      <selection activeCell="D102" sqref="D102"/>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712</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tr">
        <f>IFERROR(VLOOKUP(B5,#REF!,12,FALSE),"")</f>
        <v/>
      </c>
    </row>
    <row r="6" spans="1:9" x14ac:dyDescent="0.2">
      <c r="A6" s="25"/>
      <c r="B6" s="25"/>
      <c r="C6" s="26" t="s">
        <v>10</v>
      </c>
      <c r="D6" s="25"/>
      <c r="E6" s="25"/>
      <c r="F6" s="25"/>
      <c r="G6" s="25"/>
      <c r="H6" s="27" t="str">
        <f>IFERROR(VLOOKUP(B6,#REF!,12,FALSE),"")</f>
        <v/>
      </c>
    </row>
    <row r="7" spans="1:9" x14ac:dyDescent="0.2">
      <c r="A7" s="28">
        <v>1</v>
      </c>
      <c r="B7" s="29" t="s">
        <v>317</v>
      </c>
      <c r="C7" s="29" t="s">
        <v>318</v>
      </c>
      <c r="D7" s="29" t="s">
        <v>28</v>
      </c>
      <c r="E7" s="30">
        <v>550000</v>
      </c>
      <c r="F7" s="31">
        <v>10696.95</v>
      </c>
      <c r="G7" s="32">
        <v>9.8958229999999994E-2</v>
      </c>
      <c r="H7" s="27" t="str">
        <f>IFERROR(VLOOKUP(B7,#REF!,12,FALSE),"")</f>
        <v/>
      </c>
    </row>
    <row r="8" spans="1:9" x14ac:dyDescent="0.2">
      <c r="A8" s="28">
        <v>2</v>
      </c>
      <c r="B8" s="29" t="s">
        <v>26</v>
      </c>
      <c r="C8" s="29" t="s">
        <v>27</v>
      </c>
      <c r="D8" s="29" t="s">
        <v>28</v>
      </c>
      <c r="E8" s="30">
        <v>696060</v>
      </c>
      <c r="F8" s="31">
        <v>10063.635480000001</v>
      </c>
      <c r="G8" s="32">
        <v>9.3099399999999999E-2</v>
      </c>
      <c r="H8" s="27" t="str">
        <f>IFERROR(VLOOKUP(B8,#REF!,12,FALSE),"")</f>
        <v/>
      </c>
    </row>
    <row r="9" spans="1:9" x14ac:dyDescent="0.2">
      <c r="A9" s="28">
        <v>3</v>
      </c>
      <c r="B9" s="29" t="s">
        <v>11</v>
      </c>
      <c r="C9" s="29" t="s">
        <v>12</v>
      </c>
      <c r="D9" s="29" t="s">
        <v>13</v>
      </c>
      <c r="E9" s="30">
        <v>345000</v>
      </c>
      <c r="F9" s="31">
        <v>6403.89</v>
      </c>
      <c r="G9" s="32">
        <v>5.9242839999999998E-2</v>
      </c>
      <c r="H9" s="27" t="str">
        <f>IFERROR(VLOOKUP(B9,#REF!,12,FALSE),"")</f>
        <v/>
      </c>
    </row>
    <row r="10" spans="1:9" x14ac:dyDescent="0.2">
      <c r="A10" s="28">
        <v>4</v>
      </c>
      <c r="B10" s="29" t="s">
        <v>321</v>
      </c>
      <c r="C10" s="29" t="s">
        <v>322</v>
      </c>
      <c r="D10" s="29" t="s">
        <v>28</v>
      </c>
      <c r="E10" s="30">
        <v>263757</v>
      </c>
      <c r="F10" s="31">
        <v>5472.1664790000004</v>
      </c>
      <c r="G10" s="32">
        <v>5.0623399999999999E-2</v>
      </c>
      <c r="H10" s="27" t="str">
        <f>IFERROR(VLOOKUP(B10,#REF!,12,FALSE),"")</f>
        <v/>
      </c>
    </row>
    <row r="11" spans="1:9" x14ac:dyDescent="0.2">
      <c r="A11" s="28">
        <v>5</v>
      </c>
      <c r="B11" s="29" t="s">
        <v>323</v>
      </c>
      <c r="C11" s="29" t="s">
        <v>324</v>
      </c>
      <c r="D11" s="29" t="s">
        <v>200</v>
      </c>
      <c r="E11" s="30">
        <v>319864</v>
      </c>
      <c r="F11" s="31">
        <v>4998.5147280000001</v>
      </c>
      <c r="G11" s="32">
        <v>4.6241610000000002E-2</v>
      </c>
      <c r="H11" s="27" t="str">
        <f>IFERROR(VLOOKUP(B11,#REF!,12,FALSE),"")</f>
        <v/>
      </c>
    </row>
    <row r="12" spans="1:9" x14ac:dyDescent="0.2">
      <c r="A12" s="28">
        <v>6</v>
      </c>
      <c r="B12" s="29" t="s">
        <v>252</v>
      </c>
      <c r="C12" s="29" t="s">
        <v>253</v>
      </c>
      <c r="D12" s="29" t="s">
        <v>254</v>
      </c>
      <c r="E12" s="30">
        <v>167610</v>
      </c>
      <c r="F12" s="31">
        <v>4660.8988799999997</v>
      </c>
      <c r="G12" s="32">
        <v>4.3118299999999998E-2</v>
      </c>
      <c r="H12" s="27" t="str">
        <f>IFERROR(VLOOKUP(B12,#REF!,12,FALSE),"")</f>
        <v/>
      </c>
    </row>
    <row r="13" spans="1:9" ht="25.5" x14ac:dyDescent="0.2">
      <c r="A13" s="28">
        <v>7</v>
      </c>
      <c r="B13" s="29" t="s">
        <v>690</v>
      </c>
      <c r="C13" s="29" t="s">
        <v>691</v>
      </c>
      <c r="D13" s="29" t="s">
        <v>194</v>
      </c>
      <c r="E13" s="30">
        <v>367886</v>
      </c>
      <c r="F13" s="31">
        <v>4602.9896319999998</v>
      </c>
      <c r="G13" s="32">
        <v>4.2582580000000002E-2</v>
      </c>
      <c r="H13" s="27" t="str">
        <f>IFERROR(VLOOKUP(B13,#REF!,12,FALSE),"")</f>
        <v/>
      </c>
    </row>
    <row r="14" spans="1:9" x14ac:dyDescent="0.2">
      <c r="A14" s="28">
        <v>8</v>
      </c>
      <c r="B14" s="29" t="s">
        <v>713</v>
      </c>
      <c r="C14" s="29" t="s">
        <v>714</v>
      </c>
      <c r="D14" s="29" t="s">
        <v>270</v>
      </c>
      <c r="E14" s="30">
        <v>244811</v>
      </c>
      <c r="F14" s="31">
        <v>4591.1854940000003</v>
      </c>
      <c r="G14" s="32">
        <v>4.2473379999999998E-2</v>
      </c>
      <c r="H14" s="27" t="str">
        <f>IFERROR(VLOOKUP(B14,#REF!,12,FALSE),"")</f>
        <v/>
      </c>
    </row>
    <row r="15" spans="1:9" x14ac:dyDescent="0.2">
      <c r="A15" s="28">
        <v>9</v>
      </c>
      <c r="B15" s="29" t="s">
        <v>37</v>
      </c>
      <c r="C15" s="29" t="s">
        <v>38</v>
      </c>
      <c r="D15" s="29" t="s">
        <v>16</v>
      </c>
      <c r="E15" s="30">
        <v>1399986</v>
      </c>
      <c r="F15" s="31">
        <v>4457.5554240000001</v>
      </c>
      <c r="G15" s="32">
        <v>4.1237160000000002E-2</v>
      </c>
      <c r="H15" s="27" t="str">
        <f>IFERROR(VLOOKUP(B15,#REF!,12,FALSE),"")</f>
        <v/>
      </c>
    </row>
    <row r="16" spans="1:9" x14ac:dyDescent="0.2">
      <c r="A16" s="28">
        <v>10</v>
      </c>
      <c r="B16" s="29" t="s">
        <v>74</v>
      </c>
      <c r="C16" s="29" t="s">
        <v>75</v>
      </c>
      <c r="D16" s="29" t="s">
        <v>64</v>
      </c>
      <c r="E16" s="30">
        <v>75675</v>
      </c>
      <c r="F16" s="31">
        <v>4241.1297000000004</v>
      </c>
      <c r="G16" s="32">
        <v>3.9234989999999997E-2</v>
      </c>
      <c r="H16" s="27" t="str">
        <f>IFERROR(VLOOKUP(B16,#REF!,12,FALSE),"")</f>
        <v/>
      </c>
    </row>
    <row r="17" spans="1:8" x14ac:dyDescent="0.2">
      <c r="A17" s="28">
        <v>11</v>
      </c>
      <c r="B17" s="29" t="s">
        <v>715</v>
      </c>
      <c r="C17" s="29" t="s">
        <v>716</v>
      </c>
      <c r="D17" s="29" t="s">
        <v>73</v>
      </c>
      <c r="E17" s="30">
        <v>393192</v>
      </c>
      <c r="F17" s="31">
        <v>3824.7751800000001</v>
      </c>
      <c r="G17" s="32">
        <v>3.538326E-2</v>
      </c>
      <c r="H17" s="27" t="str">
        <f>IFERROR(VLOOKUP(B17,#REF!,12,FALSE),"")</f>
        <v/>
      </c>
    </row>
    <row r="18" spans="1:8" x14ac:dyDescent="0.2">
      <c r="A18" s="28">
        <v>12</v>
      </c>
      <c r="B18" s="29" t="s">
        <v>504</v>
      </c>
      <c r="C18" s="29" t="s">
        <v>505</v>
      </c>
      <c r="D18" s="29" t="s">
        <v>200</v>
      </c>
      <c r="E18" s="30">
        <v>225000</v>
      </c>
      <c r="F18" s="31">
        <v>3541.2750000000001</v>
      </c>
      <c r="G18" s="32">
        <v>3.2760579999999997E-2</v>
      </c>
      <c r="H18" s="27" t="str">
        <f>IFERROR(VLOOKUP(B18,#REF!,12,FALSE),"")</f>
        <v/>
      </c>
    </row>
    <row r="19" spans="1:8" x14ac:dyDescent="0.2">
      <c r="A19" s="28">
        <v>13</v>
      </c>
      <c r="B19" s="29" t="s">
        <v>117</v>
      </c>
      <c r="C19" s="29" t="s">
        <v>118</v>
      </c>
      <c r="D19" s="29" t="s">
        <v>36</v>
      </c>
      <c r="E19" s="30">
        <v>592632</v>
      </c>
      <c r="F19" s="31">
        <v>3444.6734999999999</v>
      </c>
      <c r="G19" s="32">
        <v>3.186692E-2</v>
      </c>
      <c r="H19" s="27" t="str">
        <f>IFERROR(VLOOKUP(B19,#REF!,12,FALSE),"")</f>
        <v/>
      </c>
    </row>
    <row r="20" spans="1:8" x14ac:dyDescent="0.2">
      <c r="A20" s="28">
        <v>14</v>
      </c>
      <c r="B20" s="29" t="s">
        <v>335</v>
      </c>
      <c r="C20" s="29" t="s">
        <v>336</v>
      </c>
      <c r="D20" s="29" t="s">
        <v>290</v>
      </c>
      <c r="E20" s="30">
        <v>230000</v>
      </c>
      <c r="F20" s="31">
        <v>3283.25</v>
      </c>
      <c r="G20" s="32">
        <v>3.0373580000000001E-2</v>
      </c>
      <c r="H20" s="27" t="str">
        <f>IFERROR(VLOOKUP(B20,#REF!,12,FALSE),"")</f>
        <v/>
      </c>
    </row>
    <row r="21" spans="1:8" x14ac:dyDescent="0.2">
      <c r="A21" s="28">
        <v>15</v>
      </c>
      <c r="B21" s="29" t="s">
        <v>65</v>
      </c>
      <c r="C21" s="29" t="s">
        <v>66</v>
      </c>
      <c r="D21" s="29" t="s">
        <v>67</v>
      </c>
      <c r="E21" s="30">
        <v>60260</v>
      </c>
      <c r="F21" s="31">
        <v>3211.8580000000002</v>
      </c>
      <c r="G21" s="32">
        <v>2.9713119999999999E-2</v>
      </c>
      <c r="H21" s="27" t="str">
        <f>IFERROR(VLOOKUP(B21,#REF!,12,FALSE),"")</f>
        <v/>
      </c>
    </row>
    <row r="22" spans="1:8" x14ac:dyDescent="0.2">
      <c r="A22" s="28">
        <v>16</v>
      </c>
      <c r="B22" s="29" t="s">
        <v>688</v>
      </c>
      <c r="C22" s="29" t="s">
        <v>689</v>
      </c>
      <c r="D22" s="29" t="s">
        <v>197</v>
      </c>
      <c r="E22" s="30">
        <v>44916</v>
      </c>
      <c r="F22" s="31">
        <v>3090.4453800000001</v>
      </c>
      <c r="G22" s="32">
        <v>2.858993E-2</v>
      </c>
      <c r="H22" s="27" t="str">
        <f>IFERROR(VLOOKUP(B22,#REF!,12,FALSE),"")</f>
        <v/>
      </c>
    </row>
    <row r="23" spans="1:8" x14ac:dyDescent="0.2">
      <c r="A23" s="28">
        <v>17</v>
      </c>
      <c r="B23" s="29" t="s">
        <v>717</v>
      </c>
      <c r="C23" s="29" t="s">
        <v>718</v>
      </c>
      <c r="D23" s="29" t="s">
        <v>290</v>
      </c>
      <c r="E23" s="30">
        <v>75156</v>
      </c>
      <c r="F23" s="31">
        <v>3007.818276</v>
      </c>
      <c r="G23" s="32">
        <v>2.7825539999999999E-2</v>
      </c>
      <c r="H23" s="27" t="str">
        <f>IFERROR(VLOOKUP(B23,#REF!,12,FALSE),"")</f>
        <v/>
      </c>
    </row>
    <row r="24" spans="1:8" ht="25.5" x14ac:dyDescent="0.2">
      <c r="A24" s="28">
        <v>18</v>
      </c>
      <c r="B24" s="29" t="s">
        <v>425</v>
      </c>
      <c r="C24" s="29" t="s">
        <v>426</v>
      </c>
      <c r="D24" s="29" t="s">
        <v>203</v>
      </c>
      <c r="E24" s="30">
        <v>244574</v>
      </c>
      <c r="F24" s="31">
        <v>2705.722162</v>
      </c>
      <c r="G24" s="32">
        <v>2.503083E-2</v>
      </c>
      <c r="H24" s="27" t="str">
        <f>IFERROR(VLOOKUP(B24,#REF!,12,FALSE),"")</f>
        <v/>
      </c>
    </row>
    <row r="25" spans="1:8" x14ac:dyDescent="0.2">
      <c r="A25" s="28">
        <v>19</v>
      </c>
      <c r="B25" s="29" t="s">
        <v>319</v>
      </c>
      <c r="C25" s="29" t="s">
        <v>320</v>
      </c>
      <c r="D25" s="29" t="s">
        <v>28</v>
      </c>
      <c r="E25" s="30">
        <v>208676</v>
      </c>
      <c r="F25" s="31">
        <v>2487.8352719999998</v>
      </c>
      <c r="G25" s="32">
        <v>2.301514E-2</v>
      </c>
      <c r="H25" s="27" t="str">
        <f>IFERROR(VLOOKUP(B25,#REF!,12,FALSE),"")</f>
        <v/>
      </c>
    </row>
    <row r="26" spans="1:8" x14ac:dyDescent="0.2">
      <c r="A26" s="28">
        <v>20</v>
      </c>
      <c r="B26" s="29" t="s">
        <v>46</v>
      </c>
      <c r="C26" s="29" t="s">
        <v>47</v>
      </c>
      <c r="D26" s="29" t="s">
        <v>28</v>
      </c>
      <c r="E26" s="30">
        <v>286247</v>
      </c>
      <c r="F26" s="31">
        <v>2325.184381</v>
      </c>
      <c r="G26" s="32">
        <v>2.1510439999999999E-2</v>
      </c>
      <c r="H26" s="27" t="str">
        <f>IFERROR(VLOOKUP(B26,#REF!,12,FALSE),"")</f>
        <v/>
      </c>
    </row>
    <row r="27" spans="1:8" x14ac:dyDescent="0.2">
      <c r="A27" s="28">
        <v>21</v>
      </c>
      <c r="B27" s="29" t="s">
        <v>427</v>
      </c>
      <c r="C27" s="29" t="s">
        <v>428</v>
      </c>
      <c r="D27" s="29" t="s">
        <v>429</v>
      </c>
      <c r="E27" s="30">
        <v>330739</v>
      </c>
      <c r="F27" s="31">
        <v>2095.231565</v>
      </c>
      <c r="G27" s="32">
        <v>1.9383129999999998E-2</v>
      </c>
      <c r="H27" s="27" t="str">
        <f>IFERROR(VLOOKUP(B27,#REF!,12,FALSE),"")</f>
        <v/>
      </c>
    </row>
    <row r="28" spans="1:8" x14ac:dyDescent="0.2">
      <c r="A28" s="28">
        <v>22</v>
      </c>
      <c r="B28" s="29" t="s">
        <v>502</v>
      </c>
      <c r="C28" s="29" t="s">
        <v>503</v>
      </c>
      <c r="D28" s="29" t="s">
        <v>254</v>
      </c>
      <c r="E28" s="30">
        <v>22619</v>
      </c>
      <c r="F28" s="31">
        <v>1946.8173300000001</v>
      </c>
      <c r="G28" s="32">
        <v>1.8010140000000001E-2</v>
      </c>
      <c r="H28" s="27" t="str">
        <f>IFERROR(VLOOKUP(B28,#REF!,12,FALSE),"")</f>
        <v/>
      </c>
    </row>
    <row r="29" spans="1:8" x14ac:dyDescent="0.2">
      <c r="A29" s="28">
        <v>23</v>
      </c>
      <c r="B29" s="29" t="s">
        <v>421</v>
      </c>
      <c r="C29" s="29" t="s">
        <v>422</v>
      </c>
      <c r="D29" s="29" t="s">
        <v>200</v>
      </c>
      <c r="E29" s="30">
        <v>101625</v>
      </c>
      <c r="F29" s="31">
        <v>1663.1947500000001</v>
      </c>
      <c r="G29" s="32">
        <v>1.538633E-2</v>
      </c>
      <c r="H29" s="27" t="str">
        <f>IFERROR(VLOOKUP(B29,#REF!,12,FALSE),"")</f>
        <v/>
      </c>
    </row>
    <row r="30" spans="1:8" x14ac:dyDescent="0.2">
      <c r="A30" s="25"/>
      <c r="B30" s="25"/>
      <c r="C30" s="26" t="s">
        <v>141</v>
      </c>
      <c r="D30" s="25"/>
      <c r="E30" s="25" t="s">
        <v>142</v>
      </c>
      <c r="F30" s="33">
        <v>96816.996612999996</v>
      </c>
      <c r="G30" s="34">
        <v>0.89566082999999996</v>
      </c>
      <c r="H30" s="27" t="str">
        <f>IFERROR(VLOOKUP(B30,#REF!,12,FALSE),"")</f>
        <v/>
      </c>
    </row>
    <row r="31" spans="1:8" x14ac:dyDescent="0.2">
      <c r="A31" s="25"/>
      <c r="B31" s="25"/>
      <c r="C31" s="35"/>
      <c r="D31" s="25"/>
      <c r="E31" s="25"/>
      <c r="F31" s="36"/>
      <c r="G31" s="36"/>
      <c r="H31" s="27" t="str">
        <f>IFERROR(VLOOKUP(B31,#REF!,12,FALSE),"")</f>
        <v/>
      </c>
    </row>
    <row r="32" spans="1:8" x14ac:dyDescent="0.2">
      <c r="A32" s="25"/>
      <c r="B32" s="25"/>
      <c r="C32" s="26" t="s">
        <v>143</v>
      </c>
      <c r="D32" s="25"/>
      <c r="E32" s="25"/>
      <c r="F32" s="25"/>
      <c r="G32" s="25"/>
      <c r="H32" s="27" t="str">
        <f>IFERROR(VLOOKUP(B32,#REF!,12,FALSE),"")</f>
        <v/>
      </c>
    </row>
    <row r="33" spans="1:8" x14ac:dyDescent="0.2">
      <c r="A33" s="25"/>
      <c r="B33" s="25"/>
      <c r="C33" s="26" t="s">
        <v>141</v>
      </c>
      <c r="D33" s="25"/>
      <c r="E33" s="25" t="s">
        <v>142</v>
      </c>
      <c r="F33" s="37" t="s">
        <v>144</v>
      </c>
      <c r="G33" s="34">
        <v>0</v>
      </c>
      <c r="H33" s="27" t="str">
        <f>IFERROR(VLOOKUP(B33,#REF!,12,FALSE),"")</f>
        <v/>
      </c>
    </row>
    <row r="34" spans="1:8" x14ac:dyDescent="0.2">
      <c r="A34" s="25"/>
      <c r="B34" s="25"/>
      <c r="C34" s="35"/>
      <c r="D34" s="25"/>
      <c r="E34" s="25"/>
      <c r="F34" s="36"/>
      <c r="G34" s="36"/>
      <c r="H34" s="27" t="str">
        <f>IFERROR(VLOOKUP(B34,#REF!,12,FALSE),"")</f>
        <v/>
      </c>
    </row>
    <row r="35" spans="1:8" x14ac:dyDescent="0.2">
      <c r="A35" s="25"/>
      <c r="B35" s="25"/>
      <c r="C35" s="26" t="s">
        <v>145</v>
      </c>
      <c r="D35" s="25"/>
      <c r="E35" s="25"/>
      <c r="F35" s="25"/>
      <c r="G35" s="25"/>
      <c r="H35" s="27" t="str">
        <f>IFERROR(VLOOKUP(B35,#REF!,12,FALSE),"")</f>
        <v/>
      </c>
    </row>
    <row r="36" spans="1:8" x14ac:dyDescent="0.2">
      <c r="A36" s="25"/>
      <c r="B36" s="25"/>
      <c r="C36" s="26" t="s">
        <v>141</v>
      </c>
      <c r="D36" s="25"/>
      <c r="E36" s="25" t="s">
        <v>142</v>
      </c>
      <c r="F36" s="37" t="s">
        <v>144</v>
      </c>
      <c r="G36" s="34">
        <v>0</v>
      </c>
      <c r="H36" s="27" t="str">
        <f>IFERROR(VLOOKUP(B36,#REF!,12,FALSE),"")</f>
        <v/>
      </c>
    </row>
    <row r="37" spans="1:8" x14ac:dyDescent="0.2">
      <c r="A37" s="25"/>
      <c r="B37" s="25"/>
      <c r="C37" s="35"/>
      <c r="D37" s="25"/>
      <c r="E37" s="25"/>
      <c r="F37" s="36"/>
      <c r="G37" s="36"/>
      <c r="H37" s="27" t="str">
        <f>IFERROR(VLOOKUP(B37,#REF!,12,FALSE),"")</f>
        <v/>
      </c>
    </row>
    <row r="38" spans="1:8" x14ac:dyDescent="0.2">
      <c r="A38" s="25"/>
      <c r="B38" s="25"/>
      <c r="C38" s="26" t="s">
        <v>146</v>
      </c>
      <c r="D38" s="25"/>
      <c r="E38" s="25"/>
      <c r="F38" s="25"/>
      <c r="G38" s="25"/>
      <c r="H38" s="27" t="str">
        <f>IFERROR(VLOOKUP(B38,#REF!,12,FALSE),"")</f>
        <v/>
      </c>
    </row>
    <row r="39" spans="1:8" x14ac:dyDescent="0.2">
      <c r="A39" s="25"/>
      <c r="B39" s="25"/>
      <c r="C39" s="26" t="s">
        <v>141</v>
      </c>
      <c r="D39" s="25"/>
      <c r="E39" s="25" t="s">
        <v>142</v>
      </c>
      <c r="F39" s="37" t="s">
        <v>144</v>
      </c>
      <c r="G39" s="34">
        <v>0</v>
      </c>
      <c r="H39" s="27" t="str">
        <f>IFERROR(VLOOKUP(B39,#REF!,12,FALSE),"")</f>
        <v/>
      </c>
    </row>
    <row r="40" spans="1:8" x14ac:dyDescent="0.2">
      <c r="A40" s="25"/>
      <c r="B40" s="25"/>
      <c r="C40" s="35"/>
      <c r="D40" s="25"/>
      <c r="E40" s="25"/>
      <c r="F40" s="36"/>
      <c r="G40" s="36"/>
      <c r="H40" s="27" t="str">
        <f>IFERROR(VLOOKUP(B40,#REF!,12,FALSE),"")</f>
        <v/>
      </c>
    </row>
    <row r="41" spans="1:8" x14ac:dyDescent="0.2">
      <c r="A41" s="25"/>
      <c r="B41" s="25"/>
      <c r="C41" s="26" t="s">
        <v>147</v>
      </c>
      <c r="D41" s="25"/>
      <c r="E41" s="25"/>
      <c r="F41" s="36"/>
      <c r="G41" s="36"/>
      <c r="H41" s="27" t="str">
        <f>IFERROR(VLOOKUP(B41,#REF!,12,FALSE),"")</f>
        <v/>
      </c>
    </row>
    <row r="42" spans="1:8" x14ac:dyDescent="0.2">
      <c r="A42" s="25"/>
      <c r="B42" s="25"/>
      <c r="C42" s="26" t="s">
        <v>141</v>
      </c>
      <c r="D42" s="25"/>
      <c r="E42" s="25" t="s">
        <v>142</v>
      </c>
      <c r="F42" s="37" t="s">
        <v>144</v>
      </c>
      <c r="G42" s="34">
        <v>0</v>
      </c>
      <c r="H42" s="27" t="str">
        <f>IFERROR(VLOOKUP(B42,#REF!,12,FALSE),"")</f>
        <v/>
      </c>
    </row>
    <row r="43" spans="1:8" x14ac:dyDescent="0.2">
      <c r="A43" s="25"/>
      <c r="B43" s="25"/>
      <c r="C43" s="35"/>
      <c r="D43" s="25"/>
      <c r="E43" s="25"/>
      <c r="F43" s="36"/>
      <c r="G43" s="36"/>
      <c r="H43" s="27" t="str">
        <f>IFERROR(VLOOKUP(B43,#REF!,12,FALSE),"")</f>
        <v/>
      </c>
    </row>
    <row r="44" spans="1:8" x14ac:dyDescent="0.2">
      <c r="A44" s="25"/>
      <c r="B44" s="25"/>
      <c r="C44" s="26" t="s">
        <v>148</v>
      </c>
      <c r="D44" s="25"/>
      <c r="E44" s="25"/>
      <c r="F44" s="36"/>
      <c r="G44" s="36"/>
      <c r="H44" s="27" t="str">
        <f>IFERROR(VLOOKUP(B44,#REF!,12,FALSE),"")</f>
        <v/>
      </c>
    </row>
    <row r="45" spans="1:8" x14ac:dyDescent="0.2">
      <c r="A45" s="25"/>
      <c r="B45" s="25"/>
      <c r="C45" s="26" t="s">
        <v>141</v>
      </c>
      <c r="D45" s="25"/>
      <c r="E45" s="25" t="s">
        <v>142</v>
      </c>
      <c r="F45" s="37" t="s">
        <v>144</v>
      </c>
      <c r="G45" s="34">
        <v>0</v>
      </c>
      <c r="H45" s="27" t="str">
        <f>IFERROR(VLOOKUP(B45,#REF!,12,FALSE),"")</f>
        <v/>
      </c>
    </row>
    <row r="46" spans="1:8" x14ac:dyDescent="0.2">
      <c r="A46" s="25"/>
      <c r="B46" s="25"/>
      <c r="C46" s="35"/>
      <c r="D46" s="25"/>
      <c r="E46" s="25"/>
      <c r="F46" s="36"/>
      <c r="G46" s="36"/>
      <c r="H46" s="27" t="str">
        <f>IFERROR(VLOOKUP(B46,#REF!,12,FALSE),"")</f>
        <v/>
      </c>
    </row>
    <row r="47" spans="1:8" x14ac:dyDescent="0.2">
      <c r="A47" s="25"/>
      <c r="B47" s="25"/>
      <c r="C47" s="26" t="s">
        <v>149</v>
      </c>
      <c r="D47" s="25"/>
      <c r="E47" s="25"/>
      <c r="F47" s="33">
        <v>96816.996612999996</v>
      </c>
      <c r="G47" s="34">
        <v>0.89566082999999996</v>
      </c>
      <c r="H47" s="27" t="str">
        <f>IFERROR(VLOOKUP(B47,#REF!,12,FALSE),"")</f>
        <v/>
      </c>
    </row>
    <row r="48" spans="1:8" x14ac:dyDescent="0.2">
      <c r="A48" s="25"/>
      <c r="B48" s="25"/>
      <c r="C48" s="35"/>
      <c r="D48" s="25"/>
      <c r="E48" s="25"/>
      <c r="F48" s="36"/>
      <c r="G48" s="36"/>
      <c r="H48" s="27" t="str">
        <f>IFERROR(VLOOKUP(B48,#REF!,12,FALSE),"")</f>
        <v/>
      </c>
    </row>
    <row r="49" spans="1:8" x14ac:dyDescent="0.2">
      <c r="A49" s="25"/>
      <c r="B49" s="25"/>
      <c r="C49" s="26" t="s">
        <v>150</v>
      </c>
      <c r="D49" s="25"/>
      <c r="E49" s="25"/>
      <c r="F49" s="36"/>
      <c r="G49" s="36"/>
      <c r="H49" s="27" t="str">
        <f>IFERROR(VLOOKUP(B49,#REF!,12,FALSE),"")</f>
        <v/>
      </c>
    </row>
    <row r="50" spans="1:8" x14ac:dyDescent="0.2">
      <c r="A50" s="25"/>
      <c r="B50" s="25"/>
      <c r="C50" s="26" t="s">
        <v>10</v>
      </c>
      <c r="D50" s="25"/>
      <c r="E50" s="25"/>
      <c r="F50" s="36"/>
      <c r="G50" s="36"/>
      <c r="H50" s="27" t="str">
        <f>IFERROR(VLOOKUP(B50,#REF!,12,FALSE),"")</f>
        <v/>
      </c>
    </row>
    <row r="51" spans="1:8" x14ac:dyDescent="0.2">
      <c r="A51" s="25"/>
      <c r="B51" s="25"/>
      <c r="C51" s="26" t="s">
        <v>141</v>
      </c>
      <c r="D51" s="25"/>
      <c r="E51" s="25" t="s">
        <v>142</v>
      </c>
      <c r="F51" s="37" t="s">
        <v>144</v>
      </c>
      <c r="G51" s="34">
        <v>0</v>
      </c>
      <c r="H51" s="27" t="str">
        <f>IFERROR(VLOOKUP(B51,#REF!,12,FALSE),"")</f>
        <v/>
      </c>
    </row>
    <row r="52" spans="1:8" x14ac:dyDescent="0.2">
      <c r="A52" s="25"/>
      <c r="B52" s="25"/>
      <c r="C52" s="35"/>
      <c r="D52" s="25"/>
      <c r="E52" s="25"/>
      <c r="F52" s="36"/>
      <c r="G52" s="36"/>
      <c r="H52" s="27" t="str">
        <f>IFERROR(VLOOKUP(B52,#REF!,12,FALSE),"")</f>
        <v/>
      </c>
    </row>
    <row r="53" spans="1:8" x14ac:dyDescent="0.2">
      <c r="A53" s="25"/>
      <c r="B53" s="25"/>
      <c r="C53" s="26" t="s">
        <v>151</v>
      </c>
      <c r="D53" s="25"/>
      <c r="E53" s="25"/>
      <c r="F53" s="25"/>
      <c r="G53" s="25"/>
      <c r="H53" s="27" t="str">
        <f>IFERROR(VLOOKUP(B53,#REF!,12,FALSE),"")</f>
        <v/>
      </c>
    </row>
    <row r="54" spans="1:8" x14ac:dyDescent="0.2">
      <c r="A54" s="25"/>
      <c r="B54" s="25"/>
      <c r="C54" s="26" t="s">
        <v>141</v>
      </c>
      <c r="D54" s="25"/>
      <c r="E54" s="25" t="s">
        <v>142</v>
      </c>
      <c r="F54" s="37" t="s">
        <v>144</v>
      </c>
      <c r="G54" s="34">
        <v>0</v>
      </c>
      <c r="H54" s="27" t="str">
        <f>IFERROR(VLOOKUP(B54,#REF!,12,FALSE),"")</f>
        <v/>
      </c>
    </row>
    <row r="55" spans="1:8" x14ac:dyDescent="0.2">
      <c r="A55" s="25"/>
      <c r="B55" s="25"/>
      <c r="C55" s="35"/>
      <c r="D55" s="25"/>
      <c r="E55" s="25"/>
      <c r="F55" s="36"/>
      <c r="G55" s="36"/>
      <c r="H55" s="27" t="str">
        <f>IFERROR(VLOOKUP(B55,#REF!,12,FALSE),"")</f>
        <v/>
      </c>
    </row>
    <row r="56" spans="1:8" x14ac:dyDescent="0.2">
      <c r="A56" s="25"/>
      <c r="B56" s="25"/>
      <c r="C56" s="26" t="s">
        <v>152</v>
      </c>
      <c r="D56" s="25"/>
      <c r="E56" s="25"/>
      <c r="F56" s="25"/>
      <c r="G56" s="25"/>
      <c r="H56" s="27" t="str">
        <f>IFERROR(VLOOKUP(B56,#REF!,12,FALSE),"")</f>
        <v/>
      </c>
    </row>
    <row r="57" spans="1:8" x14ac:dyDescent="0.2">
      <c r="A57" s="25"/>
      <c r="B57" s="25"/>
      <c r="C57" s="26" t="s">
        <v>141</v>
      </c>
      <c r="D57" s="25"/>
      <c r="E57" s="25" t="s">
        <v>142</v>
      </c>
      <c r="F57" s="37" t="s">
        <v>144</v>
      </c>
      <c r="G57" s="34">
        <v>0</v>
      </c>
      <c r="H57" s="27" t="str">
        <f>IFERROR(VLOOKUP(B57,#REF!,12,FALSE),"")</f>
        <v/>
      </c>
    </row>
    <row r="58" spans="1:8" x14ac:dyDescent="0.2">
      <c r="A58" s="25"/>
      <c r="B58" s="25"/>
      <c r="C58" s="35"/>
      <c r="D58" s="25"/>
      <c r="E58" s="25"/>
      <c r="F58" s="36"/>
      <c r="G58" s="36"/>
      <c r="H58" s="27" t="str">
        <f>IFERROR(VLOOKUP(B58,#REF!,12,FALSE),"")</f>
        <v/>
      </c>
    </row>
    <row r="59" spans="1:8" x14ac:dyDescent="0.2">
      <c r="A59" s="25"/>
      <c r="B59" s="25"/>
      <c r="C59" s="26" t="s">
        <v>153</v>
      </c>
      <c r="D59" s="25"/>
      <c r="E59" s="25"/>
      <c r="F59" s="36"/>
      <c r="G59" s="36"/>
      <c r="H59" s="27" t="str">
        <f>IFERROR(VLOOKUP(B59,#REF!,12,FALSE),"")</f>
        <v/>
      </c>
    </row>
    <row r="60" spans="1:8" x14ac:dyDescent="0.2">
      <c r="A60" s="25"/>
      <c r="B60" s="25"/>
      <c r="C60" s="26" t="s">
        <v>141</v>
      </c>
      <c r="D60" s="25"/>
      <c r="E60" s="25" t="s">
        <v>142</v>
      </c>
      <c r="F60" s="37" t="s">
        <v>144</v>
      </c>
      <c r="G60" s="34">
        <v>0</v>
      </c>
      <c r="H60" s="27" t="str">
        <f>IFERROR(VLOOKUP(B60,#REF!,12,FALSE),"")</f>
        <v/>
      </c>
    </row>
    <row r="61" spans="1:8" x14ac:dyDescent="0.2">
      <c r="A61" s="25"/>
      <c r="B61" s="25"/>
      <c r="C61" s="35"/>
      <c r="D61" s="25"/>
      <c r="E61" s="25"/>
      <c r="F61" s="36"/>
      <c r="G61" s="36"/>
      <c r="H61" s="27" t="str">
        <f>IFERROR(VLOOKUP(B61,#REF!,12,FALSE),"")</f>
        <v/>
      </c>
    </row>
    <row r="62" spans="1:8" x14ac:dyDescent="0.2">
      <c r="A62" s="25"/>
      <c r="B62" s="25"/>
      <c r="C62" s="26" t="s">
        <v>154</v>
      </c>
      <c r="D62" s="25"/>
      <c r="E62" s="25"/>
      <c r="F62" s="33">
        <v>0</v>
      </c>
      <c r="G62" s="34">
        <v>0</v>
      </c>
      <c r="H62" s="27" t="str">
        <f>IFERROR(VLOOKUP(B62,#REF!,12,FALSE),"")</f>
        <v/>
      </c>
    </row>
    <row r="63" spans="1:8" x14ac:dyDescent="0.2">
      <c r="A63" s="25"/>
      <c r="B63" s="25"/>
      <c r="C63" s="35"/>
      <c r="D63" s="25"/>
      <c r="E63" s="25"/>
      <c r="F63" s="36"/>
      <c r="G63" s="36"/>
      <c r="H63" s="27" t="str">
        <f>IFERROR(VLOOKUP(B63,#REF!,12,FALSE),"")</f>
        <v/>
      </c>
    </row>
    <row r="64" spans="1:8" x14ac:dyDescent="0.2">
      <c r="A64" s="25"/>
      <c r="B64" s="25"/>
      <c r="C64" s="26" t="s">
        <v>155</v>
      </c>
      <c r="D64" s="25"/>
      <c r="E64" s="25"/>
      <c r="F64" s="36"/>
      <c r="G64" s="36"/>
      <c r="H64" s="27" t="str">
        <f>IFERROR(VLOOKUP(B64,#REF!,12,FALSE),"")</f>
        <v/>
      </c>
    </row>
    <row r="65" spans="1:8" x14ac:dyDescent="0.2">
      <c r="A65" s="25"/>
      <c r="B65" s="25"/>
      <c r="C65" s="26" t="s">
        <v>156</v>
      </c>
      <c r="D65" s="25"/>
      <c r="E65" s="25"/>
      <c r="F65" s="36"/>
      <c r="G65" s="36"/>
      <c r="H65" s="27" t="str">
        <f>IFERROR(VLOOKUP(B65,#REF!,12,FALSE),"")</f>
        <v/>
      </c>
    </row>
    <row r="66" spans="1:8" x14ac:dyDescent="0.2">
      <c r="A66" s="25"/>
      <c r="B66" s="25"/>
      <c r="C66" s="26" t="s">
        <v>141</v>
      </c>
      <c r="D66" s="25"/>
      <c r="E66" s="25" t="s">
        <v>142</v>
      </c>
      <c r="F66" s="37" t="s">
        <v>144</v>
      </c>
      <c r="G66" s="34">
        <v>0</v>
      </c>
      <c r="H66" s="27" t="str">
        <f>IFERROR(VLOOKUP(B66,#REF!,12,FALSE),"")</f>
        <v/>
      </c>
    </row>
    <row r="67" spans="1:8" x14ac:dyDescent="0.2">
      <c r="A67" s="25"/>
      <c r="B67" s="25"/>
      <c r="C67" s="35"/>
      <c r="D67" s="25"/>
      <c r="E67" s="25"/>
      <c r="F67" s="36"/>
      <c r="G67" s="36"/>
      <c r="H67" s="27" t="str">
        <f>IFERROR(VLOOKUP(B67,#REF!,12,FALSE),"")</f>
        <v/>
      </c>
    </row>
    <row r="68" spans="1:8" x14ac:dyDescent="0.2">
      <c r="A68" s="25"/>
      <c r="B68" s="25"/>
      <c r="C68" s="26" t="s">
        <v>157</v>
      </c>
      <c r="D68" s="25"/>
      <c r="E68" s="25"/>
      <c r="F68" s="36"/>
      <c r="G68" s="36"/>
      <c r="H68" s="27" t="str">
        <f>IFERROR(VLOOKUP(B68,#REF!,12,FALSE),"")</f>
        <v/>
      </c>
    </row>
    <row r="69" spans="1:8" x14ac:dyDescent="0.2">
      <c r="A69" s="25"/>
      <c r="B69" s="25"/>
      <c r="C69" s="26" t="s">
        <v>141</v>
      </c>
      <c r="D69" s="25"/>
      <c r="E69" s="25" t="s">
        <v>142</v>
      </c>
      <c r="F69" s="37" t="s">
        <v>144</v>
      </c>
      <c r="G69" s="34">
        <v>0</v>
      </c>
      <c r="H69" s="27" t="str">
        <f>IFERROR(VLOOKUP(B69,#REF!,12,FALSE),"")</f>
        <v/>
      </c>
    </row>
    <row r="70" spans="1:8" x14ac:dyDescent="0.2">
      <c r="A70" s="25"/>
      <c r="B70" s="25"/>
      <c r="C70" s="35"/>
      <c r="D70" s="25"/>
      <c r="E70" s="25"/>
      <c r="F70" s="36"/>
      <c r="G70" s="36"/>
      <c r="H70" s="27" t="str">
        <f>IFERROR(VLOOKUP(B70,#REF!,12,FALSE),"")</f>
        <v/>
      </c>
    </row>
    <row r="71" spans="1:8" x14ac:dyDescent="0.2">
      <c r="A71" s="25"/>
      <c r="B71" s="25"/>
      <c r="C71" s="26" t="s">
        <v>158</v>
      </c>
      <c r="D71" s="25"/>
      <c r="E71" s="25"/>
      <c r="F71" s="36"/>
      <c r="G71" s="36"/>
      <c r="H71" s="27" t="str">
        <f>IFERROR(VLOOKUP(B71,#REF!,12,FALSE),"")</f>
        <v/>
      </c>
    </row>
    <row r="72" spans="1:8" x14ac:dyDescent="0.2">
      <c r="A72" s="25"/>
      <c r="B72" s="25"/>
      <c r="C72" s="26" t="s">
        <v>141</v>
      </c>
      <c r="D72" s="25"/>
      <c r="E72" s="25" t="s">
        <v>142</v>
      </c>
      <c r="F72" s="37" t="s">
        <v>144</v>
      </c>
      <c r="G72" s="34">
        <v>0</v>
      </c>
      <c r="H72" s="27" t="str">
        <f>IFERROR(VLOOKUP(B72,#REF!,12,FALSE),"")</f>
        <v/>
      </c>
    </row>
    <row r="73" spans="1:8" x14ac:dyDescent="0.2">
      <c r="A73" s="25"/>
      <c r="B73" s="25"/>
      <c r="C73" s="35"/>
      <c r="D73" s="25"/>
      <c r="E73" s="25"/>
      <c r="F73" s="36"/>
      <c r="G73" s="36"/>
      <c r="H73" s="27" t="str">
        <f>IFERROR(VLOOKUP(B73,#REF!,12,FALSE),"")</f>
        <v/>
      </c>
    </row>
    <row r="74" spans="1:8" x14ac:dyDescent="0.2">
      <c r="A74" s="25"/>
      <c r="B74" s="25"/>
      <c r="C74" s="26" t="s">
        <v>159</v>
      </c>
      <c r="D74" s="25"/>
      <c r="E74" s="25"/>
      <c r="F74" s="36"/>
      <c r="G74" s="36"/>
      <c r="H74" s="27" t="str">
        <f>IFERROR(VLOOKUP(B74,#REF!,12,FALSE),"")</f>
        <v/>
      </c>
    </row>
    <row r="75" spans="1:8" x14ac:dyDescent="0.2">
      <c r="A75" s="28">
        <v>1</v>
      </c>
      <c r="B75" s="29"/>
      <c r="C75" s="29" t="s">
        <v>160</v>
      </c>
      <c r="D75" s="29"/>
      <c r="E75" s="39"/>
      <c r="F75" s="31">
        <v>11359.385802186</v>
      </c>
      <c r="G75" s="32">
        <v>0.10508647</v>
      </c>
      <c r="H75" s="27">
        <v>5.76</v>
      </c>
    </row>
    <row r="76" spans="1:8" x14ac:dyDescent="0.2">
      <c r="A76" s="25"/>
      <c r="B76" s="25"/>
      <c r="C76" s="26" t="s">
        <v>141</v>
      </c>
      <c r="D76" s="25"/>
      <c r="E76" s="25" t="s">
        <v>142</v>
      </c>
      <c r="F76" s="33">
        <v>11359.385802186</v>
      </c>
      <c r="G76" s="34">
        <v>0.10508647</v>
      </c>
      <c r="H76" s="27" t="str">
        <f>IFERROR(VLOOKUP(B76,#REF!,12,FALSE),"")</f>
        <v/>
      </c>
    </row>
    <row r="77" spans="1:8" x14ac:dyDescent="0.2">
      <c r="A77" s="25"/>
      <c r="B77" s="25"/>
      <c r="C77" s="35"/>
      <c r="D77" s="25"/>
      <c r="E77" s="25"/>
      <c r="F77" s="36"/>
      <c r="G77" s="36"/>
      <c r="H77" s="27" t="str">
        <f>IFERROR(VLOOKUP(B77,#REF!,12,FALSE),"")</f>
        <v/>
      </c>
    </row>
    <row r="78" spans="1:8" x14ac:dyDescent="0.2">
      <c r="A78" s="25"/>
      <c r="B78" s="25"/>
      <c r="C78" s="26" t="s">
        <v>161</v>
      </c>
      <c r="D78" s="25"/>
      <c r="E78" s="25"/>
      <c r="F78" s="33">
        <v>11359.385802186</v>
      </c>
      <c r="G78" s="34">
        <v>0.10508647</v>
      </c>
      <c r="H78" s="27" t="str">
        <f>IFERROR(VLOOKUP(B78,#REF!,12,FALSE),"")</f>
        <v/>
      </c>
    </row>
    <row r="79" spans="1:8" x14ac:dyDescent="0.2">
      <c r="A79" s="25"/>
      <c r="B79" s="25"/>
      <c r="C79" s="36"/>
      <c r="D79" s="25"/>
      <c r="E79" s="25"/>
      <c r="F79" s="25"/>
      <c r="G79" s="25"/>
      <c r="H79" s="27" t="str">
        <f>IFERROR(VLOOKUP(B79,#REF!,12,FALSE),"")</f>
        <v/>
      </c>
    </row>
    <row r="80" spans="1:8" x14ac:dyDescent="0.2">
      <c r="A80" s="25"/>
      <c r="B80" s="25"/>
      <c r="C80" s="26" t="s">
        <v>162</v>
      </c>
      <c r="D80" s="25"/>
      <c r="E80" s="25"/>
      <c r="F80" s="25"/>
      <c r="G80" s="25"/>
      <c r="H80" s="27" t="str">
        <f>IFERROR(VLOOKUP(B80,#REF!,12,FALSE),"")</f>
        <v/>
      </c>
    </row>
    <row r="81" spans="1:10" x14ac:dyDescent="0.2">
      <c r="A81" s="25"/>
      <c r="B81" s="25"/>
      <c r="C81" s="26" t="s">
        <v>163</v>
      </c>
      <c r="D81" s="25"/>
      <c r="E81" s="25"/>
      <c r="F81" s="25"/>
      <c r="G81" s="25"/>
      <c r="H81" s="27" t="str">
        <f>IFERROR(VLOOKUP(B81,#REF!,12,FALSE),"")</f>
        <v/>
      </c>
    </row>
    <row r="82" spans="1:10" x14ac:dyDescent="0.2">
      <c r="A82" s="25"/>
      <c r="B82" s="25"/>
      <c r="C82" s="26" t="s">
        <v>141</v>
      </c>
      <c r="D82" s="25"/>
      <c r="E82" s="25" t="s">
        <v>142</v>
      </c>
      <c r="F82" s="37" t="s">
        <v>144</v>
      </c>
      <c r="G82" s="34">
        <v>0</v>
      </c>
      <c r="H82" s="27" t="str">
        <f>IFERROR(VLOOKUP(B82,#REF!,12,FALSE),"")</f>
        <v/>
      </c>
    </row>
    <row r="83" spans="1:10" x14ac:dyDescent="0.2">
      <c r="A83" s="25"/>
      <c r="B83" s="25"/>
      <c r="C83" s="35"/>
      <c r="D83" s="25"/>
      <c r="E83" s="25"/>
      <c r="F83" s="36"/>
      <c r="G83" s="36"/>
      <c r="H83" s="27" t="str">
        <f>IFERROR(VLOOKUP(B83,#REF!,12,FALSE),"")</f>
        <v/>
      </c>
    </row>
    <row r="84" spans="1:10" x14ac:dyDescent="0.2">
      <c r="A84" s="25"/>
      <c r="B84" s="25"/>
      <c r="C84" s="26" t="s">
        <v>164</v>
      </c>
      <c r="D84" s="25"/>
      <c r="E84" s="25"/>
      <c r="F84" s="25"/>
      <c r="G84" s="25"/>
      <c r="H84" s="27" t="str">
        <f>IFERROR(VLOOKUP(B84,#REF!,12,FALSE),"")</f>
        <v/>
      </c>
    </row>
    <row r="85" spans="1:10" x14ac:dyDescent="0.2">
      <c r="A85" s="25"/>
      <c r="B85" s="25"/>
      <c r="C85" s="26" t="s">
        <v>165</v>
      </c>
      <c r="D85" s="25"/>
      <c r="E85" s="25"/>
      <c r="F85" s="25"/>
      <c r="G85" s="25"/>
      <c r="H85" s="27" t="str">
        <f>IFERROR(VLOOKUP(B85,#REF!,12,FALSE),"")</f>
        <v/>
      </c>
    </row>
    <row r="86" spans="1:10" x14ac:dyDescent="0.2">
      <c r="A86" s="25"/>
      <c r="B86" s="25"/>
      <c r="C86" s="26" t="s">
        <v>141</v>
      </c>
      <c r="D86" s="25"/>
      <c r="E86" s="25" t="s">
        <v>142</v>
      </c>
      <c r="F86" s="37" t="s">
        <v>144</v>
      </c>
      <c r="G86" s="34">
        <v>0</v>
      </c>
      <c r="H86" s="27" t="str">
        <f>IFERROR(VLOOKUP(B86,#REF!,12,FALSE),"")</f>
        <v/>
      </c>
    </row>
    <row r="87" spans="1:10" x14ac:dyDescent="0.2">
      <c r="A87" s="25"/>
      <c r="B87" s="25"/>
      <c r="C87" s="35"/>
      <c r="D87" s="25"/>
      <c r="E87" s="25"/>
      <c r="F87" s="36"/>
      <c r="G87" s="36"/>
      <c r="H87" s="27" t="str">
        <f>IFERROR(VLOOKUP(B87,#REF!,12,FALSE),"")</f>
        <v/>
      </c>
    </row>
    <row r="88" spans="1:10" x14ac:dyDescent="0.2">
      <c r="A88" s="25"/>
      <c r="B88" s="25"/>
      <c r="C88" s="26" t="s">
        <v>166</v>
      </c>
      <c r="D88" s="25"/>
      <c r="E88" s="25"/>
      <c r="F88" s="36"/>
      <c r="G88" s="36"/>
      <c r="H88" s="27" t="str">
        <f>IFERROR(VLOOKUP(B88,#REF!,12,FALSE),"")</f>
        <v/>
      </c>
    </row>
    <row r="89" spans="1:10" x14ac:dyDescent="0.2">
      <c r="A89" s="25"/>
      <c r="B89" s="25"/>
      <c r="C89" s="26" t="s">
        <v>141</v>
      </c>
      <c r="D89" s="25"/>
      <c r="E89" s="25" t="s">
        <v>142</v>
      </c>
      <c r="F89" s="37" t="s">
        <v>144</v>
      </c>
      <c r="G89" s="34">
        <v>0</v>
      </c>
      <c r="H89" s="27" t="str">
        <f>IFERROR(VLOOKUP(B89,#REF!,12,FALSE),"")</f>
        <v/>
      </c>
    </row>
    <row r="90" spans="1:10" x14ac:dyDescent="0.2">
      <c r="A90" s="25"/>
      <c r="B90" s="25"/>
      <c r="C90" s="35"/>
      <c r="D90" s="25"/>
      <c r="E90" s="25"/>
      <c r="F90" s="36"/>
      <c r="G90" s="36"/>
      <c r="H90" s="27" t="str">
        <f>IFERROR(VLOOKUP(B90,#REF!,12,FALSE),"")</f>
        <v/>
      </c>
    </row>
    <row r="91" spans="1:10" x14ac:dyDescent="0.2">
      <c r="A91" s="39"/>
      <c r="B91" s="29"/>
      <c r="C91" s="29" t="s">
        <v>167</v>
      </c>
      <c r="D91" s="29"/>
      <c r="E91" s="39"/>
      <c r="F91" s="31">
        <v>-80.779207260000007</v>
      </c>
      <c r="G91" s="32">
        <v>-7.4728999999999996E-4</v>
      </c>
      <c r="H91" s="27" t="str">
        <f>IFERROR(VLOOKUP(B91,#REF!,12,FALSE),"")</f>
        <v/>
      </c>
    </row>
    <row r="92" spans="1:10" x14ac:dyDescent="0.2">
      <c r="A92" s="35"/>
      <c r="B92" s="35"/>
      <c r="C92" s="26" t="s">
        <v>168</v>
      </c>
      <c r="D92" s="36"/>
      <c r="E92" s="36"/>
      <c r="F92" s="33">
        <v>108095.603207926</v>
      </c>
      <c r="G92" s="40">
        <v>1.0000000099999999</v>
      </c>
      <c r="H92" s="27" t="str">
        <f>IFERROR(VLOOKUP(B92,#REF!,12,FALSE),"")</f>
        <v/>
      </c>
    </row>
    <row r="93" spans="1:10" x14ac:dyDescent="0.2">
      <c r="A93" s="41"/>
      <c r="B93" s="41"/>
      <c r="C93" s="41"/>
      <c r="D93" s="42"/>
      <c r="E93" s="42"/>
      <c r="F93" s="42"/>
      <c r="G93" s="42"/>
    </row>
    <row r="94" spans="1:10" x14ac:dyDescent="0.2">
      <c r="A94" s="43"/>
      <c r="B94" s="210" t="s">
        <v>879</v>
      </c>
      <c r="C94" s="210"/>
      <c r="D94" s="210"/>
      <c r="E94" s="210"/>
      <c r="F94" s="210"/>
      <c r="G94" s="210"/>
      <c r="H94" s="210"/>
      <c r="J94" s="45"/>
    </row>
    <row r="95" spans="1:10" x14ac:dyDescent="0.2">
      <c r="A95" s="43"/>
      <c r="B95" s="210" t="s">
        <v>880</v>
      </c>
      <c r="C95" s="210"/>
      <c r="D95" s="210"/>
      <c r="E95" s="210"/>
      <c r="F95" s="210"/>
      <c r="G95" s="210"/>
      <c r="H95" s="210"/>
      <c r="J95" s="45"/>
    </row>
    <row r="96" spans="1:10" x14ac:dyDescent="0.2">
      <c r="A96" s="43"/>
      <c r="B96" s="210" t="s">
        <v>881</v>
      </c>
      <c r="C96" s="210"/>
      <c r="D96" s="210"/>
      <c r="E96" s="210"/>
      <c r="F96" s="210"/>
      <c r="G96" s="210"/>
      <c r="H96" s="210"/>
      <c r="J96" s="45"/>
    </row>
    <row r="97" spans="1:17" s="47" customFormat="1" ht="66.75" customHeight="1" x14ac:dyDescent="0.25">
      <c r="A97" s="46"/>
      <c r="B97" s="211" t="s">
        <v>882</v>
      </c>
      <c r="C97" s="211"/>
      <c r="D97" s="211"/>
      <c r="E97" s="211"/>
      <c r="F97" s="211"/>
      <c r="G97" s="211"/>
      <c r="H97" s="211"/>
      <c r="I97"/>
      <c r="J97" s="45"/>
      <c r="K97"/>
      <c r="L97"/>
      <c r="M97"/>
      <c r="N97"/>
      <c r="O97"/>
      <c r="P97"/>
      <c r="Q97"/>
    </row>
    <row r="98" spans="1:17" x14ac:dyDescent="0.2">
      <c r="A98" s="43"/>
      <c r="B98" s="210" t="s">
        <v>883</v>
      </c>
      <c r="C98" s="210"/>
      <c r="D98" s="210"/>
      <c r="E98" s="210"/>
      <c r="F98" s="210"/>
      <c r="G98" s="210"/>
      <c r="H98" s="210"/>
      <c r="J98" s="45"/>
    </row>
    <row r="99" spans="1:17" x14ac:dyDescent="0.2">
      <c r="A99" s="48"/>
      <c r="B99" s="48"/>
      <c r="C99" s="48"/>
      <c r="D99" s="49"/>
      <c r="E99" s="49"/>
      <c r="F99" s="49"/>
      <c r="G99" s="49"/>
    </row>
    <row r="100" spans="1:17" x14ac:dyDescent="0.2">
      <c r="A100" s="48"/>
      <c r="B100" s="212" t="s">
        <v>169</v>
      </c>
      <c r="C100" s="213"/>
      <c r="D100" s="214"/>
      <c r="E100" s="50"/>
      <c r="F100" s="49"/>
      <c r="G100" s="49"/>
    </row>
    <row r="101" spans="1:17" ht="27.75" customHeight="1" x14ac:dyDescent="0.2">
      <c r="A101" s="48"/>
      <c r="B101" s="215" t="s">
        <v>170</v>
      </c>
      <c r="C101" s="216"/>
      <c r="D101" s="26" t="s">
        <v>171</v>
      </c>
      <c r="E101" s="50"/>
      <c r="F101" s="49"/>
      <c r="G101" s="49"/>
    </row>
    <row r="102" spans="1:17" ht="12.75" customHeight="1" x14ac:dyDescent="0.2">
      <c r="A102" s="43"/>
      <c r="B102" s="217" t="s">
        <v>884</v>
      </c>
      <c r="C102" s="218"/>
      <c r="D102" s="26" t="s">
        <v>171</v>
      </c>
      <c r="E102" s="52"/>
      <c r="F102" s="53"/>
      <c r="G102" s="53"/>
    </row>
    <row r="103" spans="1:17" x14ac:dyDescent="0.2">
      <c r="A103" s="48"/>
      <c r="B103" s="215" t="s">
        <v>172</v>
      </c>
      <c r="C103" s="216"/>
      <c r="D103" s="36" t="s">
        <v>142</v>
      </c>
      <c r="E103" s="50"/>
      <c r="F103" s="49"/>
      <c r="G103" s="49"/>
    </row>
    <row r="104" spans="1:17" x14ac:dyDescent="0.2">
      <c r="A104" s="54"/>
      <c r="B104" s="55" t="s">
        <v>142</v>
      </c>
      <c r="C104" s="55" t="s">
        <v>885</v>
      </c>
      <c r="D104" s="55" t="s">
        <v>173</v>
      </c>
      <c r="E104" s="54"/>
      <c r="F104" s="54"/>
      <c r="G104" s="54"/>
      <c r="H104" s="54"/>
      <c r="J104" s="45"/>
    </row>
    <row r="105" spans="1:17" x14ac:dyDescent="0.2">
      <c r="A105" s="54"/>
      <c r="B105" s="56" t="s">
        <v>174</v>
      </c>
      <c r="C105" s="57">
        <v>45777</v>
      </c>
      <c r="D105" s="57">
        <v>45808</v>
      </c>
      <c r="E105" s="54"/>
      <c r="F105" s="54"/>
      <c r="G105" s="54"/>
      <c r="J105" s="45"/>
    </row>
    <row r="106" spans="1:17" x14ac:dyDescent="0.2">
      <c r="A106" s="58"/>
      <c r="B106" s="29" t="s">
        <v>175</v>
      </c>
      <c r="C106" s="59">
        <v>168.62809999999999</v>
      </c>
      <c r="D106" s="59">
        <v>173.0626</v>
      </c>
      <c r="E106" s="58"/>
      <c r="F106" s="60"/>
      <c r="G106" s="61"/>
    </row>
    <row r="107" spans="1:17" ht="25.5" x14ac:dyDescent="0.2">
      <c r="A107" s="58"/>
      <c r="B107" s="29" t="s">
        <v>1067</v>
      </c>
      <c r="C107" s="59">
        <v>42.8795</v>
      </c>
      <c r="D107" s="59">
        <v>44.007100000000001</v>
      </c>
      <c r="E107" s="58"/>
      <c r="F107" s="60"/>
      <c r="G107" s="61"/>
    </row>
    <row r="108" spans="1:17" x14ac:dyDescent="0.2">
      <c r="A108" s="58"/>
      <c r="B108" s="29" t="s">
        <v>177</v>
      </c>
      <c r="C108" s="59">
        <v>152.59610000000001</v>
      </c>
      <c r="D108" s="59">
        <v>156.47999999999999</v>
      </c>
      <c r="E108" s="58"/>
      <c r="F108" s="60"/>
      <c r="G108" s="61"/>
    </row>
    <row r="109" spans="1:17" ht="25.5" x14ac:dyDescent="0.2">
      <c r="A109" s="58"/>
      <c r="B109" s="29" t="s">
        <v>1068</v>
      </c>
      <c r="C109" s="59">
        <v>39.517000000000003</v>
      </c>
      <c r="D109" s="59">
        <v>40.522799999999997</v>
      </c>
      <c r="E109" s="58"/>
      <c r="F109" s="60"/>
      <c r="G109" s="61"/>
    </row>
    <row r="110" spans="1:17" x14ac:dyDescent="0.2">
      <c r="A110" s="58"/>
      <c r="B110" s="58"/>
      <c r="C110" s="58"/>
      <c r="D110" s="58"/>
      <c r="E110" s="58"/>
      <c r="F110" s="58"/>
      <c r="G110" s="58"/>
    </row>
    <row r="111" spans="1:17" x14ac:dyDescent="0.2">
      <c r="A111" s="58"/>
      <c r="B111" s="215" t="s">
        <v>887</v>
      </c>
      <c r="C111" s="216"/>
      <c r="D111" s="51" t="s">
        <v>171</v>
      </c>
      <c r="E111" s="58"/>
      <c r="F111" s="58"/>
      <c r="G111" s="58"/>
    </row>
    <row r="112" spans="1:17" x14ac:dyDescent="0.2">
      <c r="A112" s="58"/>
      <c r="B112" s="70"/>
      <c r="C112" s="70"/>
      <c r="D112" s="70"/>
      <c r="E112" s="58"/>
      <c r="F112" s="58"/>
      <c r="G112" s="58"/>
    </row>
    <row r="113" spans="1:7" ht="29.1" customHeight="1" x14ac:dyDescent="0.2">
      <c r="A113" s="54"/>
      <c r="B113" s="217" t="s">
        <v>180</v>
      </c>
      <c r="C113" s="218"/>
      <c r="D113" s="51" t="s">
        <v>171</v>
      </c>
      <c r="E113" s="65"/>
      <c r="F113" s="54"/>
      <c r="G113" s="54"/>
    </row>
    <row r="114" spans="1:7" ht="29.1" customHeight="1" x14ac:dyDescent="0.2">
      <c r="A114" s="54"/>
      <c r="B114" s="217" t="s">
        <v>181</v>
      </c>
      <c r="C114" s="218"/>
      <c r="D114" s="51" t="s">
        <v>171</v>
      </c>
      <c r="E114" s="65"/>
      <c r="F114" s="54"/>
      <c r="G114" s="54"/>
    </row>
    <row r="115" spans="1:7" ht="17.100000000000001" customHeight="1" x14ac:dyDescent="0.2">
      <c r="A115" s="54"/>
      <c r="B115" s="217" t="s">
        <v>182</v>
      </c>
      <c r="C115" s="218"/>
      <c r="D115" s="51" t="s">
        <v>171</v>
      </c>
      <c r="E115" s="65"/>
      <c r="F115" s="54"/>
      <c r="G115" s="54"/>
    </row>
    <row r="116" spans="1:7" ht="17.100000000000001" customHeight="1" x14ac:dyDescent="0.2">
      <c r="A116" s="54"/>
      <c r="B116" s="217" t="s">
        <v>183</v>
      </c>
      <c r="C116" s="218"/>
      <c r="D116" s="66">
        <v>0.75513522085217244</v>
      </c>
      <c r="E116" s="54"/>
      <c r="F116" s="44"/>
      <c r="G116" s="64"/>
    </row>
    <row r="118" spans="1:7" x14ac:dyDescent="0.2">
      <c r="B118" s="219" t="s">
        <v>888</v>
      </c>
      <c r="C118" s="219"/>
    </row>
    <row r="120" spans="1:7" ht="153.75" customHeight="1" x14ac:dyDescent="0.2"/>
    <row r="123" spans="1:7" x14ac:dyDescent="0.2">
      <c r="B123" s="67" t="s">
        <v>889</v>
      </c>
      <c r="C123" s="68"/>
      <c r="D123" s="67" t="s">
        <v>892</v>
      </c>
    </row>
    <row r="124" spans="1:7" x14ac:dyDescent="0.2">
      <c r="B124" s="67" t="s">
        <v>1035</v>
      </c>
      <c r="D124" s="67" t="s">
        <v>1036</v>
      </c>
    </row>
    <row r="125" spans="1:7" ht="165" customHeight="1" x14ac:dyDescent="0.2"/>
  </sheetData>
  <mergeCells count="18">
    <mergeCell ref="B102:C102"/>
    <mergeCell ref="B103:C103"/>
    <mergeCell ref="B118:C118"/>
    <mergeCell ref="B111:C111"/>
    <mergeCell ref="B115:C115"/>
    <mergeCell ref="B116:C116"/>
    <mergeCell ref="B113:C113"/>
    <mergeCell ref="B114:C114"/>
    <mergeCell ref="B96:H96"/>
    <mergeCell ref="B97:H97"/>
    <mergeCell ref="B98:H98"/>
    <mergeCell ref="B100:D100"/>
    <mergeCell ref="B101:C101"/>
    <mergeCell ref="A1:H1"/>
    <mergeCell ref="A2:H2"/>
    <mergeCell ref="A3:H3"/>
    <mergeCell ref="B94:H94"/>
    <mergeCell ref="B95:H95"/>
  </mergeCells>
  <hyperlinks>
    <hyperlink ref="I1" location="Index!B2" display="Index" xr:uid="{1999FBB9-286A-4986-9BFF-BDB266450B3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73A61-D940-4103-9955-69370225C410}">
  <sheetPr>
    <outlinePr summaryBelow="0" summaryRight="0"/>
  </sheetPr>
  <dimension ref="A1:Q175"/>
  <sheetViews>
    <sheetView showGridLines="0" workbookViewId="0">
      <selection activeCell="D146" sqref="D146"/>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719</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773245</v>
      </c>
      <c r="F7" s="31">
        <v>15038.842005</v>
      </c>
      <c r="G7" s="32">
        <v>5.423273E-2</v>
      </c>
      <c r="H7" s="27" t="s">
        <v>142</v>
      </c>
    </row>
    <row r="8" spans="1:9" x14ac:dyDescent="0.2">
      <c r="A8" s="28">
        <v>2</v>
      </c>
      <c r="B8" s="29" t="s">
        <v>26</v>
      </c>
      <c r="C8" s="29" t="s">
        <v>27</v>
      </c>
      <c r="D8" s="29" t="s">
        <v>28</v>
      </c>
      <c r="E8" s="30">
        <v>922420</v>
      </c>
      <c r="F8" s="31">
        <v>13336.34836</v>
      </c>
      <c r="G8" s="32">
        <v>4.8093240000000002E-2</v>
      </c>
      <c r="H8" s="27" t="s">
        <v>142</v>
      </c>
    </row>
    <row r="9" spans="1:9" x14ac:dyDescent="0.2">
      <c r="A9" s="28">
        <v>3</v>
      </c>
      <c r="B9" s="29" t="s">
        <v>14</v>
      </c>
      <c r="C9" s="29" t="s">
        <v>15</v>
      </c>
      <c r="D9" s="29" t="s">
        <v>16</v>
      </c>
      <c r="E9" s="30">
        <v>789884</v>
      </c>
      <c r="F9" s="31">
        <v>11223.461756000001</v>
      </c>
      <c r="G9" s="32">
        <v>4.0473799999999997E-2</v>
      </c>
      <c r="H9" s="27" t="s">
        <v>142</v>
      </c>
    </row>
    <row r="10" spans="1:9" x14ac:dyDescent="0.2">
      <c r="A10" s="28">
        <v>4</v>
      </c>
      <c r="B10" s="29" t="s">
        <v>17</v>
      </c>
      <c r="C10" s="29" t="s">
        <v>18</v>
      </c>
      <c r="D10" s="29" t="s">
        <v>19</v>
      </c>
      <c r="E10" s="30">
        <v>265082</v>
      </c>
      <c r="F10" s="31">
        <v>9742.0285820000008</v>
      </c>
      <c r="G10" s="32">
        <v>3.513148E-2</v>
      </c>
      <c r="H10" s="27" t="s">
        <v>142</v>
      </c>
    </row>
    <row r="11" spans="1:9" x14ac:dyDescent="0.2">
      <c r="A11" s="28">
        <v>5</v>
      </c>
      <c r="B11" s="29" t="s">
        <v>319</v>
      </c>
      <c r="C11" s="29" t="s">
        <v>320</v>
      </c>
      <c r="D11" s="29" t="s">
        <v>28</v>
      </c>
      <c r="E11" s="30">
        <v>772466</v>
      </c>
      <c r="F11" s="31">
        <v>9209.3396520000006</v>
      </c>
      <c r="G11" s="32">
        <v>3.3210509999999999E-2</v>
      </c>
      <c r="H11" s="27" t="s">
        <v>142</v>
      </c>
    </row>
    <row r="12" spans="1:9" x14ac:dyDescent="0.2">
      <c r="A12" s="28">
        <v>6</v>
      </c>
      <c r="B12" s="29" t="s">
        <v>321</v>
      </c>
      <c r="C12" s="29" t="s">
        <v>322</v>
      </c>
      <c r="D12" s="29" t="s">
        <v>28</v>
      </c>
      <c r="E12" s="30">
        <v>433776</v>
      </c>
      <c r="F12" s="31">
        <v>8999.5506719999994</v>
      </c>
      <c r="G12" s="32">
        <v>3.245398E-2</v>
      </c>
      <c r="H12" s="27" t="s">
        <v>142</v>
      </c>
    </row>
    <row r="13" spans="1:9" x14ac:dyDescent="0.2">
      <c r="A13" s="28">
        <v>7</v>
      </c>
      <c r="B13" s="29" t="s">
        <v>11</v>
      </c>
      <c r="C13" s="29" t="s">
        <v>12</v>
      </c>
      <c r="D13" s="29" t="s">
        <v>13</v>
      </c>
      <c r="E13" s="30">
        <v>371388</v>
      </c>
      <c r="F13" s="31">
        <v>6893.7040559999996</v>
      </c>
      <c r="G13" s="32">
        <v>2.4859920000000001E-2</v>
      </c>
      <c r="H13" s="27" t="s">
        <v>142</v>
      </c>
    </row>
    <row r="14" spans="1:9" x14ac:dyDescent="0.2">
      <c r="A14" s="28">
        <v>8</v>
      </c>
      <c r="B14" s="29" t="s">
        <v>337</v>
      </c>
      <c r="C14" s="29" t="s">
        <v>338</v>
      </c>
      <c r="D14" s="29" t="s">
        <v>263</v>
      </c>
      <c r="E14" s="30">
        <v>368665</v>
      </c>
      <c r="F14" s="31">
        <v>6398.5497400000004</v>
      </c>
      <c r="G14" s="32">
        <v>2.3074310000000001E-2</v>
      </c>
      <c r="H14" s="27" t="s">
        <v>142</v>
      </c>
    </row>
    <row r="15" spans="1:9" x14ac:dyDescent="0.2">
      <c r="A15" s="28">
        <v>9</v>
      </c>
      <c r="B15" s="29" t="s">
        <v>206</v>
      </c>
      <c r="C15" s="29" t="s">
        <v>207</v>
      </c>
      <c r="D15" s="29" t="s">
        <v>28</v>
      </c>
      <c r="E15" s="30">
        <v>998688</v>
      </c>
      <c r="F15" s="31">
        <v>6157.9102080000002</v>
      </c>
      <c r="G15" s="32">
        <v>2.220652E-2</v>
      </c>
      <c r="H15" s="27" t="s">
        <v>142</v>
      </c>
    </row>
    <row r="16" spans="1:9" x14ac:dyDescent="0.2">
      <c r="A16" s="28">
        <v>10</v>
      </c>
      <c r="B16" s="29" t="s">
        <v>323</v>
      </c>
      <c r="C16" s="29" t="s">
        <v>324</v>
      </c>
      <c r="D16" s="29" t="s">
        <v>200</v>
      </c>
      <c r="E16" s="30">
        <v>364710</v>
      </c>
      <c r="F16" s="31">
        <v>5699.3231699999997</v>
      </c>
      <c r="G16" s="32">
        <v>2.0552770000000001E-2</v>
      </c>
      <c r="H16" s="27" t="s">
        <v>142</v>
      </c>
    </row>
    <row r="17" spans="1:8" ht="25.5" x14ac:dyDescent="0.2">
      <c r="A17" s="28">
        <v>11</v>
      </c>
      <c r="B17" s="29" t="s">
        <v>192</v>
      </c>
      <c r="C17" s="29" t="s">
        <v>193</v>
      </c>
      <c r="D17" s="29" t="s">
        <v>194</v>
      </c>
      <c r="E17" s="30">
        <v>283285</v>
      </c>
      <c r="F17" s="31">
        <v>5545.8704449999996</v>
      </c>
      <c r="G17" s="32">
        <v>1.9999389999999999E-2</v>
      </c>
      <c r="H17" s="27" t="s">
        <v>142</v>
      </c>
    </row>
    <row r="18" spans="1:8" x14ac:dyDescent="0.2">
      <c r="A18" s="28">
        <v>12</v>
      </c>
      <c r="B18" s="29" t="s">
        <v>720</v>
      </c>
      <c r="C18" s="29" t="s">
        <v>721</v>
      </c>
      <c r="D18" s="29" t="s">
        <v>722</v>
      </c>
      <c r="E18" s="30">
        <v>1574823</v>
      </c>
      <c r="F18" s="31">
        <v>5433.1393500000004</v>
      </c>
      <c r="G18" s="32">
        <v>1.9592869999999998E-2</v>
      </c>
      <c r="H18" s="27" t="s">
        <v>142</v>
      </c>
    </row>
    <row r="19" spans="1:8" x14ac:dyDescent="0.2">
      <c r="A19" s="28">
        <v>13</v>
      </c>
      <c r="B19" s="29" t="s">
        <v>227</v>
      </c>
      <c r="C19" s="29" t="s">
        <v>228</v>
      </c>
      <c r="D19" s="29" t="s">
        <v>229</v>
      </c>
      <c r="E19" s="30">
        <v>823984</v>
      </c>
      <c r="F19" s="31">
        <v>5401.6271120000001</v>
      </c>
      <c r="G19" s="32">
        <v>1.947923E-2</v>
      </c>
      <c r="H19" s="27" t="s">
        <v>142</v>
      </c>
    </row>
    <row r="20" spans="1:8" x14ac:dyDescent="0.2">
      <c r="A20" s="28">
        <v>14</v>
      </c>
      <c r="B20" s="29" t="s">
        <v>109</v>
      </c>
      <c r="C20" s="29" t="s">
        <v>110</v>
      </c>
      <c r="D20" s="29" t="s">
        <v>73</v>
      </c>
      <c r="E20" s="30">
        <v>147730</v>
      </c>
      <c r="F20" s="31">
        <v>5333.3484600000002</v>
      </c>
      <c r="G20" s="32">
        <v>1.9233E-2</v>
      </c>
      <c r="H20" s="27" t="s">
        <v>142</v>
      </c>
    </row>
    <row r="21" spans="1:8" x14ac:dyDescent="0.2">
      <c r="A21" s="28">
        <v>15</v>
      </c>
      <c r="B21" s="29" t="s">
        <v>59</v>
      </c>
      <c r="C21" s="29" t="s">
        <v>60</v>
      </c>
      <c r="D21" s="29" t="s">
        <v>61</v>
      </c>
      <c r="E21" s="30">
        <v>82128</v>
      </c>
      <c r="F21" s="31">
        <v>5331.3391199999996</v>
      </c>
      <c r="G21" s="32">
        <v>1.9225760000000001E-2</v>
      </c>
      <c r="H21" s="27" t="s">
        <v>142</v>
      </c>
    </row>
    <row r="22" spans="1:8" x14ac:dyDescent="0.2">
      <c r="A22" s="28">
        <v>16</v>
      </c>
      <c r="B22" s="29" t="s">
        <v>29</v>
      </c>
      <c r="C22" s="29" t="s">
        <v>30</v>
      </c>
      <c r="D22" s="29" t="s">
        <v>31</v>
      </c>
      <c r="E22" s="30">
        <v>1352539</v>
      </c>
      <c r="F22" s="31">
        <v>5201.8649939999996</v>
      </c>
      <c r="G22" s="32">
        <v>1.8758850000000001E-2</v>
      </c>
      <c r="H22" s="27" t="s">
        <v>142</v>
      </c>
    </row>
    <row r="23" spans="1:8" x14ac:dyDescent="0.2">
      <c r="A23" s="28">
        <v>17</v>
      </c>
      <c r="B23" s="29" t="s">
        <v>230</v>
      </c>
      <c r="C23" s="29" t="s">
        <v>231</v>
      </c>
      <c r="D23" s="29" t="s">
        <v>132</v>
      </c>
      <c r="E23" s="30">
        <v>41908</v>
      </c>
      <c r="F23" s="31">
        <v>4972.1746599999997</v>
      </c>
      <c r="G23" s="32">
        <v>1.7930539999999998E-2</v>
      </c>
      <c r="H23" s="27" t="s">
        <v>142</v>
      </c>
    </row>
    <row r="24" spans="1:8" ht="25.5" x14ac:dyDescent="0.2">
      <c r="A24" s="28">
        <v>18</v>
      </c>
      <c r="B24" s="29" t="s">
        <v>39</v>
      </c>
      <c r="C24" s="29" t="s">
        <v>40</v>
      </c>
      <c r="D24" s="29" t="s">
        <v>25</v>
      </c>
      <c r="E24" s="30">
        <v>89197</v>
      </c>
      <c r="F24" s="31">
        <v>4903.6050750000004</v>
      </c>
      <c r="G24" s="32">
        <v>1.7683270000000001E-2</v>
      </c>
      <c r="H24" s="27" t="s">
        <v>142</v>
      </c>
    </row>
    <row r="25" spans="1:8" ht="25.5" x14ac:dyDescent="0.2">
      <c r="A25" s="28">
        <v>19</v>
      </c>
      <c r="B25" s="29" t="s">
        <v>201</v>
      </c>
      <c r="C25" s="29" t="s">
        <v>202</v>
      </c>
      <c r="D25" s="29" t="s">
        <v>203</v>
      </c>
      <c r="E25" s="30">
        <v>669089</v>
      </c>
      <c r="F25" s="31">
        <v>4793.6881405000004</v>
      </c>
      <c r="G25" s="32">
        <v>1.7286889999999999E-2</v>
      </c>
      <c r="H25" s="27" t="s">
        <v>142</v>
      </c>
    </row>
    <row r="26" spans="1:8" x14ac:dyDescent="0.2">
      <c r="A26" s="28">
        <v>20</v>
      </c>
      <c r="B26" s="29" t="s">
        <v>204</v>
      </c>
      <c r="C26" s="29" t="s">
        <v>205</v>
      </c>
      <c r="D26" s="29" t="s">
        <v>16</v>
      </c>
      <c r="E26" s="30">
        <v>1161716</v>
      </c>
      <c r="F26" s="31">
        <v>4775.2336180000002</v>
      </c>
      <c r="G26" s="32">
        <v>1.7220340000000001E-2</v>
      </c>
      <c r="H26" s="27" t="s">
        <v>142</v>
      </c>
    </row>
    <row r="27" spans="1:8" x14ac:dyDescent="0.2">
      <c r="A27" s="28">
        <v>21</v>
      </c>
      <c r="B27" s="29" t="s">
        <v>195</v>
      </c>
      <c r="C27" s="29" t="s">
        <v>196</v>
      </c>
      <c r="D27" s="29" t="s">
        <v>197</v>
      </c>
      <c r="E27" s="30">
        <v>652550</v>
      </c>
      <c r="F27" s="31">
        <v>4608.96065</v>
      </c>
      <c r="G27" s="32">
        <v>1.662073E-2</v>
      </c>
      <c r="H27" s="27" t="s">
        <v>142</v>
      </c>
    </row>
    <row r="28" spans="1:8" x14ac:dyDescent="0.2">
      <c r="A28" s="28">
        <v>22</v>
      </c>
      <c r="B28" s="29" t="s">
        <v>633</v>
      </c>
      <c r="C28" s="29" t="s">
        <v>634</v>
      </c>
      <c r="D28" s="29" t="s">
        <v>635</v>
      </c>
      <c r="E28" s="30">
        <v>1097168</v>
      </c>
      <c r="F28" s="31">
        <v>4359.0484640000004</v>
      </c>
      <c r="G28" s="32">
        <v>1.5719500000000001E-2</v>
      </c>
      <c r="H28" s="27" t="s">
        <v>142</v>
      </c>
    </row>
    <row r="29" spans="1:8" x14ac:dyDescent="0.2">
      <c r="A29" s="28">
        <v>23</v>
      </c>
      <c r="B29" s="29" t="s">
        <v>74</v>
      </c>
      <c r="C29" s="29" t="s">
        <v>75</v>
      </c>
      <c r="D29" s="29" t="s">
        <v>64</v>
      </c>
      <c r="E29" s="30">
        <v>77347</v>
      </c>
      <c r="F29" s="31">
        <v>4334.8352679999998</v>
      </c>
      <c r="G29" s="32">
        <v>1.5632190000000001E-2</v>
      </c>
      <c r="H29" s="27" t="s">
        <v>142</v>
      </c>
    </row>
    <row r="30" spans="1:8" ht="25.5" x14ac:dyDescent="0.2">
      <c r="A30" s="28">
        <v>24</v>
      </c>
      <c r="B30" s="29" t="s">
        <v>23</v>
      </c>
      <c r="C30" s="29" t="s">
        <v>24</v>
      </c>
      <c r="D30" s="29" t="s">
        <v>25</v>
      </c>
      <c r="E30" s="30">
        <v>38374</v>
      </c>
      <c r="F30" s="31">
        <v>4301.7254000000003</v>
      </c>
      <c r="G30" s="32">
        <v>1.551279E-2</v>
      </c>
      <c r="H30" s="27" t="s">
        <v>142</v>
      </c>
    </row>
    <row r="31" spans="1:8" x14ac:dyDescent="0.2">
      <c r="A31" s="28">
        <v>25</v>
      </c>
      <c r="B31" s="29" t="s">
        <v>41</v>
      </c>
      <c r="C31" s="29" t="s">
        <v>42</v>
      </c>
      <c r="D31" s="29" t="s">
        <v>22</v>
      </c>
      <c r="E31" s="30">
        <v>1094203</v>
      </c>
      <c r="F31" s="31">
        <v>4298.0293840000004</v>
      </c>
      <c r="G31" s="32">
        <v>1.549946E-2</v>
      </c>
      <c r="H31" s="27" t="s">
        <v>142</v>
      </c>
    </row>
    <row r="32" spans="1:8" x14ac:dyDescent="0.2">
      <c r="A32" s="28">
        <v>26</v>
      </c>
      <c r="B32" s="29" t="s">
        <v>421</v>
      </c>
      <c r="C32" s="29" t="s">
        <v>422</v>
      </c>
      <c r="D32" s="29" t="s">
        <v>200</v>
      </c>
      <c r="E32" s="30">
        <v>260931</v>
      </c>
      <c r="F32" s="31">
        <v>4270.3967460000003</v>
      </c>
      <c r="G32" s="32">
        <v>1.539981E-2</v>
      </c>
      <c r="H32" s="27" t="s">
        <v>142</v>
      </c>
    </row>
    <row r="33" spans="1:8" x14ac:dyDescent="0.2">
      <c r="A33" s="28">
        <v>27</v>
      </c>
      <c r="B33" s="29" t="s">
        <v>46</v>
      </c>
      <c r="C33" s="29" t="s">
        <v>47</v>
      </c>
      <c r="D33" s="29" t="s">
        <v>28</v>
      </c>
      <c r="E33" s="30">
        <v>501750</v>
      </c>
      <c r="F33" s="31">
        <v>4075.7152500000002</v>
      </c>
      <c r="G33" s="32">
        <v>1.4697750000000001E-2</v>
      </c>
      <c r="H33" s="27" t="s">
        <v>142</v>
      </c>
    </row>
    <row r="34" spans="1:8" x14ac:dyDescent="0.2">
      <c r="A34" s="28">
        <v>28</v>
      </c>
      <c r="B34" s="29" t="s">
        <v>278</v>
      </c>
      <c r="C34" s="29" t="s">
        <v>279</v>
      </c>
      <c r="D34" s="29" t="s">
        <v>212</v>
      </c>
      <c r="E34" s="30">
        <v>99209</v>
      </c>
      <c r="F34" s="31">
        <v>3929.767699</v>
      </c>
      <c r="G34" s="32">
        <v>1.417144E-2</v>
      </c>
      <c r="H34" s="27" t="s">
        <v>142</v>
      </c>
    </row>
    <row r="35" spans="1:8" x14ac:dyDescent="0.2">
      <c r="A35" s="28">
        <v>29</v>
      </c>
      <c r="B35" s="29" t="s">
        <v>506</v>
      </c>
      <c r="C35" s="29" t="s">
        <v>507</v>
      </c>
      <c r="D35" s="29" t="s">
        <v>64</v>
      </c>
      <c r="E35" s="30">
        <v>378475</v>
      </c>
      <c r="F35" s="31">
        <v>3901.1310625000001</v>
      </c>
      <c r="G35" s="32">
        <v>1.406817E-2</v>
      </c>
      <c r="H35" s="27" t="s">
        <v>142</v>
      </c>
    </row>
    <row r="36" spans="1:8" x14ac:dyDescent="0.2">
      <c r="A36" s="28">
        <v>30</v>
      </c>
      <c r="B36" s="29" t="s">
        <v>234</v>
      </c>
      <c r="C36" s="29" t="s">
        <v>235</v>
      </c>
      <c r="D36" s="29" t="s">
        <v>229</v>
      </c>
      <c r="E36" s="30">
        <v>416636</v>
      </c>
      <c r="F36" s="31">
        <v>3823.4685720000002</v>
      </c>
      <c r="G36" s="32">
        <v>1.3788109999999999E-2</v>
      </c>
      <c r="H36" s="27" t="s">
        <v>142</v>
      </c>
    </row>
    <row r="37" spans="1:8" ht="25.5" x14ac:dyDescent="0.2">
      <c r="A37" s="28">
        <v>31</v>
      </c>
      <c r="B37" s="29" t="s">
        <v>379</v>
      </c>
      <c r="C37" s="29" t="s">
        <v>380</v>
      </c>
      <c r="D37" s="29" t="s">
        <v>194</v>
      </c>
      <c r="E37" s="30">
        <v>226901</v>
      </c>
      <c r="F37" s="31">
        <v>3803.541463</v>
      </c>
      <c r="G37" s="32">
        <v>1.3716249999999999E-2</v>
      </c>
      <c r="H37" s="27" t="s">
        <v>142</v>
      </c>
    </row>
    <row r="38" spans="1:8" x14ac:dyDescent="0.2">
      <c r="A38" s="28">
        <v>32</v>
      </c>
      <c r="B38" s="29" t="s">
        <v>477</v>
      </c>
      <c r="C38" s="29" t="s">
        <v>478</v>
      </c>
      <c r="D38" s="29" t="s">
        <v>73</v>
      </c>
      <c r="E38" s="30">
        <v>78975</v>
      </c>
      <c r="F38" s="31">
        <v>3708.6660000000002</v>
      </c>
      <c r="G38" s="32">
        <v>1.337411E-2</v>
      </c>
      <c r="H38" s="27" t="s">
        <v>142</v>
      </c>
    </row>
    <row r="39" spans="1:8" ht="25.5" x14ac:dyDescent="0.2">
      <c r="A39" s="28">
        <v>33</v>
      </c>
      <c r="B39" s="29" t="s">
        <v>467</v>
      </c>
      <c r="C39" s="29" t="s">
        <v>468</v>
      </c>
      <c r="D39" s="29" t="s">
        <v>123</v>
      </c>
      <c r="E39" s="30">
        <v>220369</v>
      </c>
      <c r="F39" s="31">
        <v>3636.0884999999998</v>
      </c>
      <c r="G39" s="32">
        <v>1.311238E-2</v>
      </c>
      <c r="H39" s="27" t="s">
        <v>142</v>
      </c>
    </row>
    <row r="40" spans="1:8" x14ac:dyDescent="0.2">
      <c r="A40" s="28">
        <v>34</v>
      </c>
      <c r="B40" s="29" t="s">
        <v>105</v>
      </c>
      <c r="C40" s="29" t="s">
        <v>106</v>
      </c>
      <c r="D40" s="29" t="s">
        <v>73</v>
      </c>
      <c r="E40" s="30">
        <v>396735</v>
      </c>
      <c r="F40" s="31">
        <v>3589.0631775000002</v>
      </c>
      <c r="G40" s="32">
        <v>1.2942800000000001E-2</v>
      </c>
      <c r="H40" s="27" t="s">
        <v>142</v>
      </c>
    </row>
    <row r="41" spans="1:8" x14ac:dyDescent="0.2">
      <c r="A41" s="28">
        <v>35</v>
      </c>
      <c r="B41" s="29" t="s">
        <v>97</v>
      </c>
      <c r="C41" s="29" t="s">
        <v>98</v>
      </c>
      <c r="D41" s="29" t="s">
        <v>73</v>
      </c>
      <c r="E41" s="30">
        <v>108339</v>
      </c>
      <c r="F41" s="31">
        <v>3540.626859</v>
      </c>
      <c r="G41" s="32">
        <v>1.2768130000000001E-2</v>
      </c>
      <c r="H41" s="27" t="s">
        <v>142</v>
      </c>
    </row>
    <row r="42" spans="1:8" x14ac:dyDescent="0.2">
      <c r="A42" s="28">
        <v>36</v>
      </c>
      <c r="B42" s="29" t="s">
        <v>56</v>
      </c>
      <c r="C42" s="29" t="s">
        <v>57</v>
      </c>
      <c r="D42" s="29" t="s">
        <v>58</v>
      </c>
      <c r="E42" s="30">
        <v>315195</v>
      </c>
      <c r="F42" s="31">
        <v>3449.4940799999999</v>
      </c>
      <c r="G42" s="32">
        <v>1.2439489999999999E-2</v>
      </c>
      <c r="H42" s="27" t="s">
        <v>142</v>
      </c>
    </row>
    <row r="43" spans="1:8" x14ac:dyDescent="0.2">
      <c r="A43" s="28">
        <v>37</v>
      </c>
      <c r="B43" s="29" t="s">
        <v>723</v>
      </c>
      <c r="C43" s="29" t="s">
        <v>724</v>
      </c>
      <c r="D43" s="29" t="s">
        <v>61</v>
      </c>
      <c r="E43" s="30">
        <v>218760</v>
      </c>
      <c r="F43" s="31">
        <v>3352.0594799999999</v>
      </c>
      <c r="G43" s="32">
        <v>1.2088120000000001E-2</v>
      </c>
      <c r="H43" s="27" t="s">
        <v>142</v>
      </c>
    </row>
    <row r="44" spans="1:8" x14ac:dyDescent="0.2">
      <c r="A44" s="28">
        <v>38</v>
      </c>
      <c r="B44" s="29" t="s">
        <v>93</v>
      </c>
      <c r="C44" s="29" t="s">
        <v>94</v>
      </c>
      <c r="D44" s="29" t="s">
        <v>73</v>
      </c>
      <c r="E44" s="30">
        <v>182448</v>
      </c>
      <c r="F44" s="31">
        <v>3305.4104160000002</v>
      </c>
      <c r="G44" s="32">
        <v>1.1919900000000001E-2</v>
      </c>
      <c r="H44" s="27" t="s">
        <v>142</v>
      </c>
    </row>
    <row r="45" spans="1:8" x14ac:dyDescent="0.2">
      <c r="A45" s="28">
        <v>39</v>
      </c>
      <c r="B45" s="29" t="s">
        <v>240</v>
      </c>
      <c r="C45" s="29" t="s">
        <v>241</v>
      </c>
      <c r="D45" s="29" t="s">
        <v>132</v>
      </c>
      <c r="E45" s="30">
        <v>546603</v>
      </c>
      <c r="F45" s="31">
        <v>3260.2135935000001</v>
      </c>
      <c r="G45" s="32">
        <v>1.1756910000000001E-2</v>
      </c>
      <c r="H45" s="27" t="s">
        <v>142</v>
      </c>
    </row>
    <row r="46" spans="1:8" x14ac:dyDescent="0.2">
      <c r="A46" s="28">
        <v>40</v>
      </c>
      <c r="B46" s="29" t="s">
        <v>266</v>
      </c>
      <c r="C46" s="29" t="s">
        <v>267</v>
      </c>
      <c r="D46" s="29" t="s">
        <v>229</v>
      </c>
      <c r="E46" s="30">
        <v>1902074</v>
      </c>
      <c r="F46" s="31">
        <v>3187.6858166000002</v>
      </c>
      <c r="G46" s="32">
        <v>1.149536E-2</v>
      </c>
      <c r="H46" s="27" t="s">
        <v>142</v>
      </c>
    </row>
    <row r="47" spans="1:8" x14ac:dyDescent="0.2">
      <c r="A47" s="28">
        <v>41</v>
      </c>
      <c r="B47" s="29" t="s">
        <v>494</v>
      </c>
      <c r="C47" s="29" t="s">
        <v>495</v>
      </c>
      <c r="D47" s="29" t="s">
        <v>254</v>
      </c>
      <c r="E47" s="30">
        <v>103607</v>
      </c>
      <c r="F47" s="31">
        <v>3084.1731759999998</v>
      </c>
      <c r="G47" s="32">
        <v>1.1122079999999999E-2</v>
      </c>
      <c r="H47" s="27" t="s">
        <v>142</v>
      </c>
    </row>
    <row r="48" spans="1:8" x14ac:dyDescent="0.2">
      <c r="A48" s="28">
        <v>42</v>
      </c>
      <c r="B48" s="29" t="s">
        <v>224</v>
      </c>
      <c r="C48" s="29" t="s">
        <v>225</v>
      </c>
      <c r="D48" s="29" t="s">
        <v>226</v>
      </c>
      <c r="E48" s="30">
        <v>150641</v>
      </c>
      <c r="F48" s="31">
        <v>2977.8712879999998</v>
      </c>
      <c r="G48" s="32">
        <v>1.073873E-2</v>
      </c>
      <c r="H48" s="27" t="s">
        <v>142</v>
      </c>
    </row>
    <row r="49" spans="1:8" x14ac:dyDescent="0.2">
      <c r="A49" s="28">
        <v>43</v>
      </c>
      <c r="B49" s="29" t="s">
        <v>190</v>
      </c>
      <c r="C49" s="29" t="s">
        <v>191</v>
      </c>
      <c r="D49" s="29" t="s">
        <v>61</v>
      </c>
      <c r="E49" s="30">
        <v>528822</v>
      </c>
      <c r="F49" s="31">
        <v>2963.5184880000002</v>
      </c>
      <c r="G49" s="32">
        <v>1.068697E-2</v>
      </c>
      <c r="H49" s="27" t="s">
        <v>142</v>
      </c>
    </row>
    <row r="50" spans="1:8" x14ac:dyDescent="0.2">
      <c r="A50" s="28">
        <v>44</v>
      </c>
      <c r="B50" s="29" t="s">
        <v>725</v>
      </c>
      <c r="C50" s="29" t="s">
        <v>726</v>
      </c>
      <c r="D50" s="29" t="s">
        <v>197</v>
      </c>
      <c r="E50" s="30">
        <v>174800</v>
      </c>
      <c r="F50" s="31">
        <v>2936.8148000000001</v>
      </c>
      <c r="G50" s="32">
        <v>1.059068E-2</v>
      </c>
      <c r="H50" s="27" t="s">
        <v>142</v>
      </c>
    </row>
    <row r="51" spans="1:8" x14ac:dyDescent="0.2">
      <c r="A51" s="28">
        <v>45</v>
      </c>
      <c r="B51" s="29" t="s">
        <v>475</v>
      </c>
      <c r="C51" s="29" t="s">
        <v>476</v>
      </c>
      <c r="D51" s="29" t="s">
        <v>61</v>
      </c>
      <c r="E51" s="30">
        <v>1293447</v>
      </c>
      <c r="F51" s="31">
        <v>2934.7018982999998</v>
      </c>
      <c r="G51" s="32">
        <v>1.058306E-2</v>
      </c>
      <c r="H51" s="27" t="s">
        <v>142</v>
      </c>
    </row>
    <row r="52" spans="1:8" x14ac:dyDescent="0.2">
      <c r="A52" s="28">
        <v>46</v>
      </c>
      <c r="B52" s="29" t="s">
        <v>310</v>
      </c>
      <c r="C52" s="29" t="s">
        <v>311</v>
      </c>
      <c r="D52" s="29" t="s">
        <v>200</v>
      </c>
      <c r="E52" s="30">
        <v>111574</v>
      </c>
      <c r="F52" s="31">
        <v>2854.955512</v>
      </c>
      <c r="G52" s="32">
        <v>1.0295479999999999E-2</v>
      </c>
      <c r="H52" s="27" t="s">
        <v>142</v>
      </c>
    </row>
    <row r="53" spans="1:8" x14ac:dyDescent="0.2">
      <c r="A53" s="28">
        <v>47</v>
      </c>
      <c r="B53" s="29" t="s">
        <v>447</v>
      </c>
      <c r="C53" s="29" t="s">
        <v>448</v>
      </c>
      <c r="D53" s="29" t="s">
        <v>449</v>
      </c>
      <c r="E53" s="30">
        <v>291720</v>
      </c>
      <c r="F53" s="31">
        <v>2771.7775799999999</v>
      </c>
      <c r="G53" s="32">
        <v>9.9955200000000008E-3</v>
      </c>
      <c r="H53" s="27" t="s">
        <v>142</v>
      </c>
    </row>
    <row r="54" spans="1:8" ht="25.5" x14ac:dyDescent="0.2">
      <c r="A54" s="28">
        <v>48</v>
      </c>
      <c r="B54" s="29" t="s">
        <v>690</v>
      </c>
      <c r="C54" s="29" t="s">
        <v>691</v>
      </c>
      <c r="D54" s="29" t="s">
        <v>194</v>
      </c>
      <c r="E54" s="30">
        <v>217943</v>
      </c>
      <c r="F54" s="31">
        <v>2726.9028159999998</v>
      </c>
      <c r="G54" s="32">
        <v>9.8337000000000008E-3</v>
      </c>
      <c r="H54" s="27" t="s">
        <v>142</v>
      </c>
    </row>
    <row r="55" spans="1:8" x14ac:dyDescent="0.2">
      <c r="A55" s="28">
        <v>49</v>
      </c>
      <c r="B55" s="29" t="s">
        <v>434</v>
      </c>
      <c r="C55" s="29" t="s">
        <v>435</v>
      </c>
      <c r="D55" s="29" t="s">
        <v>345</v>
      </c>
      <c r="E55" s="30">
        <v>113230</v>
      </c>
      <c r="F55" s="31">
        <v>2658.98009</v>
      </c>
      <c r="G55" s="32">
        <v>9.5887500000000001E-3</v>
      </c>
      <c r="H55" s="27" t="s">
        <v>142</v>
      </c>
    </row>
    <row r="56" spans="1:8" ht="25.5" x14ac:dyDescent="0.2">
      <c r="A56" s="28">
        <v>50</v>
      </c>
      <c r="B56" s="29" t="s">
        <v>286</v>
      </c>
      <c r="C56" s="29" t="s">
        <v>287</v>
      </c>
      <c r="D56" s="29" t="s">
        <v>187</v>
      </c>
      <c r="E56" s="30">
        <v>62427</v>
      </c>
      <c r="F56" s="31">
        <v>2387.0211989999998</v>
      </c>
      <c r="G56" s="32">
        <v>8.6080199999999992E-3</v>
      </c>
      <c r="H56" s="27" t="s">
        <v>142</v>
      </c>
    </row>
    <row r="57" spans="1:8" x14ac:dyDescent="0.2">
      <c r="A57" s="28">
        <v>51</v>
      </c>
      <c r="B57" s="29" t="s">
        <v>727</v>
      </c>
      <c r="C57" s="29" t="s">
        <v>728</v>
      </c>
      <c r="D57" s="29" t="s">
        <v>61</v>
      </c>
      <c r="E57" s="30">
        <v>226286</v>
      </c>
      <c r="F57" s="31">
        <v>2352.808685</v>
      </c>
      <c r="G57" s="32">
        <v>8.4846499999999998E-3</v>
      </c>
      <c r="H57" s="27" t="s">
        <v>142</v>
      </c>
    </row>
    <row r="58" spans="1:8" x14ac:dyDescent="0.2">
      <c r="A58" s="28">
        <v>52</v>
      </c>
      <c r="B58" s="29" t="s">
        <v>393</v>
      </c>
      <c r="C58" s="29" t="s">
        <v>394</v>
      </c>
      <c r="D58" s="29" t="s">
        <v>200</v>
      </c>
      <c r="E58" s="30">
        <v>522421</v>
      </c>
      <c r="F58" s="31">
        <v>2318.504398</v>
      </c>
      <c r="G58" s="32">
        <v>8.3609400000000007E-3</v>
      </c>
      <c r="H58" s="27" t="s">
        <v>142</v>
      </c>
    </row>
    <row r="59" spans="1:8" x14ac:dyDescent="0.2">
      <c r="A59" s="28">
        <v>53</v>
      </c>
      <c r="B59" s="29" t="s">
        <v>218</v>
      </c>
      <c r="C59" s="29" t="s">
        <v>219</v>
      </c>
      <c r="D59" s="29" t="s">
        <v>200</v>
      </c>
      <c r="E59" s="30">
        <v>25110</v>
      </c>
      <c r="F59" s="31">
        <v>2147.0305499999999</v>
      </c>
      <c r="G59" s="32">
        <v>7.7425699999999998E-3</v>
      </c>
      <c r="H59" s="27" t="s">
        <v>142</v>
      </c>
    </row>
    <row r="60" spans="1:8" x14ac:dyDescent="0.2">
      <c r="A60" s="28">
        <v>54</v>
      </c>
      <c r="B60" s="29" t="s">
        <v>306</v>
      </c>
      <c r="C60" s="29" t="s">
        <v>307</v>
      </c>
      <c r="D60" s="29" t="s">
        <v>64</v>
      </c>
      <c r="E60" s="30">
        <v>66472</v>
      </c>
      <c r="F60" s="31">
        <v>2035.439112</v>
      </c>
      <c r="G60" s="32">
        <v>7.3401600000000001E-3</v>
      </c>
      <c r="H60" s="27" t="s">
        <v>142</v>
      </c>
    </row>
    <row r="61" spans="1:8" x14ac:dyDescent="0.2">
      <c r="A61" s="28">
        <v>55</v>
      </c>
      <c r="B61" s="29" t="s">
        <v>462</v>
      </c>
      <c r="C61" s="29" t="s">
        <v>463</v>
      </c>
      <c r="D61" s="29" t="s">
        <v>464</v>
      </c>
      <c r="E61" s="30">
        <v>332303</v>
      </c>
      <c r="F61" s="31">
        <v>1808.5590775000001</v>
      </c>
      <c r="G61" s="32">
        <v>6.5219900000000001E-3</v>
      </c>
      <c r="H61" s="27" t="s">
        <v>142</v>
      </c>
    </row>
    <row r="62" spans="1:8" x14ac:dyDescent="0.2">
      <c r="A62" s="28">
        <v>56</v>
      </c>
      <c r="B62" s="29" t="s">
        <v>133</v>
      </c>
      <c r="C62" s="29" t="s">
        <v>134</v>
      </c>
      <c r="D62" s="29" t="s">
        <v>22</v>
      </c>
      <c r="E62" s="30">
        <v>72518</v>
      </c>
      <c r="F62" s="31">
        <v>1797.1048169999999</v>
      </c>
      <c r="G62" s="32">
        <v>6.4806799999999999E-3</v>
      </c>
      <c r="H62" s="27" t="s">
        <v>142</v>
      </c>
    </row>
    <row r="63" spans="1:8" x14ac:dyDescent="0.2">
      <c r="A63" s="28">
        <v>57</v>
      </c>
      <c r="B63" s="29" t="s">
        <v>729</v>
      </c>
      <c r="C63" s="29" t="s">
        <v>730</v>
      </c>
      <c r="D63" s="29" t="s">
        <v>73</v>
      </c>
      <c r="E63" s="30">
        <v>649673</v>
      </c>
      <c r="F63" s="31">
        <v>1417.3266168</v>
      </c>
      <c r="G63" s="32">
        <v>5.1111300000000002E-3</v>
      </c>
      <c r="H63" s="27" t="s">
        <v>142</v>
      </c>
    </row>
    <row r="64" spans="1:8" ht="25.5" x14ac:dyDescent="0.2">
      <c r="A64" s="28">
        <v>58</v>
      </c>
      <c r="B64" s="29" t="s">
        <v>215</v>
      </c>
      <c r="C64" s="29" t="s">
        <v>216</v>
      </c>
      <c r="D64" s="29" t="s">
        <v>217</v>
      </c>
      <c r="E64" s="30">
        <v>62771</v>
      </c>
      <c r="F64" s="31">
        <v>1105.773936</v>
      </c>
      <c r="G64" s="32">
        <v>3.9876199999999999E-3</v>
      </c>
      <c r="H64" s="27" t="s">
        <v>142</v>
      </c>
    </row>
    <row r="65" spans="1:8" x14ac:dyDescent="0.2">
      <c r="A65" s="28">
        <v>59</v>
      </c>
      <c r="B65" s="29" t="s">
        <v>95</v>
      </c>
      <c r="C65" s="29" t="s">
        <v>96</v>
      </c>
      <c r="D65" s="29" t="s">
        <v>64</v>
      </c>
      <c r="E65" s="30">
        <v>22462</v>
      </c>
      <c r="F65" s="31">
        <v>940.86579400000005</v>
      </c>
      <c r="G65" s="32">
        <v>3.3929300000000002E-3</v>
      </c>
      <c r="H65" s="27" t="s">
        <v>142</v>
      </c>
    </row>
    <row r="66" spans="1:8" x14ac:dyDescent="0.2">
      <c r="A66" s="25"/>
      <c r="B66" s="25"/>
      <c r="C66" s="26" t="s">
        <v>141</v>
      </c>
      <c r="D66" s="25"/>
      <c r="E66" s="25" t="s">
        <v>142</v>
      </c>
      <c r="F66" s="33">
        <f>SUM(F7:F65)</f>
        <v>265347.00689019996</v>
      </c>
      <c r="G66" s="34">
        <f>SUM(G7:G65)</f>
        <v>0.95688845999999994</v>
      </c>
      <c r="H66" s="27" t="s">
        <v>142</v>
      </c>
    </row>
    <row r="67" spans="1:8" x14ac:dyDescent="0.2">
      <c r="A67" s="25"/>
      <c r="B67" s="25"/>
      <c r="C67" s="35"/>
      <c r="D67" s="25"/>
      <c r="E67" s="25"/>
      <c r="F67" s="36"/>
      <c r="G67" s="36"/>
      <c r="H67" s="27" t="s">
        <v>142</v>
      </c>
    </row>
    <row r="68" spans="1:8" x14ac:dyDescent="0.2">
      <c r="A68" s="25"/>
      <c r="B68" s="25"/>
      <c r="C68" s="26" t="s">
        <v>143</v>
      </c>
      <c r="D68" s="25"/>
      <c r="E68" s="25"/>
      <c r="F68" s="25"/>
      <c r="G68" s="25"/>
      <c r="H68" s="27" t="s">
        <v>142</v>
      </c>
    </row>
    <row r="69" spans="1:8" x14ac:dyDescent="0.2">
      <c r="A69" s="25"/>
      <c r="B69" s="25"/>
      <c r="C69" s="26" t="s">
        <v>141</v>
      </c>
      <c r="D69" s="25"/>
      <c r="E69" s="25" t="s">
        <v>142</v>
      </c>
      <c r="F69" s="37" t="s">
        <v>144</v>
      </c>
      <c r="G69" s="34">
        <v>0</v>
      </c>
      <c r="H69" s="27" t="s">
        <v>142</v>
      </c>
    </row>
    <row r="70" spans="1:8" x14ac:dyDescent="0.2">
      <c r="A70" s="25"/>
      <c r="B70" s="25"/>
      <c r="C70" s="35"/>
      <c r="D70" s="25"/>
      <c r="E70" s="25"/>
      <c r="F70" s="36"/>
      <c r="G70" s="36"/>
      <c r="H70" s="27" t="s">
        <v>142</v>
      </c>
    </row>
    <row r="71" spans="1:8" x14ac:dyDescent="0.2">
      <c r="A71" s="25"/>
      <c r="B71" s="25"/>
      <c r="C71" s="26" t="s">
        <v>145</v>
      </c>
      <c r="D71" s="25"/>
      <c r="E71" s="25"/>
      <c r="F71" s="25"/>
      <c r="G71" s="25"/>
      <c r="H71" s="27" t="s">
        <v>142</v>
      </c>
    </row>
    <row r="72" spans="1:8" x14ac:dyDescent="0.2">
      <c r="A72" s="28">
        <v>1</v>
      </c>
      <c r="B72" s="29" t="s">
        <v>522</v>
      </c>
      <c r="C72" s="29" t="s">
        <v>906</v>
      </c>
      <c r="D72" s="29" t="s">
        <v>229</v>
      </c>
      <c r="E72" s="30">
        <v>511578</v>
      </c>
      <c r="F72" s="31">
        <v>79.089958800000005</v>
      </c>
      <c r="G72" s="32">
        <v>2.8520999999999999E-4</v>
      </c>
      <c r="H72" s="27" t="s">
        <v>142</v>
      </c>
    </row>
    <row r="73" spans="1:8" x14ac:dyDescent="0.2">
      <c r="A73" s="28">
        <v>2</v>
      </c>
      <c r="B73" s="29" t="s">
        <v>731</v>
      </c>
      <c r="C73" s="29" t="s">
        <v>1037</v>
      </c>
      <c r="D73" s="29" t="s">
        <v>212</v>
      </c>
      <c r="E73" s="30">
        <v>39500</v>
      </c>
      <c r="F73" s="31">
        <v>21.207550000000001</v>
      </c>
      <c r="G73" s="32">
        <v>7.648E-5</v>
      </c>
      <c r="H73" s="27" t="s">
        <v>142</v>
      </c>
    </row>
    <row r="74" spans="1:8" x14ac:dyDescent="0.2">
      <c r="A74" s="28">
        <v>3</v>
      </c>
      <c r="B74" s="29" t="s">
        <v>739</v>
      </c>
      <c r="C74" s="29" t="s">
        <v>1038</v>
      </c>
      <c r="D74" s="29"/>
      <c r="E74" s="30">
        <v>54000</v>
      </c>
      <c r="F74" s="31">
        <v>5.4000000000000002E-7</v>
      </c>
      <c r="G74" s="39" t="s">
        <v>140</v>
      </c>
      <c r="H74" s="27" t="s">
        <v>142</v>
      </c>
    </row>
    <row r="75" spans="1:8" x14ac:dyDescent="0.2">
      <c r="A75" s="28">
        <v>4</v>
      </c>
      <c r="B75" s="29" t="s">
        <v>736</v>
      </c>
      <c r="C75" s="29" t="s">
        <v>1039</v>
      </c>
      <c r="D75" s="29"/>
      <c r="E75" s="30">
        <v>200</v>
      </c>
      <c r="F75" s="31">
        <v>2.0000000000000001E-9</v>
      </c>
      <c r="G75" s="39" t="s">
        <v>140</v>
      </c>
      <c r="H75" s="27" t="s">
        <v>142</v>
      </c>
    </row>
    <row r="76" spans="1:8" x14ac:dyDescent="0.2">
      <c r="A76" s="28">
        <v>5</v>
      </c>
      <c r="B76" s="29" t="s">
        <v>737</v>
      </c>
      <c r="C76" s="29" t="s">
        <v>1040</v>
      </c>
      <c r="D76" s="29"/>
      <c r="E76" s="30">
        <v>176305</v>
      </c>
      <c r="F76" s="31">
        <v>1.7630000000000001E-6</v>
      </c>
      <c r="G76" s="39" t="s">
        <v>140</v>
      </c>
      <c r="H76" s="27" t="s">
        <v>142</v>
      </c>
    </row>
    <row r="77" spans="1:8" x14ac:dyDescent="0.2">
      <c r="A77" s="28">
        <v>6</v>
      </c>
      <c r="B77" s="29" t="s">
        <v>738</v>
      </c>
      <c r="C77" s="29" t="s">
        <v>1041</v>
      </c>
      <c r="D77" s="29"/>
      <c r="E77" s="30">
        <v>93200</v>
      </c>
      <c r="F77" s="31">
        <v>9.3200000000000003E-7</v>
      </c>
      <c r="G77" s="39" t="s">
        <v>140</v>
      </c>
      <c r="H77" s="27" t="s">
        <v>142</v>
      </c>
    </row>
    <row r="78" spans="1:8" ht="25.5" x14ac:dyDescent="0.2">
      <c r="A78" s="28">
        <v>7</v>
      </c>
      <c r="B78" s="29" t="s">
        <v>734</v>
      </c>
      <c r="C78" s="29" t="s">
        <v>1042</v>
      </c>
      <c r="D78" s="29" t="s">
        <v>735</v>
      </c>
      <c r="E78" s="30">
        <v>200000</v>
      </c>
      <c r="F78" s="31">
        <v>1.9999999999999999E-6</v>
      </c>
      <c r="G78" s="39" t="s">
        <v>140</v>
      </c>
      <c r="H78" s="27" t="s">
        <v>142</v>
      </c>
    </row>
    <row r="79" spans="1:8" ht="25.5" x14ac:dyDescent="0.2">
      <c r="A79" s="28">
        <v>8</v>
      </c>
      <c r="B79" s="29" t="s">
        <v>732</v>
      </c>
      <c r="C79" s="29" t="s">
        <v>1043</v>
      </c>
      <c r="D79" s="29" t="s">
        <v>733</v>
      </c>
      <c r="E79" s="30">
        <v>50800</v>
      </c>
      <c r="F79" s="31">
        <v>5.0800000000000005E-7</v>
      </c>
      <c r="G79" s="39" t="s">
        <v>140</v>
      </c>
      <c r="H79" s="27" t="s">
        <v>142</v>
      </c>
    </row>
    <row r="80" spans="1:8" x14ac:dyDescent="0.2">
      <c r="A80" s="25"/>
      <c r="B80" s="25"/>
      <c r="C80" s="26" t="s">
        <v>141</v>
      </c>
      <c r="D80" s="25"/>
      <c r="E80" s="25" t="s">
        <v>142</v>
      </c>
      <c r="F80" s="33">
        <f>SUM(F72:F79)</f>
        <v>100.297514545</v>
      </c>
      <c r="G80" s="34">
        <f>SUM(G72:G79)</f>
        <v>3.6169000000000001E-4</v>
      </c>
      <c r="H80" s="27" t="s">
        <v>142</v>
      </c>
    </row>
    <row r="81" spans="1:8" x14ac:dyDescent="0.2">
      <c r="A81" s="25"/>
      <c r="B81" s="25"/>
      <c r="C81" s="35"/>
      <c r="D81" s="25"/>
      <c r="E81" s="25"/>
      <c r="F81" s="36"/>
      <c r="G81" s="36"/>
      <c r="H81" s="27" t="s">
        <v>142</v>
      </c>
    </row>
    <row r="82" spans="1:8" x14ac:dyDescent="0.2">
      <c r="A82" s="25"/>
      <c r="B82" s="25"/>
      <c r="C82" s="26" t="s">
        <v>146</v>
      </c>
      <c r="D82" s="25"/>
      <c r="E82" s="25"/>
      <c r="F82" s="25"/>
      <c r="G82" s="25"/>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147</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148</v>
      </c>
      <c r="D88" s="25"/>
      <c r="E88" s="25"/>
      <c r="F88" s="36"/>
      <c r="G88" s="36"/>
      <c r="H88" s="27" t="s">
        <v>142</v>
      </c>
    </row>
    <row r="89" spans="1:8" x14ac:dyDescent="0.2">
      <c r="A89" s="25"/>
      <c r="B89" s="25"/>
      <c r="C89" s="26" t="s">
        <v>141</v>
      </c>
      <c r="D89" s="25"/>
      <c r="E89" s="25" t="s">
        <v>142</v>
      </c>
      <c r="F89" s="37" t="s">
        <v>144</v>
      </c>
      <c r="G89" s="34">
        <v>0</v>
      </c>
      <c r="H89" s="27" t="s">
        <v>142</v>
      </c>
    </row>
    <row r="90" spans="1:8" x14ac:dyDescent="0.2">
      <c r="A90" s="25"/>
      <c r="B90" s="25"/>
      <c r="C90" s="35"/>
      <c r="D90" s="25"/>
      <c r="E90" s="25"/>
      <c r="F90" s="36"/>
      <c r="G90" s="36"/>
      <c r="H90" s="27" t="s">
        <v>142</v>
      </c>
    </row>
    <row r="91" spans="1:8" x14ac:dyDescent="0.2">
      <c r="A91" s="25"/>
      <c r="B91" s="25"/>
      <c r="C91" s="26" t="s">
        <v>149</v>
      </c>
      <c r="D91" s="25"/>
      <c r="E91" s="25"/>
      <c r="F91" s="33">
        <v>265447.30440474499</v>
      </c>
      <c r="G91" s="34">
        <v>0.95725015000000002</v>
      </c>
      <c r="H91" s="27" t="s">
        <v>142</v>
      </c>
    </row>
    <row r="92" spans="1:8" x14ac:dyDescent="0.2">
      <c r="A92" s="25"/>
      <c r="B92" s="25"/>
      <c r="C92" s="35"/>
      <c r="D92" s="25"/>
      <c r="E92" s="25"/>
      <c r="F92" s="36"/>
      <c r="G92" s="36"/>
      <c r="H92" s="27" t="s">
        <v>142</v>
      </c>
    </row>
    <row r="93" spans="1:8" x14ac:dyDescent="0.2">
      <c r="A93" s="25"/>
      <c r="B93" s="25"/>
      <c r="C93" s="26" t="s">
        <v>150</v>
      </c>
      <c r="D93" s="25"/>
      <c r="E93" s="25"/>
      <c r="F93" s="36"/>
      <c r="G93" s="36"/>
      <c r="H93" s="27" t="s">
        <v>142</v>
      </c>
    </row>
    <row r="94" spans="1:8" x14ac:dyDescent="0.2">
      <c r="A94" s="25"/>
      <c r="B94" s="25"/>
      <c r="C94" s="26" t="s">
        <v>10</v>
      </c>
      <c r="D94" s="25"/>
      <c r="E94" s="25"/>
      <c r="F94" s="36"/>
      <c r="G94" s="36"/>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8" x14ac:dyDescent="0.2">
      <c r="A97" s="25"/>
      <c r="B97" s="25"/>
      <c r="C97" s="26" t="s">
        <v>151</v>
      </c>
      <c r="D97" s="25"/>
      <c r="E97" s="25"/>
      <c r="F97" s="25"/>
      <c r="G97" s="25"/>
      <c r="H97" s="27" t="s">
        <v>142</v>
      </c>
    </row>
    <row r="98" spans="1:8" x14ac:dyDescent="0.2">
      <c r="A98" s="25"/>
      <c r="B98" s="25"/>
      <c r="C98" s="26" t="s">
        <v>141</v>
      </c>
      <c r="D98" s="25"/>
      <c r="E98" s="25" t="s">
        <v>142</v>
      </c>
      <c r="F98" s="37" t="s">
        <v>144</v>
      </c>
      <c r="G98" s="34">
        <v>0</v>
      </c>
      <c r="H98" s="27" t="s">
        <v>142</v>
      </c>
    </row>
    <row r="99" spans="1:8" x14ac:dyDescent="0.2">
      <c r="A99" s="25"/>
      <c r="B99" s="25"/>
      <c r="C99" s="35"/>
      <c r="D99" s="25"/>
      <c r="E99" s="25"/>
      <c r="F99" s="36"/>
      <c r="G99" s="36"/>
      <c r="H99" s="27" t="s">
        <v>142</v>
      </c>
    </row>
    <row r="100" spans="1:8" x14ac:dyDescent="0.2">
      <c r="A100" s="25"/>
      <c r="B100" s="25"/>
      <c r="C100" s="26" t="s">
        <v>152</v>
      </c>
      <c r="D100" s="25"/>
      <c r="E100" s="25"/>
      <c r="F100" s="25"/>
      <c r="G100" s="25"/>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153</v>
      </c>
      <c r="D103" s="25"/>
      <c r="E103" s="25"/>
      <c r="F103" s="36"/>
      <c r="G103" s="36"/>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154</v>
      </c>
      <c r="D106" s="25"/>
      <c r="E106" s="25"/>
      <c r="F106" s="33">
        <v>0</v>
      </c>
      <c r="G106" s="34">
        <v>0</v>
      </c>
      <c r="H106" s="27" t="s">
        <v>142</v>
      </c>
    </row>
    <row r="107" spans="1:8" x14ac:dyDescent="0.2">
      <c r="A107" s="25"/>
      <c r="B107" s="25"/>
      <c r="C107" s="35"/>
      <c r="D107" s="25"/>
      <c r="E107" s="25"/>
      <c r="F107" s="36"/>
      <c r="G107" s="36"/>
      <c r="H107" s="27" t="s">
        <v>142</v>
      </c>
    </row>
    <row r="108" spans="1:8" x14ac:dyDescent="0.2">
      <c r="A108" s="25"/>
      <c r="B108" s="25"/>
      <c r="C108" s="26" t="s">
        <v>155</v>
      </c>
      <c r="D108" s="25"/>
      <c r="E108" s="25"/>
      <c r="F108" s="36"/>
      <c r="G108" s="36"/>
      <c r="H108" s="27" t="s">
        <v>142</v>
      </c>
    </row>
    <row r="109" spans="1:8" x14ac:dyDescent="0.2">
      <c r="A109" s="25"/>
      <c r="B109" s="25"/>
      <c r="C109" s="26" t="s">
        <v>156</v>
      </c>
      <c r="D109" s="25"/>
      <c r="E109" s="25"/>
      <c r="F109" s="36"/>
      <c r="G109" s="36"/>
      <c r="H109" s="27" t="s">
        <v>142</v>
      </c>
    </row>
    <row r="110" spans="1:8" x14ac:dyDescent="0.2">
      <c r="A110" s="25"/>
      <c r="B110" s="25"/>
      <c r="C110" s="26" t="s">
        <v>141</v>
      </c>
      <c r="D110" s="25"/>
      <c r="E110" s="25" t="s">
        <v>142</v>
      </c>
      <c r="F110" s="37" t="s">
        <v>144</v>
      </c>
      <c r="G110" s="34">
        <v>0</v>
      </c>
      <c r="H110" s="27" t="s">
        <v>142</v>
      </c>
    </row>
    <row r="111" spans="1:8" x14ac:dyDescent="0.2">
      <c r="A111" s="25"/>
      <c r="B111" s="25"/>
      <c r="C111" s="35"/>
      <c r="D111" s="25"/>
      <c r="E111" s="25"/>
      <c r="F111" s="36"/>
      <c r="G111" s="36"/>
      <c r="H111" s="27" t="s">
        <v>142</v>
      </c>
    </row>
    <row r="112" spans="1:8" x14ac:dyDescent="0.2">
      <c r="A112" s="25"/>
      <c r="B112" s="25"/>
      <c r="C112" s="26" t="s">
        <v>157</v>
      </c>
      <c r="D112" s="25"/>
      <c r="E112" s="25"/>
      <c r="F112" s="36"/>
      <c r="G112" s="36"/>
      <c r="H112" s="27" t="s">
        <v>142</v>
      </c>
    </row>
    <row r="113" spans="1:8" x14ac:dyDescent="0.2">
      <c r="A113" s="25"/>
      <c r="B113" s="25"/>
      <c r="C113" s="26" t="s">
        <v>141</v>
      </c>
      <c r="D113" s="25"/>
      <c r="E113" s="25" t="s">
        <v>142</v>
      </c>
      <c r="F113" s="37" t="s">
        <v>144</v>
      </c>
      <c r="G113" s="34">
        <v>0</v>
      </c>
      <c r="H113" s="27" t="s">
        <v>142</v>
      </c>
    </row>
    <row r="114" spans="1:8" x14ac:dyDescent="0.2">
      <c r="A114" s="25"/>
      <c r="B114" s="25"/>
      <c r="C114" s="35"/>
      <c r="D114" s="25"/>
      <c r="E114" s="25"/>
      <c r="F114" s="36"/>
      <c r="G114" s="36"/>
      <c r="H114" s="27" t="s">
        <v>142</v>
      </c>
    </row>
    <row r="115" spans="1:8" x14ac:dyDescent="0.2">
      <c r="A115" s="25"/>
      <c r="B115" s="25"/>
      <c r="C115" s="26" t="s">
        <v>158</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159</v>
      </c>
      <c r="D118" s="25"/>
      <c r="E118" s="25"/>
      <c r="F118" s="36"/>
      <c r="G118" s="36"/>
      <c r="H118" s="27" t="s">
        <v>142</v>
      </c>
    </row>
    <row r="119" spans="1:8" x14ac:dyDescent="0.2">
      <c r="A119" s="28">
        <v>1</v>
      </c>
      <c r="B119" s="29"/>
      <c r="C119" s="29" t="s">
        <v>160</v>
      </c>
      <c r="D119" s="29"/>
      <c r="E119" s="39"/>
      <c r="F119" s="31">
        <v>10174.678721458</v>
      </c>
      <c r="G119" s="32">
        <v>3.6691700000000001E-2</v>
      </c>
      <c r="H119" s="27">
        <v>5.76</v>
      </c>
    </row>
    <row r="120" spans="1:8" x14ac:dyDescent="0.2">
      <c r="A120" s="25"/>
      <c r="B120" s="25"/>
      <c r="C120" s="26" t="s">
        <v>141</v>
      </c>
      <c r="D120" s="25"/>
      <c r="E120" s="25" t="s">
        <v>142</v>
      </c>
      <c r="F120" s="33">
        <v>10174.678721458</v>
      </c>
      <c r="G120" s="34">
        <v>3.6691700000000001E-2</v>
      </c>
      <c r="H120" s="27" t="s">
        <v>142</v>
      </c>
    </row>
    <row r="121" spans="1:8" x14ac:dyDescent="0.2">
      <c r="A121" s="25"/>
      <c r="B121" s="25"/>
      <c r="C121" s="35"/>
      <c r="D121" s="25"/>
      <c r="E121" s="25"/>
      <c r="F121" s="36"/>
      <c r="G121" s="36"/>
      <c r="H121" s="27" t="s">
        <v>142</v>
      </c>
    </row>
    <row r="122" spans="1:8" x14ac:dyDescent="0.2">
      <c r="A122" s="25"/>
      <c r="B122" s="25"/>
      <c r="C122" s="26" t="s">
        <v>161</v>
      </c>
      <c r="D122" s="25"/>
      <c r="E122" s="25"/>
      <c r="F122" s="33">
        <v>10174.678721458</v>
      </c>
      <c r="G122" s="34">
        <v>3.6691700000000001E-2</v>
      </c>
      <c r="H122" s="27" t="s">
        <v>142</v>
      </c>
    </row>
    <row r="123" spans="1:8" x14ac:dyDescent="0.2">
      <c r="A123" s="25"/>
      <c r="B123" s="25"/>
      <c r="C123" s="36"/>
      <c r="D123" s="25"/>
      <c r="E123" s="25"/>
      <c r="F123" s="25"/>
      <c r="G123" s="25"/>
      <c r="H123" s="27" t="s">
        <v>142</v>
      </c>
    </row>
    <row r="124" spans="1:8" x14ac:dyDescent="0.2">
      <c r="A124" s="25"/>
      <c r="B124" s="25"/>
      <c r="C124" s="26" t="s">
        <v>162</v>
      </c>
      <c r="D124" s="25"/>
      <c r="E124" s="25"/>
      <c r="F124" s="25"/>
      <c r="G124" s="25"/>
      <c r="H124" s="27" t="s">
        <v>142</v>
      </c>
    </row>
    <row r="125" spans="1:8" x14ac:dyDescent="0.2">
      <c r="A125" s="25"/>
      <c r="B125" s="25"/>
      <c r="C125" s="26" t="s">
        <v>163</v>
      </c>
      <c r="D125" s="25"/>
      <c r="E125" s="25"/>
      <c r="F125" s="25"/>
      <c r="G125" s="25"/>
      <c r="H125" s="27" t="s">
        <v>142</v>
      </c>
    </row>
    <row r="126" spans="1:8" x14ac:dyDescent="0.2">
      <c r="A126" s="25"/>
      <c r="B126" s="25"/>
      <c r="C126" s="26" t="s">
        <v>141</v>
      </c>
      <c r="D126" s="25"/>
      <c r="E126" s="25" t="s">
        <v>142</v>
      </c>
      <c r="F126" s="37" t="s">
        <v>144</v>
      </c>
      <c r="G126" s="34">
        <v>0</v>
      </c>
      <c r="H126" s="27" t="s">
        <v>142</v>
      </c>
    </row>
    <row r="127" spans="1:8" x14ac:dyDescent="0.2">
      <c r="A127" s="25"/>
      <c r="B127" s="25"/>
      <c r="C127" s="35"/>
      <c r="D127" s="25"/>
      <c r="E127" s="25"/>
      <c r="F127" s="36"/>
      <c r="G127" s="36"/>
      <c r="H127" s="27" t="s">
        <v>142</v>
      </c>
    </row>
    <row r="128" spans="1:8" x14ac:dyDescent="0.2">
      <c r="A128" s="25"/>
      <c r="B128" s="25"/>
      <c r="C128" s="26" t="s">
        <v>164</v>
      </c>
      <c r="D128" s="25"/>
      <c r="E128" s="25"/>
      <c r="F128" s="25"/>
      <c r="G128" s="25"/>
      <c r="H128" s="27" t="s">
        <v>142</v>
      </c>
    </row>
    <row r="129" spans="1:17" x14ac:dyDescent="0.2">
      <c r="A129" s="25"/>
      <c r="B129" s="25"/>
      <c r="C129" s="26" t="s">
        <v>165</v>
      </c>
      <c r="D129" s="25"/>
      <c r="E129" s="25"/>
      <c r="F129" s="25"/>
      <c r="G129" s="25"/>
      <c r="H129" s="27" t="s">
        <v>142</v>
      </c>
    </row>
    <row r="130" spans="1:17" x14ac:dyDescent="0.2">
      <c r="A130" s="25"/>
      <c r="B130" s="25"/>
      <c r="C130" s="26" t="s">
        <v>141</v>
      </c>
      <c r="D130" s="25"/>
      <c r="E130" s="25" t="s">
        <v>142</v>
      </c>
      <c r="F130" s="37" t="s">
        <v>144</v>
      </c>
      <c r="G130" s="34">
        <v>0</v>
      </c>
      <c r="H130" s="27" t="s">
        <v>142</v>
      </c>
    </row>
    <row r="131" spans="1:17" x14ac:dyDescent="0.2">
      <c r="A131" s="25"/>
      <c r="B131" s="25"/>
      <c r="C131" s="35"/>
      <c r="D131" s="25"/>
      <c r="E131" s="25"/>
      <c r="F131" s="36"/>
      <c r="G131" s="36"/>
      <c r="H131" s="27" t="s">
        <v>142</v>
      </c>
    </row>
    <row r="132" spans="1:17" x14ac:dyDescent="0.2">
      <c r="A132" s="25"/>
      <c r="B132" s="25"/>
      <c r="C132" s="26" t="s">
        <v>166</v>
      </c>
      <c r="D132" s="25"/>
      <c r="E132" s="25"/>
      <c r="F132" s="36"/>
      <c r="G132" s="36"/>
      <c r="H132" s="27" t="s">
        <v>142</v>
      </c>
    </row>
    <row r="133" spans="1:17" x14ac:dyDescent="0.2">
      <c r="A133" s="25"/>
      <c r="B133" s="25"/>
      <c r="C133" s="26" t="s">
        <v>141</v>
      </c>
      <c r="D133" s="25"/>
      <c r="E133" s="25" t="s">
        <v>142</v>
      </c>
      <c r="F133" s="37" t="s">
        <v>144</v>
      </c>
      <c r="G133" s="34">
        <v>0</v>
      </c>
      <c r="H133" s="27" t="s">
        <v>142</v>
      </c>
    </row>
    <row r="134" spans="1:17" x14ac:dyDescent="0.2">
      <c r="A134" s="25"/>
      <c r="B134" s="29"/>
      <c r="C134" s="29"/>
      <c r="D134" s="26"/>
      <c r="E134" s="25"/>
      <c r="F134" s="29"/>
      <c r="G134" s="39"/>
      <c r="H134" s="27" t="s">
        <v>142</v>
      </c>
    </row>
    <row r="135" spans="1:17" x14ac:dyDescent="0.2">
      <c r="A135" s="39"/>
      <c r="B135" s="29"/>
      <c r="C135" s="29" t="s">
        <v>167</v>
      </c>
      <c r="D135" s="29"/>
      <c r="E135" s="39"/>
      <c r="F135" s="31">
        <v>1679.95237701</v>
      </c>
      <c r="G135" s="32">
        <v>6.0582099999999996E-3</v>
      </c>
      <c r="H135" s="27" t="s">
        <v>142</v>
      </c>
    </row>
    <row r="136" spans="1:17" x14ac:dyDescent="0.2">
      <c r="A136" s="35"/>
      <c r="B136" s="35"/>
      <c r="C136" s="26" t="s">
        <v>168</v>
      </c>
      <c r="D136" s="36"/>
      <c r="E136" s="36"/>
      <c r="F136" s="33">
        <v>277301.93550321303</v>
      </c>
      <c r="G136" s="40">
        <v>1.0000000600000001</v>
      </c>
      <c r="H136" s="27" t="s">
        <v>142</v>
      </c>
    </row>
    <row r="137" spans="1:17" x14ac:dyDescent="0.2">
      <c r="A137" s="41"/>
      <c r="B137" s="41"/>
      <c r="C137" s="41"/>
      <c r="D137" s="42"/>
      <c r="E137" s="42"/>
      <c r="F137" s="42"/>
      <c r="G137" s="42"/>
    </row>
    <row r="138" spans="1:17" x14ac:dyDescent="0.2">
      <c r="A138" s="43"/>
      <c r="B138" s="210" t="s">
        <v>879</v>
      </c>
      <c r="C138" s="210"/>
      <c r="D138" s="210"/>
      <c r="E138" s="210"/>
      <c r="F138" s="210"/>
      <c r="G138" s="210"/>
      <c r="H138" s="210"/>
      <c r="J138" s="45"/>
    </row>
    <row r="139" spans="1:17" x14ac:dyDescent="0.2">
      <c r="A139" s="43"/>
      <c r="B139" s="210" t="s">
        <v>880</v>
      </c>
      <c r="C139" s="210"/>
      <c r="D139" s="210"/>
      <c r="E139" s="210"/>
      <c r="F139" s="210"/>
      <c r="G139" s="210"/>
      <c r="H139" s="210"/>
      <c r="J139" s="45"/>
    </row>
    <row r="140" spans="1:17" x14ac:dyDescent="0.2">
      <c r="A140" s="43"/>
      <c r="B140" s="210" t="s">
        <v>881</v>
      </c>
      <c r="C140" s="210"/>
      <c r="D140" s="210"/>
      <c r="E140" s="210"/>
      <c r="F140" s="210"/>
      <c r="G140" s="210"/>
      <c r="H140" s="210"/>
      <c r="J140" s="45"/>
    </row>
    <row r="141" spans="1:17" s="47" customFormat="1" ht="66.75" customHeight="1" x14ac:dyDescent="0.25">
      <c r="A141" s="46"/>
      <c r="B141" s="211" t="s">
        <v>882</v>
      </c>
      <c r="C141" s="211"/>
      <c r="D141" s="211"/>
      <c r="E141" s="211"/>
      <c r="F141" s="211"/>
      <c r="G141" s="211"/>
      <c r="H141" s="211"/>
      <c r="I141"/>
      <c r="J141" s="45"/>
      <c r="K141"/>
      <c r="L141"/>
      <c r="M141"/>
      <c r="N141"/>
      <c r="O141"/>
      <c r="P141"/>
      <c r="Q141"/>
    </row>
    <row r="142" spans="1:17" x14ac:dyDescent="0.2">
      <c r="A142" s="43"/>
      <c r="B142" s="210" t="s">
        <v>883</v>
      </c>
      <c r="C142" s="210"/>
      <c r="D142" s="210"/>
      <c r="E142" s="210"/>
      <c r="F142" s="210"/>
      <c r="G142" s="210"/>
      <c r="H142" s="210"/>
      <c r="J142" s="45"/>
    </row>
    <row r="143" spans="1:17" x14ac:dyDescent="0.2">
      <c r="A143" s="48"/>
      <c r="B143" s="48"/>
      <c r="C143" s="48"/>
      <c r="D143" s="49"/>
      <c r="E143" s="49"/>
      <c r="F143" s="49"/>
      <c r="G143" s="49"/>
    </row>
    <row r="144" spans="1:17" x14ac:dyDescent="0.2">
      <c r="A144" s="48"/>
      <c r="B144" s="212" t="s">
        <v>169</v>
      </c>
      <c r="C144" s="213"/>
      <c r="D144" s="214"/>
      <c r="E144" s="50"/>
      <c r="F144" s="49"/>
      <c r="G144" s="49"/>
    </row>
    <row r="145" spans="1:10" ht="27.75" customHeight="1" x14ac:dyDescent="0.2">
      <c r="A145" s="48"/>
      <c r="B145" s="215" t="s">
        <v>170</v>
      </c>
      <c r="C145" s="216"/>
      <c r="D145" s="51" t="s">
        <v>941</v>
      </c>
      <c r="E145" s="50"/>
      <c r="F145" s="49"/>
      <c r="G145" s="49"/>
    </row>
    <row r="146" spans="1:10" ht="12.75" customHeight="1" x14ac:dyDescent="0.2">
      <c r="A146" s="43"/>
      <c r="B146" s="217" t="s">
        <v>884</v>
      </c>
      <c r="C146" s="218"/>
      <c r="D146" s="51" t="s">
        <v>1224</v>
      </c>
      <c r="E146" s="52"/>
      <c r="F146" s="53"/>
      <c r="G146" s="53"/>
    </row>
    <row r="147" spans="1:10" x14ac:dyDescent="0.2">
      <c r="A147" s="48"/>
      <c r="B147" s="215" t="s">
        <v>172</v>
      </c>
      <c r="C147" s="216"/>
      <c r="D147" s="36" t="s">
        <v>142</v>
      </c>
      <c r="E147" s="50"/>
      <c r="F147" s="49"/>
      <c r="G147" s="49"/>
    </row>
    <row r="148" spans="1:10" x14ac:dyDescent="0.2">
      <c r="A148" s="54"/>
      <c r="B148" s="55" t="s">
        <v>142</v>
      </c>
      <c r="C148" s="55" t="s">
        <v>885</v>
      </c>
      <c r="D148" s="55" t="s">
        <v>173</v>
      </c>
      <c r="E148" s="54"/>
      <c r="F148" s="54"/>
      <c r="G148" s="54"/>
      <c r="H148" s="54"/>
      <c r="J148" s="45"/>
    </row>
    <row r="149" spans="1:10" x14ac:dyDescent="0.2">
      <c r="A149" s="54"/>
      <c r="B149" s="56" t="s">
        <v>174</v>
      </c>
      <c r="C149" s="57">
        <v>45777</v>
      </c>
      <c r="D149" s="57">
        <v>45808</v>
      </c>
      <c r="E149" s="54"/>
      <c r="F149" s="54"/>
      <c r="G149" s="54"/>
      <c r="J149" s="45"/>
    </row>
    <row r="150" spans="1:10" x14ac:dyDescent="0.2">
      <c r="A150" s="58"/>
      <c r="B150" s="29" t="s">
        <v>175</v>
      </c>
      <c r="C150" s="59">
        <v>394.89830000000001</v>
      </c>
      <c r="D150" s="59">
        <v>412.2491</v>
      </c>
      <c r="E150" s="58"/>
      <c r="F150" s="60"/>
      <c r="G150" s="61"/>
    </row>
    <row r="151" spans="1:10" ht="25.5" x14ac:dyDescent="0.2">
      <c r="A151" s="58"/>
      <c r="B151" s="29" t="s">
        <v>1067</v>
      </c>
      <c r="C151" s="59">
        <v>84.172600000000003</v>
      </c>
      <c r="D151" s="59">
        <v>87.870900000000006</v>
      </c>
      <c r="E151" s="58"/>
      <c r="F151" s="60"/>
      <c r="G151" s="61"/>
    </row>
    <row r="152" spans="1:10" x14ac:dyDescent="0.2">
      <c r="A152" s="58"/>
      <c r="B152" s="29" t="s">
        <v>177</v>
      </c>
      <c r="C152" s="59">
        <v>355.5505</v>
      </c>
      <c r="D152" s="59">
        <v>370.8415</v>
      </c>
      <c r="E152" s="58"/>
      <c r="F152" s="60"/>
      <c r="G152" s="61"/>
    </row>
    <row r="153" spans="1:10" ht="25.5" x14ac:dyDescent="0.2">
      <c r="A153" s="58"/>
      <c r="B153" s="29" t="s">
        <v>1068</v>
      </c>
      <c r="C153" s="59">
        <v>62.560899999999997</v>
      </c>
      <c r="D153" s="59">
        <v>65.251499999999993</v>
      </c>
      <c r="E153" s="58"/>
      <c r="F153" s="60"/>
      <c r="G153" s="61"/>
    </row>
    <row r="154" spans="1:10" x14ac:dyDescent="0.2">
      <c r="A154" s="58"/>
      <c r="B154" s="58"/>
      <c r="C154" s="58"/>
      <c r="D154" s="58"/>
      <c r="E154" s="58"/>
      <c r="F154" s="58"/>
      <c r="G154" s="58"/>
    </row>
    <row r="155" spans="1:10" x14ac:dyDescent="0.2">
      <c r="A155" s="58"/>
      <c r="B155" s="215" t="s">
        <v>887</v>
      </c>
      <c r="C155" s="216"/>
      <c r="D155" s="51" t="s">
        <v>171</v>
      </c>
      <c r="E155" s="58"/>
      <c r="F155" s="58"/>
      <c r="G155" s="58"/>
    </row>
    <row r="156" spans="1:10" x14ac:dyDescent="0.2">
      <c r="A156" s="58"/>
      <c r="B156" s="70"/>
      <c r="C156" s="70"/>
      <c r="D156" s="70"/>
      <c r="E156" s="58"/>
      <c r="F156" s="58"/>
      <c r="G156" s="58"/>
    </row>
    <row r="157" spans="1:10" ht="29.1" customHeight="1" x14ac:dyDescent="0.2">
      <c r="A157" s="54"/>
      <c r="B157" s="217" t="s">
        <v>180</v>
      </c>
      <c r="C157" s="218"/>
      <c r="D157" s="51" t="s">
        <v>171</v>
      </c>
      <c r="E157" s="65"/>
      <c r="F157" s="54"/>
      <c r="G157" s="54"/>
    </row>
    <row r="158" spans="1:10" ht="29.1" customHeight="1" x14ac:dyDescent="0.2">
      <c r="A158" s="54"/>
      <c r="B158" s="217" t="s">
        <v>181</v>
      </c>
      <c r="C158" s="218"/>
      <c r="D158" s="51" t="s">
        <v>171</v>
      </c>
      <c r="E158" s="65"/>
      <c r="F158" s="54"/>
      <c r="G158" s="54"/>
    </row>
    <row r="159" spans="1:10" ht="17.100000000000001" customHeight="1" x14ac:dyDescent="0.2">
      <c r="A159" s="54"/>
      <c r="B159" s="217" t="s">
        <v>182</v>
      </c>
      <c r="C159" s="218"/>
      <c r="D159" s="51" t="s">
        <v>171</v>
      </c>
      <c r="E159" s="65"/>
      <c r="F159" s="54"/>
      <c r="G159" s="54"/>
    </row>
    <row r="160" spans="1:10" ht="17.100000000000001" customHeight="1" x14ac:dyDescent="0.2">
      <c r="A160" s="54"/>
      <c r="B160" s="217" t="s">
        <v>183</v>
      </c>
      <c r="C160" s="218"/>
      <c r="D160" s="66">
        <v>0.59848470440777934</v>
      </c>
      <c r="E160" s="54"/>
      <c r="F160" s="44"/>
      <c r="G160" s="64"/>
    </row>
    <row r="162" spans="2:10" x14ac:dyDescent="0.2">
      <c r="B162" s="78" t="s">
        <v>1086</v>
      </c>
    </row>
    <row r="163" spans="2:10" ht="67.5" x14ac:dyDescent="0.2">
      <c r="B163" s="84" t="s">
        <v>1016</v>
      </c>
      <c r="C163" s="84" t="s">
        <v>1017</v>
      </c>
      <c r="D163" s="84" t="s">
        <v>1018</v>
      </c>
      <c r="E163" s="84" t="s">
        <v>1019</v>
      </c>
      <c r="F163" s="84" t="s">
        <v>1020</v>
      </c>
    </row>
    <row r="164" spans="2:10" ht="13.5" x14ac:dyDescent="0.2">
      <c r="B164" s="85" t="s">
        <v>1044</v>
      </c>
      <c r="C164" s="86" t="s">
        <v>1022</v>
      </c>
      <c r="D164" s="16">
        <v>0</v>
      </c>
      <c r="E164" s="17">
        <v>0</v>
      </c>
      <c r="F164" s="87">
        <v>29.407129999999999</v>
      </c>
    </row>
    <row r="166" spans="2:10" x14ac:dyDescent="0.2">
      <c r="B166" s="219" t="s">
        <v>888</v>
      </c>
      <c r="C166" s="219"/>
    </row>
    <row r="168" spans="2:10" ht="153.75" customHeight="1" x14ac:dyDescent="0.2"/>
    <row r="171" spans="2:10" x14ac:dyDescent="0.2">
      <c r="B171" s="67" t="s">
        <v>889</v>
      </c>
      <c r="C171" s="68"/>
      <c r="D171" s="67"/>
    </row>
    <row r="172" spans="2:10" x14ac:dyDescent="0.2">
      <c r="B172" s="67" t="s">
        <v>1045</v>
      </c>
      <c r="D172" s="67"/>
    </row>
    <row r="173" spans="2:10" ht="165" customHeight="1" x14ac:dyDescent="0.2"/>
    <row r="175" spans="2:10" x14ac:dyDescent="0.2">
      <c r="J175" s="24"/>
    </row>
  </sheetData>
  <mergeCells count="18">
    <mergeCell ref="B146:C146"/>
    <mergeCell ref="B147:C147"/>
    <mergeCell ref="B155:C155"/>
    <mergeCell ref="B140:H140"/>
    <mergeCell ref="B141:H141"/>
    <mergeCell ref="B142:H142"/>
    <mergeCell ref="B144:D144"/>
    <mergeCell ref="B145:C145"/>
    <mergeCell ref="A1:H1"/>
    <mergeCell ref="A2:H2"/>
    <mergeCell ref="A3:H3"/>
    <mergeCell ref="B138:H138"/>
    <mergeCell ref="B139:H139"/>
    <mergeCell ref="B159:C159"/>
    <mergeCell ref="B160:C160"/>
    <mergeCell ref="B157:C157"/>
    <mergeCell ref="B158:C158"/>
    <mergeCell ref="B166:C166"/>
  </mergeCells>
  <hyperlinks>
    <hyperlink ref="I1" location="Index!B2" display="Index" xr:uid="{2DD0B9B2-BA27-48B1-99AC-91E69C759F6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FFA1-B284-4410-9456-8C41C29F18A3}">
  <sheetPr>
    <outlinePr summaryBelow="0" summaryRight="0"/>
  </sheetPr>
  <dimension ref="A1:Q209"/>
  <sheetViews>
    <sheetView showGridLines="0" workbookViewId="0">
      <selection activeCell="D180" sqref="D180"/>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740</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436</v>
      </c>
      <c r="C7" s="29" t="s">
        <v>437</v>
      </c>
      <c r="D7" s="29" t="s">
        <v>28</v>
      </c>
      <c r="E7" s="30">
        <v>15896</v>
      </c>
      <c r="F7" s="31">
        <v>129.86237199999999</v>
      </c>
      <c r="G7" s="32">
        <v>1.2226030000000001E-2</v>
      </c>
      <c r="H7" s="27" t="s">
        <v>142</v>
      </c>
    </row>
    <row r="8" spans="1:9" x14ac:dyDescent="0.2">
      <c r="A8" s="28">
        <v>2</v>
      </c>
      <c r="B8" s="29" t="s">
        <v>629</v>
      </c>
      <c r="C8" s="29" t="s">
        <v>630</v>
      </c>
      <c r="D8" s="29" t="s">
        <v>28</v>
      </c>
      <c r="E8" s="30">
        <v>111956</v>
      </c>
      <c r="F8" s="31">
        <v>128.48070559999999</v>
      </c>
      <c r="G8" s="32">
        <v>1.2095949999999999E-2</v>
      </c>
      <c r="H8" s="27" t="s">
        <v>142</v>
      </c>
    </row>
    <row r="9" spans="1:9" x14ac:dyDescent="0.2">
      <c r="A9" s="28">
        <v>3</v>
      </c>
      <c r="B9" s="29" t="s">
        <v>29</v>
      </c>
      <c r="C9" s="29" t="s">
        <v>30</v>
      </c>
      <c r="D9" s="29" t="s">
        <v>31</v>
      </c>
      <c r="E9" s="30">
        <v>32859</v>
      </c>
      <c r="F9" s="31">
        <v>126.375714</v>
      </c>
      <c r="G9" s="32">
        <v>1.189777E-2</v>
      </c>
      <c r="H9" s="27" t="s">
        <v>142</v>
      </c>
    </row>
    <row r="10" spans="1:9" x14ac:dyDescent="0.2">
      <c r="A10" s="28">
        <v>4</v>
      </c>
      <c r="B10" s="29" t="s">
        <v>741</v>
      </c>
      <c r="C10" s="29" t="s">
        <v>742</v>
      </c>
      <c r="D10" s="29" t="s">
        <v>132</v>
      </c>
      <c r="E10" s="30">
        <v>42790</v>
      </c>
      <c r="F10" s="31">
        <v>122.657535</v>
      </c>
      <c r="G10" s="32">
        <v>1.1547719999999999E-2</v>
      </c>
      <c r="H10" s="27" t="s">
        <v>142</v>
      </c>
    </row>
    <row r="11" spans="1:9" x14ac:dyDescent="0.2">
      <c r="A11" s="28">
        <v>5</v>
      </c>
      <c r="B11" s="29" t="s">
        <v>333</v>
      </c>
      <c r="C11" s="29" t="s">
        <v>334</v>
      </c>
      <c r="D11" s="29" t="s">
        <v>31</v>
      </c>
      <c r="E11" s="30">
        <v>2440</v>
      </c>
      <c r="F11" s="31">
        <v>121.36803999999999</v>
      </c>
      <c r="G11" s="32">
        <v>1.142632E-2</v>
      </c>
      <c r="H11" s="27" t="s">
        <v>142</v>
      </c>
    </row>
    <row r="12" spans="1:9" ht="25.5" x14ac:dyDescent="0.2">
      <c r="A12" s="28">
        <v>6</v>
      </c>
      <c r="B12" s="29" t="s">
        <v>43</v>
      </c>
      <c r="C12" s="29" t="s">
        <v>44</v>
      </c>
      <c r="D12" s="29" t="s">
        <v>45</v>
      </c>
      <c r="E12" s="30">
        <v>8416</v>
      </c>
      <c r="F12" s="31">
        <v>120.58444799999999</v>
      </c>
      <c r="G12" s="32">
        <v>1.1352549999999999E-2</v>
      </c>
      <c r="H12" s="27" t="s">
        <v>142</v>
      </c>
    </row>
    <row r="13" spans="1:9" x14ac:dyDescent="0.2">
      <c r="A13" s="28">
        <v>7</v>
      </c>
      <c r="B13" s="29" t="s">
        <v>743</v>
      </c>
      <c r="C13" s="29" t="s">
        <v>744</v>
      </c>
      <c r="D13" s="29" t="s">
        <v>270</v>
      </c>
      <c r="E13" s="30">
        <v>12510</v>
      </c>
      <c r="F13" s="31">
        <v>119.401695</v>
      </c>
      <c r="G13" s="32">
        <v>1.12412E-2</v>
      </c>
      <c r="H13" s="27" t="s">
        <v>142</v>
      </c>
    </row>
    <row r="14" spans="1:9" x14ac:dyDescent="0.2">
      <c r="A14" s="28">
        <v>8</v>
      </c>
      <c r="B14" s="29" t="s">
        <v>745</v>
      </c>
      <c r="C14" s="29" t="s">
        <v>746</v>
      </c>
      <c r="D14" s="29" t="s">
        <v>58</v>
      </c>
      <c r="E14" s="30">
        <v>8363</v>
      </c>
      <c r="F14" s="31">
        <v>119.21456499999999</v>
      </c>
      <c r="G14" s="32">
        <v>1.122358E-2</v>
      </c>
      <c r="H14" s="27" t="s">
        <v>142</v>
      </c>
    </row>
    <row r="15" spans="1:9" x14ac:dyDescent="0.2">
      <c r="A15" s="28">
        <v>9</v>
      </c>
      <c r="B15" s="29" t="s">
        <v>663</v>
      </c>
      <c r="C15" s="29" t="s">
        <v>664</v>
      </c>
      <c r="D15" s="29" t="s">
        <v>254</v>
      </c>
      <c r="E15" s="30">
        <v>2737</v>
      </c>
      <c r="F15" s="31">
        <v>117.94554100000001</v>
      </c>
      <c r="G15" s="32">
        <v>1.110411E-2</v>
      </c>
      <c r="H15" s="27" t="s">
        <v>142</v>
      </c>
    </row>
    <row r="16" spans="1:9" x14ac:dyDescent="0.2">
      <c r="A16" s="28">
        <v>10</v>
      </c>
      <c r="B16" s="29" t="s">
        <v>423</v>
      </c>
      <c r="C16" s="29" t="s">
        <v>424</v>
      </c>
      <c r="D16" s="29" t="s">
        <v>270</v>
      </c>
      <c r="E16" s="30">
        <v>6418</v>
      </c>
      <c r="F16" s="31">
        <v>116.306996</v>
      </c>
      <c r="G16" s="32">
        <v>1.0949840000000001E-2</v>
      </c>
      <c r="H16" s="27" t="s">
        <v>142</v>
      </c>
    </row>
    <row r="17" spans="1:8" x14ac:dyDescent="0.2">
      <c r="A17" s="28">
        <v>11</v>
      </c>
      <c r="B17" s="29" t="s">
        <v>354</v>
      </c>
      <c r="C17" s="29" t="s">
        <v>355</v>
      </c>
      <c r="D17" s="29" t="s">
        <v>61</v>
      </c>
      <c r="E17" s="30">
        <v>3258</v>
      </c>
      <c r="F17" s="31">
        <v>115.8219</v>
      </c>
      <c r="G17" s="32">
        <v>1.0904169999999999E-2</v>
      </c>
      <c r="H17" s="27" t="s">
        <v>142</v>
      </c>
    </row>
    <row r="18" spans="1:8" x14ac:dyDescent="0.2">
      <c r="A18" s="28">
        <v>12</v>
      </c>
      <c r="B18" s="29" t="s">
        <v>514</v>
      </c>
      <c r="C18" s="29" t="s">
        <v>515</v>
      </c>
      <c r="D18" s="29" t="s">
        <v>270</v>
      </c>
      <c r="E18" s="30">
        <v>14807</v>
      </c>
      <c r="F18" s="31">
        <v>115.02817949999999</v>
      </c>
      <c r="G18" s="32">
        <v>1.0829449999999999E-2</v>
      </c>
      <c r="H18" s="27" t="s">
        <v>142</v>
      </c>
    </row>
    <row r="19" spans="1:8" x14ac:dyDescent="0.2">
      <c r="A19" s="28">
        <v>13</v>
      </c>
      <c r="B19" s="29" t="s">
        <v>747</v>
      </c>
      <c r="C19" s="29" t="s">
        <v>748</v>
      </c>
      <c r="D19" s="29" t="s">
        <v>64</v>
      </c>
      <c r="E19" s="30">
        <v>74936</v>
      </c>
      <c r="F19" s="31">
        <v>114.7420032</v>
      </c>
      <c r="G19" s="32">
        <v>1.080251E-2</v>
      </c>
      <c r="H19" s="27" t="s">
        <v>142</v>
      </c>
    </row>
    <row r="20" spans="1:8" x14ac:dyDescent="0.2">
      <c r="A20" s="28">
        <v>14</v>
      </c>
      <c r="B20" s="29" t="s">
        <v>252</v>
      </c>
      <c r="C20" s="29" t="s">
        <v>253</v>
      </c>
      <c r="D20" s="29" t="s">
        <v>254</v>
      </c>
      <c r="E20" s="30">
        <v>4120</v>
      </c>
      <c r="F20" s="31">
        <v>114.56896</v>
      </c>
      <c r="G20" s="32">
        <v>1.0786219999999999E-2</v>
      </c>
      <c r="H20" s="27" t="s">
        <v>142</v>
      </c>
    </row>
    <row r="21" spans="1:8" ht="25.5" x14ac:dyDescent="0.2">
      <c r="A21" s="28">
        <v>15</v>
      </c>
      <c r="B21" s="29" t="s">
        <v>518</v>
      </c>
      <c r="C21" s="29" t="s">
        <v>519</v>
      </c>
      <c r="D21" s="29" t="s">
        <v>194</v>
      </c>
      <c r="E21" s="30">
        <v>1728</v>
      </c>
      <c r="F21" s="31">
        <v>114.25536</v>
      </c>
      <c r="G21" s="32">
        <v>1.0756689999999999E-2</v>
      </c>
      <c r="H21" s="27" t="s">
        <v>142</v>
      </c>
    </row>
    <row r="22" spans="1:8" x14ac:dyDescent="0.2">
      <c r="A22" s="28">
        <v>16</v>
      </c>
      <c r="B22" s="29" t="s">
        <v>636</v>
      </c>
      <c r="C22" s="29" t="s">
        <v>637</v>
      </c>
      <c r="D22" s="29" t="s">
        <v>58</v>
      </c>
      <c r="E22" s="30">
        <v>14319</v>
      </c>
      <c r="F22" s="31">
        <v>114.2441415</v>
      </c>
      <c r="G22" s="32">
        <v>1.075563E-2</v>
      </c>
      <c r="H22" s="27" t="s">
        <v>142</v>
      </c>
    </row>
    <row r="23" spans="1:8" x14ac:dyDescent="0.2">
      <c r="A23" s="28">
        <v>17</v>
      </c>
      <c r="B23" s="29" t="s">
        <v>749</v>
      </c>
      <c r="C23" s="29" t="s">
        <v>750</v>
      </c>
      <c r="D23" s="29" t="s">
        <v>64</v>
      </c>
      <c r="E23" s="30">
        <v>362</v>
      </c>
      <c r="F23" s="31">
        <v>113.7223</v>
      </c>
      <c r="G23" s="32">
        <v>1.0706510000000001E-2</v>
      </c>
      <c r="H23" s="27" t="s">
        <v>142</v>
      </c>
    </row>
    <row r="24" spans="1:8" x14ac:dyDescent="0.2">
      <c r="A24" s="28">
        <v>18</v>
      </c>
      <c r="B24" s="29" t="s">
        <v>268</v>
      </c>
      <c r="C24" s="29" t="s">
        <v>269</v>
      </c>
      <c r="D24" s="29" t="s">
        <v>270</v>
      </c>
      <c r="E24" s="30">
        <v>16956</v>
      </c>
      <c r="F24" s="31">
        <v>112.31654399999999</v>
      </c>
      <c r="G24" s="32">
        <v>1.0574160000000001E-2</v>
      </c>
      <c r="H24" s="27" t="s">
        <v>142</v>
      </c>
    </row>
    <row r="25" spans="1:8" x14ac:dyDescent="0.2">
      <c r="A25" s="28">
        <v>19</v>
      </c>
      <c r="B25" s="29" t="s">
        <v>627</v>
      </c>
      <c r="C25" s="29" t="s">
        <v>628</v>
      </c>
      <c r="D25" s="29" t="s">
        <v>28</v>
      </c>
      <c r="E25" s="30">
        <v>105948</v>
      </c>
      <c r="F25" s="31">
        <v>112.1141736</v>
      </c>
      <c r="G25" s="32">
        <v>1.0555109999999999E-2</v>
      </c>
      <c r="H25" s="27" t="s">
        <v>142</v>
      </c>
    </row>
    <row r="26" spans="1:8" x14ac:dyDescent="0.2">
      <c r="A26" s="28">
        <v>20</v>
      </c>
      <c r="B26" s="29" t="s">
        <v>348</v>
      </c>
      <c r="C26" s="29" t="s">
        <v>349</v>
      </c>
      <c r="D26" s="29" t="s">
        <v>290</v>
      </c>
      <c r="E26" s="30">
        <v>47028</v>
      </c>
      <c r="F26" s="31">
        <v>112.0724268</v>
      </c>
      <c r="G26" s="32">
        <v>1.055118E-2</v>
      </c>
      <c r="H26" s="27" t="s">
        <v>142</v>
      </c>
    </row>
    <row r="27" spans="1:8" x14ac:dyDescent="0.2">
      <c r="A27" s="28">
        <v>21</v>
      </c>
      <c r="B27" s="29" t="s">
        <v>496</v>
      </c>
      <c r="C27" s="29" t="s">
        <v>497</v>
      </c>
      <c r="D27" s="29" t="s">
        <v>226</v>
      </c>
      <c r="E27" s="30">
        <v>7367</v>
      </c>
      <c r="F27" s="31">
        <v>111.985767</v>
      </c>
      <c r="G27" s="32">
        <v>1.054302E-2</v>
      </c>
      <c r="H27" s="27" t="s">
        <v>142</v>
      </c>
    </row>
    <row r="28" spans="1:8" x14ac:dyDescent="0.2">
      <c r="A28" s="28">
        <v>22</v>
      </c>
      <c r="B28" s="29" t="s">
        <v>325</v>
      </c>
      <c r="C28" s="29" t="s">
        <v>326</v>
      </c>
      <c r="D28" s="29" t="s">
        <v>28</v>
      </c>
      <c r="E28" s="30">
        <v>44814</v>
      </c>
      <c r="F28" s="31">
        <v>111.833337</v>
      </c>
      <c r="G28" s="32">
        <v>1.052867E-2</v>
      </c>
      <c r="H28" s="27" t="s">
        <v>142</v>
      </c>
    </row>
    <row r="29" spans="1:8" x14ac:dyDescent="0.2">
      <c r="A29" s="28">
        <v>23</v>
      </c>
      <c r="B29" s="29" t="s">
        <v>494</v>
      </c>
      <c r="C29" s="29" t="s">
        <v>495</v>
      </c>
      <c r="D29" s="29" t="s">
        <v>254</v>
      </c>
      <c r="E29" s="30">
        <v>3755</v>
      </c>
      <c r="F29" s="31">
        <v>111.77884</v>
      </c>
      <c r="G29" s="32">
        <v>1.052354E-2</v>
      </c>
      <c r="H29" s="27" t="s">
        <v>142</v>
      </c>
    </row>
    <row r="30" spans="1:8" x14ac:dyDescent="0.2">
      <c r="A30" s="28">
        <v>24</v>
      </c>
      <c r="B30" s="29" t="s">
        <v>661</v>
      </c>
      <c r="C30" s="29" t="s">
        <v>662</v>
      </c>
      <c r="D30" s="29" t="s">
        <v>449</v>
      </c>
      <c r="E30" s="30">
        <v>2011</v>
      </c>
      <c r="F30" s="31">
        <v>110.81615499999999</v>
      </c>
      <c r="G30" s="32">
        <v>1.04329E-2</v>
      </c>
      <c r="H30" s="27" t="s">
        <v>142</v>
      </c>
    </row>
    <row r="31" spans="1:8" x14ac:dyDescent="0.2">
      <c r="A31" s="28">
        <v>25</v>
      </c>
      <c r="B31" s="29" t="s">
        <v>751</v>
      </c>
      <c r="C31" s="29" t="s">
        <v>752</v>
      </c>
      <c r="D31" s="29" t="s">
        <v>200</v>
      </c>
      <c r="E31" s="30">
        <v>2186</v>
      </c>
      <c r="F31" s="31">
        <v>110.80615400000001</v>
      </c>
      <c r="G31" s="32">
        <v>1.0431960000000001E-2</v>
      </c>
      <c r="H31" s="27" t="s">
        <v>142</v>
      </c>
    </row>
    <row r="32" spans="1:8" x14ac:dyDescent="0.2">
      <c r="A32" s="28">
        <v>26</v>
      </c>
      <c r="B32" s="29" t="s">
        <v>37</v>
      </c>
      <c r="C32" s="29" t="s">
        <v>38</v>
      </c>
      <c r="D32" s="29" t="s">
        <v>16</v>
      </c>
      <c r="E32" s="30">
        <v>34708</v>
      </c>
      <c r="F32" s="31">
        <v>110.510272</v>
      </c>
      <c r="G32" s="32">
        <v>1.0404109999999999E-2</v>
      </c>
      <c r="H32" s="27" t="s">
        <v>142</v>
      </c>
    </row>
    <row r="33" spans="1:8" ht="25.5" x14ac:dyDescent="0.2">
      <c r="A33" s="28">
        <v>27</v>
      </c>
      <c r="B33" s="29" t="s">
        <v>425</v>
      </c>
      <c r="C33" s="29" t="s">
        <v>426</v>
      </c>
      <c r="D33" s="29" t="s">
        <v>203</v>
      </c>
      <c r="E33" s="30">
        <v>9953</v>
      </c>
      <c r="F33" s="31">
        <v>110.110039</v>
      </c>
      <c r="G33" s="32">
        <v>1.0366429999999999E-2</v>
      </c>
      <c r="H33" s="27" t="s">
        <v>142</v>
      </c>
    </row>
    <row r="34" spans="1:8" ht="25.5" x14ac:dyDescent="0.2">
      <c r="A34" s="28">
        <v>28</v>
      </c>
      <c r="B34" s="29" t="s">
        <v>753</v>
      </c>
      <c r="C34" s="29" t="s">
        <v>754</v>
      </c>
      <c r="D34" s="29" t="s">
        <v>273</v>
      </c>
      <c r="E34" s="30">
        <v>3522</v>
      </c>
      <c r="F34" s="31">
        <v>109.43558400000001</v>
      </c>
      <c r="G34" s="32">
        <v>1.030293E-2</v>
      </c>
      <c r="H34" s="27" t="s">
        <v>142</v>
      </c>
    </row>
    <row r="35" spans="1:8" x14ac:dyDescent="0.2">
      <c r="A35" s="28">
        <v>29</v>
      </c>
      <c r="B35" s="29" t="s">
        <v>14</v>
      </c>
      <c r="C35" s="29" t="s">
        <v>15</v>
      </c>
      <c r="D35" s="29" t="s">
        <v>16</v>
      </c>
      <c r="E35" s="30">
        <v>7679</v>
      </c>
      <c r="F35" s="31">
        <v>109.110911</v>
      </c>
      <c r="G35" s="32">
        <v>1.0272359999999999E-2</v>
      </c>
      <c r="H35" s="27" t="s">
        <v>142</v>
      </c>
    </row>
    <row r="36" spans="1:8" x14ac:dyDescent="0.2">
      <c r="A36" s="28">
        <v>30</v>
      </c>
      <c r="B36" s="29" t="s">
        <v>755</v>
      </c>
      <c r="C36" s="29" t="s">
        <v>756</v>
      </c>
      <c r="D36" s="29" t="s">
        <v>22</v>
      </c>
      <c r="E36" s="30">
        <v>10752</v>
      </c>
      <c r="F36" s="31">
        <v>109.062912</v>
      </c>
      <c r="G36" s="32">
        <v>1.026784E-2</v>
      </c>
      <c r="H36" s="27" t="s">
        <v>142</v>
      </c>
    </row>
    <row r="37" spans="1:8" ht="25.5" x14ac:dyDescent="0.2">
      <c r="A37" s="28">
        <v>31</v>
      </c>
      <c r="B37" s="29" t="s">
        <v>622</v>
      </c>
      <c r="C37" s="29" t="s">
        <v>623</v>
      </c>
      <c r="D37" s="29" t="s">
        <v>624</v>
      </c>
      <c r="E37" s="30">
        <v>4307</v>
      </c>
      <c r="F37" s="31">
        <v>108.532093</v>
      </c>
      <c r="G37" s="32">
        <v>1.021787E-2</v>
      </c>
      <c r="H37" s="27" t="s">
        <v>142</v>
      </c>
    </row>
    <row r="38" spans="1:8" x14ac:dyDescent="0.2">
      <c r="A38" s="28">
        <v>32</v>
      </c>
      <c r="B38" s="29" t="s">
        <v>101</v>
      </c>
      <c r="C38" s="29" t="s">
        <v>102</v>
      </c>
      <c r="D38" s="29" t="s">
        <v>36</v>
      </c>
      <c r="E38" s="30">
        <v>1817</v>
      </c>
      <c r="F38" s="31">
        <v>108.49307</v>
      </c>
      <c r="G38" s="32">
        <v>1.021419E-2</v>
      </c>
      <c r="H38" s="27" t="s">
        <v>142</v>
      </c>
    </row>
    <row r="39" spans="1:8" x14ac:dyDescent="0.2">
      <c r="A39" s="28">
        <v>33</v>
      </c>
      <c r="B39" s="29" t="s">
        <v>638</v>
      </c>
      <c r="C39" s="29" t="s">
        <v>639</v>
      </c>
      <c r="D39" s="29" t="s">
        <v>16</v>
      </c>
      <c r="E39" s="30">
        <v>76340</v>
      </c>
      <c r="F39" s="31">
        <v>108.379898</v>
      </c>
      <c r="G39" s="32">
        <v>1.0203540000000001E-2</v>
      </c>
      <c r="H39" s="27" t="s">
        <v>142</v>
      </c>
    </row>
    <row r="40" spans="1:8" x14ac:dyDescent="0.2">
      <c r="A40" s="28">
        <v>34</v>
      </c>
      <c r="B40" s="29" t="s">
        <v>757</v>
      </c>
      <c r="C40" s="29" t="s">
        <v>758</v>
      </c>
      <c r="D40" s="29" t="s">
        <v>36</v>
      </c>
      <c r="E40" s="30">
        <v>15764</v>
      </c>
      <c r="F40" s="31">
        <v>108.25138800000001</v>
      </c>
      <c r="G40" s="32">
        <v>1.019144E-2</v>
      </c>
      <c r="H40" s="27" t="s">
        <v>142</v>
      </c>
    </row>
    <row r="41" spans="1:8" x14ac:dyDescent="0.2">
      <c r="A41" s="28">
        <v>35</v>
      </c>
      <c r="B41" s="29" t="s">
        <v>759</v>
      </c>
      <c r="C41" s="29" t="s">
        <v>760</v>
      </c>
      <c r="D41" s="29" t="s">
        <v>254</v>
      </c>
      <c r="E41" s="30">
        <v>5846</v>
      </c>
      <c r="F41" s="31">
        <v>107.987312</v>
      </c>
      <c r="G41" s="32">
        <v>1.016658E-2</v>
      </c>
      <c r="H41" s="27" t="s">
        <v>142</v>
      </c>
    </row>
    <row r="42" spans="1:8" x14ac:dyDescent="0.2">
      <c r="A42" s="28">
        <v>36</v>
      </c>
      <c r="B42" s="29" t="s">
        <v>504</v>
      </c>
      <c r="C42" s="29" t="s">
        <v>505</v>
      </c>
      <c r="D42" s="29" t="s">
        <v>200</v>
      </c>
      <c r="E42" s="30">
        <v>6849</v>
      </c>
      <c r="F42" s="31">
        <v>107.79641100000001</v>
      </c>
      <c r="G42" s="32">
        <v>1.0148610000000001E-2</v>
      </c>
      <c r="H42" s="27" t="s">
        <v>142</v>
      </c>
    </row>
    <row r="43" spans="1:8" x14ac:dyDescent="0.2">
      <c r="A43" s="28">
        <v>37</v>
      </c>
      <c r="B43" s="29" t="s">
        <v>761</v>
      </c>
      <c r="C43" s="29" t="s">
        <v>762</v>
      </c>
      <c r="D43" s="29" t="s">
        <v>305</v>
      </c>
      <c r="E43" s="30">
        <v>8729</v>
      </c>
      <c r="F43" s="31">
        <v>107.488906</v>
      </c>
      <c r="G43" s="32">
        <v>1.0119660000000001E-2</v>
      </c>
      <c r="H43" s="27" t="s">
        <v>142</v>
      </c>
    </row>
    <row r="44" spans="1:8" ht="25.5" x14ac:dyDescent="0.2">
      <c r="A44" s="28">
        <v>38</v>
      </c>
      <c r="B44" s="29" t="s">
        <v>690</v>
      </c>
      <c r="C44" s="29" t="s">
        <v>691</v>
      </c>
      <c r="D44" s="29" t="s">
        <v>194</v>
      </c>
      <c r="E44" s="30">
        <v>8583</v>
      </c>
      <c r="F44" s="31">
        <v>107.390496</v>
      </c>
      <c r="G44" s="32">
        <v>1.011039E-2</v>
      </c>
      <c r="H44" s="27" t="s">
        <v>142</v>
      </c>
    </row>
    <row r="45" spans="1:8" x14ac:dyDescent="0.2">
      <c r="A45" s="28">
        <v>39</v>
      </c>
      <c r="B45" s="29" t="s">
        <v>293</v>
      </c>
      <c r="C45" s="29" t="s">
        <v>294</v>
      </c>
      <c r="D45" s="29" t="s">
        <v>290</v>
      </c>
      <c r="E45" s="30">
        <v>1902</v>
      </c>
      <c r="F45" s="31">
        <v>107.33937</v>
      </c>
      <c r="G45" s="32">
        <v>1.0105579999999999E-2</v>
      </c>
      <c r="H45" s="27" t="s">
        <v>142</v>
      </c>
    </row>
    <row r="46" spans="1:8" x14ac:dyDescent="0.2">
      <c r="A46" s="28">
        <v>40</v>
      </c>
      <c r="B46" s="29" t="s">
        <v>502</v>
      </c>
      <c r="C46" s="29" t="s">
        <v>503</v>
      </c>
      <c r="D46" s="29" t="s">
        <v>254</v>
      </c>
      <c r="E46" s="30">
        <v>1246</v>
      </c>
      <c r="F46" s="31">
        <v>107.24321999999999</v>
      </c>
      <c r="G46" s="32">
        <v>1.0096529999999999E-2</v>
      </c>
      <c r="H46" s="27" t="s">
        <v>142</v>
      </c>
    </row>
    <row r="47" spans="1:8" x14ac:dyDescent="0.2">
      <c r="A47" s="28">
        <v>41</v>
      </c>
      <c r="B47" s="29" t="s">
        <v>317</v>
      </c>
      <c r="C47" s="29" t="s">
        <v>318</v>
      </c>
      <c r="D47" s="29" t="s">
        <v>28</v>
      </c>
      <c r="E47" s="30">
        <v>5513</v>
      </c>
      <c r="F47" s="31">
        <v>107.222337</v>
      </c>
      <c r="G47" s="32">
        <v>1.0094560000000001E-2</v>
      </c>
      <c r="H47" s="27" t="s">
        <v>142</v>
      </c>
    </row>
    <row r="48" spans="1:8" x14ac:dyDescent="0.2">
      <c r="A48" s="28">
        <v>42</v>
      </c>
      <c r="B48" s="29" t="s">
        <v>763</v>
      </c>
      <c r="C48" s="29" t="s">
        <v>764</v>
      </c>
      <c r="D48" s="29" t="s">
        <v>22</v>
      </c>
      <c r="E48" s="30">
        <v>19687</v>
      </c>
      <c r="F48" s="31">
        <v>107.057906</v>
      </c>
      <c r="G48" s="32">
        <v>1.0079080000000001E-2</v>
      </c>
      <c r="H48" s="27" t="s">
        <v>142</v>
      </c>
    </row>
    <row r="49" spans="1:8" x14ac:dyDescent="0.2">
      <c r="A49" s="28">
        <v>43</v>
      </c>
      <c r="B49" s="29" t="s">
        <v>11</v>
      </c>
      <c r="C49" s="29" t="s">
        <v>12</v>
      </c>
      <c r="D49" s="29" t="s">
        <v>13</v>
      </c>
      <c r="E49" s="30">
        <v>5764</v>
      </c>
      <c r="F49" s="31">
        <v>106.99136799999999</v>
      </c>
      <c r="G49" s="32">
        <v>1.007281E-2</v>
      </c>
      <c r="H49" s="27" t="s">
        <v>142</v>
      </c>
    </row>
    <row r="50" spans="1:8" x14ac:dyDescent="0.2">
      <c r="A50" s="28">
        <v>44</v>
      </c>
      <c r="B50" s="29" t="s">
        <v>26</v>
      </c>
      <c r="C50" s="29" t="s">
        <v>27</v>
      </c>
      <c r="D50" s="29" t="s">
        <v>28</v>
      </c>
      <c r="E50" s="30">
        <v>7385</v>
      </c>
      <c r="F50" s="31">
        <v>106.77233</v>
      </c>
      <c r="G50" s="32">
        <v>1.0052190000000001E-2</v>
      </c>
      <c r="H50" s="27" t="s">
        <v>142</v>
      </c>
    </row>
    <row r="51" spans="1:8" x14ac:dyDescent="0.2">
      <c r="A51" s="28">
        <v>45</v>
      </c>
      <c r="B51" s="29" t="s">
        <v>765</v>
      </c>
      <c r="C51" s="29" t="s">
        <v>766</v>
      </c>
      <c r="D51" s="29" t="s">
        <v>132</v>
      </c>
      <c r="E51" s="30">
        <v>793</v>
      </c>
      <c r="F51" s="31">
        <v>106.37302</v>
      </c>
      <c r="G51" s="32">
        <v>1.00146E-2</v>
      </c>
      <c r="H51" s="27" t="s">
        <v>142</v>
      </c>
    </row>
    <row r="52" spans="1:8" x14ac:dyDescent="0.2">
      <c r="A52" s="28">
        <v>46</v>
      </c>
      <c r="B52" s="29" t="s">
        <v>319</v>
      </c>
      <c r="C52" s="29" t="s">
        <v>320</v>
      </c>
      <c r="D52" s="29" t="s">
        <v>28</v>
      </c>
      <c r="E52" s="30">
        <v>8915</v>
      </c>
      <c r="F52" s="31">
        <v>106.28463000000001</v>
      </c>
      <c r="G52" s="32">
        <v>1.0006279999999999E-2</v>
      </c>
      <c r="H52" s="27" t="s">
        <v>142</v>
      </c>
    </row>
    <row r="53" spans="1:8" x14ac:dyDescent="0.2">
      <c r="A53" s="28">
        <v>47</v>
      </c>
      <c r="B53" s="29" t="s">
        <v>65</v>
      </c>
      <c r="C53" s="29" t="s">
        <v>66</v>
      </c>
      <c r="D53" s="29" t="s">
        <v>67</v>
      </c>
      <c r="E53" s="30">
        <v>1994</v>
      </c>
      <c r="F53" s="31">
        <v>106.28019999999999</v>
      </c>
      <c r="G53" s="32">
        <v>1.000586E-2</v>
      </c>
      <c r="H53" s="27" t="s">
        <v>142</v>
      </c>
    </row>
    <row r="54" spans="1:8" ht="25.5" x14ac:dyDescent="0.2">
      <c r="A54" s="28">
        <v>48</v>
      </c>
      <c r="B54" s="29" t="s">
        <v>99</v>
      </c>
      <c r="C54" s="29" t="s">
        <v>100</v>
      </c>
      <c r="D54" s="29" t="s">
        <v>25</v>
      </c>
      <c r="E54" s="30">
        <v>19136</v>
      </c>
      <c r="F54" s="31">
        <v>105.91776</v>
      </c>
      <c r="G54" s="32">
        <v>9.9717399999999998E-3</v>
      </c>
      <c r="H54" s="27" t="s">
        <v>142</v>
      </c>
    </row>
    <row r="55" spans="1:8" x14ac:dyDescent="0.2">
      <c r="A55" s="28">
        <v>49</v>
      </c>
      <c r="B55" s="29" t="s">
        <v>17</v>
      </c>
      <c r="C55" s="29" t="s">
        <v>18</v>
      </c>
      <c r="D55" s="29" t="s">
        <v>19</v>
      </c>
      <c r="E55" s="30">
        <v>2878</v>
      </c>
      <c r="F55" s="31">
        <v>105.769378</v>
      </c>
      <c r="G55" s="32">
        <v>9.9577699999999995E-3</v>
      </c>
      <c r="H55" s="27" t="s">
        <v>142</v>
      </c>
    </row>
    <row r="56" spans="1:8" x14ac:dyDescent="0.2">
      <c r="A56" s="28">
        <v>50</v>
      </c>
      <c r="B56" s="29" t="s">
        <v>713</v>
      </c>
      <c r="C56" s="29" t="s">
        <v>714</v>
      </c>
      <c r="D56" s="29" t="s">
        <v>270</v>
      </c>
      <c r="E56" s="30">
        <v>5607</v>
      </c>
      <c r="F56" s="31">
        <v>105.153678</v>
      </c>
      <c r="G56" s="32">
        <v>9.8998000000000003E-3</v>
      </c>
      <c r="H56" s="27" t="s">
        <v>142</v>
      </c>
    </row>
    <row r="57" spans="1:8" x14ac:dyDescent="0.2">
      <c r="A57" s="28">
        <v>51</v>
      </c>
      <c r="B57" s="29" t="s">
        <v>84</v>
      </c>
      <c r="C57" s="29" t="s">
        <v>85</v>
      </c>
      <c r="D57" s="29" t="s">
        <v>86</v>
      </c>
      <c r="E57" s="30">
        <v>55396</v>
      </c>
      <c r="F57" s="31">
        <v>105.14160800000001</v>
      </c>
      <c r="G57" s="32">
        <v>9.89867E-3</v>
      </c>
      <c r="H57" s="27" t="s">
        <v>142</v>
      </c>
    </row>
    <row r="58" spans="1:8" x14ac:dyDescent="0.2">
      <c r="A58" s="28">
        <v>52</v>
      </c>
      <c r="B58" s="29" t="s">
        <v>41</v>
      </c>
      <c r="C58" s="29" t="s">
        <v>42</v>
      </c>
      <c r="D58" s="29" t="s">
        <v>22</v>
      </c>
      <c r="E58" s="30">
        <v>26727</v>
      </c>
      <c r="F58" s="31">
        <v>104.983656</v>
      </c>
      <c r="G58" s="32">
        <v>9.8837999999999999E-3</v>
      </c>
      <c r="H58" s="27" t="s">
        <v>142</v>
      </c>
    </row>
    <row r="59" spans="1:8" x14ac:dyDescent="0.2">
      <c r="A59" s="28">
        <v>53</v>
      </c>
      <c r="B59" s="29" t="s">
        <v>767</v>
      </c>
      <c r="C59" s="29" t="s">
        <v>768</v>
      </c>
      <c r="D59" s="29" t="s">
        <v>132</v>
      </c>
      <c r="E59" s="30">
        <v>75427</v>
      </c>
      <c r="F59" s="31">
        <v>104.80581650000001</v>
      </c>
      <c r="G59" s="32">
        <v>9.8670500000000005E-3</v>
      </c>
      <c r="H59" s="27" t="s">
        <v>142</v>
      </c>
    </row>
    <row r="60" spans="1:8" ht="25.5" x14ac:dyDescent="0.2">
      <c r="A60" s="28">
        <v>54</v>
      </c>
      <c r="B60" s="29" t="s">
        <v>341</v>
      </c>
      <c r="C60" s="29" t="s">
        <v>342</v>
      </c>
      <c r="D60" s="29" t="s">
        <v>132</v>
      </c>
      <c r="E60" s="30">
        <v>6541</v>
      </c>
      <c r="F60" s="31">
        <v>104.72141000000001</v>
      </c>
      <c r="G60" s="32">
        <v>9.8591100000000008E-3</v>
      </c>
      <c r="H60" s="27" t="s">
        <v>142</v>
      </c>
    </row>
    <row r="61" spans="1:8" x14ac:dyDescent="0.2">
      <c r="A61" s="28">
        <v>55</v>
      </c>
      <c r="B61" s="29" t="s">
        <v>46</v>
      </c>
      <c r="C61" s="29" t="s">
        <v>47</v>
      </c>
      <c r="D61" s="29" t="s">
        <v>28</v>
      </c>
      <c r="E61" s="30">
        <v>12876</v>
      </c>
      <c r="F61" s="31">
        <v>104.591748</v>
      </c>
      <c r="G61" s="32">
        <v>9.8469000000000004E-3</v>
      </c>
      <c r="H61" s="27" t="s">
        <v>142</v>
      </c>
    </row>
    <row r="62" spans="1:8" x14ac:dyDescent="0.2">
      <c r="A62" s="28">
        <v>56</v>
      </c>
      <c r="B62" s="29" t="s">
        <v>769</v>
      </c>
      <c r="C62" s="29" t="s">
        <v>770</v>
      </c>
      <c r="D62" s="29" t="s">
        <v>22</v>
      </c>
      <c r="E62" s="30">
        <v>12042</v>
      </c>
      <c r="F62" s="31">
        <v>104.428224</v>
      </c>
      <c r="G62" s="32">
        <v>9.8315099999999999E-3</v>
      </c>
      <c r="H62" s="27" t="s">
        <v>142</v>
      </c>
    </row>
    <row r="63" spans="1:8" x14ac:dyDescent="0.2">
      <c r="A63" s="28">
        <v>57</v>
      </c>
      <c r="B63" s="29" t="s">
        <v>771</v>
      </c>
      <c r="C63" s="29" t="s">
        <v>772</v>
      </c>
      <c r="D63" s="29" t="s">
        <v>449</v>
      </c>
      <c r="E63" s="30">
        <v>4354</v>
      </c>
      <c r="F63" s="31">
        <v>104.33054799999999</v>
      </c>
      <c r="G63" s="32">
        <v>9.8223100000000008E-3</v>
      </c>
      <c r="H63" s="27" t="s">
        <v>142</v>
      </c>
    </row>
    <row r="64" spans="1:8" x14ac:dyDescent="0.2">
      <c r="A64" s="28">
        <v>58</v>
      </c>
      <c r="B64" s="29" t="s">
        <v>135</v>
      </c>
      <c r="C64" s="29" t="s">
        <v>136</v>
      </c>
      <c r="D64" s="29" t="s">
        <v>137</v>
      </c>
      <c r="E64" s="30">
        <v>10973</v>
      </c>
      <c r="F64" s="31">
        <v>104.12279700000001</v>
      </c>
      <c r="G64" s="32">
        <v>9.8027500000000007E-3</v>
      </c>
      <c r="H64" s="27" t="s">
        <v>142</v>
      </c>
    </row>
    <row r="65" spans="1:8" x14ac:dyDescent="0.2">
      <c r="A65" s="28">
        <v>59</v>
      </c>
      <c r="B65" s="29" t="s">
        <v>498</v>
      </c>
      <c r="C65" s="29" t="s">
        <v>499</v>
      </c>
      <c r="D65" s="29" t="s">
        <v>254</v>
      </c>
      <c r="E65" s="30">
        <v>841</v>
      </c>
      <c r="F65" s="31">
        <v>103.60279</v>
      </c>
      <c r="G65" s="32">
        <v>9.75379E-3</v>
      </c>
      <c r="H65" s="27" t="s">
        <v>142</v>
      </c>
    </row>
    <row r="66" spans="1:8" x14ac:dyDescent="0.2">
      <c r="A66" s="28">
        <v>60</v>
      </c>
      <c r="B66" s="29" t="s">
        <v>512</v>
      </c>
      <c r="C66" s="29" t="s">
        <v>513</v>
      </c>
      <c r="D66" s="29" t="s">
        <v>132</v>
      </c>
      <c r="E66" s="30">
        <v>5126</v>
      </c>
      <c r="F66" s="31">
        <v>103.411924</v>
      </c>
      <c r="G66" s="32">
        <v>9.7358199999999992E-3</v>
      </c>
      <c r="H66" s="27" t="s">
        <v>142</v>
      </c>
    </row>
    <row r="67" spans="1:8" x14ac:dyDescent="0.2">
      <c r="A67" s="28">
        <v>61</v>
      </c>
      <c r="B67" s="29" t="s">
        <v>407</v>
      </c>
      <c r="C67" s="29" t="s">
        <v>408</v>
      </c>
      <c r="D67" s="29" t="s">
        <v>137</v>
      </c>
      <c r="E67" s="30">
        <v>64050</v>
      </c>
      <c r="F67" s="31">
        <v>103.13330999999999</v>
      </c>
      <c r="G67" s="32">
        <v>9.7095900000000006E-3</v>
      </c>
      <c r="H67" s="27" t="s">
        <v>142</v>
      </c>
    </row>
    <row r="68" spans="1:8" x14ac:dyDescent="0.2">
      <c r="A68" s="28">
        <v>62</v>
      </c>
      <c r="B68" s="29" t="s">
        <v>773</v>
      </c>
      <c r="C68" s="29" t="s">
        <v>774</v>
      </c>
      <c r="D68" s="29" t="s">
        <v>132</v>
      </c>
      <c r="E68" s="30">
        <v>84110</v>
      </c>
      <c r="F68" s="31">
        <v>102.6142</v>
      </c>
      <c r="G68" s="32">
        <v>9.6607199999999994E-3</v>
      </c>
      <c r="H68" s="27" t="s">
        <v>142</v>
      </c>
    </row>
    <row r="69" spans="1:8" x14ac:dyDescent="0.2">
      <c r="A69" s="28">
        <v>63</v>
      </c>
      <c r="B69" s="29" t="s">
        <v>688</v>
      </c>
      <c r="C69" s="29" t="s">
        <v>689</v>
      </c>
      <c r="D69" s="29" t="s">
        <v>197</v>
      </c>
      <c r="E69" s="30">
        <v>1489</v>
      </c>
      <c r="F69" s="31">
        <v>102.45064499999999</v>
      </c>
      <c r="G69" s="32">
        <v>9.6453200000000006E-3</v>
      </c>
      <c r="H69" s="27" t="s">
        <v>142</v>
      </c>
    </row>
    <row r="70" spans="1:8" x14ac:dyDescent="0.2">
      <c r="A70" s="28">
        <v>64</v>
      </c>
      <c r="B70" s="29" t="s">
        <v>327</v>
      </c>
      <c r="C70" s="29" t="s">
        <v>328</v>
      </c>
      <c r="D70" s="29" t="s">
        <v>132</v>
      </c>
      <c r="E70" s="30">
        <v>1114</v>
      </c>
      <c r="F70" s="31">
        <v>102.27077</v>
      </c>
      <c r="G70" s="32">
        <v>9.6283900000000006E-3</v>
      </c>
      <c r="H70" s="27" t="s">
        <v>142</v>
      </c>
    </row>
    <row r="71" spans="1:8" x14ac:dyDescent="0.2">
      <c r="A71" s="28">
        <v>65</v>
      </c>
      <c r="B71" s="29" t="s">
        <v>775</v>
      </c>
      <c r="C71" s="29" t="s">
        <v>776</v>
      </c>
      <c r="D71" s="29" t="s">
        <v>61</v>
      </c>
      <c r="E71" s="30">
        <v>6671</v>
      </c>
      <c r="F71" s="31">
        <v>101.86617</v>
      </c>
      <c r="G71" s="32">
        <v>9.5902999999999995E-3</v>
      </c>
      <c r="H71" s="27" t="s">
        <v>142</v>
      </c>
    </row>
    <row r="72" spans="1:8" x14ac:dyDescent="0.2">
      <c r="A72" s="28">
        <v>66</v>
      </c>
      <c r="B72" s="29" t="s">
        <v>434</v>
      </c>
      <c r="C72" s="29" t="s">
        <v>435</v>
      </c>
      <c r="D72" s="29" t="s">
        <v>345</v>
      </c>
      <c r="E72" s="30">
        <v>4337</v>
      </c>
      <c r="F72" s="31">
        <v>101.845771</v>
      </c>
      <c r="G72" s="32">
        <v>9.5883800000000005E-3</v>
      </c>
      <c r="H72" s="27" t="s">
        <v>142</v>
      </c>
    </row>
    <row r="73" spans="1:8" x14ac:dyDescent="0.2">
      <c r="A73" s="28">
        <v>67</v>
      </c>
      <c r="B73" s="29" t="s">
        <v>421</v>
      </c>
      <c r="C73" s="29" t="s">
        <v>422</v>
      </c>
      <c r="D73" s="29" t="s">
        <v>200</v>
      </c>
      <c r="E73" s="30">
        <v>6199</v>
      </c>
      <c r="F73" s="31">
        <v>101.452834</v>
      </c>
      <c r="G73" s="32">
        <v>9.5513799999999999E-3</v>
      </c>
      <c r="H73" s="27" t="s">
        <v>142</v>
      </c>
    </row>
    <row r="74" spans="1:8" ht="25.5" x14ac:dyDescent="0.2">
      <c r="A74" s="28">
        <v>68</v>
      </c>
      <c r="B74" s="29" t="s">
        <v>284</v>
      </c>
      <c r="C74" s="29" t="s">
        <v>285</v>
      </c>
      <c r="D74" s="29" t="s">
        <v>194</v>
      </c>
      <c r="E74" s="30">
        <v>10885</v>
      </c>
      <c r="F74" s="31">
        <v>101.23050000000001</v>
      </c>
      <c r="G74" s="32">
        <v>9.5304499999999993E-3</v>
      </c>
      <c r="H74" s="27" t="s">
        <v>142</v>
      </c>
    </row>
    <row r="75" spans="1:8" x14ac:dyDescent="0.2">
      <c r="A75" s="28">
        <v>69</v>
      </c>
      <c r="B75" s="29" t="s">
        <v>32</v>
      </c>
      <c r="C75" s="29" t="s">
        <v>33</v>
      </c>
      <c r="D75" s="29" t="s">
        <v>22</v>
      </c>
      <c r="E75" s="30">
        <v>34849</v>
      </c>
      <c r="F75" s="31">
        <v>100.97497749999999</v>
      </c>
      <c r="G75" s="32">
        <v>9.5063999999999999E-3</v>
      </c>
      <c r="H75" s="27" t="s">
        <v>142</v>
      </c>
    </row>
    <row r="76" spans="1:8" x14ac:dyDescent="0.2">
      <c r="A76" s="28">
        <v>70</v>
      </c>
      <c r="B76" s="29" t="s">
        <v>343</v>
      </c>
      <c r="C76" s="29" t="s">
        <v>344</v>
      </c>
      <c r="D76" s="29" t="s">
        <v>345</v>
      </c>
      <c r="E76" s="30">
        <v>24083</v>
      </c>
      <c r="F76" s="31">
        <v>100.67898150000001</v>
      </c>
      <c r="G76" s="32">
        <v>9.4785300000000006E-3</v>
      </c>
      <c r="H76" s="27" t="s">
        <v>142</v>
      </c>
    </row>
    <row r="77" spans="1:8" x14ac:dyDescent="0.2">
      <c r="A77" s="28">
        <v>71</v>
      </c>
      <c r="B77" s="29" t="s">
        <v>335</v>
      </c>
      <c r="C77" s="29" t="s">
        <v>336</v>
      </c>
      <c r="D77" s="29" t="s">
        <v>290</v>
      </c>
      <c r="E77" s="30">
        <v>6986</v>
      </c>
      <c r="F77" s="31">
        <v>99.725149999999999</v>
      </c>
      <c r="G77" s="32">
        <v>9.3887299999999996E-3</v>
      </c>
      <c r="H77" s="27" t="s">
        <v>142</v>
      </c>
    </row>
    <row r="78" spans="1:8" x14ac:dyDescent="0.2">
      <c r="A78" s="28">
        <v>72</v>
      </c>
      <c r="B78" s="29" t="s">
        <v>352</v>
      </c>
      <c r="C78" s="29" t="s">
        <v>353</v>
      </c>
      <c r="D78" s="29" t="s">
        <v>254</v>
      </c>
      <c r="E78" s="30">
        <v>13798</v>
      </c>
      <c r="F78" s="31">
        <v>99.276610000000005</v>
      </c>
      <c r="G78" s="32">
        <v>9.3465000000000006E-3</v>
      </c>
      <c r="H78" s="27" t="s">
        <v>142</v>
      </c>
    </row>
    <row r="79" spans="1:8" ht="25.5" x14ac:dyDescent="0.2">
      <c r="A79" s="28">
        <v>73</v>
      </c>
      <c r="B79" s="29" t="s">
        <v>339</v>
      </c>
      <c r="C79" s="29" t="s">
        <v>340</v>
      </c>
      <c r="D79" s="29" t="s">
        <v>25</v>
      </c>
      <c r="E79" s="30">
        <v>3889</v>
      </c>
      <c r="F79" s="31">
        <v>99.006162000000003</v>
      </c>
      <c r="G79" s="32">
        <v>9.3210399999999992E-3</v>
      </c>
      <c r="H79" s="27" t="s">
        <v>142</v>
      </c>
    </row>
    <row r="80" spans="1:8" x14ac:dyDescent="0.2">
      <c r="A80" s="28">
        <v>74</v>
      </c>
      <c r="B80" s="29" t="s">
        <v>633</v>
      </c>
      <c r="C80" s="29" t="s">
        <v>634</v>
      </c>
      <c r="D80" s="29" t="s">
        <v>635</v>
      </c>
      <c r="E80" s="30">
        <v>24815</v>
      </c>
      <c r="F80" s="31">
        <v>98.589995000000002</v>
      </c>
      <c r="G80" s="32">
        <v>9.2818599999999994E-3</v>
      </c>
      <c r="H80" s="27" t="s">
        <v>142</v>
      </c>
    </row>
    <row r="81" spans="1:8" ht="25.5" x14ac:dyDescent="0.2">
      <c r="A81" s="28">
        <v>75</v>
      </c>
      <c r="B81" s="29" t="s">
        <v>23</v>
      </c>
      <c r="C81" s="29" t="s">
        <v>24</v>
      </c>
      <c r="D81" s="29" t="s">
        <v>25</v>
      </c>
      <c r="E81" s="30">
        <v>878</v>
      </c>
      <c r="F81" s="31">
        <v>98.4238</v>
      </c>
      <c r="G81" s="32">
        <v>9.2662100000000004E-3</v>
      </c>
      <c r="H81" s="27" t="s">
        <v>142</v>
      </c>
    </row>
    <row r="82" spans="1:8" ht="25.5" x14ac:dyDescent="0.2">
      <c r="A82" s="28">
        <v>76</v>
      </c>
      <c r="B82" s="29" t="s">
        <v>430</v>
      </c>
      <c r="C82" s="29" t="s">
        <v>431</v>
      </c>
      <c r="D82" s="29" t="s">
        <v>194</v>
      </c>
      <c r="E82" s="30">
        <v>6701</v>
      </c>
      <c r="F82" s="31">
        <v>98.216556999999995</v>
      </c>
      <c r="G82" s="32">
        <v>9.2467000000000001E-3</v>
      </c>
      <c r="H82" s="27" t="s">
        <v>142</v>
      </c>
    </row>
    <row r="83" spans="1:8" x14ac:dyDescent="0.2">
      <c r="A83" s="28">
        <v>77</v>
      </c>
      <c r="B83" s="29" t="s">
        <v>717</v>
      </c>
      <c r="C83" s="29" t="s">
        <v>718</v>
      </c>
      <c r="D83" s="29" t="s">
        <v>290</v>
      </c>
      <c r="E83" s="30">
        <v>2433</v>
      </c>
      <c r="F83" s="31">
        <v>97.371093000000002</v>
      </c>
      <c r="G83" s="32">
        <v>9.1670999999999992E-3</v>
      </c>
      <c r="H83" s="27" t="s">
        <v>142</v>
      </c>
    </row>
    <row r="84" spans="1:8" x14ac:dyDescent="0.2">
      <c r="A84" s="28">
        <v>78</v>
      </c>
      <c r="B84" s="29" t="s">
        <v>777</v>
      </c>
      <c r="C84" s="29" t="s">
        <v>778</v>
      </c>
      <c r="D84" s="29" t="s">
        <v>254</v>
      </c>
      <c r="E84" s="30">
        <v>1822</v>
      </c>
      <c r="F84" s="31">
        <v>97.176370000000006</v>
      </c>
      <c r="G84" s="32">
        <v>9.1487700000000005E-3</v>
      </c>
      <c r="H84" s="27" t="s">
        <v>142</v>
      </c>
    </row>
    <row r="85" spans="1:8" ht="25.5" x14ac:dyDescent="0.2">
      <c r="A85" s="28">
        <v>79</v>
      </c>
      <c r="B85" s="29" t="s">
        <v>779</v>
      </c>
      <c r="C85" s="29" t="s">
        <v>780</v>
      </c>
      <c r="D85" s="29" t="s">
        <v>194</v>
      </c>
      <c r="E85" s="30">
        <v>3058</v>
      </c>
      <c r="F85" s="31">
        <v>97.082325999999995</v>
      </c>
      <c r="G85" s="32">
        <v>9.1399199999999993E-3</v>
      </c>
      <c r="H85" s="27" t="s">
        <v>142</v>
      </c>
    </row>
    <row r="86" spans="1:8" ht="25.5" x14ac:dyDescent="0.2">
      <c r="A86" s="28">
        <v>80</v>
      </c>
      <c r="B86" s="29" t="s">
        <v>781</v>
      </c>
      <c r="C86" s="29" t="s">
        <v>782</v>
      </c>
      <c r="D86" s="29" t="s">
        <v>25</v>
      </c>
      <c r="E86" s="30">
        <v>328</v>
      </c>
      <c r="F86" s="31">
        <v>97.071600000000004</v>
      </c>
      <c r="G86" s="32">
        <v>9.1389100000000001E-3</v>
      </c>
      <c r="H86" s="27" t="s">
        <v>142</v>
      </c>
    </row>
    <row r="87" spans="1:8" x14ac:dyDescent="0.2">
      <c r="A87" s="28">
        <v>81</v>
      </c>
      <c r="B87" s="29" t="s">
        <v>783</v>
      </c>
      <c r="C87" s="29" t="s">
        <v>784</v>
      </c>
      <c r="D87" s="29" t="s">
        <v>290</v>
      </c>
      <c r="E87" s="30">
        <v>29145</v>
      </c>
      <c r="F87" s="31">
        <v>97.067422500000006</v>
      </c>
      <c r="G87" s="32">
        <v>9.1385100000000007E-3</v>
      </c>
      <c r="H87" s="27" t="s">
        <v>142</v>
      </c>
    </row>
    <row r="88" spans="1:8" x14ac:dyDescent="0.2">
      <c r="A88" s="28">
        <v>82</v>
      </c>
      <c r="B88" s="29" t="s">
        <v>323</v>
      </c>
      <c r="C88" s="29" t="s">
        <v>324</v>
      </c>
      <c r="D88" s="29" t="s">
        <v>200</v>
      </c>
      <c r="E88" s="30">
        <v>6197</v>
      </c>
      <c r="F88" s="31">
        <v>96.840519</v>
      </c>
      <c r="G88" s="32">
        <v>9.1171499999999992E-3</v>
      </c>
      <c r="H88" s="27" t="s">
        <v>142</v>
      </c>
    </row>
    <row r="89" spans="1:8" x14ac:dyDescent="0.2">
      <c r="A89" s="28">
        <v>83</v>
      </c>
      <c r="B89" s="29" t="s">
        <v>785</v>
      </c>
      <c r="C89" s="29" t="s">
        <v>786</v>
      </c>
      <c r="D89" s="29" t="s">
        <v>132</v>
      </c>
      <c r="E89" s="30">
        <v>23706</v>
      </c>
      <c r="F89" s="31">
        <v>96.234506999999994</v>
      </c>
      <c r="G89" s="32">
        <v>9.0600999999999998E-3</v>
      </c>
      <c r="H89" s="27" t="s">
        <v>142</v>
      </c>
    </row>
    <row r="90" spans="1:8" x14ac:dyDescent="0.2">
      <c r="A90" s="28">
        <v>84</v>
      </c>
      <c r="B90" s="29" t="s">
        <v>282</v>
      </c>
      <c r="C90" s="29" t="s">
        <v>283</v>
      </c>
      <c r="D90" s="29" t="s">
        <v>132</v>
      </c>
      <c r="E90" s="30">
        <v>15019</v>
      </c>
      <c r="F90" s="31">
        <v>96.023976500000003</v>
      </c>
      <c r="G90" s="32">
        <v>9.0402799999999995E-3</v>
      </c>
      <c r="H90" s="27" t="s">
        <v>142</v>
      </c>
    </row>
    <row r="91" spans="1:8" x14ac:dyDescent="0.2">
      <c r="A91" s="28">
        <v>85</v>
      </c>
      <c r="B91" s="29" t="s">
        <v>673</v>
      </c>
      <c r="C91" s="29" t="s">
        <v>674</v>
      </c>
      <c r="D91" s="29" t="s">
        <v>61</v>
      </c>
      <c r="E91" s="30">
        <v>4248</v>
      </c>
      <c r="F91" s="31">
        <v>95.966567999999995</v>
      </c>
      <c r="G91" s="32">
        <v>9.0348700000000004E-3</v>
      </c>
      <c r="H91" s="27" t="s">
        <v>142</v>
      </c>
    </row>
    <row r="92" spans="1:8" ht="25.5" x14ac:dyDescent="0.2">
      <c r="A92" s="28">
        <v>86</v>
      </c>
      <c r="B92" s="29" t="s">
        <v>331</v>
      </c>
      <c r="C92" s="29" t="s">
        <v>332</v>
      </c>
      <c r="D92" s="29" t="s">
        <v>194</v>
      </c>
      <c r="E92" s="30">
        <v>5693</v>
      </c>
      <c r="F92" s="31">
        <v>95.505768000000003</v>
      </c>
      <c r="G92" s="32">
        <v>8.9914899999999996E-3</v>
      </c>
      <c r="H92" s="27" t="s">
        <v>142</v>
      </c>
    </row>
    <row r="93" spans="1:8" x14ac:dyDescent="0.2">
      <c r="A93" s="28">
        <v>87</v>
      </c>
      <c r="B93" s="29" t="s">
        <v>520</v>
      </c>
      <c r="C93" s="29" t="s">
        <v>521</v>
      </c>
      <c r="D93" s="29" t="s">
        <v>305</v>
      </c>
      <c r="E93" s="30">
        <v>19714</v>
      </c>
      <c r="F93" s="31">
        <v>95.208763000000005</v>
      </c>
      <c r="G93" s="32">
        <v>8.9635300000000008E-3</v>
      </c>
      <c r="H93" s="27" t="s">
        <v>142</v>
      </c>
    </row>
    <row r="94" spans="1:8" x14ac:dyDescent="0.2">
      <c r="A94" s="28">
        <v>88</v>
      </c>
      <c r="B94" s="29" t="s">
        <v>358</v>
      </c>
      <c r="C94" s="29" t="s">
        <v>359</v>
      </c>
      <c r="D94" s="29" t="s">
        <v>200</v>
      </c>
      <c r="E94" s="30">
        <v>2740</v>
      </c>
      <c r="F94" s="31">
        <v>94.89716</v>
      </c>
      <c r="G94" s="32">
        <v>8.9341899999999998E-3</v>
      </c>
      <c r="H94" s="27" t="s">
        <v>142</v>
      </c>
    </row>
    <row r="95" spans="1:8" x14ac:dyDescent="0.2">
      <c r="A95" s="28">
        <v>89</v>
      </c>
      <c r="B95" s="29" t="s">
        <v>787</v>
      </c>
      <c r="C95" s="29" t="s">
        <v>788</v>
      </c>
      <c r="D95" s="29" t="s">
        <v>789</v>
      </c>
      <c r="E95" s="30">
        <v>21751</v>
      </c>
      <c r="F95" s="31">
        <v>94.736480499999999</v>
      </c>
      <c r="G95" s="32">
        <v>8.9190699999999994E-3</v>
      </c>
      <c r="H95" s="27" t="s">
        <v>142</v>
      </c>
    </row>
    <row r="96" spans="1:8" x14ac:dyDescent="0.2">
      <c r="A96" s="28">
        <v>90</v>
      </c>
      <c r="B96" s="29" t="s">
        <v>68</v>
      </c>
      <c r="C96" s="29" t="s">
        <v>69</v>
      </c>
      <c r="D96" s="29" t="s">
        <v>70</v>
      </c>
      <c r="E96" s="30">
        <v>39394</v>
      </c>
      <c r="F96" s="31">
        <v>94.309235999999999</v>
      </c>
      <c r="G96" s="32">
        <v>8.8788400000000007E-3</v>
      </c>
      <c r="H96" s="27" t="s">
        <v>142</v>
      </c>
    </row>
    <row r="97" spans="1:8" x14ac:dyDescent="0.2">
      <c r="A97" s="28">
        <v>91</v>
      </c>
      <c r="B97" s="29" t="s">
        <v>321</v>
      </c>
      <c r="C97" s="29" t="s">
        <v>322</v>
      </c>
      <c r="D97" s="29" t="s">
        <v>28</v>
      </c>
      <c r="E97" s="30">
        <v>4534</v>
      </c>
      <c r="F97" s="31">
        <v>94.066897999999995</v>
      </c>
      <c r="G97" s="32">
        <v>8.8560300000000008E-3</v>
      </c>
      <c r="H97" s="27" t="s">
        <v>142</v>
      </c>
    </row>
    <row r="98" spans="1:8" x14ac:dyDescent="0.2">
      <c r="A98" s="28">
        <v>92</v>
      </c>
      <c r="B98" s="29" t="s">
        <v>438</v>
      </c>
      <c r="C98" s="29" t="s">
        <v>439</v>
      </c>
      <c r="D98" s="29" t="s">
        <v>200</v>
      </c>
      <c r="E98" s="30">
        <v>37463</v>
      </c>
      <c r="F98" s="31">
        <v>93.533872099999996</v>
      </c>
      <c r="G98" s="32">
        <v>8.8058400000000005E-3</v>
      </c>
      <c r="H98" s="27" t="s">
        <v>142</v>
      </c>
    </row>
    <row r="99" spans="1:8" x14ac:dyDescent="0.2">
      <c r="A99" s="28">
        <v>93</v>
      </c>
      <c r="B99" s="29" t="s">
        <v>684</v>
      </c>
      <c r="C99" s="29" t="s">
        <v>685</v>
      </c>
      <c r="D99" s="29" t="s">
        <v>137</v>
      </c>
      <c r="E99" s="30">
        <v>9361</v>
      </c>
      <c r="F99" s="31">
        <v>93.001535000000004</v>
      </c>
      <c r="G99" s="32">
        <v>8.7557299999999998E-3</v>
      </c>
      <c r="H99" s="27" t="s">
        <v>142</v>
      </c>
    </row>
    <row r="100" spans="1:8" x14ac:dyDescent="0.2">
      <c r="A100" s="28">
        <v>94</v>
      </c>
      <c r="B100" s="29" t="s">
        <v>427</v>
      </c>
      <c r="C100" s="29" t="s">
        <v>428</v>
      </c>
      <c r="D100" s="29" t="s">
        <v>429</v>
      </c>
      <c r="E100" s="30">
        <v>14602</v>
      </c>
      <c r="F100" s="31">
        <v>92.50367</v>
      </c>
      <c r="G100" s="32">
        <v>8.7088600000000006E-3</v>
      </c>
      <c r="H100" s="27" t="s">
        <v>142</v>
      </c>
    </row>
    <row r="101" spans="1:8" x14ac:dyDescent="0.2">
      <c r="A101" s="28">
        <v>95</v>
      </c>
      <c r="B101" s="29" t="s">
        <v>308</v>
      </c>
      <c r="C101" s="29" t="s">
        <v>309</v>
      </c>
      <c r="D101" s="29" t="s">
        <v>229</v>
      </c>
      <c r="E101" s="30">
        <v>11894</v>
      </c>
      <c r="F101" s="31">
        <v>91.565959000000007</v>
      </c>
      <c r="G101" s="32">
        <v>8.6205699999999993E-3</v>
      </c>
      <c r="H101" s="27" t="s">
        <v>142</v>
      </c>
    </row>
    <row r="102" spans="1:8" x14ac:dyDescent="0.2">
      <c r="A102" s="28">
        <v>96</v>
      </c>
      <c r="B102" s="29" t="s">
        <v>350</v>
      </c>
      <c r="C102" s="29" t="s">
        <v>351</v>
      </c>
      <c r="D102" s="29" t="s">
        <v>226</v>
      </c>
      <c r="E102" s="30">
        <v>19101</v>
      </c>
      <c r="F102" s="31">
        <v>90.911209499999998</v>
      </c>
      <c r="G102" s="32">
        <v>8.5589299999999993E-3</v>
      </c>
      <c r="H102" s="27" t="s">
        <v>142</v>
      </c>
    </row>
    <row r="103" spans="1:8" x14ac:dyDescent="0.2">
      <c r="A103" s="28">
        <v>97</v>
      </c>
      <c r="B103" s="29" t="s">
        <v>20</v>
      </c>
      <c r="C103" s="29" t="s">
        <v>21</v>
      </c>
      <c r="D103" s="29" t="s">
        <v>22</v>
      </c>
      <c r="E103" s="30">
        <v>27106</v>
      </c>
      <c r="F103" s="31">
        <v>90.506934000000001</v>
      </c>
      <c r="G103" s="32">
        <v>8.5208699999999998E-3</v>
      </c>
      <c r="H103" s="27" t="s">
        <v>142</v>
      </c>
    </row>
    <row r="104" spans="1:8" x14ac:dyDescent="0.2">
      <c r="A104" s="28">
        <v>98</v>
      </c>
      <c r="B104" s="29" t="s">
        <v>130</v>
      </c>
      <c r="C104" s="29" t="s">
        <v>131</v>
      </c>
      <c r="D104" s="29" t="s">
        <v>132</v>
      </c>
      <c r="E104" s="30">
        <v>22376</v>
      </c>
      <c r="F104" s="31">
        <v>90.018647999999999</v>
      </c>
      <c r="G104" s="32">
        <v>8.4749000000000005E-3</v>
      </c>
      <c r="H104" s="27" t="s">
        <v>142</v>
      </c>
    </row>
    <row r="105" spans="1:8" x14ac:dyDescent="0.2">
      <c r="A105" s="28">
        <v>99</v>
      </c>
      <c r="B105" s="29" t="s">
        <v>790</v>
      </c>
      <c r="C105" s="29" t="s">
        <v>791</v>
      </c>
      <c r="D105" s="29" t="s">
        <v>22</v>
      </c>
      <c r="E105" s="30">
        <v>18044</v>
      </c>
      <c r="F105" s="31">
        <v>88.045698000000002</v>
      </c>
      <c r="G105" s="32">
        <v>8.2891500000000003E-3</v>
      </c>
      <c r="H105" s="27" t="s">
        <v>142</v>
      </c>
    </row>
    <row r="106" spans="1:8" x14ac:dyDescent="0.2">
      <c r="A106" s="28">
        <v>100</v>
      </c>
      <c r="B106" s="29" t="s">
        <v>89</v>
      </c>
      <c r="C106" s="29" t="s">
        <v>90</v>
      </c>
      <c r="D106" s="29" t="s">
        <v>36</v>
      </c>
      <c r="E106" s="30">
        <v>1957</v>
      </c>
      <c r="F106" s="31">
        <v>63.907792000000001</v>
      </c>
      <c r="G106" s="32">
        <v>6.01667E-3</v>
      </c>
      <c r="H106" s="27" t="s">
        <v>142</v>
      </c>
    </row>
    <row r="107" spans="1:8" x14ac:dyDescent="0.2">
      <c r="A107" s="28">
        <v>101</v>
      </c>
      <c r="B107" s="29" t="s">
        <v>133</v>
      </c>
      <c r="C107" s="29" t="s">
        <v>134</v>
      </c>
      <c r="D107" s="29" t="s">
        <v>22</v>
      </c>
      <c r="E107" s="30">
        <v>1929</v>
      </c>
      <c r="F107" s="31">
        <v>47.803513500000001</v>
      </c>
      <c r="G107" s="32">
        <v>4.5005100000000001E-3</v>
      </c>
      <c r="H107" s="27" t="s">
        <v>142</v>
      </c>
    </row>
    <row r="108" spans="1:8" x14ac:dyDescent="0.2">
      <c r="A108" s="25"/>
      <c r="B108" s="25"/>
      <c r="C108" s="26" t="s">
        <v>141</v>
      </c>
      <c r="D108" s="25"/>
      <c r="E108" s="25" t="s">
        <v>142</v>
      </c>
      <c r="F108" s="33">
        <v>10546.512815300001</v>
      </c>
      <c r="G108" s="34">
        <v>0.99291253999999995</v>
      </c>
      <c r="H108" s="27" t="s">
        <v>142</v>
      </c>
    </row>
    <row r="109" spans="1:8" x14ac:dyDescent="0.2">
      <c r="A109" s="25"/>
      <c r="B109" s="25"/>
      <c r="C109" s="35"/>
      <c r="D109" s="25"/>
      <c r="E109" s="25"/>
      <c r="F109" s="36"/>
      <c r="G109" s="36"/>
      <c r="H109" s="27" t="s">
        <v>142</v>
      </c>
    </row>
    <row r="110" spans="1:8" x14ac:dyDescent="0.2">
      <c r="A110" s="25"/>
      <c r="B110" s="25"/>
      <c r="C110" s="26" t="s">
        <v>143</v>
      </c>
      <c r="D110" s="25"/>
      <c r="E110" s="25"/>
      <c r="F110" s="25"/>
      <c r="G110" s="25"/>
      <c r="H110" s="27" t="s">
        <v>142</v>
      </c>
    </row>
    <row r="111" spans="1:8" x14ac:dyDescent="0.2">
      <c r="A111" s="25"/>
      <c r="B111" s="25"/>
      <c r="C111" s="26" t="s">
        <v>141</v>
      </c>
      <c r="D111" s="25"/>
      <c r="E111" s="25" t="s">
        <v>142</v>
      </c>
      <c r="F111" s="37" t="s">
        <v>144</v>
      </c>
      <c r="G111" s="34">
        <v>0</v>
      </c>
      <c r="H111" s="27" t="s">
        <v>142</v>
      </c>
    </row>
    <row r="112" spans="1:8" x14ac:dyDescent="0.2">
      <c r="A112" s="25"/>
      <c r="B112" s="25"/>
      <c r="C112" s="35"/>
      <c r="D112" s="25"/>
      <c r="E112" s="25"/>
      <c r="F112" s="36"/>
      <c r="G112" s="36"/>
      <c r="H112" s="27" t="s">
        <v>142</v>
      </c>
    </row>
    <row r="113" spans="1:8" x14ac:dyDescent="0.2">
      <c r="A113" s="25"/>
      <c r="B113" s="25"/>
      <c r="C113" s="26" t="s">
        <v>145</v>
      </c>
      <c r="D113" s="25"/>
      <c r="E113" s="25"/>
      <c r="F113" s="25"/>
      <c r="G113" s="25"/>
      <c r="H113" s="27" t="s">
        <v>142</v>
      </c>
    </row>
    <row r="114" spans="1:8" x14ac:dyDescent="0.2">
      <c r="A114" s="25"/>
      <c r="B114" s="25"/>
      <c r="C114" s="26" t="s">
        <v>141</v>
      </c>
      <c r="D114" s="25"/>
      <c r="E114" s="25" t="s">
        <v>142</v>
      </c>
      <c r="F114" s="37" t="s">
        <v>144</v>
      </c>
      <c r="G114" s="34">
        <v>0</v>
      </c>
      <c r="H114" s="27" t="s">
        <v>142</v>
      </c>
    </row>
    <row r="115" spans="1:8" x14ac:dyDescent="0.2">
      <c r="A115" s="25"/>
      <c r="B115" s="25"/>
      <c r="C115" s="35"/>
      <c r="D115" s="25"/>
      <c r="E115" s="25"/>
      <c r="F115" s="36"/>
      <c r="G115" s="36"/>
      <c r="H115" s="27" t="s">
        <v>142</v>
      </c>
    </row>
    <row r="116" spans="1:8" x14ac:dyDescent="0.2">
      <c r="A116" s="25"/>
      <c r="B116" s="25"/>
      <c r="C116" s="26" t="s">
        <v>146</v>
      </c>
      <c r="D116" s="25"/>
      <c r="E116" s="25"/>
      <c r="F116" s="25"/>
      <c r="G116" s="25"/>
      <c r="H116" s="27" t="s">
        <v>142</v>
      </c>
    </row>
    <row r="117" spans="1:8" x14ac:dyDescent="0.2">
      <c r="A117" s="25"/>
      <c r="B117" s="25"/>
      <c r="C117" s="26" t="s">
        <v>141</v>
      </c>
      <c r="D117" s="25"/>
      <c r="E117" s="25" t="s">
        <v>142</v>
      </c>
      <c r="F117" s="37" t="s">
        <v>144</v>
      </c>
      <c r="G117" s="34">
        <v>0</v>
      </c>
      <c r="H117" s="27" t="s">
        <v>142</v>
      </c>
    </row>
    <row r="118" spans="1:8" x14ac:dyDescent="0.2">
      <c r="A118" s="25"/>
      <c r="B118" s="25"/>
      <c r="C118" s="35"/>
      <c r="D118" s="25"/>
      <c r="E118" s="25"/>
      <c r="F118" s="36"/>
      <c r="G118" s="36"/>
      <c r="H118" s="27" t="s">
        <v>142</v>
      </c>
    </row>
    <row r="119" spans="1:8" x14ac:dyDescent="0.2">
      <c r="A119" s="25"/>
      <c r="B119" s="25"/>
      <c r="C119" s="26" t="s">
        <v>147</v>
      </c>
      <c r="D119" s="25"/>
      <c r="E119" s="25"/>
      <c r="F119" s="36"/>
      <c r="G119" s="36"/>
      <c r="H119" s="27" t="s">
        <v>142</v>
      </c>
    </row>
    <row r="120" spans="1:8" x14ac:dyDescent="0.2">
      <c r="A120" s="25"/>
      <c r="B120" s="25"/>
      <c r="C120" s="26" t="s">
        <v>141</v>
      </c>
      <c r="D120" s="25"/>
      <c r="E120" s="25" t="s">
        <v>142</v>
      </c>
      <c r="F120" s="37" t="s">
        <v>144</v>
      </c>
      <c r="G120" s="34">
        <v>0</v>
      </c>
      <c r="H120" s="27" t="s">
        <v>142</v>
      </c>
    </row>
    <row r="121" spans="1:8" x14ac:dyDescent="0.2">
      <c r="A121" s="25"/>
      <c r="B121" s="25"/>
      <c r="C121" s="35"/>
      <c r="D121" s="25"/>
      <c r="E121" s="25"/>
      <c r="F121" s="36"/>
      <c r="G121" s="36"/>
      <c r="H121" s="27" t="s">
        <v>142</v>
      </c>
    </row>
    <row r="122" spans="1:8" x14ac:dyDescent="0.2">
      <c r="A122" s="25"/>
      <c r="B122" s="25"/>
      <c r="C122" s="26" t="s">
        <v>148</v>
      </c>
      <c r="D122" s="25"/>
      <c r="E122" s="25"/>
      <c r="F122" s="36"/>
      <c r="G122" s="36"/>
      <c r="H122" s="27" t="s">
        <v>142</v>
      </c>
    </row>
    <row r="123" spans="1:8" x14ac:dyDescent="0.2">
      <c r="A123" s="25"/>
      <c r="B123" s="25"/>
      <c r="C123" s="26" t="s">
        <v>141</v>
      </c>
      <c r="D123" s="25"/>
      <c r="E123" s="25" t="s">
        <v>142</v>
      </c>
      <c r="F123" s="37" t="s">
        <v>144</v>
      </c>
      <c r="G123" s="34">
        <v>0</v>
      </c>
      <c r="H123" s="27" t="s">
        <v>142</v>
      </c>
    </row>
    <row r="124" spans="1:8" x14ac:dyDescent="0.2">
      <c r="A124" s="25"/>
      <c r="B124" s="25"/>
      <c r="C124" s="35"/>
      <c r="D124" s="25"/>
      <c r="E124" s="25"/>
      <c r="F124" s="36"/>
      <c r="G124" s="36"/>
      <c r="H124" s="27" t="s">
        <v>142</v>
      </c>
    </row>
    <row r="125" spans="1:8" x14ac:dyDescent="0.2">
      <c r="A125" s="25"/>
      <c r="B125" s="25"/>
      <c r="C125" s="26" t="s">
        <v>149</v>
      </c>
      <c r="D125" s="25"/>
      <c r="E125" s="25"/>
      <c r="F125" s="33">
        <v>10546.512815300001</v>
      </c>
      <c r="G125" s="34">
        <v>0.99291253999999995</v>
      </c>
      <c r="H125" s="27" t="s">
        <v>142</v>
      </c>
    </row>
    <row r="126" spans="1:8" x14ac:dyDescent="0.2">
      <c r="A126" s="25"/>
      <c r="B126" s="25"/>
      <c r="C126" s="35"/>
      <c r="D126" s="25"/>
      <c r="E126" s="25"/>
      <c r="F126" s="36"/>
      <c r="G126" s="36"/>
      <c r="H126" s="27" t="s">
        <v>142</v>
      </c>
    </row>
    <row r="127" spans="1:8" x14ac:dyDescent="0.2">
      <c r="A127" s="25"/>
      <c r="B127" s="25"/>
      <c r="C127" s="26" t="s">
        <v>150</v>
      </c>
      <c r="D127" s="25"/>
      <c r="E127" s="25"/>
      <c r="F127" s="36"/>
      <c r="G127" s="36"/>
      <c r="H127" s="27" t="s">
        <v>142</v>
      </c>
    </row>
    <row r="128" spans="1:8" x14ac:dyDescent="0.2">
      <c r="A128" s="25"/>
      <c r="B128" s="25"/>
      <c r="C128" s="26" t="s">
        <v>10</v>
      </c>
      <c r="D128" s="25"/>
      <c r="E128" s="25"/>
      <c r="F128" s="36"/>
      <c r="G128" s="36"/>
      <c r="H128" s="27" t="s">
        <v>142</v>
      </c>
    </row>
    <row r="129" spans="1:8" x14ac:dyDescent="0.2">
      <c r="A129" s="25"/>
      <c r="B129" s="25"/>
      <c r="C129" s="26" t="s">
        <v>141</v>
      </c>
      <c r="D129" s="25"/>
      <c r="E129" s="25" t="s">
        <v>142</v>
      </c>
      <c r="F129" s="37" t="s">
        <v>144</v>
      </c>
      <c r="G129" s="34">
        <v>0</v>
      </c>
      <c r="H129" s="27" t="s">
        <v>142</v>
      </c>
    </row>
    <row r="130" spans="1:8" x14ac:dyDescent="0.2">
      <c r="A130" s="25"/>
      <c r="B130" s="25"/>
      <c r="C130" s="35"/>
      <c r="D130" s="25"/>
      <c r="E130" s="25"/>
      <c r="F130" s="36"/>
      <c r="G130" s="36"/>
      <c r="H130" s="27" t="s">
        <v>142</v>
      </c>
    </row>
    <row r="131" spans="1:8" x14ac:dyDescent="0.2">
      <c r="A131" s="25"/>
      <c r="B131" s="25"/>
      <c r="C131" s="26" t="s">
        <v>151</v>
      </c>
      <c r="D131" s="25"/>
      <c r="E131" s="25"/>
      <c r="F131" s="25"/>
      <c r="G131" s="25"/>
      <c r="H131" s="27" t="s">
        <v>142</v>
      </c>
    </row>
    <row r="132" spans="1:8" x14ac:dyDescent="0.2">
      <c r="A132" s="25"/>
      <c r="B132" s="25"/>
      <c r="C132" s="26" t="s">
        <v>141</v>
      </c>
      <c r="D132" s="25"/>
      <c r="E132" s="25" t="s">
        <v>142</v>
      </c>
      <c r="F132" s="37" t="s">
        <v>144</v>
      </c>
      <c r="G132" s="34">
        <v>0</v>
      </c>
      <c r="H132" s="27" t="s">
        <v>142</v>
      </c>
    </row>
    <row r="133" spans="1:8" x14ac:dyDescent="0.2">
      <c r="A133" s="25"/>
      <c r="B133" s="25"/>
      <c r="C133" s="35"/>
      <c r="D133" s="25"/>
      <c r="E133" s="25"/>
      <c r="F133" s="36"/>
      <c r="G133" s="36"/>
      <c r="H133" s="27" t="s">
        <v>142</v>
      </c>
    </row>
    <row r="134" spans="1:8" x14ac:dyDescent="0.2">
      <c r="A134" s="25"/>
      <c r="B134" s="25"/>
      <c r="C134" s="26" t="s">
        <v>152</v>
      </c>
      <c r="D134" s="25"/>
      <c r="E134" s="25"/>
      <c r="F134" s="25"/>
      <c r="G134" s="25"/>
      <c r="H134" s="27" t="s">
        <v>142</v>
      </c>
    </row>
    <row r="135" spans="1:8" x14ac:dyDescent="0.2">
      <c r="A135" s="25"/>
      <c r="B135" s="25"/>
      <c r="C135" s="26" t="s">
        <v>141</v>
      </c>
      <c r="D135" s="25"/>
      <c r="E135" s="25" t="s">
        <v>142</v>
      </c>
      <c r="F135" s="37" t="s">
        <v>144</v>
      </c>
      <c r="G135" s="34">
        <v>0</v>
      </c>
      <c r="H135" s="27" t="s">
        <v>142</v>
      </c>
    </row>
    <row r="136" spans="1:8" x14ac:dyDescent="0.2">
      <c r="A136" s="25"/>
      <c r="B136" s="25"/>
      <c r="C136" s="35"/>
      <c r="D136" s="25"/>
      <c r="E136" s="25"/>
      <c r="F136" s="36"/>
      <c r="G136" s="36"/>
      <c r="H136" s="27" t="s">
        <v>142</v>
      </c>
    </row>
    <row r="137" spans="1:8" x14ac:dyDescent="0.2">
      <c r="A137" s="25"/>
      <c r="B137" s="25"/>
      <c r="C137" s="26" t="s">
        <v>153</v>
      </c>
      <c r="D137" s="25"/>
      <c r="E137" s="25"/>
      <c r="F137" s="36"/>
      <c r="G137" s="36"/>
      <c r="H137" s="27" t="s">
        <v>142</v>
      </c>
    </row>
    <row r="138" spans="1:8" x14ac:dyDescent="0.2">
      <c r="A138" s="25"/>
      <c r="B138" s="25"/>
      <c r="C138" s="26" t="s">
        <v>141</v>
      </c>
      <c r="D138" s="25"/>
      <c r="E138" s="25" t="s">
        <v>142</v>
      </c>
      <c r="F138" s="37" t="s">
        <v>144</v>
      </c>
      <c r="G138" s="34">
        <v>0</v>
      </c>
      <c r="H138" s="27" t="s">
        <v>142</v>
      </c>
    </row>
    <row r="139" spans="1:8" x14ac:dyDescent="0.2">
      <c r="A139" s="25"/>
      <c r="B139" s="25"/>
      <c r="C139" s="35"/>
      <c r="D139" s="25"/>
      <c r="E139" s="25"/>
      <c r="F139" s="36"/>
      <c r="G139" s="36"/>
      <c r="H139" s="27" t="s">
        <v>142</v>
      </c>
    </row>
    <row r="140" spans="1:8" x14ac:dyDescent="0.2">
      <c r="A140" s="25"/>
      <c r="B140" s="25"/>
      <c r="C140" s="26" t="s">
        <v>154</v>
      </c>
      <c r="D140" s="25"/>
      <c r="E140" s="25"/>
      <c r="F140" s="33">
        <v>0</v>
      </c>
      <c r="G140" s="34">
        <v>0</v>
      </c>
      <c r="H140" s="27" t="s">
        <v>142</v>
      </c>
    </row>
    <row r="141" spans="1:8" x14ac:dyDescent="0.2">
      <c r="A141" s="25"/>
      <c r="B141" s="25"/>
      <c r="C141" s="35"/>
      <c r="D141" s="25"/>
      <c r="E141" s="25"/>
      <c r="F141" s="36"/>
      <c r="G141" s="36"/>
      <c r="H141" s="27" t="s">
        <v>142</v>
      </c>
    </row>
    <row r="142" spans="1:8" x14ac:dyDescent="0.2">
      <c r="A142" s="25"/>
      <c r="B142" s="25"/>
      <c r="C142" s="26" t="s">
        <v>155</v>
      </c>
      <c r="D142" s="25"/>
      <c r="E142" s="25"/>
      <c r="F142" s="36"/>
      <c r="G142" s="36"/>
      <c r="H142" s="27" t="s">
        <v>142</v>
      </c>
    </row>
    <row r="143" spans="1:8" x14ac:dyDescent="0.2">
      <c r="A143" s="25"/>
      <c r="B143" s="25"/>
      <c r="C143" s="26" t="s">
        <v>156</v>
      </c>
      <c r="D143" s="25"/>
      <c r="E143" s="25"/>
      <c r="F143" s="36"/>
      <c r="G143" s="36"/>
      <c r="H143" s="27" t="s">
        <v>142</v>
      </c>
    </row>
    <row r="144" spans="1:8" x14ac:dyDescent="0.2">
      <c r="A144" s="25"/>
      <c r="B144" s="25"/>
      <c r="C144" s="26" t="s">
        <v>141</v>
      </c>
      <c r="D144" s="25"/>
      <c r="E144" s="25" t="s">
        <v>142</v>
      </c>
      <c r="F144" s="37" t="s">
        <v>144</v>
      </c>
      <c r="G144" s="34">
        <v>0</v>
      </c>
      <c r="H144" s="27" t="s">
        <v>142</v>
      </c>
    </row>
    <row r="145" spans="1:8" x14ac:dyDescent="0.2">
      <c r="A145" s="25"/>
      <c r="B145" s="25"/>
      <c r="C145" s="35"/>
      <c r="D145" s="25"/>
      <c r="E145" s="25"/>
      <c r="F145" s="36"/>
      <c r="G145" s="36"/>
      <c r="H145" s="27" t="s">
        <v>142</v>
      </c>
    </row>
    <row r="146" spans="1:8" x14ac:dyDescent="0.2">
      <c r="A146" s="25"/>
      <c r="B146" s="25"/>
      <c r="C146" s="26" t="s">
        <v>157</v>
      </c>
      <c r="D146" s="25"/>
      <c r="E146" s="25"/>
      <c r="F146" s="36"/>
      <c r="G146" s="36"/>
      <c r="H146" s="27" t="s">
        <v>142</v>
      </c>
    </row>
    <row r="147" spans="1:8" x14ac:dyDescent="0.2">
      <c r="A147" s="25"/>
      <c r="B147" s="25"/>
      <c r="C147" s="26" t="s">
        <v>141</v>
      </c>
      <c r="D147" s="25"/>
      <c r="E147" s="25" t="s">
        <v>142</v>
      </c>
      <c r="F147" s="37" t="s">
        <v>144</v>
      </c>
      <c r="G147" s="34">
        <v>0</v>
      </c>
      <c r="H147" s="27" t="s">
        <v>142</v>
      </c>
    </row>
    <row r="148" spans="1:8" x14ac:dyDescent="0.2">
      <c r="A148" s="25"/>
      <c r="B148" s="25"/>
      <c r="C148" s="35"/>
      <c r="D148" s="25"/>
      <c r="E148" s="25"/>
      <c r="F148" s="36"/>
      <c r="G148" s="36"/>
      <c r="H148" s="27" t="s">
        <v>142</v>
      </c>
    </row>
    <row r="149" spans="1:8" x14ac:dyDescent="0.2">
      <c r="A149" s="25"/>
      <c r="B149" s="25"/>
      <c r="C149" s="26" t="s">
        <v>158</v>
      </c>
      <c r="D149" s="25"/>
      <c r="E149" s="25"/>
      <c r="F149" s="36"/>
      <c r="G149" s="36"/>
      <c r="H149" s="27" t="s">
        <v>142</v>
      </c>
    </row>
    <row r="150" spans="1:8" x14ac:dyDescent="0.2">
      <c r="A150" s="25"/>
      <c r="B150" s="25"/>
      <c r="C150" s="26" t="s">
        <v>141</v>
      </c>
      <c r="D150" s="25"/>
      <c r="E150" s="25" t="s">
        <v>142</v>
      </c>
      <c r="F150" s="37" t="s">
        <v>144</v>
      </c>
      <c r="G150" s="34">
        <v>0</v>
      </c>
      <c r="H150" s="27" t="s">
        <v>142</v>
      </c>
    </row>
    <row r="151" spans="1:8" x14ac:dyDescent="0.2">
      <c r="A151" s="25"/>
      <c r="B151" s="25"/>
      <c r="C151" s="35"/>
      <c r="D151" s="25"/>
      <c r="E151" s="25"/>
      <c r="F151" s="36"/>
      <c r="G151" s="36"/>
      <c r="H151" s="27" t="s">
        <v>142</v>
      </c>
    </row>
    <row r="152" spans="1:8" x14ac:dyDescent="0.2">
      <c r="A152" s="25"/>
      <c r="B152" s="25"/>
      <c r="C152" s="26" t="s">
        <v>159</v>
      </c>
      <c r="D152" s="25"/>
      <c r="E152" s="25"/>
      <c r="F152" s="36"/>
      <c r="G152" s="36"/>
      <c r="H152" s="27" t="s">
        <v>142</v>
      </c>
    </row>
    <row r="153" spans="1:8" x14ac:dyDescent="0.2">
      <c r="A153" s="28">
        <v>1</v>
      </c>
      <c r="B153" s="29"/>
      <c r="C153" s="29" t="s">
        <v>160</v>
      </c>
      <c r="D153" s="29"/>
      <c r="E153" s="39"/>
      <c r="F153" s="31">
        <v>83.998757299999994</v>
      </c>
      <c r="G153" s="32">
        <v>7.9081499999999992E-3</v>
      </c>
      <c r="H153" s="27">
        <v>5.76</v>
      </c>
    </row>
    <row r="154" spans="1:8" x14ac:dyDescent="0.2">
      <c r="A154" s="25"/>
      <c r="B154" s="25"/>
      <c r="C154" s="26" t="s">
        <v>141</v>
      </c>
      <c r="D154" s="25"/>
      <c r="E154" s="25" t="s">
        <v>142</v>
      </c>
      <c r="F154" s="33">
        <v>83.998757299999994</v>
      </c>
      <c r="G154" s="34">
        <v>7.9081499999999992E-3</v>
      </c>
      <c r="H154" s="27" t="s">
        <v>142</v>
      </c>
    </row>
    <row r="155" spans="1:8" x14ac:dyDescent="0.2">
      <c r="A155" s="25"/>
      <c r="B155" s="25"/>
      <c r="C155" s="35"/>
      <c r="D155" s="25"/>
      <c r="E155" s="25"/>
      <c r="F155" s="36"/>
      <c r="G155" s="36"/>
      <c r="H155" s="27" t="s">
        <v>142</v>
      </c>
    </row>
    <row r="156" spans="1:8" x14ac:dyDescent="0.2">
      <c r="A156" s="25"/>
      <c r="B156" s="25"/>
      <c r="C156" s="26" t="s">
        <v>161</v>
      </c>
      <c r="D156" s="25"/>
      <c r="E156" s="25"/>
      <c r="F156" s="33">
        <v>83.998757299999994</v>
      </c>
      <c r="G156" s="34">
        <v>7.9081499999999992E-3</v>
      </c>
      <c r="H156" s="27" t="s">
        <v>142</v>
      </c>
    </row>
    <row r="157" spans="1:8" x14ac:dyDescent="0.2">
      <c r="A157" s="25"/>
      <c r="B157" s="25"/>
      <c r="C157" s="36"/>
      <c r="D157" s="25"/>
      <c r="E157" s="25"/>
      <c r="F157" s="25"/>
      <c r="G157" s="25"/>
      <c r="H157" s="27" t="s">
        <v>142</v>
      </c>
    </row>
    <row r="158" spans="1:8" x14ac:dyDescent="0.2">
      <c r="A158" s="25"/>
      <c r="B158" s="25"/>
      <c r="C158" s="26" t="s">
        <v>162</v>
      </c>
      <c r="D158" s="25"/>
      <c r="E158" s="25"/>
      <c r="F158" s="25"/>
      <c r="G158" s="25"/>
      <c r="H158" s="27" t="s">
        <v>142</v>
      </c>
    </row>
    <row r="159" spans="1:8" x14ac:dyDescent="0.2">
      <c r="A159" s="25"/>
      <c r="B159" s="25"/>
      <c r="C159" s="26" t="s">
        <v>163</v>
      </c>
      <c r="D159" s="25"/>
      <c r="E159" s="25"/>
      <c r="F159" s="25"/>
      <c r="G159" s="25"/>
      <c r="H159" s="27" t="s">
        <v>142</v>
      </c>
    </row>
    <row r="160" spans="1:8" x14ac:dyDescent="0.2">
      <c r="A160" s="25"/>
      <c r="B160" s="25"/>
      <c r="C160" s="26" t="s">
        <v>141</v>
      </c>
      <c r="D160" s="25"/>
      <c r="E160" s="25" t="s">
        <v>142</v>
      </c>
      <c r="F160" s="37" t="s">
        <v>144</v>
      </c>
      <c r="G160" s="34">
        <v>0</v>
      </c>
      <c r="H160" s="27" t="s">
        <v>142</v>
      </c>
    </row>
    <row r="161" spans="1:17" x14ac:dyDescent="0.2">
      <c r="A161" s="25"/>
      <c r="B161" s="25"/>
      <c r="C161" s="35"/>
      <c r="D161" s="25"/>
      <c r="E161" s="25"/>
      <c r="F161" s="36"/>
      <c r="G161" s="36"/>
      <c r="H161" s="27" t="s">
        <v>142</v>
      </c>
    </row>
    <row r="162" spans="1:17" x14ac:dyDescent="0.2">
      <c r="A162" s="25"/>
      <c r="B162" s="25"/>
      <c r="C162" s="26" t="s">
        <v>164</v>
      </c>
      <c r="D162" s="25"/>
      <c r="E162" s="25"/>
      <c r="F162" s="25"/>
      <c r="G162" s="25"/>
      <c r="H162" s="27" t="s">
        <v>142</v>
      </c>
    </row>
    <row r="163" spans="1:17" x14ac:dyDescent="0.2">
      <c r="A163" s="25"/>
      <c r="B163" s="25"/>
      <c r="C163" s="26" t="s">
        <v>165</v>
      </c>
      <c r="D163" s="25"/>
      <c r="E163" s="25"/>
      <c r="F163" s="25"/>
      <c r="G163" s="25"/>
      <c r="H163" s="27" t="s">
        <v>142</v>
      </c>
    </row>
    <row r="164" spans="1:17" x14ac:dyDescent="0.2">
      <c r="A164" s="25"/>
      <c r="B164" s="25"/>
      <c r="C164" s="26" t="s">
        <v>141</v>
      </c>
      <c r="D164" s="25"/>
      <c r="E164" s="25" t="s">
        <v>142</v>
      </c>
      <c r="F164" s="37" t="s">
        <v>144</v>
      </c>
      <c r="G164" s="34">
        <v>0</v>
      </c>
      <c r="H164" s="27" t="s">
        <v>142</v>
      </c>
    </row>
    <row r="165" spans="1:17" x14ac:dyDescent="0.2">
      <c r="A165" s="25"/>
      <c r="B165" s="25"/>
      <c r="C165" s="35"/>
      <c r="D165" s="25"/>
      <c r="E165" s="25"/>
      <c r="F165" s="36"/>
      <c r="G165" s="36"/>
      <c r="H165" s="27" t="s">
        <v>142</v>
      </c>
    </row>
    <row r="166" spans="1:17" x14ac:dyDescent="0.2">
      <c r="A166" s="25"/>
      <c r="B166" s="25"/>
      <c r="C166" s="26" t="s">
        <v>166</v>
      </c>
      <c r="D166" s="25"/>
      <c r="E166" s="25"/>
      <c r="F166" s="36"/>
      <c r="G166" s="36"/>
      <c r="H166" s="27" t="s">
        <v>142</v>
      </c>
    </row>
    <row r="167" spans="1:17" x14ac:dyDescent="0.2">
      <c r="A167" s="25"/>
      <c r="B167" s="25"/>
      <c r="C167" s="26" t="s">
        <v>141</v>
      </c>
      <c r="D167" s="25"/>
      <c r="E167" s="25" t="s">
        <v>142</v>
      </c>
      <c r="F167" s="37" t="s">
        <v>144</v>
      </c>
      <c r="G167" s="34">
        <v>0</v>
      </c>
      <c r="H167" s="27" t="s">
        <v>142</v>
      </c>
    </row>
    <row r="168" spans="1:17" x14ac:dyDescent="0.2">
      <c r="A168" s="25"/>
      <c r="B168" s="25"/>
      <c r="C168" s="35"/>
      <c r="D168" s="25"/>
      <c r="E168" s="25"/>
      <c r="F168" s="36"/>
      <c r="G168" s="36"/>
      <c r="H168" s="27" t="s">
        <v>142</v>
      </c>
    </row>
    <row r="169" spans="1:17" x14ac:dyDescent="0.2">
      <c r="A169" s="39"/>
      <c r="B169" s="29"/>
      <c r="C169" s="29" t="s">
        <v>167</v>
      </c>
      <c r="D169" s="29"/>
      <c r="E169" s="39"/>
      <c r="F169" s="31">
        <v>-8.7167564300000002</v>
      </c>
      <c r="G169" s="32">
        <v>-8.2065000000000003E-4</v>
      </c>
      <c r="H169" s="27" t="s">
        <v>142</v>
      </c>
    </row>
    <row r="170" spans="1:17" x14ac:dyDescent="0.2">
      <c r="A170" s="35"/>
      <c r="B170" s="35"/>
      <c r="C170" s="26" t="s">
        <v>168</v>
      </c>
      <c r="D170" s="36"/>
      <c r="E170" s="36"/>
      <c r="F170" s="33">
        <v>10621.794816170001</v>
      </c>
      <c r="G170" s="40">
        <v>1.00000004</v>
      </c>
      <c r="H170" s="27" t="s">
        <v>142</v>
      </c>
    </row>
    <row r="171" spans="1:17" x14ac:dyDescent="0.2">
      <c r="A171" s="41"/>
      <c r="B171" s="41"/>
      <c r="C171" s="41"/>
      <c r="D171" s="42"/>
      <c r="E171" s="42"/>
      <c r="F171" s="42"/>
      <c r="G171" s="42"/>
    </row>
    <row r="172" spans="1:17" x14ac:dyDescent="0.2">
      <c r="A172" s="43"/>
      <c r="B172" s="210" t="s">
        <v>879</v>
      </c>
      <c r="C172" s="210"/>
      <c r="D172" s="210"/>
      <c r="E172" s="210"/>
      <c r="F172" s="210"/>
      <c r="G172" s="210"/>
      <c r="H172" s="210"/>
      <c r="J172" s="45"/>
    </row>
    <row r="173" spans="1:17" x14ac:dyDescent="0.2">
      <c r="A173" s="43"/>
      <c r="B173" s="210" t="s">
        <v>880</v>
      </c>
      <c r="C173" s="210"/>
      <c r="D173" s="210"/>
      <c r="E173" s="210"/>
      <c r="F173" s="210"/>
      <c r="G173" s="210"/>
      <c r="H173" s="210"/>
      <c r="J173" s="45"/>
    </row>
    <row r="174" spans="1:17" x14ac:dyDescent="0.2">
      <c r="A174" s="43"/>
      <c r="B174" s="210" t="s">
        <v>881</v>
      </c>
      <c r="C174" s="210"/>
      <c r="D174" s="210"/>
      <c r="E174" s="210"/>
      <c r="F174" s="210"/>
      <c r="G174" s="210"/>
      <c r="H174" s="210"/>
      <c r="J174" s="45"/>
    </row>
    <row r="175" spans="1:17" s="47" customFormat="1" ht="66.75" customHeight="1" x14ac:dyDescent="0.25">
      <c r="A175" s="46"/>
      <c r="B175" s="211" t="s">
        <v>882</v>
      </c>
      <c r="C175" s="211"/>
      <c r="D175" s="211"/>
      <c r="E175" s="211"/>
      <c r="F175" s="211"/>
      <c r="G175" s="211"/>
      <c r="H175" s="211"/>
      <c r="I175"/>
      <c r="J175" s="45"/>
      <c r="K175"/>
      <c r="L175"/>
      <c r="M175"/>
      <c r="N175"/>
      <c r="O175"/>
      <c r="P175"/>
      <c r="Q175"/>
    </row>
    <row r="176" spans="1:17" x14ac:dyDescent="0.2">
      <c r="A176" s="43"/>
      <c r="B176" s="210" t="s">
        <v>883</v>
      </c>
      <c r="C176" s="210"/>
      <c r="D176" s="210"/>
      <c r="E176" s="210"/>
      <c r="F176" s="210"/>
      <c r="G176" s="210"/>
      <c r="H176" s="210"/>
      <c r="J176" s="45"/>
    </row>
    <row r="177" spans="1:10" x14ac:dyDescent="0.2">
      <c r="A177" s="48"/>
      <c r="B177" s="48"/>
      <c r="C177" s="48"/>
      <c r="D177" s="49"/>
      <c r="E177" s="49"/>
      <c r="F177" s="49"/>
      <c r="G177" s="49"/>
    </row>
    <row r="178" spans="1:10" x14ac:dyDescent="0.2">
      <c r="A178" s="48"/>
      <c r="B178" s="212" t="s">
        <v>169</v>
      </c>
      <c r="C178" s="213"/>
      <c r="D178" s="214"/>
      <c r="E178" s="50"/>
      <c r="F178" s="49"/>
      <c r="G178" s="49"/>
    </row>
    <row r="179" spans="1:10" ht="27.75" customHeight="1" x14ac:dyDescent="0.2">
      <c r="A179" s="48"/>
      <c r="B179" s="215" t="s">
        <v>170</v>
      </c>
      <c r="C179" s="216"/>
      <c r="D179" s="26" t="s">
        <v>171</v>
      </c>
      <c r="E179" s="50"/>
      <c r="F179" s="49"/>
      <c r="G179" s="49"/>
    </row>
    <row r="180" spans="1:10" ht="12.75" customHeight="1" x14ac:dyDescent="0.2">
      <c r="A180" s="43"/>
      <c r="B180" s="217" t="s">
        <v>884</v>
      </c>
      <c r="C180" s="218"/>
      <c r="D180" s="26" t="s">
        <v>171</v>
      </c>
      <c r="E180" s="52"/>
      <c r="F180" s="53"/>
      <c r="G180" s="53"/>
    </row>
    <row r="181" spans="1:10" x14ac:dyDescent="0.2">
      <c r="A181" s="48"/>
      <c r="B181" s="215" t="s">
        <v>172</v>
      </c>
      <c r="C181" s="216"/>
      <c r="D181" s="36" t="s">
        <v>142</v>
      </c>
      <c r="E181" s="50"/>
      <c r="F181" s="49"/>
      <c r="G181" s="49"/>
    </row>
    <row r="182" spans="1:10" x14ac:dyDescent="0.2">
      <c r="A182" s="54"/>
      <c r="B182" s="55" t="s">
        <v>142</v>
      </c>
      <c r="C182" s="55" t="s">
        <v>885</v>
      </c>
      <c r="D182" s="55" t="s">
        <v>173</v>
      </c>
      <c r="E182" s="54"/>
      <c r="F182" s="54"/>
      <c r="G182" s="54"/>
      <c r="H182" s="54"/>
      <c r="J182" s="45"/>
    </row>
    <row r="183" spans="1:10" x14ac:dyDescent="0.2">
      <c r="A183" s="54"/>
      <c r="B183" s="56" t="s">
        <v>174</v>
      </c>
      <c r="C183" s="57">
        <v>45777</v>
      </c>
      <c r="D183" s="57">
        <v>45808</v>
      </c>
      <c r="E183" s="54"/>
      <c r="F183" s="54"/>
      <c r="G183" s="54"/>
      <c r="J183" s="45"/>
    </row>
    <row r="184" spans="1:10" x14ac:dyDescent="0.2">
      <c r="A184" s="58"/>
      <c r="B184" s="29" t="s">
        <v>175</v>
      </c>
      <c r="C184" s="59">
        <v>173.69139999999999</v>
      </c>
      <c r="D184" s="59">
        <v>179.2527</v>
      </c>
      <c r="E184" s="58"/>
      <c r="F184" s="60"/>
      <c r="G184" s="61"/>
    </row>
    <row r="185" spans="1:10" x14ac:dyDescent="0.2">
      <c r="A185" s="58"/>
      <c r="B185" s="29" t="s">
        <v>1065</v>
      </c>
      <c r="C185" s="59">
        <v>81.890100000000004</v>
      </c>
      <c r="D185" s="59">
        <v>84.512100000000004</v>
      </c>
      <c r="E185" s="58"/>
      <c r="F185" s="60"/>
      <c r="G185" s="61"/>
    </row>
    <row r="186" spans="1:10" x14ac:dyDescent="0.2">
      <c r="A186" s="58"/>
      <c r="B186" s="29" t="s">
        <v>177</v>
      </c>
      <c r="C186" s="59">
        <v>165.06639999999999</v>
      </c>
      <c r="D186" s="59">
        <v>170.28360000000001</v>
      </c>
      <c r="E186" s="58"/>
      <c r="F186" s="60"/>
      <c r="G186" s="61"/>
    </row>
    <row r="187" spans="1:10" x14ac:dyDescent="0.2">
      <c r="A187" s="58"/>
      <c r="B187" s="29" t="s">
        <v>1066</v>
      </c>
      <c r="C187" s="59">
        <v>77.826899999999995</v>
      </c>
      <c r="D187" s="59">
        <v>80.286799999999999</v>
      </c>
      <c r="E187" s="58"/>
      <c r="F187" s="60"/>
      <c r="G187" s="61"/>
    </row>
    <row r="188" spans="1:10" x14ac:dyDescent="0.2">
      <c r="A188" s="58"/>
      <c r="B188" s="58"/>
      <c r="C188" s="58"/>
      <c r="D188" s="58"/>
      <c r="E188" s="58"/>
      <c r="F188" s="58"/>
      <c r="G188" s="58"/>
    </row>
    <row r="189" spans="1:10" x14ac:dyDescent="0.2">
      <c r="A189" s="54"/>
      <c r="B189" s="217" t="s">
        <v>887</v>
      </c>
      <c r="C189" s="218"/>
      <c r="D189" s="51" t="s">
        <v>171</v>
      </c>
      <c r="E189" s="54"/>
      <c r="F189" s="54"/>
      <c r="G189" s="54"/>
    </row>
    <row r="190" spans="1:10" x14ac:dyDescent="0.2">
      <c r="A190" s="54"/>
      <c r="B190" s="70"/>
      <c r="C190" s="70"/>
      <c r="D190" s="70"/>
      <c r="E190" s="54"/>
      <c r="F190" s="54"/>
      <c r="G190" s="54"/>
    </row>
    <row r="191" spans="1:10" x14ac:dyDescent="0.2">
      <c r="A191" s="54"/>
      <c r="B191" s="217" t="s">
        <v>180</v>
      </c>
      <c r="C191" s="218"/>
      <c r="D191" s="51" t="s">
        <v>171</v>
      </c>
      <c r="E191" s="65"/>
      <c r="F191" s="54"/>
      <c r="G191" s="54"/>
    </row>
    <row r="192" spans="1:10" x14ac:dyDescent="0.2">
      <c r="A192" s="54"/>
      <c r="B192" s="217" t="s">
        <v>181</v>
      </c>
      <c r="C192" s="218"/>
      <c r="D192" s="51" t="s">
        <v>171</v>
      </c>
      <c r="E192" s="65"/>
      <c r="F192" s="54"/>
      <c r="G192" s="54"/>
    </row>
    <row r="193" spans="1:10" x14ac:dyDescent="0.2">
      <c r="A193" s="54"/>
      <c r="B193" s="217" t="s">
        <v>182</v>
      </c>
      <c r="C193" s="218"/>
      <c r="D193" s="51" t="s">
        <v>171</v>
      </c>
      <c r="E193" s="65"/>
      <c r="F193" s="54"/>
      <c r="G193" s="54"/>
    </row>
    <row r="194" spans="1:10" x14ac:dyDescent="0.2">
      <c r="A194" s="54"/>
      <c r="B194" s="217" t="s">
        <v>183</v>
      </c>
      <c r="C194" s="218"/>
      <c r="D194" s="66">
        <v>0.27632344716230006</v>
      </c>
      <c r="E194" s="54"/>
      <c r="F194" s="44"/>
      <c r="G194" s="64"/>
    </row>
    <row r="196" spans="1:10" x14ac:dyDescent="0.2">
      <c r="B196" s="219" t="s">
        <v>888</v>
      </c>
      <c r="C196" s="219"/>
    </row>
    <row r="198" spans="1:10" ht="153.75" customHeight="1" x14ac:dyDescent="0.2"/>
    <row r="200" spans="1:10" x14ac:dyDescent="0.2">
      <c r="B200" s="67" t="s">
        <v>889</v>
      </c>
      <c r="C200" s="68"/>
      <c r="D200" s="67"/>
    </row>
    <row r="201" spans="1:10" x14ac:dyDescent="0.2">
      <c r="B201" s="67" t="s">
        <v>1046</v>
      </c>
      <c r="D201" s="67"/>
    </row>
    <row r="202" spans="1:10" ht="165" customHeight="1" x14ac:dyDescent="0.2"/>
    <row r="204" spans="1:10" x14ac:dyDescent="0.2">
      <c r="J204" s="24"/>
    </row>
    <row r="209" customFormat="1" x14ac:dyDescent="0.2"/>
  </sheetData>
  <mergeCells count="18">
    <mergeCell ref="B180:C180"/>
    <mergeCell ref="B181:C181"/>
    <mergeCell ref="B196:C196"/>
    <mergeCell ref="B189:C189"/>
    <mergeCell ref="B193:C193"/>
    <mergeCell ref="B194:C194"/>
    <mergeCell ref="B191:C191"/>
    <mergeCell ref="B192:C192"/>
    <mergeCell ref="B174:H174"/>
    <mergeCell ref="B175:H175"/>
    <mergeCell ref="B176:H176"/>
    <mergeCell ref="B178:D178"/>
    <mergeCell ref="B179:C179"/>
    <mergeCell ref="A1:H1"/>
    <mergeCell ref="A2:H2"/>
    <mergeCell ref="A3:H3"/>
    <mergeCell ref="B172:H172"/>
    <mergeCell ref="B173:H173"/>
  </mergeCells>
  <hyperlinks>
    <hyperlink ref="I1" location="Index!B2" display="Index" xr:uid="{01410C4A-E63D-4E20-AC60-566DF5B9E23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A5BB9-FC38-4BCB-8D90-D0CDAF27B1F0}">
  <sheetPr>
    <outlinePr summaryBelow="0" summaryRight="0"/>
  </sheetPr>
  <dimension ref="A1:Q179"/>
  <sheetViews>
    <sheetView showGridLines="0" workbookViewId="0">
      <selection activeCell="K161" sqref="K16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792</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644000</v>
      </c>
      <c r="F7" s="31">
        <v>12525.156000000001</v>
      </c>
      <c r="G7" s="32">
        <v>9.2155899999999999E-2</v>
      </c>
      <c r="H7" s="27" t="s">
        <v>142</v>
      </c>
    </row>
    <row r="8" spans="1:9" x14ac:dyDescent="0.2">
      <c r="A8" s="28">
        <v>2</v>
      </c>
      <c r="B8" s="29" t="s">
        <v>26</v>
      </c>
      <c r="C8" s="29" t="s">
        <v>27</v>
      </c>
      <c r="D8" s="29" t="s">
        <v>28</v>
      </c>
      <c r="E8" s="30">
        <v>737000</v>
      </c>
      <c r="F8" s="31">
        <v>10655.546</v>
      </c>
      <c r="G8" s="32">
        <v>7.8399930000000007E-2</v>
      </c>
      <c r="H8" s="27" t="s">
        <v>142</v>
      </c>
    </row>
    <row r="9" spans="1:9" x14ac:dyDescent="0.2">
      <c r="A9" s="28">
        <v>3</v>
      </c>
      <c r="B9" s="29" t="s">
        <v>14</v>
      </c>
      <c r="C9" s="29" t="s">
        <v>15</v>
      </c>
      <c r="D9" s="29" t="s">
        <v>16</v>
      </c>
      <c r="E9" s="30">
        <v>434000</v>
      </c>
      <c r="F9" s="31">
        <v>6166.7060000000001</v>
      </c>
      <c r="G9" s="32">
        <v>4.5372549999999998E-2</v>
      </c>
      <c r="H9" s="27" t="s">
        <v>142</v>
      </c>
    </row>
    <row r="10" spans="1:9" x14ac:dyDescent="0.2">
      <c r="A10" s="28">
        <v>4</v>
      </c>
      <c r="B10" s="29" t="s">
        <v>17</v>
      </c>
      <c r="C10" s="29" t="s">
        <v>18</v>
      </c>
      <c r="D10" s="29" t="s">
        <v>19</v>
      </c>
      <c r="E10" s="30">
        <v>126000</v>
      </c>
      <c r="F10" s="31">
        <v>4630.6260000000002</v>
      </c>
      <c r="G10" s="32">
        <v>3.4070589999999998E-2</v>
      </c>
      <c r="H10" s="27" t="s">
        <v>142</v>
      </c>
    </row>
    <row r="11" spans="1:9" x14ac:dyDescent="0.2">
      <c r="A11" s="28">
        <v>5</v>
      </c>
      <c r="B11" s="29" t="s">
        <v>319</v>
      </c>
      <c r="C11" s="29" t="s">
        <v>320</v>
      </c>
      <c r="D11" s="29" t="s">
        <v>28</v>
      </c>
      <c r="E11" s="30">
        <v>366000</v>
      </c>
      <c r="F11" s="31">
        <v>4363.4520000000002</v>
      </c>
      <c r="G11" s="32">
        <v>3.2104819999999999E-2</v>
      </c>
      <c r="H11" s="27" t="s">
        <v>142</v>
      </c>
    </row>
    <row r="12" spans="1:9" x14ac:dyDescent="0.2">
      <c r="A12" s="28">
        <v>6</v>
      </c>
      <c r="B12" s="29" t="s">
        <v>46</v>
      </c>
      <c r="C12" s="29" t="s">
        <v>47</v>
      </c>
      <c r="D12" s="29" t="s">
        <v>28</v>
      </c>
      <c r="E12" s="30">
        <v>532000</v>
      </c>
      <c r="F12" s="31">
        <v>4321.4359999999997</v>
      </c>
      <c r="G12" s="32">
        <v>3.179568E-2</v>
      </c>
      <c r="H12" s="27" t="s">
        <v>142</v>
      </c>
    </row>
    <row r="13" spans="1:9" x14ac:dyDescent="0.2">
      <c r="A13" s="28">
        <v>7</v>
      </c>
      <c r="B13" s="29" t="s">
        <v>323</v>
      </c>
      <c r="C13" s="29" t="s">
        <v>324</v>
      </c>
      <c r="D13" s="29" t="s">
        <v>200</v>
      </c>
      <c r="E13" s="30">
        <v>276000</v>
      </c>
      <c r="F13" s="31">
        <v>4313.0519999999997</v>
      </c>
      <c r="G13" s="32">
        <v>3.1733989999999997E-2</v>
      </c>
      <c r="H13" s="27" t="s">
        <v>142</v>
      </c>
    </row>
    <row r="14" spans="1:9" x14ac:dyDescent="0.2">
      <c r="A14" s="28">
        <v>8</v>
      </c>
      <c r="B14" s="29" t="s">
        <v>343</v>
      </c>
      <c r="C14" s="29" t="s">
        <v>344</v>
      </c>
      <c r="D14" s="29" t="s">
        <v>345</v>
      </c>
      <c r="E14" s="30">
        <v>951000</v>
      </c>
      <c r="F14" s="31">
        <v>3975.6554999999998</v>
      </c>
      <c r="G14" s="32">
        <v>2.9251539999999999E-2</v>
      </c>
      <c r="H14" s="27" t="s">
        <v>142</v>
      </c>
    </row>
    <row r="15" spans="1:9" x14ac:dyDescent="0.2">
      <c r="A15" s="28">
        <v>9</v>
      </c>
      <c r="B15" s="29" t="s">
        <v>680</v>
      </c>
      <c r="C15" s="29" t="s">
        <v>681</v>
      </c>
      <c r="D15" s="29" t="s">
        <v>254</v>
      </c>
      <c r="E15" s="30">
        <v>24000</v>
      </c>
      <c r="F15" s="31">
        <v>3035.88</v>
      </c>
      <c r="G15" s="32">
        <v>2.2336990000000001E-2</v>
      </c>
      <c r="H15" s="27" t="s">
        <v>142</v>
      </c>
    </row>
    <row r="16" spans="1:9" ht="25.5" x14ac:dyDescent="0.2">
      <c r="A16" s="28">
        <v>10</v>
      </c>
      <c r="B16" s="29" t="s">
        <v>23</v>
      </c>
      <c r="C16" s="29" t="s">
        <v>24</v>
      </c>
      <c r="D16" s="29" t="s">
        <v>25</v>
      </c>
      <c r="E16" s="30">
        <v>27000</v>
      </c>
      <c r="F16" s="31">
        <v>3026.7</v>
      </c>
      <c r="G16" s="32">
        <v>2.2269440000000001E-2</v>
      </c>
      <c r="H16" s="27" t="s">
        <v>142</v>
      </c>
    </row>
    <row r="17" spans="1:8" x14ac:dyDescent="0.2">
      <c r="A17" s="28">
        <v>11</v>
      </c>
      <c r="B17" s="29" t="s">
        <v>434</v>
      </c>
      <c r="C17" s="29" t="s">
        <v>435</v>
      </c>
      <c r="D17" s="29" t="s">
        <v>345</v>
      </c>
      <c r="E17" s="30">
        <v>125000</v>
      </c>
      <c r="F17" s="31">
        <v>2935.375</v>
      </c>
      <c r="G17" s="32">
        <v>2.159751E-2</v>
      </c>
      <c r="H17" s="27" t="s">
        <v>142</v>
      </c>
    </row>
    <row r="18" spans="1:8" x14ac:dyDescent="0.2">
      <c r="A18" s="28">
        <v>12</v>
      </c>
      <c r="B18" s="29" t="s">
        <v>498</v>
      </c>
      <c r="C18" s="29" t="s">
        <v>499</v>
      </c>
      <c r="D18" s="29" t="s">
        <v>254</v>
      </c>
      <c r="E18" s="30">
        <v>20000</v>
      </c>
      <c r="F18" s="31">
        <v>2463.8000000000002</v>
      </c>
      <c r="G18" s="32">
        <v>1.8127810000000001E-2</v>
      </c>
      <c r="H18" s="27" t="s">
        <v>142</v>
      </c>
    </row>
    <row r="19" spans="1:8" ht="25.5" x14ac:dyDescent="0.2">
      <c r="A19" s="28">
        <v>13</v>
      </c>
      <c r="B19" s="29" t="s">
        <v>331</v>
      </c>
      <c r="C19" s="29" t="s">
        <v>332</v>
      </c>
      <c r="D19" s="29" t="s">
        <v>194</v>
      </c>
      <c r="E19" s="30">
        <v>134000</v>
      </c>
      <c r="F19" s="31">
        <v>2247.9839999999999</v>
      </c>
      <c r="G19" s="32">
        <v>1.6539910000000001E-2</v>
      </c>
      <c r="H19" s="27" t="s">
        <v>142</v>
      </c>
    </row>
    <row r="20" spans="1:8" x14ac:dyDescent="0.2">
      <c r="A20" s="28">
        <v>14</v>
      </c>
      <c r="B20" s="29" t="s">
        <v>321</v>
      </c>
      <c r="C20" s="29" t="s">
        <v>322</v>
      </c>
      <c r="D20" s="29" t="s">
        <v>28</v>
      </c>
      <c r="E20" s="30">
        <v>104000</v>
      </c>
      <c r="F20" s="31">
        <v>2157.6880000000001</v>
      </c>
      <c r="G20" s="32">
        <v>1.5875549999999999E-2</v>
      </c>
      <c r="H20" s="27" t="s">
        <v>142</v>
      </c>
    </row>
    <row r="21" spans="1:8" ht="25.5" x14ac:dyDescent="0.2">
      <c r="A21" s="28">
        <v>15</v>
      </c>
      <c r="B21" s="29" t="s">
        <v>341</v>
      </c>
      <c r="C21" s="29" t="s">
        <v>342</v>
      </c>
      <c r="D21" s="29" t="s">
        <v>132</v>
      </c>
      <c r="E21" s="30">
        <v>133000</v>
      </c>
      <c r="F21" s="31">
        <v>2129.33</v>
      </c>
      <c r="G21" s="32">
        <v>1.5666900000000001E-2</v>
      </c>
      <c r="H21" s="27" t="s">
        <v>142</v>
      </c>
    </row>
    <row r="22" spans="1:8" x14ac:dyDescent="0.2">
      <c r="A22" s="28">
        <v>16</v>
      </c>
      <c r="B22" s="29" t="s">
        <v>358</v>
      </c>
      <c r="C22" s="29" t="s">
        <v>359</v>
      </c>
      <c r="D22" s="29" t="s">
        <v>200</v>
      </c>
      <c r="E22" s="30">
        <v>61324</v>
      </c>
      <c r="F22" s="31">
        <v>2123.8954159999998</v>
      </c>
      <c r="G22" s="32">
        <v>1.5626910000000001E-2</v>
      </c>
      <c r="H22" s="27" t="s">
        <v>142</v>
      </c>
    </row>
    <row r="23" spans="1:8" ht="25.5" x14ac:dyDescent="0.2">
      <c r="A23" s="28">
        <v>17</v>
      </c>
      <c r="B23" s="29" t="s">
        <v>631</v>
      </c>
      <c r="C23" s="29" t="s">
        <v>632</v>
      </c>
      <c r="D23" s="29" t="s">
        <v>194</v>
      </c>
      <c r="E23" s="30">
        <v>173000</v>
      </c>
      <c r="F23" s="31">
        <v>1985.694</v>
      </c>
      <c r="G23" s="32">
        <v>1.4610069999999999E-2</v>
      </c>
      <c r="H23" s="27" t="s">
        <v>142</v>
      </c>
    </row>
    <row r="24" spans="1:8" x14ac:dyDescent="0.2">
      <c r="A24" s="28">
        <v>18</v>
      </c>
      <c r="B24" s="29" t="s">
        <v>436</v>
      </c>
      <c r="C24" s="29" t="s">
        <v>437</v>
      </c>
      <c r="D24" s="29" t="s">
        <v>28</v>
      </c>
      <c r="E24" s="30">
        <v>241000</v>
      </c>
      <c r="F24" s="31">
        <v>1968.8495</v>
      </c>
      <c r="G24" s="32">
        <v>1.448613E-2</v>
      </c>
      <c r="H24" s="27" t="s">
        <v>142</v>
      </c>
    </row>
    <row r="25" spans="1:8" x14ac:dyDescent="0.2">
      <c r="A25" s="28">
        <v>19</v>
      </c>
      <c r="B25" s="29" t="s">
        <v>686</v>
      </c>
      <c r="C25" s="29" t="s">
        <v>687</v>
      </c>
      <c r="D25" s="29" t="s">
        <v>212</v>
      </c>
      <c r="E25" s="30">
        <v>29000</v>
      </c>
      <c r="F25" s="31">
        <v>1954.6</v>
      </c>
      <c r="G25" s="32">
        <v>1.438129E-2</v>
      </c>
      <c r="H25" s="27" t="s">
        <v>142</v>
      </c>
    </row>
    <row r="26" spans="1:8" ht="25.5" x14ac:dyDescent="0.2">
      <c r="A26" s="28">
        <v>20</v>
      </c>
      <c r="B26" s="29" t="s">
        <v>99</v>
      </c>
      <c r="C26" s="29" t="s">
        <v>100</v>
      </c>
      <c r="D26" s="29" t="s">
        <v>25</v>
      </c>
      <c r="E26" s="30">
        <v>303000</v>
      </c>
      <c r="F26" s="31">
        <v>1677.105</v>
      </c>
      <c r="G26" s="32">
        <v>1.2339579999999999E-2</v>
      </c>
      <c r="H26" s="27" t="s">
        <v>142</v>
      </c>
    </row>
    <row r="27" spans="1:8" x14ac:dyDescent="0.2">
      <c r="A27" s="28">
        <v>21</v>
      </c>
      <c r="B27" s="29" t="s">
        <v>11</v>
      </c>
      <c r="C27" s="29" t="s">
        <v>12</v>
      </c>
      <c r="D27" s="29" t="s">
        <v>13</v>
      </c>
      <c r="E27" s="30">
        <v>90000</v>
      </c>
      <c r="F27" s="31">
        <v>1670.58</v>
      </c>
      <c r="G27" s="32">
        <v>1.229157E-2</v>
      </c>
      <c r="H27" s="27" t="s">
        <v>142</v>
      </c>
    </row>
    <row r="28" spans="1:8" x14ac:dyDescent="0.2">
      <c r="A28" s="28">
        <v>22</v>
      </c>
      <c r="B28" s="29" t="s">
        <v>725</v>
      </c>
      <c r="C28" s="29" t="s">
        <v>726</v>
      </c>
      <c r="D28" s="29" t="s">
        <v>197</v>
      </c>
      <c r="E28" s="30">
        <v>98000</v>
      </c>
      <c r="F28" s="31">
        <v>1646.498</v>
      </c>
      <c r="G28" s="32">
        <v>1.2114379999999999E-2</v>
      </c>
      <c r="H28" s="27" t="s">
        <v>142</v>
      </c>
    </row>
    <row r="29" spans="1:8" x14ac:dyDescent="0.2">
      <c r="A29" s="28">
        <v>23</v>
      </c>
      <c r="B29" s="29" t="s">
        <v>793</v>
      </c>
      <c r="C29" s="29" t="s">
        <v>794</v>
      </c>
      <c r="D29" s="29" t="s">
        <v>61</v>
      </c>
      <c r="E29" s="30">
        <v>128000</v>
      </c>
      <c r="F29" s="31">
        <v>1617.664</v>
      </c>
      <c r="G29" s="32">
        <v>1.190223E-2</v>
      </c>
      <c r="H29" s="27" t="s">
        <v>142</v>
      </c>
    </row>
    <row r="30" spans="1:8" x14ac:dyDescent="0.2">
      <c r="A30" s="28">
        <v>24</v>
      </c>
      <c r="B30" s="29" t="s">
        <v>65</v>
      </c>
      <c r="C30" s="29" t="s">
        <v>66</v>
      </c>
      <c r="D30" s="29" t="s">
        <v>67</v>
      </c>
      <c r="E30" s="30">
        <v>28445</v>
      </c>
      <c r="F30" s="31">
        <v>1516.1185</v>
      </c>
      <c r="G30" s="32">
        <v>1.1155089999999999E-2</v>
      </c>
      <c r="H30" s="27" t="s">
        <v>142</v>
      </c>
    </row>
    <row r="31" spans="1:8" ht="25.5" x14ac:dyDescent="0.2">
      <c r="A31" s="28">
        <v>25</v>
      </c>
      <c r="B31" s="29" t="s">
        <v>795</v>
      </c>
      <c r="C31" s="29" t="s">
        <v>796</v>
      </c>
      <c r="D31" s="29" t="s">
        <v>187</v>
      </c>
      <c r="E31" s="30">
        <v>241000</v>
      </c>
      <c r="F31" s="31">
        <v>1513.239</v>
      </c>
      <c r="G31" s="32">
        <v>1.113391E-2</v>
      </c>
      <c r="H31" s="27" t="s">
        <v>142</v>
      </c>
    </row>
    <row r="32" spans="1:8" x14ac:dyDescent="0.2">
      <c r="A32" s="28">
        <v>26</v>
      </c>
      <c r="B32" s="29" t="s">
        <v>188</v>
      </c>
      <c r="C32" s="29" t="s">
        <v>189</v>
      </c>
      <c r="D32" s="29" t="s">
        <v>28</v>
      </c>
      <c r="E32" s="30">
        <v>722000</v>
      </c>
      <c r="F32" s="31">
        <v>1458.8732</v>
      </c>
      <c r="G32" s="32">
        <v>1.0733899999999999E-2</v>
      </c>
      <c r="H32" s="27" t="s">
        <v>142</v>
      </c>
    </row>
    <row r="33" spans="1:8" x14ac:dyDescent="0.2">
      <c r="A33" s="28">
        <v>27</v>
      </c>
      <c r="B33" s="29" t="s">
        <v>688</v>
      </c>
      <c r="C33" s="29" t="s">
        <v>689</v>
      </c>
      <c r="D33" s="29" t="s">
        <v>197</v>
      </c>
      <c r="E33" s="30">
        <v>21000</v>
      </c>
      <c r="F33" s="31">
        <v>1444.905</v>
      </c>
      <c r="G33" s="32">
        <v>1.0631130000000001E-2</v>
      </c>
      <c r="H33" s="27" t="s">
        <v>142</v>
      </c>
    </row>
    <row r="34" spans="1:8" x14ac:dyDescent="0.2">
      <c r="A34" s="28">
        <v>28</v>
      </c>
      <c r="B34" s="29" t="s">
        <v>113</v>
      </c>
      <c r="C34" s="29" t="s">
        <v>114</v>
      </c>
      <c r="D34" s="29" t="s">
        <v>67</v>
      </c>
      <c r="E34" s="30">
        <v>398000</v>
      </c>
      <c r="F34" s="31">
        <v>1424.84</v>
      </c>
      <c r="G34" s="32">
        <v>1.04835E-2</v>
      </c>
      <c r="H34" s="27" t="s">
        <v>142</v>
      </c>
    </row>
    <row r="35" spans="1:8" ht="25.5" x14ac:dyDescent="0.2">
      <c r="A35" s="28">
        <v>29</v>
      </c>
      <c r="B35" s="29" t="s">
        <v>286</v>
      </c>
      <c r="C35" s="29" t="s">
        <v>287</v>
      </c>
      <c r="D35" s="29" t="s">
        <v>187</v>
      </c>
      <c r="E35" s="30">
        <v>37000</v>
      </c>
      <c r="F35" s="31">
        <v>1414.769</v>
      </c>
      <c r="G35" s="32">
        <v>1.0409399999999999E-2</v>
      </c>
      <c r="H35" s="27" t="s">
        <v>142</v>
      </c>
    </row>
    <row r="36" spans="1:8" x14ac:dyDescent="0.2">
      <c r="A36" s="28">
        <v>30</v>
      </c>
      <c r="B36" s="29" t="s">
        <v>327</v>
      </c>
      <c r="C36" s="29" t="s">
        <v>328</v>
      </c>
      <c r="D36" s="29" t="s">
        <v>132</v>
      </c>
      <c r="E36" s="30">
        <v>15000</v>
      </c>
      <c r="F36" s="31">
        <v>1377.075</v>
      </c>
      <c r="G36" s="32">
        <v>1.013206E-2</v>
      </c>
      <c r="H36" s="27" t="s">
        <v>142</v>
      </c>
    </row>
    <row r="37" spans="1:8" x14ac:dyDescent="0.2">
      <c r="A37" s="28">
        <v>31</v>
      </c>
      <c r="B37" s="29" t="s">
        <v>84</v>
      </c>
      <c r="C37" s="29" t="s">
        <v>85</v>
      </c>
      <c r="D37" s="29" t="s">
        <v>86</v>
      </c>
      <c r="E37" s="30">
        <v>725000</v>
      </c>
      <c r="F37" s="31">
        <v>1376.05</v>
      </c>
      <c r="G37" s="32">
        <v>1.012451E-2</v>
      </c>
      <c r="H37" s="27" t="s">
        <v>142</v>
      </c>
    </row>
    <row r="38" spans="1:8" ht="25.5" x14ac:dyDescent="0.2">
      <c r="A38" s="28">
        <v>32</v>
      </c>
      <c r="B38" s="29" t="s">
        <v>430</v>
      </c>
      <c r="C38" s="29" t="s">
        <v>431</v>
      </c>
      <c r="D38" s="29" t="s">
        <v>194</v>
      </c>
      <c r="E38" s="30">
        <v>93000</v>
      </c>
      <c r="F38" s="31">
        <v>1363.1010000000001</v>
      </c>
      <c r="G38" s="32">
        <v>1.002924E-2</v>
      </c>
      <c r="H38" s="27" t="s">
        <v>142</v>
      </c>
    </row>
    <row r="39" spans="1:8" x14ac:dyDescent="0.2">
      <c r="A39" s="28">
        <v>33</v>
      </c>
      <c r="B39" s="29" t="s">
        <v>352</v>
      </c>
      <c r="C39" s="29" t="s">
        <v>353</v>
      </c>
      <c r="D39" s="29" t="s">
        <v>254</v>
      </c>
      <c r="E39" s="30">
        <v>189000</v>
      </c>
      <c r="F39" s="31">
        <v>1359.855</v>
      </c>
      <c r="G39" s="32">
        <v>1.000536E-2</v>
      </c>
      <c r="H39" s="27" t="s">
        <v>142</v>
      </c>
    </row>
    <row r="40" spans="1:8" x14ac:dyDescent="0.2">
      <c r="A40" s="28">
        <v>34</v>
      </c>
      <c r="B40" s="29" t="s">
        <v>34</v>
      </c>
      <c r="C40" s="29" t="s">
        <v>35</v>
      </c>
      <c r="D40" s="29" t="s">
        <v>36</v>
      </c>
      <c r="E40" s="30">
        <v>60000</v>
      </c>
      <c r="F40" s="31">
        <v>1344.84</v>
      </c>
      <c r="G40" s="32">
        <v>9.89488E-3</v>
      </c>
      <c r="H40" s="27" t="s">
        <v>142</v>
      </c>
    </row>
    <row r="41" spans="1:8" x14ac:dyDescent="0.2">
      <c r="A41" s="28">
        <v>35</v>
      </c>
      <c r="B41" s="29" t="s">
        <v>496</v>
      </c>
      <c r="C41" s="29" t="s">
        <v>497</v>
      </c>
      <c r="D41" s="29" t="s">
        <v>226</v>
      </c>
      <c r="E41" s="30">
        <v>88000</v>
      </c>
      <c r="F41" s="31">
        <v>1337.6880000000001</v>
      </c>
      <c r="G41" s="32">
        <v>9.8422600000000002E-3</v>
      </c>
      <c r="H41" s="27" t="s">
        <v>142</v>
      </c>
    </row>
    <row r="42" spans="1:8" ht="25.5" x14ac:dyDescent="0.2">
      <c r="A42" s="28">
        <v>36</v>
      </c>
      <c r="B42" s="29" t="s">
        <v>425</v>
      </c>
      <c r="C42" s="29" t="s">
        <v>426</v>
      </c>
      <c r="D42" s="29" t="s">
        <v>203</v>
      </c>
      <c r="E42" s="30">
        <v>120522</v>
      </c>
      <c r="F42" s="31">
        <v>1333.3348860000001</v>
      </c>
      <c r="G42" s="32">
        <v>9.8102299999999996E-3</v>
      </c>
      <c r="H42" s="27" t="s">
        <v>142</v>
      </c>
    </row>
    <row r="43" spans="1:8" x14ac:dyDescent="0.2">
      <c r="A43" s="28">
        <v>37</v>
      </c>
      <c r="B43" s="29" t="s">
        <v>348</v>
      </c>
      <c r="C43" s="29" t="s">
        <v>349</v>
      </c>
      <c r="D43" s="29" t="s">
        <v>290</v>
      </c>
      <c r="E43" s="30">
        <v>549000</v>
      </c>
      <c r="F43" s="31">
        <v>1308.3218999999999</v>
      </c>
      <c r="G43" s="32">
        <v>9.6261899999999997E-3</v>
      </c>
      <c r="H43" s="27" t="s">
        <v>142</v>
      </c>
    </row>
    <row r="44" spans="1:8" x14ac:dyDescent="0.2">
      <c r="A44" s="28">
        <v>38</v>
      </c>
      <c r="B44" s="29" t="s">
        <v>335</v>
      </c>
      <c r="C44" s="29" t="s">
        <v>336</v>
      </c>
      <c r="D44" s="29" t="s">
        <v>290</v>
      </c>
      <c r="E44" s="30">
        <v>90000</v>
      </c>
      <c r="F44" s="31">
        <v>1284.75</v>
      </c>
      <c r="G44" s="32">
        <v>9.4527599999999993E-3</v>
      </c>
      <c r="H44" s="27" t="s">
        <v>142</v>
      </c>
    </row>
    <row r="45" spans="1:8" ht="25.5" x14ac:dyDescent="0.2">
      <c r="A45" s="28">
        <v>39</v>
      </c>
      <c r="B45" s="29" t="s">
        <v>121</v>
      </c>
      <c r="C45" s="29" t="s">
        <v>122</v>
      </c>
      <c r="D45" s="29" t="s">
        <v>123</v>
      </c>
      <c r="E45" s="30">
        <v>261000</v>
      </c>
      <c r="F45" s="31">
        <v>1252.6695</v>
      </c>
      <c r="G45" s="32">
        <v>9.2167199999999994E-3</v>
      </c>
      <c r="H45" s="27" t="s">
        <v>142</v>
      </c>
    </row>
    <row r="46" spans="1:8" x14ac:dyDescent="0.2">
      <c r="A46" s="28">
        <v>40</v>
      </c>
      <c r="B46" s="29" t="s">
        <v>227</v>
      </c>
      <c r="C46" s="29" t="s">
        <v>228</v>
      </c>
      <c r="D46" s="29" t="s">
        <v>229</v>
      </c>
      <c r="E46" s="30">
        <v>188000</v>
      </c>
      <c r="F46" s="31">
        <v>1232.434</v>
      </c>
      <c r="G46" s="32">
        <v>9.0678400000000006E-3</v>
      </c>
      <c r="H46" s="27" t="s">
        <v>142</v>
      </c>
    </row>
    <row r="47" spans="1:8" x14ac:dyDescent="0.2">
      <c r="A47" s="28">
        <v>41</v>
      </c>
      <c r="B47" s="29" t="s">
        <v>504</v>
      </c>
      <c r="C47" s="29" t="s">
        <v>505</v>
      </c>
      <c r="D47" s="29" t="s">
        <v>200</v>
      </c>
      <c r="E47" s="30">
        <v>74000</v>
      </c>
      <c r="F47" s="31">
        <v>1164.6859999999999</v>
      </c>
      <c r="G47" s="32">
        <v>8.5693699999999998E-3</v>
      </c>
      <c r="H47" s="27" t="s">
        <v>142</v>
      </c>
    </row>
    <row r="48" spans="1:8" ht="25.5" x14ac:dyDescent="0.2">
      <c r="A48" s="28">
        <v>42</v>
      </c>
      <c r="B48" s="29" t="s">
        <v>753</v>
      </c>
      <c r="C48" s="29" t="s">
        <v>754</v>
      </c>
      <c r="D48" s="29" t="s">
        <v>273</v>
      </c>
      <c r="E48" s="30">
        <v>36000</v>
      </c>
      <c r="F48" s="31">
        <v>1118.5920000000001</v>
      </c>
      <c r="G48" s="32">
        <v>8.2302299999999998E-3</v>
      </c>
      <c r="H48" s="27" t="s">
        <v>142</v>
      </c>
    </row>
    <row r="49" spans="1:8" x14ac:dyDescent="0.2">
      <c r="A49" s="28">
        <v>43</v>
      </c>
      <c r="B49" s="29" t="s">
        <v>783</v>
      </c>
      <c r="C49" s="29" t="s">
        <v>784</v>
      </c>
      <c r="D49" s="29" t="s">
        <v>290</v>
      </c>
      <c r="E49" s="30">
        <v>333526</v>
      </c>
      <c r="F49" s="31">
        <v>1110.8083429999999</v>
      </c>
      <c r="G49" s="32">
        <v>8.1729599999999999E-3</v>
      </c>
      <c r="H49" s="27" t="s">
        <v>142</v>
      </c>
    </row>
    <row r="50" spans="1:8" x14ac:dyDescent="0.2">
      <c r="A50" s="28">
        <v>44</v>
      </c>
      <c r="B50" s="29" t="s">
        <v>494</v>
      </c>
      <c r="C50" s="29" t="s">
        <v>495</v>
      </c>
      <c r="D50" s="29" t="s">
        <v>254</v>
      </c>
      <c r="E50" s="30">
        <v>37000</v>
      </c>
      <c r="F50" s="31">
        <v>1101.4159999999999</v>
      </c>
      <c r="G50" s="32">
        <v>8.1038499999999992E-3</v>
      </c>
      <c r="H50" s="27" t="s">
        <v>142</v>
      </c>
    </row>
    <row r="51" spans="1:8" x14ac:dyDescent="0.2">
      <c r="A51" s="28">
        <v>45</v>
      </c>
      <c r="B51" s="29" t="s">
        <v>20</v>
      </c>
      <c r="C51" s="29" t="s">
        <v>21</v>
      </c>
      <c r="D51" s="29" t="s">
        <v>22</v>
      </c>
      <c r="E51" s="30">
        <v>327000</v>
      </c>
      <c r="F51" s="31">
        <v>1091.8530000000001</v>
      </c>
      <c r="G51" s="32">
        <v>8.0334900000000008E-3</v>
      </c>
      <c r="H51" s="27" t="s">
        <v>142</v>
      </c>
    </row>
    <row r="52" spans="1:8" x14ac:dyDescent="0.2">
      <c r="A52" s="28">
        <v>46</v>
      </c>
      <c r="B52" s="29" t="s">
        <v>278</v>
      </c>
      <c r="C52" s="29" t="s">
        <v>279</v>
      </c>
      <c r="D52" s="29" t="s">
        <v>212</v>
      </c>
      <c r="E52" s="30">
        <v>27000</v>
      </c>
      <c r="F52" s="31">
        <v>1069.4970000000001</v>
      </c>
      <c r="G52" s="32">
        <v>7.8689999999999993E-3</v>
      </c>
      <c r="H52" s="27" t="s">
        <v>142</v>
      </c>
    </row>
    <row r="53" spans="1:8" x14ac:dyDescent="0.2">
      <c r="A53" s="28">
        <v>47</v>
      </c>
      <c r="B53" s="29" t="s">
        <v>333</v>
      </c>
      <c r="C53" s="29" t="s">
        <v>334</v>
      </c>
      <c r="D53" s="29" t="s">
        <v>31</v>
      </c>
      <c r="E53" s="30">
        <v>20800</v>
      </c>
      <c r="F53" s="31">
        <v>1034.6128000000001</v>
      </c>
      <c r="G53" s="32">
        <v>7.6123299999999996E-3</v>
      </c>
      <c r="H53" s="27" t="s">
        <v>142</v>
      </c>
    </row>
    <row r="54" spans="1:8" x14ac:dyDescent="0.2">
      <c r="A54" s="28">
        <v>48</v>
      </c>
      <c r="B54" s="29" t="s">
        <v>727</v>
      </c>
      <c r="C54" s="29" t="s">
        <v>728</v>
      </c>
      <c r="D54" s="29" t="s">
        <v>61</v>
      </c>
      <c r="E54" s="30">
        <v>98690</v>
      </c>
      <c r="F54" s="31">
        <v>1026.129275</v>
      </c>
      <c r="G54" s="32">
        <v>7.5499199999999999E-3</v>
      </c>
      <c r="H54" s="27" t="s">
        <v>142</v>
      </c>
    </row>
    <row r="55" spans="1:8" x14ac:dyDescent="0.2">
      <c r="A55" s="28">
        <v>49</v>
      </c>
      <c r="B55" s="29" t="s">
        <v>723</v>
      </c>
      <c r="C55" s="29" t="s">
        <v>724</v>
      </c>
      <c r="D55" s="29" t="s">
        <v>61</v>
      </c>
      <c r="E55" s="30">
        <v>65375</v>
      </c>
      <c r="F55" s="31">
        <v>1001.741125</v>
      </c>
      <c r="G55" s="32">
        <v>7.3704799999999996E-3</v>
      </c>
      <c r="H55" s="27" t="s">
        <v>142</v>
      </c>
    </row>
    <row r="56" spans="1:8" x14ac:dyDescent="0.2">
      <c r="A56" s="28">
        <v>50</v>
      </c>
      <c r="B56" s="29" t="s">
        <v>797</v>
      </c>
      <c r="C56" s="29" t="s">
        <v>798</v>
      </c>
      <c r="D56" s="29" t="s">
        <v>70</v>
      </c>
      <c r="E56" s="30">
        <v>225000</v>
      </c>
      <c r="F56" s="31">
        <v>960.3</v>
      </c>
      <c r="G56" s="32">
        <v>7.0655700000000002E-3</v>
      </c>
      <c r="H56" s="27" t="s">
        <v>142</v>
      </c>
    </row>
    <row r="57" spans="1:8" x14ac:dyDescent="0.2">
      <c r="A57" s="28">
        <v>51</v>
      </c>
      <c r="B57" s="29" t="s">
        <v>222</v>
      </c>
      <c r="C57" s="29" t="s">
        <v>223</v>
      </c>
      <c r="D57" s="29" t="s">
        <v>64</v>
      </c>
      <c r="E57" s="30">
        <v>193000</v>
      </c>
      <c r="F57" s="31">
        <v>908.16150000000005</v>
      </c>
      <c r="G57" s="32">
        <v>6.6819499999999999E-3</v>
      </c>
      <c r="H57" s="27" t="s">
        <v>142</v>
      </c>
    </row>
    <row r="58" spans="1:8" x14ac:dyDescent="0.2">
      <c r="A58" s="28">
        <v>52</v>
      </c>
      <c r="B58" s="29" t="s">
        <v>105</v>
      </c>
      <c r="C58" s="29" t="s">
        <v>106</v>
      </c>
      <c r="D58" s="29" t="s">
        <v>73</v>
      </c>
      <c r="E58" s="30">
        <v>100000</v>
      </c>
      <c r="F58" s="31">
        <v>904.65</v>
      </c>
      <c r="G58" s="32">
        <v>6.6561099999999998E-3</v>
      </c>
      <c r="H58" s="27" t="s">
        <v>142</v>
      </c>
    </row>
    <row r="59" spans="1:8" x14ac:dyDescent="0.2">
      <c r="A59" s="28">
        <v>53</v>
      </c>
      <c r="B59" s="29" t="s">
        <v>238</v>
      </c>
      <c r="C59" s="29" t="s">
        <v>239</v>
      </c>
      <c r="D59" s="29" t="s">
        <v>73</v>
      </c>
      <c r="E59" s="30">
        <v>20000</v>
      </c>
      <c r="F59" s="31">
        <v>829.24</v>
      </c>
      <c r="G59" s="32">
        <v>6.1012699999999998E-3</v>
      </c>
      <c r="H59" s="27" t="s">
        <v>142</v>
      </c>
    </row>
    <row r="60" spans="1:8" x14ac:dyDescent="0.2">
      <c r="A60" s="28">
        <v>54</v>
      </c>
      <c r="B60" s="29" t="s">
        <v>274</v>
      </c>
      <c r="C60" s="29" t="s">
        <v>275</v>
      </c>
      <c r="D60" s="29" t="s">
        <v>270</v>
      </c>
      <c r="E60" s="30">
        <v>55000</v>
      </c>
      <c r="F60" s="31">
        <v>826.48500000000001</v>
      </c>
      <c r="G60" s="32">
        <v>6.0809999999999996E-3</v>
      </c>
      <c r="H60" s="27" t="s">
        <v>142</v>
      </c>
    </row>
    <row r="61" spans="1:8" x14ac:dyDescent="0.2">
      <c r="A61" s="28">
        <v>55</v>
      </c>
      <c r="B61" s="29" t="s">
        <v>95</v>
      </c>
      <c r="C61" s="29" t="s">
        <v>96</v>
      </c>
      <c r="D61" s="29" t="s">
        <v>64</v>
      </c>
      <c r="E61" s="30">
        <v>18000</v>
      </c>
      <c r="F61" s="31">
        <v>753.96600000000001</v>
      </c>
      <c r="G61" s="32">
        <v>5.5474299999999999E-3</v>
      </c>
      <c r="H61" s="27" t="s">
        <v>142</v>
      </c>
    </row>
    <row r="62" spans="1:8" x14ac:dyDescent="0.2">
      <c r="A62" s="28">
        <v>56</v>
      </c>
      <c r="B62" s="29" t="s">
        <v>204</v>
      </c>
      <c r="C62" s="29" t="s">
        <v>205</v>
      </c>
      <c r="D62" s="29" t="s">
        <v>16</v>
      </c>
      <c r="E62" s="30">
        <v>180000</v>
      </c>
      <c r="F62" s="31">
        <v>739.89</v>
      </c>
      <c r="G62" s="32">
        <v>5.44386E-3</v>
      </c>
      <c r="H62" s="27" t="s">
        <v>142</v>
      </c>
    </row>
    <row r="63" spans="1:8" x14ac:dyDescent="0.2">
      <c r="A63" s="28">
        <v>57</v>
      </c>
      <c r="B63" s="29" t="s">
        <v>337</v>
      </c>
      <c r="C63" s="29" t="s">
        <v>338</v>
      </c>
      <c r="D63" s="29" t="s">
        <v>263</v>
      </c>
      <c r="E63" s="30">
        <v>42000</v>
      </c>
      <c r="F63" s="31">
        <v>728.952</v>
      </c>
      <c r="G63" s="32">
        <v>5.3633800000000001E-3</v>
      </c>
      <c r="H63" s="27" t="s">
        <v>142</v>
      </c>
    </row>
    <row r="64" spans="1:8" ht="25.5" x14ac:dyDescent="0.2">
      <c r="A64" s="28">
        <v>58</v>
      </c>
      <c r="B64" s="29" t="s">
        <v>43</v>
      </c>
      <c r="C64" s="29" t="s">
        <v>44</v>
      </c>
      <c r="D64" s="29" t="s">
        <v>45</v>
      </c>
      <c r="E64" s="30">
        <v>47000</v>
      </c>
      <c r="F64" s="31">
        <v>673.41600000000005</v>
      </c>
      <c r="G64" s="32">
        <v>4.9547699999999998E-3</v>
      </c>
      <c r="H64" s="27" t="s">
        <v>142</v>
      </c>
    </row>
    <row r="65" spans="1:8" x14ac:dyDescent="0.2">
      <c r="A65" s="28">
        <v>59</v>
      </c>
      <c r="B65" s="29" t="s">
        <v>268</v>
      </c>
      <c r="C65" s="29" t="s">
        <v>269</v>
      </c>
      <c r="D65" s="29" t="s">
        <v>270</v>
      </c>
      <c r="E65" s="30">
        <v>99000</v>
      </c>
      <c r="F65" s="31">
        <v>655.77599999999995</v>
      </c>
      <c r="G65" s="32">
        <v>4.8249800000000004E-3</v>
      </c>
      <c r="H65" s="27" t="s">
        <v>142</v>
      </c>
    </row>
    <row r="66" spans="1:8" ht="25.5" x14ac:dyDescent="0.2">
      <c r="A66" s="28">
        <v>60</v>
      </c>
      <c r="B66" s="29" t="s">
        <v>460</v>
      </c>
      <c r="C66" s="29" t="s">
        <v>461</v>
      </c>
      <c r="D66" s="29" t="s">
        <v>194</v>
      </c>
      <c r="E66" s="30">
        <v>5576</v>
      </c>
      <c r="F66" s="31">
        <v>641.40728000000001</v>
      </c>
      <c r="G66" s="32">
        <v>4.7192600000000003E-3</v>
      </c>
      <c r="H66" s="27" t="s">
        <v>142</v>
      </c>
    </row>
    <row r="67" spans="1:8" x14ac:dyDescent="0.2">
      <c r="A67" s="28">
        <v>61</v>
      </c>
      <c r="B67" s="29" t="s">
        <v>759</v>
      </c>
      <c r="C67" s="29" t="s">
        <v>760</v>
      </c>
      <c r="D67" s="29" t="s">
        <v>254</v>
      </c>
      <c r="E67" s="30">
        <v>33929</v>
      </c>
      <c r="F67" s="31">
        <v>626.73648800000001</v>
      </c>
      <c r="G67" s="32">
        <v>4.6113200000000003E-3</v>
      </c>
      <c r="H67" s="27" t="s">
        <v>142</v>
      </c>
    </row>
    <row r="68" spans="1:8" ht="25.5" x14ac:dyDescent="0.2">
      <c r="A68" s="28">
        <v>62</v>
      </c>
      <c r="B68" s="29" t="s">
        <v>692</v>
      </c>
      <c r="C68" s="29" t="s">
        <v>693</v>
      </c>
      <c r="D68" s="29" t="s">
        <v>25</v>
      </c>
      <c r="E68" s="30">
        <v>21069</v>
      </c>
      <c r="F68" s="31">
        <v>424.83531599999998</v>
      </c>
      <c r="G68" s="32">
        <v>3.1258000000000002E-3</v>
      </c>
      <c r="H68" s="27" t="s">
        <v>142</v>
      </c>
    </row>
    <row r="69" spans="1:8" x14ac:dyDescent="0.2">
      <c r="A69" s="28">
        <v>63</v>
      </c>
      <c r="B69" s="29" t="s">
        <v>93</v>
      </c>
      <c r="C69" s="29" t="s">
        <v>94</v>
      </c>
      <c r="D69" s="29" t="s">
        <v>73</v>
      </c>
      <c r="E69" s="30">
        <v>20823</v>
      </c>
      <c r="F69" s="31">
        <v>377.250291</v>
      </c>
      <c r="G69" s="32">
        <v>2.77568E-3</v>
      </c>
      <c r="H69" s="27" t="s">
        <v>142</v>
      </c>
    </row>
    <row r="70" spans="1:8" ht="25.5" x14ac:dyDescent="0.2">
      <c r="A70" s="28">
        <v>64</v>
      </c>
      <c r="B70" s="29" t="s">
        <v>276</v>
      </c>
      <c r="C70" s="29" t="s">
        <v>277</v>
      </c>
      <c r="D70" s="29" t="s">
        <v>194</v>
      </c>
      <c r="E70" s="30">
        <v>12215</v>
      </c>
      <c r="F70" s="31">
        <v>301.42955499999999</v>
      </c>
      <c r="G70" s="32">
        <v>2.2178200000000001E-3</v>
      </c>
      <c r="H70" s="27" t="s">
        <v>142</v>
      </c>
    </row>
    <row r="71" spans="1:8" x14ac:dyDescent="0.2">
      <c r="A71" s="25"/>
      <c r="B71" s="25"/>
      <c r="C71" s="26" t="s">
        <v>141</v>
      </c>
      <c r="D71" s="25"/>
      <c r="E71" s="25" t="s">
        <v>142</v>
      </c>
      <c r="F71" s="33">
        <f>SUM(F7:F70)</f>
        <v>127007.96737499998</v>
      </c>
      <c r="G71" s="34">
        <f>SUM(G7:G70)</f>
        <v>0.9344820800000001</v>
      </c>
      <c r="H71" s="27" t="s">
        <v>142</v>
      </c>
    </row>
    <row r="72" spans="1:8" x14ac:dyDescent="0.2">
      <c r="A72" s="25"/>
      <c r="B72" s="25"/>
      <c r="C72" s="35"/>
      <c r="D72" s="25"/>
      <c r="E72" s="25"/>
      <c r="F72" s="36"/>
      <c r="G72" s="36"/>
      <c r="H72" s="27" t="s">
        <v>142</v>
      </c>
    </row>
    <row r="73" spans="1:8" x14ac:dyDescent="0.2">
      <c r="A73" s="25"/>
      <c r="B73" s="25"/>
      <c r="C73" s="26" t="s">
        <v>143</v>
      </c>
      <c r="D73" s="25"/>
      <c r="E73" s="25"/>
      <c r="F73" s="25"/>
      <c r="G73" s="25"/>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145</v>
      </c>
      <c r="D76" s="25"/>
      <c r="E76" s="25"/>
      <c r="F76" s="25"/>
      <c r="G76" s="25"/>
      <c r="H76" s="27" t="s">
        <v>142</v>
      </c>
    </row>
    <row r="77" spans="1:8" x14ac:dyDescent="0.2">
      <c r="A77" s="28">
        <v>1</v>
      </c>
      <c r="B77" s="29" t="s">
        <v>522</v>
      </c>
      <c r="C77" s="29" t="s">
        <v>906</v>
      </c>
      <c r="D77" s="29" t="s">
        <v>229</v>
      </c>
      <c r="E77" s="30">
        <v>374002</v>
      </c>
      <c r="F77" s="31">
        <v>57.820709200000003</v>
      </c>
      <c r="G77" s="32">
        <v>4.2543000000000002E-4</v>
      </c>
      <c r="H77" s="27" t="s">
        <v>142</v>
      </c>
    </row>
    <row r="78" spans="1:8" x14ac:dyDescent="0.2">
      <c r="A78" s="28">
        <v>2</v>
      </c>
      <c r="B78" s="29" t="s">
        <v>737</v>
      </c>
      <c r="C78" s="29" t="s">
        <v>1040</v>
      </c>
      <c r="D78" s="29"/>
      <c r="E78" s="30">
        <v>200000</v>
      </c>
      <c r="F78" s="31">
        <v>1.9999999999999999E-6</v>
      </c>
      <c r="G78" s="39" t="s">
        <v>140</v>
      </c>
      <c r="H78" s="27" t="s">
        <v>142</v>
      </c>
    </row>
    <row r="79" spans="1:8" x14ac:dyDescent="0.2">
      <c r="A79" s="25"/>
      <c r="B79" s="25"/>
      <c r="C79" s="26" t="s">
        <v>141</v>
      </c>
      <c r="D79" s="25"/>
      <c r="E79" s="25" t="s">
        <v>142</v>
      </c>
      <c r="F79" s="33">
        <f>SUM(F77:F78)</f>
        <v>57.820711200000005</v>
      </c>
      <c r="G79" s="34">
        <f>SUM(G77:G78)</f>
        <v>4.2543000000000002E-4</v>
      </c>
      <c r="H79" s="27" t="s">
        <v>142</v>
      </c>
    </row>
    <row r="80" spans="1:8" x14ac:dyDescent="0.2">
      <c r="A80" s="25"/>
      <c r="B80" s="25"/>
      <c r="C80" s="35"/>
      <c r="D80" s="25"/>
      <c r="E80" s="25"/>
      <c r="F80" s="36"/>
      <c r="G80" s="36"/>
      <c r="H80" s="27" t="s">
        <v>142</v>
      </c>
    </row>
    <row r="81" spans="1:8" x14ac:dyDescent="0.2">
      <c r="A81" s="25"/>
      <c r="B81" s="25"/>
      <c r="C81" s="26" t="s">
        <v>146</v>
      </c>
      <c r="D81" s="25"/>
      <c r="E81" s="25"/>
      <c r="F81" s="25"/>
      <c r="G81" s="25"/>
      <c r="H81" s="27" t="s">
        <v>142</v>
      </c>
    </row>
    <row r="82" spans="1:8" x14ac:dyDescent="0.2">
      <c r="A82" s="28">
        <v>1</v>
      </c>
      <c r="B82" s="29" t="s">
        <v>799</v>
      </c>
      <c r="C82" s="29" t="s">
        <v>1047</v>
      </c>
      <c r="D82" s="29" t="s">
        <v>13</v>
      </c>
      <c r="E82" s="30">
        <v>193000</v>
      </c>
      <c r="F82" s="31">
        <v>2705.4740000000002</v>
      </c>
      <c r="G82" s="32">
        <v>1.9905969999999999E-2</v>
      </c>
      <c r="H82" s="27" t="s">
        <v>142</v>
      </c>
    </row>
    <row r="83" spans="1:8" x14ac:dyDescent="0.2">
      <c r="A83" s="25"/>
      <c r="B83" s="25"/>
      <c r="C83" s="26" t="s">
        <v>141</v>
      </c>
      <c r="D83" s="25"/>
      <c r="E83" s="25" t="s">
        <v>142</v>
      </c>
      <c r="F83" s="33">
        <v>2705.4740000000002</v>
      </c>
      <c r="G83" s="34">
        <v>1.9905969999999999E-2</v>
      </c>
      <c r="H83" s="27" t="s">
        <v>142</v>
      </c>
    </row>
    <row r="84" spans="1:8" x14ac:dyDescent="0.2">
      <c r="A84" s="25"/>
      <c r="B84" s="25"/>
      <c r="C84" s="35"/>
      <c r="D84" s="25"/>
      <c r="E84" s="25"/>
      <c r="F84" s="36"/>
      <c r="G84" s="36"/>
      <c r="H84" s="27" t="s">
        <v>142</v>
      </c>
    </row>
    <row r="85" spans="1:8" x14ac:dyDescent="0.2">
      <c r="A85" s="25"/>
      <c r="B85" s="25"/>
      <c r="C85" s="26" t="s">
        <v>147</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148</v>
      </c>
      <c r="D88" s="25"/>
      <c r="E88" s="25"/>
      <c r="F88" s="36"/>
      <c r="G88" s="36"/>
      <c r="H88" s="27" t="s">
        <v>142</v>
      </c>
    </row>
    <row r="89" spans="1:8" x14ac:dyDescent="0.2">
      <c r="A89" s="25"/>
      <c r="B89" s="25"/>
      <c r="C89" s="26" t="s">
        <v>141</v>
      </c>
      <c r="D89" s="25"/>
      <c r="E89" s="25" t="s">
        <v>142</v>
      </c>
      <c r="F89" s="37" t="s">
        <v>144</v>
      </c>
      <c r="G89" s="34">
        <v>0</v>
      </c>
      <c r="H89" s="27" t="s">
        <v>142</v>
      </c>
    </row>
    <row r="90" spans="1:8" x14ac:dyDescent="0.2">
      <c r="A90" s="25"/>
      <c r="B90" s="25"/>
      <c r="C90" s="35"/>
      <c r="D90" s="25"/>
      <c r="E90" s="25"/>
      <c r="F90" s="36"/>
      <c r="G90" s="36"/>
      <c r="H90" s="27" t="s">
        <v>142</v>
      </c>
    </row>
    <row r="91" spans="1:8" x14ac:dyDescent="0.2">
      <c r="A91" s="25"/>
      <c r="B91" s="25"/>
      <c r="C91" s="26" t="s">
        <v>149</v>
      </c>
      <c r="D91" s="25"/>
      <c r="E91" s="25"/>
      <c r="F91" s="33">
        <v>129771.2620862</v>
      </c>
      <c r="G91" s="34">
        <v>0.95481347999999999</v>
      </c>
      <c r="H91" s="27" t="s">
        <v>142</v>
      </c>
    </row>
    <row r="92" spans="1:8" x14ac:dyDescent="0.2">
      <c r="A92" s="25"/>
      <c r="B92" s="25"/>
      <c r="C92" s="35"/>
      <c r="D92" s="25"/>
      <c r="E92" s="25"/>
      <c r="F92" s="36"/>
      <c r="G92" s="36"/>
      <c r="H92" s="27" t="s">
        <v>142</v>
      </c>
    </row>
    <row r="93" spans="1:8" x14ac:dyDescent="0.2">
      <c r="A93" s="25"/>
      <c r="B93" s="25"/>
      <c r="C93" s="26" t="s">
        <v>150</v>
      </c>
      <c r="D93" s="25"/>
      <c r="E93" s="25"/>
      <c r="F93" s="36"/>
      <c r="G93" s="36"/>
      <c r="H93" s="27" t="s">
        <v>142</v>
      </c>
    </row>
    <row r="94" spans="1:8" x14ac:dyDescent="0.2">
      <c r="A94" s="25"/>
      <c r="B94" s="25"/>
      <c r="C94" s="26" t="s">
        <v>10</v>
      </c>
      <c r="D94" s="25"/>
      <c r="E94" s="25"/>
      <c r="F94" s="36"/>
      <c r="G94" s="36"/>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8" x14ac:dyDescent="0.2">
      <c r="A97" s="25"/>
      <c r="B97" s="25"/>
      <c r="C97" s="26" t="s">
        <v>151</v>
      </c>
      <c r="D97" s="25"/>
      <c r="E97" s="25"/>
      <c r="F97" s="25"/>
      <c r="G97" s="25"/>
      <c r="H97" s="27" t="s">
        <v>142</v>
      </c>
    </row>
    <row r="98" spans="1:8" x14ac:dyDescent="0.2">
      <c r="A98" s="25"/>
      <c r="B98" s="25"/>
      <c r="C98" s="26" t="s">
        <v>141</v>
      </c>
      <c r="D98" s="25"/>
      <c r="E98" s="25" t="s">
        <v>142</v>
      </c>
      <c r="F98" s="37" t="s">
        <v>144</v>
      </c>
      <c r="G98" s="34">
        <v>0</v>
      </c>
      <c r="H98" s="27" t="s">
        <v>142</v>
      </c>
    </row>
    <row r="99" spans="1:8" x14ac:dyDescent="0.2">
      <c r="A99" s="25"/>
      <c r="B99" s="25"/>
      <c r="C99" s="35"/>
      <c r="D99" s="25"/>
      <c r="E99" s="25"/>
      <c r="F99" s="36"/>
      <c r="G99" s="36"/>
      <c r="H99" s="27" t="s">
        <v>142</v>
      </c>
    </row>
    <row r="100" spans="1:8" x14ac:dyDescent="0.2">
      <c r="A100" s="25"/>
      <c r="B100" s="25"/>
      <c r="C100" s="26" t="s">
        <v>152</v>
      </c>
      <c r="D100" s="25"/>
      <c r="E100" s="25"/>
      <c r="F100" s="25"/>
      <c r="G100" s="25"/>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153</v>
      </c>
      <c r="D103" s="25"/>
      <c r="E103" s="25"/>
      <c r="F103" s="36"/>
      <c r="G103" s="36"/>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154</v>
      </c>
      <c r="D106" s="25"/>
      <c r="E106" s="25"/>
      <c r="F106" s="33">
        <v>0</v>
      </c>
      <c r="G106" s="34">
        <v>0</v>
      </c>
      <c r="H106" s="27" t="s">
        <v>142</v>
      </c>
    </row>
    <row r="107" spans="1:8" x14ac:dyDescent="0.2">
      <c r="A107" s="25"/>
      <c r="B107" s="25"/>
      <c r="C107" s="35"/>
      <c r="D107" s="25"/>
      <c r="E107" s="25"/>
      <c r="F107" s="36"/>
      <c r="G107" s="36"/>
      <c r="H107" s="27" t="s">
        <v>142</v>
      </c>
    </row>
    <row r="108" spans="1:8" x14ac:dyDescent="0.2">
      <c r="A108" s="25"/>
      <c r="B108" s="25"/>
      <c r="C108" s="26" t="s">
        <v>155</v>
      </c>
      <c r="D108" s="25"/>
      <c r="E108" s="25"/>
      <c r="F108" s="36"/>
      <c r="G108" s="36"/>
      <c r="H108" s="27" t="s">
        <v>142</v>
      </c>
    </row>
    <row r="109" spans="1:8" x14ac:dyDescent="0.2">
      <c r="A109" s="25"/>
      <c r="B109" s="25"/>
      <c r="C109" s="26" t="s">
        <v>156</v>
      </c>
      <c r="D109" s="25"/>
      <c r="E109" s="25"/>
      <c r="F109" s="36"/>
      <c r="G109" s="36"/>
      <c r="H109" s="27" t="s">
        <v>142</v>
      </c>
    </row>
    <row r="110" spans="1:8" x14ac:dyDescent="0.2">
      <c r="A110" s="25"/>
      <c r="B110" s="25"/>
      <c r="C110" s="26" t="s">
        <v>141</v>
      </c>
      <c r="D110" s="25"/>
      <c r="E110" s="25" t="s">
        <v>142</v>
      </c>
      <c r="F110" s="37" t="s">
        <v>144</v>
      </c>
      <c r="G110" s="34">
        <v>0</v>
      </c>
      <c r="H110" s="27" t="s">
        <v>142</v>
      </c>
    </row>
    <row r="111" spans="1:8" x14ac:dyDescent="0.2">
      <c r="A111" s="25"/>
      <c r="B111" s="25"/>
      <c r="C111" s="35"/>
      <c r="D111" s="25"/>
      <c r="E111" s="25"/>
      <c r="F111" s="36"/>
      <c r="G111" s="36"/>
      <c r="H111" s="27" t="s">
        <v>142</v>
      </c>
    </row>
    <row r="112" spans="1:8" x14ac:dyDescent="0.2">
      <c r="A112" s="25"/>
      <c r="B112" s="25"/>
      <c r="C112" s="26" t="s">
        <v>157</v>
      </c>
      <c r="D112" s="25"/>
      <c r="E112" s="25"/>
      <c r="F112" s="36"/>
      <c r="G112" s="36"/>
      <c r="H112" s="27" t="s">
        <v>142</v>
      </c>
    </row>
    <row r="113" spans="1:8" x14ac:dyDescent="0.2">
      <c r="A113" s="25"/>
      <c r="B113" s="25"/>
      <c r="C113" s="26" t="s">
        <v>141</v>
      </c>
      <c r="D113" s="25"/>
      <c r="E113" s="25" t="s">
        <v>142</v>
      </c>
      <c r="F113" s="37" t="s">
        <v>144</v>
      </c>
      <c r="G113" s="34">
        <v>0</v>
      </c>
      <c r="H113" s="27" t="s">
        <v>142</v>
      </c>
    </row>
    <row r="114" spans="1:8" x14ac:dyDescent="0.2">
      <c r="A114" s="25"/>
      <c r="B114" s="25"/>
      <c r="C114" s="35"/>
      <c r="D114" s="25"/>
      <c r="E114" s="25"/>
      <c r="F114" s="36"/>
      <c r="G114" s="36"/>
      <c r="H114" s="27" t="s">
        <v>142</v>
      </c>
    </row>
    <row r="115" spans="1:8" x14ac:dyDescent="0.2">
      <c r="A115" s="25"/>
      <c r="B115" s="25"/>
      <c r="C115" s="26" t="s">
        <v>158</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159</v>
      </c>
      <c r="D118" s="25"/>
      <c r="E118" s="25"/>
      <c r="F118" s="36"/>
      <c r="G118" s="36"/>
      <c r="H118" s="27" t="s">
        <v>142</v>
      </c>
    </row>
    <row r="119" spans="1:8" x14ac:dyDescent="0.2">
      <c r="A119" s="28">
        <v>1</v>
      </c>
      <c r="B119" s="29"/>
      <c r="C119" s="29" t="s">
        <v>160</v>
      </c>
      <c r="D119" s="29"/>
      <c r="E119" s="39"/>
      <c r="F119" s="31">
        <v>6211.6143418060001</v>
      </c>
      <c r="G119" s="32">
        <v>4.5702979999999997E-2</v>
      </c>
      <c r="H119" s="27">
        <v>5.76</v>
      </c>
    </row>
    <row r="120" spans="1:8" x14ac:dyDescent="0.2">
      <c r="A120" s="25"/>
      <c r="B120" s="25"/>
      <c r="C120" s="26" t="s">
        <v>141</v>
      </c>
      <c r="D120" s="25"/>
      <c r="E120" s="25" t="s">
        <v>142</v>
      </c>
      <c r="F120" s="33">
        <v>6211.6143418060001</v>
      </c>
      <c r="G120" s="34">
        <v>4.5702979999999997E-2</v>
      </c>
      <c r="H120" s="27" t="s">
        <v>142</v>
      </c>
    </row>
    <row r="121" spans="1:8" x14ac:dyDescent="0.2">
      <c r="A121" s="25"/>
      <c r="B121" s="25"/>
      <c r="C121" s="35"/>
      <c r="D121" s="25"/>
      <c r="E121" s="25"/>
      <c r="F121" s="36"/>
      <c r="G121" s="36"/>
      <c r="H121" s="27" t="s">
        <v>142</v>
      </c>
    </row>
    <row r="122" spans="1:8" x14ac:dyDescent="0.2">
      <c r="A122" s="25"/>
      <c r="B122" s="25"/>
      <c r="C122" s="26" t="s">
        <v>161</v>
      </c>
      <c r="D122" s="25"/>
      <c r="E122" s="25"/>
      <c r="F122" s="33">
        <v>6211.6143418060001</v>
      </c>
      <c r="G122" s="34">
        <v>4.5702979999999997E-2</v>
      </c>
      <c r="H122" s="27" t="s">
        <v>142</v>
      </c>
    </row>
    <row r="123" spans="1:8" x14ac:dyDescent="0.2">
      <c r="A123" s="25"/>
      <c r="B123" s="25"/>
      <c r="C123" s="36"/>
      <c r="D123" s="25"/>
      <c r="E123" s="25"/>
      <c r="F123" s="25"/>
      <c r="G123" s="25"/>
      <c r="H123" s="27" t="s">
        <v>142</v>
      </c>
    </row>
    <row r="124" spans="1:8" x14ac:dyDescent="0.2">
      <c r="A124" s="25"/>
      <c r="B124" s="25"/>
      <c r="C124" s="26" t="s">
        <v>162</v>
      </c>
      <c r="D124" s="25"/>
      <c r="E124" s="25"/>
      <c r="F124" s="25"/>
      <c r="G124" s="25"/>
      <c r="H124" s="27" t="s">
        <v>142</v>
      </c>
    </row>
    <row r="125" spans="1:8" x14ac:dyDescent="0.2">
      <c r="A125" s="25"/>
      <c r="B125" s="25"/>
      <c r="C125" s="26" t="s">
        <v>163</v>
      </c>
      <c r="D125" s="25"/>
      <c r="E125" s="25"/>
      <c r="F125" s="25"/>
      <c r="G125" s="25"/>
      <c r="H125" s="27" t="s">
        <v>142</v>
      </c>
    </row>
    <row r="126" spans="1:8" x14ac:dyDescent="0.2">
      <c r="A126" s="25"/>
      <c r="B126" s="25"/>
      <c r="C126" s="26" t="s">
        <v>141</v>
      </c>
      <c r="D126" s="25"/>
      <c r="E126" s="25" t="s">
        <v>142</v>
      </c>
      <c r="F126" s="37" t="s">
        <v>144</v>
      </c>
      <c r="G126" s="34">
        <v>0</v>
      </c>
      <c r="H126" s="27" t="s">
        <v>142</v>
      </c>
    </row>
    <row r="127" spans="1:8" x14ac:dyDescent="0.2">
      <c r="A127" s="25"/>
      <c r="B127" s="25"/>
      <c r="C127" s="35"/>
      <c r="D127" s="25"/>
      <c r="E127" s="25"/>
      <c r="F127" s="36"/>
      <c r="G127" s="36"/>
      <c r="H127" s="27" t="s">
        <v>142</v>
      </c>
    </row>
    <row r="128" spans="1:8" x14ac:dyDescent="0.2">
      <c r="A128" s="25"/>
      <c r="B128" s="25"/>
      <c r="C128" s="26" t="s">
        <v>164</v>
      </c>
      <c r="D128" s="25"/>
      <c r="E128" s="25"/>
      <c r="F128" s="25"/>
      <c r="G128" s="25"/>
      <c r="H128" s="27" t="s">
        <v>142</v>
      </c>
    </row>
    <row r="129" spans="1:17" x14ac:dyDescent="0.2">
      <c r="A129" s="25"/>
      <c r="B129" s="25"/>
      <c r="C129" s="26" t="s">
        <v>165</v>
      </c>
      <c r="D129" s="25"/>
      <c r="E129" s="25"/>
      <c r="F129" s="25"/>
      <c r="G129" s="25"/>
      <c r="H129" s="27" t="s">
        <v>142</v>
      </c>
    </row>
    <row r="130" spans="1:17" x14ac:dyDescent="0.2">
      <c r="A130" s="25"/>
      <c r="B130" s="25"/>
      <c r="C130" s="26" t="s">
        <v>141</v>
      </c>
      <c r="D130" s="25"/>
      <c r="E130" s="25" t="s">
        <v>142</v>
      </c>
      <c r="F130" s="37" t="s">
        <v>144</v>
      </c>
      <c r="G130" s="34">
        <v>0</v>
      </c>
      <c r="H130" s="27" t="s">
        <v>142</v>
      </c>
    </row>
    <row r="131" spans="1:17" x14ac:dyDescent="0.2">
      <c r="A131" s="25"/>
      <c r="B131" s="25"/>
      <c r="C131" s="35"/>
      <c r="D131" s="25"/>
      <c r="E131" s="25"/>
      <c r="F131" s="36"/>
      <c r="G131" s="36"/>
      <c r="H131" s="27" t="s">
        <v>142</v>
      </c>
    </row>
    <row r="132" spans="1:17" x14ac:dyDescent="0.2">
      <c r="A132" s="25"/>
      <c r="B132" s="25"/>
      <c r="C132" s="26" t="s">
        <v>166</v>
      </c>
      <c r="D132" s="25"/>
      <c r="E132" s="25"/>
      <c r="F132" s="36"/>
      <c r="G132" s="36"/>
      <c r="H132" s="27" t="s">
        <v>142</v>
      </c>
    </row>
    <row r="133" spans="1:17" x14ac:dyDescent="0.2">
      <c r="A133" s="25"/>
      <c r="B133" s="25"/>
      <c r="C133" s="26" t="s">
        <v>141</v>
      </c>
      <c r="D133" s="25"/>
      <c r="E133" s="25" t="s">
        <v>142</v>
      </c>
      <c r="F133" s="37" t="s">
        <v>144</v>
      </c>
      <c r="G133" s="34">
        <v>0</v>
      </c>
      <c r="H133" s="27" t="s">
        <v>142</v>
      </c>
    </row>
    <row r="134" spans="1:17" x14ac:dyDescent="0.2">
      <c r="A134" s="25"/>
      <c r="B134" s="25"/>
      <c r="C134" s="35"/>
      <c r="D134" s="25"/>
      <c r="E134" s="25"/>
      <c r="F134" s="36"/>
      <c r="G134" s="36"/>
      <c r="H134" s="27" t="s">
        <v>142</v>
      </c>
    </row>
    <row r="135" spans="1:17" x14ac:dyDescent="0.2">
      <c r="A135" s="39"/>
      <c r="B135" s="29"/>
      <c r="C135" s="29" t="s">
        <v>167</v>
      </c>
      <c r="D135" s="29"/>
      <c r="E135" s="39"/>
      <c r="F135" s="31">
        <v>-70.18492431</v>
      </c>
      <c r="G135" s="32">
        <v>-5.1639999999999998E-4</v>
      </c>
      <c r="H135" s="27" t="s">
        <v>142</v>
      </c>
    </row>
    <row r="136" spans="1:17" x14ac:dyDescent="0.2">
      <c r="A136" s="35"/>
      <c r="B136" s="35"/>
      <c r="C136" s="26" t="s">
        <v>168</v>
      </c>
      <c r="D136" s="36"/>
      <c r="E136" s="36"/>
      <c r="F136" s="33">
        <v>135912.691503696</v>
      </c>
      <c r="G136" s="40">
        <v>1.0000000600000001</v>
      </c>
      <c r="H136" s="27" t="s">
        <v>142</v>
      </c>
    </row>
    <row r="137" spans="1:17" x14ac:dyDescent="0.2">
      <c r="A137" s="41"/>
      <c r="B137" s="41"/>
      <c r="C137" s="41"/>
      <c r="D137" s="42"/>
      <c r="E137" s="42"/>
      <c r="F137" s="42"/>
      <c r="G137" s="42"/>
    </row>
    <row r="138" spans="1:17" x14ac:dyDescent="0.2">
      <c r="A138" s="43"/>
      <c r="B138" s="210" t="s">
        <v>879</v>
      </c>
      <c r="C138" s="210"/>
      <c r="D138" s="210"/>
      <c r="E138" s="210"/>
      <c r="F138" s="210"/>
      <c r="G138" s="210"/>
      <c r="H138" s="210"/>
      <c r="J138" s="45"/>
    </row>
    <row r="139" spans="1:17" x14ac:dyDescent="0.2">
      <c r="A139" s="43"/>
      <c r="B139" s="210" t="s">
        <v>880</v>
      </c>
      <c r="C139" s="210"/>
      <c r="D139" s="210"/>
      <c r="E139" s="210"/>
      <c r="F139" s="210"/>
      <c r="G139" s="210"/>
      <c r="H139" s="210"/>
      <c r="J139" s="45"/>
    </row>
    <row r="140" spans="1:17" x14ac:dyDescent="0.2">
      <c r="A140" s="43"/>
      <c r="B140" s="210" t="s">
        <v>881</v>
      </c>
      <c r="C140" s="210"/>
      <c r="D140" s="210"/>
      <c r="E140" s="210"/>
      <c r="F140" s="210"/>
      <c r="G140" s="210"/>
      <c r="H140" s="210"/>
      <c r="J140" s="45"/>
    </row>
    <row r="141" spans="1:17" s="47" customFormat="1" ht="66.75" customHeight="1" x14ac:dyDescent="0.25">
      <c r="A141" s="46"/>
      <c r="B141" s="211" t="s">
        <v>882</v>
      </c>
      <c r="C141" s="211"/>
      <c r="D141" s="211"/>
      <c r="E141" s="211"/>
      <c r="F141" s="211"/>
      <c r="G141" s="211"/>
      <c r="H141" s="211"/>
      <c r="I141"/>
      <c r="J141" s="45"/>
      <c r="K141"/>
      <c r="L141"/>
      <c r="M141"/>
      <c r="N141"/>
      <c r="O141"/>
      <c r="P141"/>
      <c r="Q141"/>
    </row>
    <row r="142" spans="1:17" x14ac:dyDescent="0.2">
      <c r="A142" s="43"/>
      <c r="B142" s="210" t="s">
        <v>883</v>
      </c>
      <c r="C142" s="210"/>
      <c r="D142" s="210"/>
      <c r="E142" s="210"/>
      <c r="F142" s="210"/>
      <c r="G142" s="210"/>
      <c r="H142" s="210"/>
      <c r="J142" s="45"/>
    </row>
    <row r="143" spans="1:17" x14ac:dyDescent="0.2">
      <c r="A143" s="48"/>
      <c r="B143" s="48"/>
      <c r="C143" s="48"/>
      <c r="D143" s="49"/>
      <c r="E143" s="49"/>
      <c r="F143" s="49"/>
      <c r="G143" s="49"/>
    </row>
    <row r="144" spans="1:17" x14ac:dyDescent="0.2">
      <c r="A144" s="48"/>
      <c r="B144" s="212" t="s">
        <v>169</v>
      </c>
      <c r="C144" s="213"/>
      <c r="D144" s="214"/>
      <c r="E144" s="50"/>
      <c r="F144" s="49"/>
      <c r="G144" s="49"/>
    </row>
    <row r="145" spans="1:10" ht="27.75" customHeight="1" x14ac:dyDescent="0.2">
      <c r="A145" s="48"/>
      <c r="B145" s="215" t="s">
        <v>170</v>
      </c>
      <c r="C145" s="216"/>
      <c r="D145" s="51" t="s">
        <v>941</v>
      </c>
      <c r="E145" s="50"/>
      <c r="F145" s="49"/>
      <c r="G145" s="49"/>
    </row>
    <row r="146" spans="1:10" ht="12.75" customHeight="1" x14ac:dyDescent="0.2">
      <c r="A146" s="43"/>
      <c r="B146" s="217" t="s">
        <v>884</v>
      </c>
      <c r="C146" s="218"/>
      <c r="D146" s="76" t="str">
        <f>"Rs. "&amp;TEXT(F79,"0.00")&amp;" lacs/ "&amp;TEXT(ROUND(G79*100,2),"0.00")&amp;"%"</f>
        <v>Rs. 57.82 lacs/ 0.04%</v>
      </c>
      <c r="E146" s="52"/>
      <c r="F146" s="53"/>
      <c r="G146" s="53"/>
    </row>
    <row r="147" spans="1:10" x14ac:dyDescent="0.2">
      <c r="A147" s="48"/>
      <c r="B147" s="215" t="s">
        <v>172</v>
      </c>
      <c r="C147" s="216"/>
      <c r="D147" s="36" t="s">
        <v>142</v>
      </c>
      <c r="E147" s="50"/>
      <c r="F147" s="49"/>
      <c r="G147" s="49"/>
    </row>
    <row r="148" spans="1:10" x14ac:dyDescent="0.2">
      <c r="A148" s="54"/>
      <c r="B148" s="55" t="s">
        <v>142</v>
      </c>
      <c r="C148" s="55" t="s">
        <v>885</v>
      </c>
      <c r="D148" s="55" t="s">
        <v>173</v>
      </c>
      <c r="E148" s="54"/>
      <c r="F148" s="54"/>
      <c r="G148" s="54"/>
      <c r="H148" s="54"/>
      <c r="J148" s="45"/>
    </row>
    <row r="149" spans="1:10" x14ac:dyDescent="0.2">
      <c r="A149" s="54"/>
      <c r="B149" s="56" t="s">
        <v>174</v>
      </c>
      <c r="C149" s="57">
        <v>45777</v>
      </c>
      <c r="D149" s="57">
        <v>45808</v>
      </c>
      <c r="E149" s="54"/>
      <c r="F149" s="54"/>
      <c r="G149" s="54"/>
      <c r="J149" s="45"/>
    </row>
    <row r="150" spans="1:10" x14ac:dyDescent="0.2">
      <c r="A150" s="58"/>
      <c r="B150" s="29" t="s">
        <v>175</v>
      </c>
      <c r="C150" s="59">
        <v>519.09180000000003</v>
      </c>
      <c r="D150" s="59">
        <v>533.62099999999998</v>
      </c>
      <c r="E150" s="58"/>
      <c r="F150" s="60"/>
      <c r="G150" s="61"/>
    </row>
    <row r="151" spans="1:10" ht="25.5" x14ac:dyDescent="0.2">
      <c r="A151" s="58"/>
      <c r="B151" s="29" t="s">
        <v>1067</v>
      </c>
      <c r="C151" s="59">
        <v>518.56920000000002</v>
      </c>
      <c r="D151" s="59">
        <v>533.08370000000002</v>
      </c>
      <c r="E151" s="58"/>
      <c r="F151" s="60"/>
      <c r="G151" s="61"/>
    </row>
    <row r="152" spans="1:10" x14ac:dyDescent="0.2">
      <c r="A152" s="58"/>
      <c r="B152" s="29" t="s">
        <v>177</v>
      </c>
      <c r="C152" s="59">
        <v>486.11279999999999</v>
      </c>
      <c r="D152" s="59">
        <v>499.50240000000002</v>
      </c>
      <c r="E152" s="58"/>
      <c r="F152" s="60"/>
      <c r="G152" s="61"/>
    </row>
    <row r="153" spans="1:10" ht="25.5" x14ac:dyDescent="0.2">
      <c r="A153" s="58"/>
      <c r="B153" s="29" t="s">
        <v>1068</v>
      </c>
      <c r="C153" s="59">
        <v>389.83789999999999</v>
      </c>
      <c r="D153" s="59">
        <v>400.57580000000002</v>
      </c>
      <c r="E153" s="58"/>
      <c r="F153" s="60"/>
      <c r="G153" s="61"/>
    </row>
    <row r="154" spans="1:10" x14ac:dyDescent="0.2">
      <c r="A154" s="58"/>
      <c r="B154" s="58"/>
      <c r="C154" s="58"/>
      <c r="D154" s="58"/>
      <c r="E154" s="58"/>
      <c r="F154" s="58"/>
      <c r="G154" s="58"/>
    </row>
    <row r="155" spans="1:10" x14ac:dyDescent="0.2">
      <c r="A155" s="58"/>
      <c r="B155" s="215" t="s">
        <v>887</v>
      </c>
      <c r="C155" s="216"/>
      <c r="D155" s="51" t="s">
        <v>171</v>
      </c>
      <c r="E155" s="58"/>
      <c r="F155" s="58"/>
      <c r="G155" s="58"/>
    </row>
    <row r="156" spans="1:10" x14ac:dyDescent="0.2">
      <c r="A156" s="58"/>
      <c r="B156" s="70"/>
      <c r="C156" s="70"/>
      <c r="D156" s="70"/>
      <c r="E156" s="58"/>
      <c r="F156" s="58"/>
      <c r="G156" s="58"/>
    </row>
    <row r="157" spans="1:10" ht="29.1" customHeight="1" x14ac:dyDescent="0.2">
      <c r="A157" s="54"/>
      <c r="B157" s="217" t="s">
        <v>180</v>
      </c>
      <c r="C157" s="218"/>
      <c r="D157" s="51" t="s">
        <v>171</v>
      </c>
      <c r="E157" s="65"/>
      <c r="F157" s="54"/>
      <c r="G157" s="54"/>
    </row>
    <row r="158" spans="1:10" ht="29.1" customHeight="1" x14ac:dyDescent="0.2">
      <c r="A158" s="54"/>
      <c r="B158" s="217" t="s">
        <v>181</v>
      </c>
      <c r="C158" s="218"/>
      <c r="D158" s="51" t="s">
        <v>171</v>
      </c>
      <c r="E158" s="65"/>
      <c r="F158" s="54"/>
      <c r="G158" s="54"/>
    </row>
    <row r="159" spans="1:10" ht="17.100000000000001" customHeight="1" x14ac:dyDescent="0.2">
      <c r="A159" s="54"/>
      <c r="B159" s="217" t="s">
        <v>182</v>
      </c>
      <c r="C159" s="218"/>
      <c r="D159" s="51" t="s">
        <v>171</v>
      </c>
      <c r="E159" s="65"/>
      <c r="F159" s="54"/>
      <c r="G159" s="54"/>
    </row>
    <row r="160" spans="1:10" ht="17.100000000000001" customHeight="1" x14ac:dyDescent="0.2">
      <c r="A160" s="54"/>
      <c r="B160" s="217" t="s">
        <v>183</v>
      </c>
      <c r="C160" s="218"/>
      <c r="D160" s="66">
        <v>0.36121776294788788</v>
      </c>
      <c r="E160" s="54"/>
      <c r="F160" s="44"/>
      <c r="G160" s="64"/>
    </row>
    <row r="162" spans="2:10" ht="13.5" x14ac:dyDescent="0.25">
      <c r="B162" s="78" t="s">
        <v>1086</v>
      </c>
      <c r="C162" s="79"/>
      <c r="D162" s="79"/>
      <c r="E162" s="18"/>
      <c r="F162" s="19"/>
    </row>
    <row r="163" spans="2:10" ht="67.5" x14ac:dyDescent="0.25">
      <c r="B163" s="80" t="s">
        <v>1016</v>
      </c>
      <c r="C163" s="80" t="s">
        <v>1017</v>
      </c>
      <c r="D163" s="80" t="s">
        <v>1018</v>
      </c>
      <c r="E163" s="80" t="s">
        <v>1019</v>
      </c>
      <c r="F163" s="80" t="s">
        <v>1020</v>
      </c>
    </row>
    <row r="164" spans="2:10" ht="13.5" x14ac:dyDescent="0.2">
      <c r="B164" s="81" t="s">
        <v>1048</v>
      </c>
      <c r="C164" s="82" t="s">
        <v>1022</v>
      </c>
      <c r="D164" s="20">
        <v>0</v>
      </c>
      <c r="E164" s="21">
        <v>0</v>
      </c>
      <c r="F164" s="83">
        <v>0.54925000000000002</v>
      </c>
    </row>
    <row r="166" spans="2:10" x14ac:dyDescent="0.2">
      <c r="B166" s="219" t="s">
        <v>888</v>
      </c>
      <c r="C166" s="219"/>
    </row>
    <row r="168" spans="2:10" ht="153.75" customHeight="1" x14ac:dyDescent="0.2"/>
    <row r="171" spans="2:10" x14ac:dyDescent="0.2">
      <c r="B171" s="67" t="s">
        <v>889</v>
      </c>
      <c r="C171" s="68"/>
      <c r="D171" s="67"/>
    </row>
    <row r="172" spans="2:10" x14ac:dyDescent="0.2">
      <c r="B172" s="67" t="s">
        <v>1049</v>
      </c>
      <c r="D172" s="67"/>
    </row>
    <row r="173" spans="2:10" ht="165" customHeight="1" x14ac:dyDescent="0.2"/>
    <row r="175" spans="2:10" x14ac:dyDescent="0.2">
      <c r="J175" s="24"/>
    </row>
    <row r="177" customFormat="1" x14ac:dyDescent="0.2"/>
    <row r="178" customFormat="1" x14ac:dyDescent="0.2"/>
    <row r="179" customFormat="1" x14ac:dyDescent="0.2"/>
  </sheetData>
  <mergeCells count="18">
    <mergeCell ref="B146:C146"/>
    <mergeCell ref="B147:C147"/>
    <mergeCell ref="B155:C155"/>
    <mergeCell ref="B140:H140"/>
    <mergeCell ref="B141:H141"/>
    <mergeCell ref="B142:H142"/>
    <mergeCell ref="B144:D144"/>
    <mergeCell ref="B145:C145"/>
    <mergeCell ref="A1:H1"/>
    <mergeCell ref="A2:H2"/>
    <mergeCell ref="A3:H3"/>
    <mergeCell ref="B138:H138"/>
    <mergeCell ref="B139:H139"/>
    <mergeCell ref="B159:C159"/>
    <mergeCell ref="B160:C160"/>
    <mergeCell ref="B157:C157"/>
    <mergeCell ref="B158:C158"/>
    <mergeCell ref="B166:C166"/>
  </mergeCells>
  <hyperlinks>
    <hyperlink ref="I1" location="Index!B2" display="Index" xr:uid="{5AE166EF-FB3C-4F59-8B0C-00946B31400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A24A3-EB41-420A-B846-436A516396B6}">
  <sheetPr>
    <outlinePr summaryBelow="0" summaryRight="0"/>
  </sheetPr>
  <dimension ref="A1:Q135"/>
  <sheetViews>
    <sheetView showGridLines="0" workbookViewId="0">
      <selection activeCell="D110" sqref="D110"/>
    </sheetView>
  </sheetViews>
  <sheetFormatPr defaultRowHeight="12.75" x14ac:dyDescent="0.2"/>
  <cols>
    <col min="1" max="1" width="5.85546875" bestFit="1" customWidth="1"/>
    <col min="2" max="2" width="21.5703125" customWidth="1"/>
    <col min="3" max="3" width="41.8554687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800</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11</v>
      </c>
      <c r="C7" s="29" t="s">
        <v>12</v>
      </c>
      <c r="D7" s="29" t="s">
        <v>13</v>
      </c>
      <c r="E7" s="30">
        <v>789519</v>
      </c>
      <c r="F7" s="31">
        <v>14655.051678</v>
      </c>
      <c r="G7" s="32">
        <v>9.4655139999999999E-2</v>
      </c>
      <c r="H7" s="27" t="s">
        <v>142</v>
      </c>
    </row>
    <row r="8" spans="1:9" x14ac:dyDescent="0.2">
      <c r="A8" s="28">
        <v>2</v>
      </c>
      <c r="B8" s="29" t="s">
        <v>343</v>
      </c>
      <c r="C8" s="29" t="s">
        <v>344</v>
      </c>
      <c r="D8" s="29" t="s">
        <v>345</v>
      </c>
      <c r="E8" s="30">
        <v>2991251</v>
      </c>
      <c r="F8" s="31">
        <v>12504.924805500001</v>
      </c>
      <c r="G8" s="32">
        <v>8.0767740000000005E-2</v>
      </c>
      <c r="H8" s="27" t="s">
        <v>142</v>
      </c>
    </row>
    <row r="9" spans="1:9" x14ac:dyDescent="0.2">
      <c r="A9" s="28">
        <v>3</v>
      </c>
      <c r="B9" s="29" t="s">
        <v>494</v>
      </c>
      <c r="C9" s="29" t="s">
        <v>495</v>
      </c>
      <c r="D9" s="29" t="s">
        <v>254</v>
      </c>
      <c r="E9" s="30">
        <v>390720</v>
      </c>
      <c r="F9" s="31">
        <v>11630.952960000001</v>
      </c>
      <c r="G9" s="32">
        <v>7.5122869999999994E-2</v>
      </c>
      <c r="H9" s="27" t="s">
        <v>142</v>
      </c>
    </row>
    <row r="10" spans="1:9" x14ac:dyDescent="0.2">
      <c r="A10" s="28">
        <v>4</v>
      </c>
      <c r="B10" s="29" t="s">
        <v>434</v>
      </c>
      <c r="C10" s="29" t="s">
        <v>435</v>
      </c>
      <c r="D10" s="29" t="s">
        <v>345</v>
      </c>
      <c r="E10" s="30">
        <v>440212</v>
      </c>
      <c r="F10" s="31">
        <v>10337.498396000001</v>
      </c>
      <c r="G10" s="32">
        <v>6.6768610000000006E-2</v>
      </c>
      <c r="H10" s="27" t="s">
        <v>142</v>
      </c>
    </row>
    <row r="11" spans="1:9" x14ac:dyDescent="0.2">
      <c r="A11" s="28">
        <v>5</v>
      </c>
      <c r="B11" s="29" t="s">
        <v>354</v>
      </c>
      <c r="C11" s="29" t="s">
        <v>355</v>
      </c>
      <c r="D11" s="29" t="s">
        <v>61</v>
      </c>
      <c r="E11" s="30">
        <v>212692</v>
      </c>
      <c r="F11" s="31">
        <v>7561.2006000000001</v>
      </c>
      <c r="G11" s="32">
        <v>4.8836850000000001E-2</v>
      </c>
      <c r="H11" s="27" t="s">
        <v>142</v>
      </c>
    </row>
    <row r="12" spans="1:9" x14ac:dyDescent="0.2">
      <c r="A12" s="28">
        <v>6</v>
      </c>
      <c r="B12" s="29" t="s">
        <v>498</v>
      </c>
      <c r="C12" s="29" t="s">
        <v>499</v>
      </c>
      <c r="D12" s="29" t="s">
        <v>254</v>
      </c>
      <c r="E12" s="30">
        <v>58511</v>
      </c>
      <c r="F12" s="31">
        <v>7207.9700899999998</v>
      </c>
      <c r="G12" s="32">
        <v>4.655538E-2</v>
      </c>
      <c r="H12" s="27" t="s">
        <v>142</v>
      </c>
    </row>
    <row r="13" spans="1:9" x14ac:dyDescent="0.2">
      <c r="A13" s="28">
        <v>7</v>
      </c>
      <c r="B13" s="29" t="s">
        <v>348</v>
      </c>
      <c r="C13" s="29" t="s">
        <v>349</v>
      </c>
      <c r="D13" s="29" t="s">
        <v>290</v>
      </c>
      <c r="E13" s="30">
        <v>3000962</v>
      </c>
      <c r="F13" s="31">
        <v>7151.5925422</v>
      </c>
      <c r="G13" s="32">
        <v>4.6191240000000001E-2</v>
      </c>
      <c r="H13" s="27" t="s">
        <v>142</v>
      </c>
    </row>
    <row r="14" spans="1:9" x14ac:dyDescent="0.2">
      <c r="A14" s="28">
        <v>8</v>
      </c>
      <c r="B14" s="29" t="s">
        <v>496</v>
      </c>
      <c r="C14" s="29" t="s">
        <v>497</v>
      </c>
      <c r="D14" s="29" t="s">
        <v>226</v>
      </c>
      <c r="E14" s="30">
        <v>453496</v>
      </c>
      <c r="F14" s="31">
        <v>6893.5926959999997</v>
      </c>
      <c r="G14" s="32">
        <v>4.4524849999999998E-2</v>
      </c>
      <c r="H14" s="27" t="s">
        <v>142</v>
      </c>
    </row>
    <row r="15" spans="1:9" x14ac:dyDescent="0.2">
      <c r="A15" s="28">
        <v>9</v>
      </c>
      <c r="B15" s="29" t="s">
        <v>688</v>
      </c>
      <c r="C15" s="29" t="s">
        <v>689</v>
      </c>
      <c r="D15" s="29" t="s">
        <v>197</v>
      </c>
      <c r="E15" s="30">
        <v>79027</v>
      </c>
      <c r="F15" s="31">
        <v>5437.4527349999998</v>
      </c>
      <c r="G15" s="32">
        <v>3.5119829999999998E-2</v>
      </c>
      <c r="H15" s="27" t="s">
        <v>142</v>
      </c>
    </row>
    <row r="16" spans="1:9" x14ac:dyDescent="0.2">
      <c r="A16" s="28">
        <v>10</v>
      </c>
      <c r="B16" s="29" t="s">
        <v>365</v>
      </c>
      <c r="C16" s="29" t="s">
        <v>366</v>
      </c>
      <c r="D16" s="29" t="s">
        <v>61</v>
      </c>
      <c r="E16" s="30">
        <v>225560</v>
      </c>
      <c r="F16" s="31">
        <v>5205.2481200000002</v>
      </c>
      <c r="G16" s="32">
        <v>3.3620049999999999E-2</v>
      </c>
      <c r="H16" s="27" t="s">
        <v>142</v>
      </c>
    </row>
    <row r="17" spans="1:8" x14ac:dyDescent="0.2">
      <c r="A17" s="28">
        <v>11</v>
      </c>
      <c r="B17" s="29" t="s">
        <v>293</v>
      </c>
      <c r="C17" s="29" t="s">
        <v>294</v>
      </c>
      <c r="D17" s="29" t="s">
        <v>290</v>
      </c>
      <c r="E17" s="30">
        <v>86291</v>
      </c>
      <c r="F17" s="31">
        <v>4869.8325850000001</v>
      </c>
      <c r="G17" s="32">
        <v>3.1453639999999998E-2</v>
      </c>
      <c r="H17" s="27" t="s">
        <v>142</v>
      </c>
    </row>
    <row r="18" spans="1:8" x14ac:dyDescent="0.2">
      <c r="A18" s="28">
        <v>12</v>
      </c>
      <c r="B18" s="29" t="s">
        <v>190</v>
      </c>
      <c r="C18" s="29" t="s">
        <v>191</v>
      </c>
      <c r="D18" s="29" t="s">
        <v>61</v>
      </c>
      <c r="E18" s="30">
        <v>837090</v>
      </c>
      <c r="F18" s="31">
        <v>4691.0523599999997</v>
      </c>
      <c r="G18" s="32">
        <v>3.029892E-2</v>
      </c>
      <c r="H18" s="27" t="s">
        <v>142</v>
      </c>
    </row>
    <row r="19" spans="1:8" x14ac:dyDescent="0.2">
      <c r="A19" s="28">
        <v>13</v>
      </c>
      <c r="B19" s="29" t="s">
        <v>765</v>
      </c>
      <c r="C19" s="29" t="s">
        <v>766</v>
      </c>
      <c r="D19" s="29" t="s">
        <v>132</v>
      </c>
      <c r="E19" s="30">
        <v>34697</v>
      </c>
      <c r="F19" s="31">
        <v>4654.25558</v>
      </c>
      <c r="G19" s="32">
        <v>3.0061250000000001E-2</v>
      </c>
      <c r="H19" s="27" t="s">
        <v>142</v>
      </c>
    </row>
    <row r="20" spans="1:8" x14ac:dyDescent="0.2">
      <c r="A20" s="28">
        <v>14</v>
      </c>
      <c r="B20" s="29" t="s">
        <v>771</v>
      </c>
      <c r="C20" s="29" t="s">
        <v>772</v>
      </c>
      <c r="D20" s="29" t="s">
        <v>449</v>
      </c>
      <c r="E20" s="30">
        <v>169170</v>
      </c>
      <c r="F20" s="31">
        <v>4053.6515399999998</v>
      </c>
      <c r="G20" s="32">
        <v>2.6182029999999998E-2</v>
      </c>
      <c r="H20" s="27" t="s">
        <v>142</v>
      </c>
    </row>
    <row r="21" spans="1:8" x14ac:dyDescent="0.2">
      <c r="A21" s="28">
        <v>15</v>
      </c>
      <c r="B21" s="29" t="s">
        <v>661</v>
      </c>
      <c r="C21" s="29" t="s">
        <v>662</v>
      </c>
      <c r="D21" s="29" t="s">
        <v>449</v>
      </c>
      <c r="E21" s="30">
        <v>66325</v>
      </c>
      <c r="F21" s="31">
        <v>3654.839125</v>
      </c>
      <c r="G21" s="32">
        <v>2.3606149999999999E-2</v>
      </c>
      <c r="H21" s="27" t="s">
        <v>142</v>
      </c>
    </row>
    <row r="22" spans="1:8" x14ac:dyDescent="0.2">
      <c r="A22" s="28">
        <v>16</v>
      </c>
      <c r="B22" s="29" t="s">
        <v>56</v>
      </c>
      <c r="C22" s="29" t="s">
        <v>57</v>
      </c>
      <c r="D22" s="29" t="s">
        <v>58</v>
      </c>
      <c r="E22" s="30">
        <v>312286</v>
      </c>
      <c r="F22" s="31">
        <v>3417.6579839999999</v>
      </c>
      <c r="G22" s="32">
        <v>2.2074219999999999E-2</v>
      </c>
      <c r="H22" s="27" t="s">
        <v>142</v>
      </c>
    </row>
    <row r="23" spans="1:8" x14ac:dyDescent="0.2">
      <c r="A23" s="28">
        <v>17</v>
      </c>
      <c r="B23" s="29" t="s">
        <v>717</v>
      </c>
      <c r="C23" s="29" t="s">
        <v>718</v>
      </c>
      <c r="D23" s="29" t="s">
        <v>290</v>
      </c>
      <c r="E23" s="30">
        <v>80568</v>
      </c>
      <c r="F23" s="31">
        <v>3224.411928</v>
      </c>
      <c r="G23" s="32">
        <v>2.0826069999999999E-2</v>
      </c>
      <c r="H23" s="27" t="s">
        <v>142</v>
      </c>
    </row>
    <row r="24" spans="1:8" x14ac:dyDescent="0.2">
      <c r="A24" s="28">
        <v>18</v>
      </c>
      <c r="B24" s="29" t="s">
        <v>335</v>
      </c>
      <c r="C24" s="29" t="s">
        <v>336</v>
      </c>
      <c r="D24" s="29" t="s">
        <v>290</v>
      </c>
      <c r="E24" s="30">
        <v>217005</v>
      </c>
      <c r="F24" s="31">
        <v>3097.7463750000002</v>
      </c>
      <c r="G24" s="32">
        <v>2.0007960000000002E-2</v>
      </c>
      <c r="H24" s="27" t="s">
        <v>142</v>
      </c>
    </row>
    <row r="25" spans="1:8" x14ac:dyDescent="0.2">
      <c r="A25" s="28">
        <v>19</v>
      </c>
      <c r="B25" s="29" t="s">
        <v>720</v>
      </c>
      <c r="C25" s="29" t="s">
        <v>721</v>
      </c>
      <c r="D25" s="29" t="s">
        <v>722</v>
      </c>
      <c r="E25" s="30">
        <v>873860</v>
      </c>
      <c r="F25" s="31">
        <v>3014.817</v>
      </c>
      <c r="G25" s="32">
        <v>1.947233E-2</v>
      </c>
      <c r="H25" s="27" t="s">
        <v>142</v>
      </c>
    </row>
    <row r="26" spans="1:8" x14ac:dyDescent="0.2">
      <c r="A26" s="28">
        <v>20</v>
      </c>
      <c r="B26" s="29" t="s">
        <v>62</v>
      </c>
      <c r="C26" s="29" t="s">
        <v>63</v>
      </c>
      <c r="D26" s="29" t="s">
        <v>64</v>
      </c>
      <c r="E26" s="30">
        <v>236298</v>
      </c>
      <c r="F26" s="31">
        <v>2605.067301</v>
      </c>
      <c r="G26" s="32">
        <v>1.6825799999999998E-2</v>
      </c>
      <c r="H26" s="27" t="s">
        <v>142</v>
      </c>
    </row>
    <row r="27" spans="1:8" x14ac:dyDescent="0.2">
      <c r="A27" s="28">
        <v>21</v>
      </c>
      <c r="B27" s="29" t="s">
        <v>663</v>
      </c>
      <c r="C27" s="29" t="s">
        <v>664</v>
      </c>
      <c r="D27" s="29" t="s">
        <v>254</v>
      </c>
      <c r="E27" s="30">
        <v>58394</v>
      </c>
      <c r="F27" s="31">
        <v>2516.3726419999998</v>
      </c>
      <c r="G27" s="32">
        <v>1.625294E-2</v>
      </c>
      <c r="H27" s="27" t="s">
        <v>142</v>
      </c>
    </row>
    <row r="28" spans="1:8" ht="25.5" x14ac:dyDescent="0.2">
      <c r="A28" s="28">
        <v>22</v>
      </c>
      <c r="B28" s="29" t="s">
        <v>425</v>
      </c>
      <c r="C28" s="29" t="s">
        <v>426</v>
      </c>
      <c r="D28" s="29" t="s">
        <v>203</v>
      </c>
      <c r="E28" s="30">
        <v>215942</v>
      </c>
      <c r="F28" s="31">
        <v>2388.9663460000002</v>
      </c>
      <c r="G28" s="32">
        <v>1.5430030000000001E-2</v>
      </c>
      <c r="H28" s="27" t="s">
        <v>142</v>
      </c>
    </row>
    <row r="29" spans="1:8" x14ac:dyDescent="0.2">
      <c r="A29" s="28">
        <v>23</v>
      </c>
      <c r="B29" s="29" t="s">
        <v>227</v>
      </c>
      <c r="C29" s="29" t="s">
        <v>228</v>
      </c>
      <c r="D29" s="29" t="s">
        <v>229</v>
      </c>
      <c r="E29" s="30">
        <v>355836</v>
      </c>
      <c r="F29" s="31">
        <v>2332.682898</v>
      </c>
      <c r="G29" s="32">
        <v>1.506651E-2</v>
      </c>
      <c r="H29" s="27" t="s">
        <v>142</v>
      </c>
    </row>
    <row r="30" spans="1:8" x14ac:dyDescent="0.2">
      <c r="A30" s="28">
        <v>24</v>
      </c>
      <c r="B30" s="29" t="s">
        <v>502</v>
      </c>
      <c r="C30" s="29" t="s">
        <v>503</v>
      </c>
      <c r="D30" s="29" t="s">
        <v>254</v>
      </c>
      <c r="E30" s="30">
        <v>25666</v>
      </c>
      <c r="F30" s="31">
        <v>2209.0726199999999</v>
      </c>
      <c r="G30" s="32">
        <v>1.426812E-2</v>
      </c>
      <c r="H30" s="27" t="s">
        <v>142</v>
      </c>
    </row>
    <row r="31" spans="1:8" x14ac:dyDescent="0.2">
      <c r="A31" s="28">
        <v>25</v>
      </c>
      <c r="B31" s="29" t="s">
        <v>673</v>
      </c>
      <c r="C31" s="29" t="s">
        <v>674</v>
      </c>
      <c r="D31" s="29" t="s">
        <v>61</v>
      </c>
      <c r="E31" s="30">
        <v>96237</v>
      </c>
      <c r="F31" s="31">
        <v>2174.0900670000001</v>
      </c>
      <c r="G31" s="32">
        <v>1.404218E-2</v>
      </c>
      <c r="H31" s="27" t="s">
        <v>142</v>
      </c>
    </row>
    <row r="32" spans="1:8" x14ac:dyDescent="0.2">
      <c r="A32" s="28">
        <v>26</v>
      </c>
      <c r="B32" s="29" t="s">
        <v>266</v>
      </c>
      <c r="C32" s="29" t="s">
        <v>267</v>
      </c>
      <c r="D32" s="29" t="s">
        <v>229</v>
      </c>
      <c r="E32" s="30">
        <v>1256156</v>
      </c>
      <c r="F32" s="31">
        <v>2105.1918403999998</v>
      </c>
      <c r="G32" s="32">
        <v>1.359717E-2</v>
      </c>
      <c r="H32" s="27" t="s">
        <v>142</v>
      </c>
    </row>
    <row r="33" spans="1:8" x14ac:dyDescent="0.2">
      <c r="A33" s="28">
        <v>27</v>
      </c>
      <c r="B33" s="29" t="s">
        <v>488</v>
      </c>
      <c r="C33" s="29" t="s">
        <v>489</v>
      </c>
      <c r="D33" s="29" t="s">
        <v>290</v>
      </c>
      <c r="E33" s="30">
        <v>1735009</v>
      </c>
      <c r="F33" s="31">
        <v>2086.5218233999999</v>
      </c>
      <c r="G33" s="32">
        <v>1.347658E-2</v>
      </c>
      <c r="H33" s="27" t="s">
        <v>142</v>
      </c>
    </row>
    <row r="34" spans="1:8" x14ac:dyDescent="0.2">
      <c r="A34" s="28">
        <v>28</v>
      </c>
      <c r="B34" s="29" t="s">
        <v>224</v>
      </c>
      <c r="C34" s="29" t="s">
        <v>225</v>
      </c>
      <c r="D34" s="29" t="s">
        <v>226</v>
      </c>
      <c r="E34" s="30">
        <v>94931</v>
      </c>
      <c r="F34" s="31">
        <v>1876.596008</v>
      </c>
      <c r="G34" s="32">
        <v>1.21207E-2</v>
      </c>
      <c r="H34" s="27" t="s">
        <v>142</v>
      </c>
    </row>
    <row r="35" spans="1:8" x14ac:dyDescent="0.2">
      <c r="A35" s="28">
        <v>29</v>
      </c>
      <c r="B35" s="29" t="s">
        <v>801</v>
      </c>
      <c r="C35" s="29" t="s">
        <v>802</v>
      </c>
      <c r="D35" s="29" t="s">
        <v>290</v>
      </c>
      <c r="E35" s="30">
        <v>190902</v>
      </c>
      <c r="F35" s="31">
        <v>1624.766922</v>
      </c>
      <c r="G35" s="32">
        <v>1.0494170000000001E-2</v>
      </c>
      <c r="H35" s="27" t="s">
        <v>142</v>
      </c>
    </row>
    <row r="36" spans="1:8" x14ac:dyDescent="0.2">
      <c r="A36" s="28">
        <v>30</v>
      </c>
      <c r="B36" s="29" t="s">
        <v>350</v>
      </c>
      <c r="C36" s="29" t="s">
        <v>351</v>
      </c>
      <c r="D36" s="29" t="s">
        <v>226</v>
      </c>
      <c r="E36" s="30">
        <v>294842</v>
      </c>
      <c r="F36" s="31">
        <v>1403.3004989999999</v>
      </c>
      <c r="G36" s="32">
        <v>9.0637400000000007E-3</v>
      </c>
      <c r="H36" s="27" t="s">
        <v>142</v>
      </c>
    </row>
    <row r="37" spans="1:8" x14ac:dyDescent="0.2">
      <c r="A37" s="28">
        <v>31</v>
      </c>
      <c r="B37" s="29" t="s">
        <v>252</v>
      </c>
      <c r="C37" s="29" t="s">
        <v>253</v>
      </c>
      <c r="D37" s="29" t="s">
        <v>254</v>
      </c>
      <c r="E37" s="30">
        <v>16314</v>
      </c>
      <c r="F37" s="31">
        <v>453.65971200000001</v>
      </c>
      <c r="G37" s="32">
        <v>2.93013E-3</v>
      </c>
      <c r="H37" s="27" t="s">
        <v>142</v>
      </c>
    </row>
    <row r="38" spans="1:8" x14ac:dyDescent="0.2">
      <c r="A38" s="25"/>
      <c r="B38" s="25"/>
      <c r="C38" s="26" t="s">
        <v>141</v>
      </c>
      <c r="D38" s="25"/>
      <c r="E38" s="25" t="s">
        <v>142</v>
      </c>
      <c r="F38" s="33">
        <v>147040.0377785</v>
      </c>
      <c r="G38" s="34">
        <v>0.94971320000000004</v>
      </c>
      <c r="H38" s="27" t="s">
        <v>142</v>
      </c>
    </row>
    <row r="39" spans="1:8" x14ac:dyDescent="0.2">
      <c r="A39" s="25"/>
      <c r="B39" s="25"/>
      <c r="C39" s="35"/>
      <c r="D39" s="25"/>
      <c r="E39" s="25"/>
      <c r="F39" s="36"/>
      <c r="G39" s="36"/>
      <c r="H39" s="27" t="s">
        <v>142</v>
      </c>
    </row>
    <row r="40" spans="1:8" x14ac:dyDescent="0.2">
      <c r="A40" s="25"/>
      <c r="B40" s="25"/>
      <c r="C40" s="26" t="s">
        <v>143</v>
      </c>
      <c r="D40" s="25"/>
      <c r="E40" s="25"/>
      <c r="F40" s="25"/>
      <c r="G40" s="25"/>
      <c r="H40" s="27" t="s">
        <v>142</v>
      </c>
    </row>
    <row r="41" spans="1:8" x14ac:dyDescent="0.2">
      <c r="A41" s="25"/>
      <c r="B41" s="25"/>
      <c r="C41" s="26" t="s">
        <v>141</v>
      </c>
      <c r="D41" s="25"/>
      <c r="E41" s="25" t="s">
        <v>142</v>
      </c>
      <c r="F41" s="37" t="s">
        <v>144</v>
      </c>
      <c r="G41" s="34">
        <v>0</v>
      </c>
      <c r="H41" s="27" t="s">
        <v>142</v>
      </c>
    </row>
    <row r="42" spans="1:8" x14ac:dyDescent="0.2">
      <c r="A42" s="25"/>
      <c r="B42" s="25"/>
      <c r="C42" s="35"/>
      <c r="D42" s="25"/>
      <c r="E42" s="25"/>
      <c r="F42" s="36"/>
      <c r="G42" s="36"/>
      <c r="H42" s="27" t="s">
        <v>142</v>
      </c>
    </row>
    <row r="43" spans="1:8" x14ac:dyDescent="0.2">
      <c r="A43" s="25"/>
      <c r="B43" s="25"/>
      <c r="C43" s="26" t="s">
        <v>145</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146</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147</v>
      </c>
      <c r="D49" s="25"/>
      <c r="E49" s="25"/>
      <c r="F49" s="36"/>
      <c r="G49" s="36"/>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148</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149</v>
      </c>
      <c r="D55" s="25"/>
      <c r="E55" s="25"/>
      <c r="F55" s="33">
        <v>147040.0377785</v>
      </c>
      <c r="G55" s="34">
        <v>0.94971320000000004</v>
      </c>
      <c r="H55" s="27" t="s">
        <v>142</v>
      </c>
    </row>
    <row r="56" spans="1:8" x14ac:dyDescent="0.2">
      <c r="A56" s="25"/>
      <c r="B56" s="25"/>
      <c r="C56" s="35"/>
      <c r="D56" s="25"/>
      <c r="E56" s="25"/>
      <c r="F56" s="36"/>
      <c r="G56" s="36"/>
      <c r="H56" s="27" t="s">
        <v>142</v>
      </c>
    </row>
    <row r="57" spans="1:8" x14ac:dyDescent="0.2">
      <c r="A57" s="25"/>
      <c r="B57" s="25"/>
      <c r="C57" s="26" t="s">
        <v>150</v>
      </c>
      <c r="D57" s="25"/>
      <c r="E57" s="25"/>
      <c r="F57" s="36"/>
      <c r="G57" s="36"/>
      <c r="H57" s="27" t="s">
        <v>142</v>
      </c>
    </row>
    <row r="58" spans="1:8" x14ac:dyDescent="0.2">
      <c r="A58" s="25"/>
      <c r="B58" s="25"/>
      <c r="C58" s="26" t="s">
        <v>10</v>
      </c>
      <c r="D58" s="25"/>
      <c r="E58" s="25"/>
      <c r="F58" s="36"/>
      <c r="G58" s="36"/>
      <c r="H58" s="27" t="s">
        <v>142</v>
      </c>
    </row>
    <row r="59" spans="1:8" x14ac:dyDescent="0.2">
      <c r="A59" s="25"/>
      <c r="B59" s="25"/>
      <c r="C59" s="26" t="s">
        <v>141</v>
      </c>
      <c r="D59" s="25"/>
      <c r="E59" s="25" t="s">
        <v>142</v>
      </c>
      <c r="F59" s="37" t="s">
        <v>144</v>
      </c>
      <c r="G59" s="34">
        <v>0</v>
      </c>
      <c r="H59" s="27" t="s">
        <v>142</v>
      </c>
    </row>
    <row r="60" spans="1:8" x14ac:dyDescent="0.2">
      <c r="A60" s="25"/>
      <c r="B60" s="25"/>
      <c r="C60" s="35"/>
      <c r="D60" s="25"/>
      <c r="E60" s="25"/>
      <c r="F60" s="36"/>
      <c r="G60" s="36"/>
      <c r="H60" s="27" t="s">
        <v>142</v>
      </c>
    </row>
    <row r="61" spans="1:8" x14ac:dyDescent="0.2">
      <c r="A61" s="25"/>
      <c r="B61" s="25"/>
      <c r="C61" s="26" t="s">
        <v>151</v>
      </c>
      <c r="D61" s="25"/>
      <c r="E61" s="25"/>
      <c r="F61" s="25"/>
      <c r="G61" s="25"/>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152</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153</v>
      </c>
      <c r="D67" s="25"/>
      <c r="E67" s="25"/>
      <c r="F67" s="36"/>
      <c r="G67" s="36"/>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154</v>
      </c>
      <c r="D70" s="25"/>
      <c r="E70" s="25"/>
      <c r="F70" s="33">
        <v>0</v>
      </c>
      <c r="G70" s="34">
        <v>0</v>
      </c>
      <c r="H70" s="27" t="s">
        <v>142</v>
      </c>
    </row>
    <row r="71" spans="1:8" x14ac:dyDescent="0.2">
      <c r="A71" s="25"/>
      <c r="B71" s="25"/>
      <c r="C71" s="35"/>
      <c r="D71" s="25"/>
      <c r="E71" s="25"/>
      <c r="F71" s="36"/>
      <c r="G71" s="36"/>
      <c r="H71" s="27" t="s">
        <v>142</v>
      </c>
    </row>
    <row r="72" spans="1:8" x14ac:dyDescent="0.2">
      <c r="A72" s="25"/>
      <c r="B72" s="25"/>
      <c r="C72" s="26" t="s">
        <v>155</v>
      </c>
      <c r="D72" s="25"/>
      <c r="E72" s="25"/>
      <c r="F72" s="36"/>
      <c r="G72" s="36"/>
      <c r="H72" s="27" t="s">
        <v>142</v>
      </c>
    </row>
    <row r="73" spans="1:8" x14ac:dyDescent="0.2">
      <c r="A73" s="25"/>
      <c r="B73" s="25"/>
      <c r="C73" s="26" t="s">
        <v>156</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157</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158</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159</v>
      </c>
      <c r="D82" s="25"/>
      <c r="E82" s="25"/>
      <c r="F82" s="36"/>
      <c r="G82" s="36"/>
      <c r="H82" s="27" t="s">
        <v>142</v>
      </c>
    </row>
    <row r="83" spans="1:8" x14ac:dyDescent="0.2">
      <c r="A83" s="28">
        <v>1</v>
      </c>
      <c r="B83" s="29"/>
      <c r="C83" s="29" t="s">
        <v>160</v>
      </c>
      <c r="D83" s="29"/>
      <c r="E83" s="39"/>
      <c r="F83" s="31">
        <v>6949.4931735090004</v>
      </c>
      <c r="G83" s="32">
        <v>4.4885910000000001E-2</v>
      </c>
      <c r="H83" s="27">
        <v>5.76</v>
      </c>
    </row>
    <row r="84" spans="1:8" x14ac:dyDescent="0.2">
      <c r="A84" s="25"/>
      <c r="B84" s="25"/>
      <c r="C84" s="26" t="s">
        <v>141</v>
      </c>
      <c r="D84" s="25"/>
      <c r="E84" s="25" t="s">
        <v>142</v>
      </c>
      <c r="F84" s="33">
        <v>6949.4931735090004</v>
      </c>
      <c r="G84" s="34">
        <v>4.4885910000000001E-2</v>
      </c>
      <c r="H84" s="27" t="s">
        <v>142</v>
      </c>
    </row>
    <row r="85" spans="1:8" x14ac:dyDescent="0.2">
      <c r="A85" s="25"/>
      <c r="B85" s="25"/>
      <c r="C85" s="35"/>
      <c r="D85" s="25"/>
      <c r="E85" s="25"/>
      <c r="F85" s="36"/>
      <c r="G85" s="36"/>
      <c r="H85" s="27" t="s">
        <v>142</v>
      </c>
    </row>
    <row r="86" spans="1:8" x14ac:dyDescent="0.2">
      <c r="A86" s="25"/>
      <c r="B86" s="25"/>
      <c r="C86" s="26" t="s">
        <v>161</v>
      </c>
      <c r="D86" s="25"/>
      <c r="E86" s="25"/>
      <c r="F86" s="33">
        <v>6949.4931735090004</v>
      </c>
      <c r="G86" s="34">
        <v>4.4885910000000001E-2</v>
      </c>
      <c r="H86" s="27" t="s">
        <v>142</v>
      </c>
    </row>
    <row r="87" spans="1:8" x14ac:dyDescent="0.2">
      <c r="A87" s="25"/>
      <c r="B87" s="25"/>
      <c r="C87" s="36"/>
      <c r="D87" s="25"/>
      <c r="E87" s="25"/>
      <c r="F87" s="25"/>
      <c r="G87" s="25"/>
      <c r="H87" s="27" t="s">
        <v>142</v>
      </c>
    </row>
    <row r="88" spans="1:8" x14ac:dyDescent="0.2">
      <c r="A88" s="25"/>
      <c r="B88" s="25"/>
      <c r="C88" s="26" t="s">
        <v>162</v>
      </c>
      <c r="D88" s="25"/>
      <c r="E88" s="25"/>
      <c r="F88" s="25"/>
      <c r="G88" s="25"/>
      <c r="H88" s="27" t="s">
        <v>142</v>
      </c>
    </row>
    <row r="89" spans="1:8" x14ac:dyDescent="0.2">
      <c r="A89" s="25"/>
      <c r="B89" s="25"/>
      <c r="C89" s="26" t="s">
        <v>163</v>
      </c>
      <c r="D89" s="25"/>
      <c r="E89" s="25"/>
      <c r="F89" s="25"/>
      <c r="G89" s="25"/>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164</v>
      </c>
      <c r="D92" s="25"/>
      <c r="E92" s="25"/>
      <c r="F92" s="25"/>
      <c r="G92" s="25"/>
      <c r="H92" s="27" t="s">
        <v>142</v>
      </c>
    </row>
    <row r="93" spans="1:8" x14ac:dyDescent="0.2">
      <c r="A93" s="25"/>
      <c r="B93" s="25"/>
      <c r="C93" s="26" t="s">
        <v>165</v>
      </c>
      <c r="D93" s="25"/>
      <c r="E93" s="25"/>
      <c r="F93" s="25"/>
      <c r="G93" s="25"/>
      <c r="H93" s="27" t="s">
        <v>142</v>
      </c>
    </row>
    <row r="94" spans="1:8" x14ac:dyDescent="0.2">
      <c r="A94" s="25"/>
      <c r="B94" s="25"/>
      <c r="C94" s="26" t="s">
        <v>141</v>
      </c>
      <c r="D94" s="25"/>
      <c r="E94" s="25" t="s">
        <v>142</v>
      </c>
      <c r="F94" s="37" t="s">
        <v>144</v>
      </c>
      <c r="G94" s="34">
        <v>0</v>
      </c>
      <c r="H94" s="27" t="s">
        <v>142</v>
      </c>
    </row>
    <row r="95" spans="1:8" x14ac:dyDescent="0.2">
      <c r="A95" s="25"/>
      <c r="B95" s="25"/>
      <c r="C95" s="35"/>
      <c r="D95" s="25"/>
      <c r="E95" s="25"/>
      <c r="F95" s="36"/>
      <c r="G95" s="36"/>
      <c r="H95" s="27" t="s">
        <v>142</v>
      </c>
    </row>
    <row r="96" spans="1:8" x14ac:dyDescent="0.2">
      <c r="A96" s="25"/>
      <c r="B96" s="25"/>
      <c r="C96" s="26" t="s">
        <v>166</v>
      </c>
      <c r="D96" s="25"/>
      <c r="E96" s="25"/>
      <c r="F96" s="36"/>
      <c r="G96" s="36"/>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39"/>
      <c r="B99" s="29"/>
      <c r="C99" s="29" t="s">
        <v>167</v>
      </c>
      <c r="D99" s="29"/>
      <c r="E99" s="39"/>
      <c r="F99" s="31">
        <v>836.20364024000003</v>
      </c>
      <c r="G99" s="32">
        <v>5.40093E-3</v>
      </c>
      <c r="H99" s="27" t="s">
        <v>142</v>
      </c>
    </row>
    <row r="100" spans="1:17" x14ac:dyDescent="0.2">
      <c r="A100" s="35"/>
      <c r="B100" s="35"/>
      <c r="C100" s="26" t="s">
        <v>168</v>
      </c>
      <c r="D100" s="36"/>
      <c r="E100" s="36"/>
      <c r="F100" s="33">
        <v>154825.73459224901</v>
      </c>
      <c r="G100" s="40">
        <v>1.00000004</v>
      </c>
      <c r="H100" s="27" t="s">
        <v>142</v>
      </c>
    </row>
    <row r="101" spans="1:17" x14ac:dyDescent="0.2">
      <c r="A101" s="41"/>
      <c r="B101" s="41"/>
      <c r="C101" s="41"/>
      <c r="D101" s="42"/>
      <c r="E101" s="42"/>
      <c r="F101" s="42"/>
      <c r="G101" s="42"/>
    </row>
    <row r="102" spans="1:17" x14ac:dyDescent="0.2">
      <c r="A102" s="43"/>
      <c r="B102" s="210" t="s">
        <v>879</v>
      </c>
      <c r="C102" s="210"/>
      <c r="D102" s="210"/>
      <c r="E102" s="210"/>
      <c r="F102" s="210"/>
      <c r="G102" s="210"/>
      <c r="H102" s="210"/>
      <c r="J102" s="45"/>
    </row>
    <row r="103" spans="1:17" x14ac:dyDescent="0.2">
      <c r="A103" s="43"/>
      <c r="B103" s="210" t="s">
        <v>880</v>
      </c>
      <c r="C103" s="210"/>
      <c r="D103" s="210"/>
      <c r="E103" s="210"/>
      <c r="F103" s="210"/>
      <c r="G103" s="210"/>
      <c r="H103" s="210"/>
      <c r="J103" s="45"/>
    </row>
    <row r="104" spans="1:17" x14ac:dyDescent="0.2">
      <c r="A104" s="43"/>
      <c r="B104" s="210" t="s">
        <v>881</v>
      </c>
      <c r="C104" s="210"/>
      <c r="D104" s="210"/>
      <c r="E104" s="210"/>
      <c r="F104" s="210"/>
      <c r="G104" s="210"/>
      <c r="H104" s="210"/>
      <c r="J104" s="45"/>
    </row>
    <row r="105" spans="1:17" s="47" customFormat="1" ht="66.75" customHeight="1" x14ac:dyDescent="0.25">
      <c r="A105" s="46"/>
      <c r="B105" s="211" t="s">
        <v>882</v>
      </c>
      <c r="C105" s="211"/>
      <c r="D105" s="211"/>
      <c r="E105" s="211"/>
      <c r="F105" s="211"/>
      <c r="G105" s="211"/>
      <c r="H105" s="211"/>
      <c r="I105"/>
      <c r="J105" s="45"/>
      <c r="K105"/>
      <c r="L105"/>
      <c r="M105"/>
      <c r="N105"/>
      <c r="O105"/>
      <c r="P105"/>
      <c r="Q105"/>
    </row>
    <row r="106" spans="1:17" x14ac:dyDescent="0.2">
      <c r="A106" s="43"/>
      <c r="B106" s="210" t="s">
        <v>883</v>
      </c>
      <c r="C106" s="210"/>
      <c r="D106" s="210"/>
      <c r="E106" s="210"/>
      <c r="F106" s="210"/>
      <c r="G106" s="210"/>
      <c r="H106" s="210"/>
      <c r="J106" s="45"/>
    </row>
    <row r="107" spans="1:17" x14ac:dyDescent="0.2">
      <c r="A107" s="48"/>
      <c r="B107" s="48"/>
      <c r="C107" s="48"/>
      <c r="D107" s="49"/>
      <c r="E107" s="49"/>
      <c r="F107" s="49"/>
      <c r="G107" s="49"/>
    </row>
    <row r="108" spans="1:17" x14ac:dyDescent="0.2">
      <c r="A108" s="48"/>
      <c r="B108" s="212" t="s">
        <v>169</v>
      </c>
      <c r="C108" s="213"/>
      <c r="D108" s="214"/>
      <c r="E108" s="50"/>
      <c r="F108" s="49"/>
      <c r="G108" s="49"/>
    </row>
    <row r="109" spans="1:17" ht="27.75" customHeight="1" x14ac:dyDescent="0.2">
      <c r="A109" s="48"/>
      <c r="B109" s="215" t="s">
        <v>170</v>
      </c>
      <c r="C109" s="216"/>
      <c r="D109" s="26" t="s">
        <v>171</v>
      </c>
      <c r="E109" s="50"/>
      <c r="F109" s="49"/>
      <c r="G109" s="49"/>
    </row>
    <row r="110" spans="1:17" ht="12.75" customHeight="1" x14ac:dyDescent="0.2">
      <c r="A110" s="43"/>
      <c r="B110" s="217" t="s">
        <v>884</v>
      </c>
      <c r="C110" s="218"/>
      <c r="D110" s="26" t="s">
        <v>171</v>
      </c>
      <c r="E110" s="52"/>
      <c r="F110" s="53"/>
      <c r="G110" s="53"/>
    </row>
    <row r="111" spans="1:17" x14ac:dyDescent="0.2">
      <c r="A111" s="48"/>
      <c r="B111" s="215" t="s">
        <v>172</v>
      </c>
      <c r="C111" s="216"/>
      <c r="D111" s="36" t="s">
        <v>142</v>
      </c>
      <c r="E111" s="50"/>
      <c r="F111" s="49"/>
      <c r="G111" s="49"/>
    </row>
    <row r="112" spans="1:17" x14ac:dyDescent="0.2">
      <c r="A112" s="54"/>
      <c r="B112" s="55" t="s">
        <v>142</v>
      </c>
      <c r="C112" s="55" t="s">
        <v>885</v>
      </c>
      <c r="D112" s="55" t="s">
        <v>173</v>
      </c>
      <c r="E112" s="54"/>
      <c r="F112" s="54"/>
      <c r="G112" s="54"/>
      <c r="H112" s="45"/>
      <c r="J112" s="45"/>
    </row>
    <row r="113" spans="1:10" x14ac:dyDescent="0.2">
      <c r="A113" s="54"/>
      <c r="B113" s="56" t="s">
        <v>174</v>
      </c>
      <c r="C113" s="57">
        <v>45777</v>
      </c>
      <c r="D113" s="57">
        <v>45808</v>
      </c>
      <c r="E113" s="54"/>
      <c r="F113" s="54"/>
      <c r="G113" s="54"/>
      <c r="J113" s="45"/>
    </row>
    <row r="114" spans="1:10" x14ac:dyDescent="0.2">
      <c r="A114" s="58"/>
      <c r="B114" s="29" t="s">
        <v>175</v>
      </c>
      <c r="C114" s="59">
        <v>103.02970000000001</v>
      </c>
      <c r="D114" s="59">
        <v>104.32299999999999</v>
      </c>
      <c r="E114" s="58"/>
      <c r="F114" s="60"/>
      <c r="G114" s="61"/>
    </row>
    <row r="115" spans="1:10" x14ac:dyDescent="0.2">
      <c r="A115" s="58"/>
      <c r="B115" s="29" t="s">
        <v>1065</v>
      </c>
      <c r="C115" s="59">
        <v>31.811900000000001</v>
      </c>
      <c r="D115" s="59">
        <v>32.211199999999998</v>
      </c>
      <c r="E115" s="58"/>
      <c r="F115" s="60"/>
      <c r="G115" s="61"/>
    </row>
    <row r="116" spans="1:10" x14ac:dyDescent="0.2">
      <c r="A116" s="58"/>
      <c r="B116" s="29" t="s">
        <v>177</v>
      </c>
      <c r="C116" s="59">
        <v>94.161299999999997</v>
      </c>
      <c r="D116" s="59">
        <v>95.273700000000005</v>
      </c>
      <c r="E116" s="58"/>
      <c r="F116" s="60"/>
      <c r="G116" s="61"/>
    </row>
    <row r="117" spans="1:10" x14ac:dyDescent="0.2">
      <c r="A117" s="58"/>
      <c r="B117" s="29" t="s">
        <v>1066</v>
      </c>
      <c r="C117" s="59">
        <v>28.591699999999999</v>
      </c>
      <c r="D117" s="59">
        <v>28.929500000000001</v>
      </c>
      <c r="E117" s="58"/>
      <c r="F117" s="60"/>
      <c r="G117" s="61"/>
    </row>
    <row r="118" spans="1:10" x14ac:dyDescent="0.2">
      <c r="A118" s="58"/>
      <c r="B118" s="58"/>
      <c r="C118" s="58"/>
      <c r="D118" s="58"/>
      <c r="E118" s="58"/>
      <c r="F118" s="58"/>
      <c r="G118" s="58"/>
    </row>
    <row r="119" spans="1:10" x14ac:dyDescent="0.2">
      <c r="A119" s="54"/>
      <c r="B119" s="217" t="s">
        <v>887</v>
      </c>
      <c r="C119" s="218"/>
      <c r="D119" s="51" t="s">
        <v>171</v>
      </c>
      <c r="E119" s="54"/>
      <c r="F119" s="54"/>
      <c r="G119" s="54"/>
    </row>
    <row r="120" spans="1:10" x14ac:dyDescent="0.2">
      <c r="A120" s="54"/>
      <c r="B120" s="70"/>
      <c r="C120" s="70"/>
      <c r="D120" s="70"/>
      <c r="E120" s="54"/>
      <c r="F120" s="54"/>
      <c r="G120" s="54"/>
    </row>
    <row r="121" spans="1:10" x14ac:dyDescent="0.2">
      <c r="A121" s="54"/>
      <c r="B121" s="217" t="s">
        <v>180</v>
      </c>
      <c r="C121" s="218"/>
      <c r="D121" s="51" t="s">
        <v>171</v>
      </c>
      <c r="E121" s="65"/>
      <c r="F121" s="54"/>
      <c r="G121" s="54"/>
    </row>
    <row r="122" spans="1:10" x14ac:dyDescent="0.2">
      <c r="A122" s="54"/>
      <c r="B122" s="217" t="s">
        <v>181</v>
      </c>
      <c r="C122" s="218"/>
      <c r="D122" s="51" t="s">
        <v>171</v>
      </c>
      <c r="E122" s="65"/>
      <c r="F122" s="54"/>
      <c r="G122" s="54"/>
    </row>
    <row r="123" spans="1:10" ht="17.100000000000001" customHeight="1" x14ac:dyDescent="0.2">
      <c r="A123" s="54"/>
      <c r="B123" s="217" t="s">
        <v>182</v>
      </c>
      <c r="C123" s="218"/>
      <c r="D123" s="51" t="s">
        <v>171</v>
      </c>
      <c r="E123" s="65"/>
      <c r="F123" s="54"/>
      <c r="G123" s="54"/>
    </row>
    <row r="124" spans="1:10" ht="17.100000000000001" customHeight="1" x14ac:dyDescent="0.2">
      <c r="A124" s="54"/>
      <c r="B124" s="217" t="s">
        <v>183</v>
      </c>
      <c r="C124" s="218"/>
      <c r="D124" s="66">
        <v>0.27143912469619652</v>
      </c>
      <c r="E124" s="54"/>
      <c r="F124" s="44"/>
      <c r="G124" s="64"/>
    </row>
    <row r="126" spans="1:10" x14ac:dyDescent="0.2">
      <c r="B126" s="219" t="s">
        <v>888</v>
      </c>
      <c r="C126" s="219"/>
    </row>
    <row r="128" spans="1:10" ht="153.75" customHeight="1" x14ac:dyDescent="0.2"/>
    <row r="131" spans="2:10" x14ac:dyDescent="0.2">
      <c r="B131" s="67" t="s">
        <v>889</v>
      </c>
      <c r="C131" s="68"/>
      <c r="D131" s="67"/>
    </row>
    <row r="132" spans="2:10" x14ac:dyDescent="0.2">
      <c r="B132" s="67" t="s">
        <v>1050</v>
      </c>
      <c r="D132" s="67"/>
    </row>
    <row r="133" spans="2:10" ht="165" customHeight="1" x14ac:dyDescent="0.2"/>
    <row r="135" spans="2:10" x14ac:dyDescent="0.2">
      <c r="J135" s="24"/>
    </row>
  </sheetData>
  <mergeCells count="18">
    <mergeCell ref="B110:C110"/>
    <mergeCell ref="B111:C111"/>
    <mergeCell ref="B126:C126"/>
    <mergeCell ref="B119:C119"/>
    <mergeCell ref="B123:C123"/>
    <mergeCell ref="B124:C124"/>
    <mergeCell ref="B121:C121"/>
    <mergeCell ref="B122:C122"/>
    <mergeCell ref="B104:H104"/>
    <mergeCell ref="B105:H105"/>
    <mergeCell ref="B106:H106"/>
    <mergeCell ref="B108:D108"/>
    <mergeCell ref="B109:C109"/>
    <mergeCell ref="A1:H1"/>
    <mergeCell ref="A2:H2"/>
    <mergeCell ref="A3:H3"/>
    <mergeCell ref="B102:H102"/>
    <mergeCell ref="B103:H103"/>
  </mergeCells>
  <hyperlinks>
    <hyperlink ref="I1" location="Index!B2" display="Index" xr:uid="{FEA23CC6-C476-48CB-8DDA-629DA4E53B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0873-8425-4B5C-979A-1689C94FD753}">
  <sheetPr>
    <outlinePr summaryBelow="0" summaryRight="0"/>
  </sheetPr>
  <dimension ref="A1:Q153"/>
  <sheetViews>
    <sheetView showGridLines="0" topLeftCell="B1" workbookViewId="0">
      <selection activeCell="J23" sqref="J23"/>
    </sheetView>
  </sheetViews>
  <sheetFormatPr defaultRowHeight="12.75" x14ac:dyDescent="0.2"/>
  <cols>
    <col min="1" max="1" width="5.85546875" bestFit="1" customWidth="1"/>
    <col min="2" max="2" width="21.5703125" customWidth="1"/>
    <col min="3" max="3" width="40.140625" customWidth="1"/>
    <col min="4" max="4" width="18.85546875" customWidth="1"/>
    <col min="5" max="5" width="13.570312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803</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tr">
        <f>IFERROR(VLOOKUP(B5,#REF!,12,FALSE),"")</f>
        <v/>
      </c>
    </row>
    <row r="6" spans="1:9" x14ac:dyDescent="0.2">
      <c r="A6" s="25"/>
      <c r="B6" s="25"/>
      <c r="C6" s="26" t="s">
        <v>10</v>
      </c>
      <c r="D6" s="25"/>
      <c r="E6" s="25"/>
      <c r="F6" s="25"/>
      <c r="G6" s="25"/>
      <c r="H6" s="27" t="str">
        <f>IFERROR(VLOOKUP(B6,#REF!,12,FALSE),"")</f>
        <v/>
      </c>
    </row>
    <row r="7" spans="1:9" x14ac:dyDescent="0.2">
      <c r="A7" s="28">
        <v>1</v>
      </c>
      <c r="B7" s="29" t="s">
        <v>11</v>
      </c>
      <c r="C7" s="29" t="s">
        <v>12</v>
      </c>
      <c r="D7" s="29" t="s">
        <v>13</v>
      </c>
      <c r="E7" s="30">
        <v>1811705</v>
      </c>
      <c r="F7" s="31">
        <v>33628.868210000001</v>
      </c>
      <c r="G7" s="32">
        <v>8.0817070000000005E-2</v>
      </c>
      <c r="H7" s="27" t="str">
        <f>IFERROR(VLOOKUP(B7,#REF!,12,FALSE),"")</f>
        <v/>
      </c>
    </row>
    <row r="8" spans="1:9" x14ac:dyDescent="0.2">
      <c r="A8" s="28">
        <v>2</v>
      </c>
      <c r="B8" s="29" t="s">
        <v>317</v>
      </c>
      <c r="C8" s="29" t="s">
        <v>318</v>
      </c>
      <c r="D8" s="29" t="s">
        <v>28</v>
      </c>
      <c r="E8" s="30">
        <v>1619559</v>
      </c>
      <c r="F8" s="31">
        <v>31498.802991</v>
      </c>
      <c r="G8" s="32">
        <v>7.5698080000000001E-2</v>
      </c>
      <c r="H8" s="27" t="str">
        <f>IFERROR(VLOOKUP(B8,#REF!,12,FALSE),"")</f>
        <v/>
      </c>
    </row>
    <row r="9" spans="1:9" x14ac:dyDescent="0.2">
      <c r="A9" s="28">
        <v>3</v>
      </c>
      <c r="B9" s="29" t="s">
        <v>14</v>
      </c>
      <c r="C9" s="29" t="s">
        <v>15</v>
      </c>
      <c r="D9" s="29" t="s">
        <v>16</v>
      </c>
      <c r="E9" s="30">
        <v>1532287</v>
      </c>
      <c r="F9" s="31">
        <v>21772.265983000001</v>
      </c>
      <c r="G9" s="32">
        <v>5.2323219999999997E-2</v>
      </c>
      <c r="H9" s="27" t="str">
        <f>IFERROR(VLOOKUP(B9,#REF!,12,FALSE),"")</f>
        <v/>
      </c>
    </row>
    <row r="10" spans="1:9" x14ac:dyDescent="0.2">
      <c r="A10" s="28">
        <v>4</v>
      </c>
      <c r="B10" s="29" t="s">
        <v>348</v>
      </c>
      <c r="C10" s="29" t="s">
        <v>349</v>
      </c>
      <c r="D10" s="29" t="s">
        <v>290</v>
      </c>
      <c r="E10" s="30">
        <v>6560070</v>
      </c>
      <c r="F10" s="31">
        <v>15633.302817</v>
      </c>
      <c r="G10" s="32">
        <v>3.7570029999999997E-2</v>
      </c>
      <c r="H10" s="27" t="str">
        <f>IFERROR(VLOOKUP(B10,#REF!,12,FALSE),"")</f>
        <v/>
      </c>
    </row>
    <row r="11" spans="1:9" ht="25.5" x14ac:dyDescent="0.2">
      <c r="A11" s="28">
        <v>5</v>
      </c>
      <c r="B11" s="29" t="s">
        <v>43</v>
      </c>
      <c r="C11" s="29" t="s">
        <v>44</v>
      </c>
      <c r="D11" s="29" t="s">
        <v>45</v>
      </c>
      <c r="E11" s="30">
        <v>1090073</v>
      </c>
      <c r="F11" s="31">
        <v>15618.565944</v>
      </c>
      <c r="G11" s="32">
        <v>3.7534619999999998E-2</v>
      </c>
      <c r="H11" s="27" t="str">
        <f>IFERROR(VLOOKUP(B11,#REF!,12,FALSE),"")</f>
        <v/>
      </c>
    </row>
    <row r="12" spans="1:9" x14ac:dyDescent="0.2">
      <c r="A12" s="28">
        <v>6</v>
      </c>
      <c r="B12" s="29" t="s">
        <v>319</v>
      </c>
      <c r="C12" s="29" t="s">
        <v>320</v>
      </c>
      <c r="D12" s="29" t="s">
        <v>28</v>
      </c>
      <c r="E12" s="30">
        <v>1179032</v>
      </c>
      <c r="F12" s="31">
        <v>14056.419504</v>
      </c>
      <c r="G12" s="32">
        <v>3.3780459999999998E-2</v>
      </c>
      <c r="H12" s="27" t="str">
        <f>IFERROR(VLOOKUP(B12,#REF!,12,FALSE),"")</f>
        <v/>
      </c>
    </row>
    <row r="13" spans="1:9" x14ac:dyDescent="0.2">
      <c r="A13" s="28">
        <v>7</v>
      </c>
      <c r="B13" s="29" t="s">
        <v>395</v>
      </c>
      <c r="C13" s="29" t="s">
        <v>396</v>
      </c>
      <c r="D13" s="29" t="s">
        <v>132</v>
      </c>
      <c r="E13" s="30">
        <v>1201250</v>
      </c>
      <c r="F13" s="31">
        <v>12551.86125</v>
      </c>
      <c r="G13" s="32">
        <v>3.0164699999999999E-2</v>
      </c>
      <c r="H13" s="27" t="str">
        <f>IFERROR(VLOOKUP(B13,#REF!,12,FALSE),"")</f>
        <v/>
      </c>
    </row>
    <row r="14" spans="1:9" x14ac:dyDescent="0.2">
      <c r="A14" s="28">
        <v>8</v>
      </c>
      <c r="B14" s="29" t="s">
        <v>268</v>
      </c>
      <c r="C14" s="29" t="s">
        <v>269</v>
      </c>
      <c r="D14" s="29" t="s">
        <v>270</v>
      </c>
      <c r="E14" s="30">
        <v>1864265</v>
      </c>
      <c r="F14" s="31">
        <v>12348.89136</v>
      </c>
      <c r="G14" s="32">
        <v>2.9676919999999999E-2</v>
      </c>
      <c r="H14" s="27" t="str">
        <f>IFERROR(VLOOKUP(B14,#REF!,12,FALSE),"")</f>
        <v/>
      </c>
    </row>
    <row r="15" spans="1:9" x14ac:dyDescent="0.2">
      <c r="A15" s="28">
        <v>9</v>
      </c>
      <c r="B15" s="29" t="s">
        <v>26</v>
      </c>
      <c r="C15" s="29" t="s">
        <v>27</v>
      </c>
      <c r="D15" s="29" t="s">
        <v>28</v>
      </c>
      <c r="E15" s="30">
        <v>829125</v>
      </c>
      <c r="F15" s="31">
        <v>11987.489250000001</v>
      </c>
      <c r="G15" s="32">
        <v>2.8808400000000001E-2</v>
      </c>
      <c r="H15" s="27" t="str">
        <f>IFERROR(VLOOKUP(B15,#REF!,12,FALSE),"")</f>
        <v/>
      </c>
    </row>
    <row r="16" spans="1:9" x14ac:dyDescent="0.2">
      <c r="A16" s="28">
        <v>10</v>
      </c>
      <c r="B16" s="29" t="s">
        <v>688</v>
      </c>
      <c r="C16" s="29" t="s">
        <v>689</v>
      </c>
      <c r="D16" s="29" t="s">
        <v>197</v>
      </c>
      <c r="E16" s="30">
        <v>164533</v>
      </c>
      <c r="F16" s="31">
        <v>11320.693064999999</v>
      </c>
      <c r="G16" s="32">
        <v>2.720595E-2</v>
      </c>
      <c r="H16" s="27" t="str">
        <f>IFERROR(VLOOKUP(B16,#REF!,12,FALSE),"")</f>
        <v/>
      </c>
    </row>
    <row r="17" spans="1:8" x14ac:dyDescent="0.2">
      <c r="A17" s="28">
        <v>11</v>
      </c>
      <c r="B17" s="29" t="s">
        <v>512</v>
      </c>
      <c r="C17" s="29" t="s">
        <v>513</v>
      </c>
      <c r="D17" s="29" t="s">
        <v>132</v>
      </c>
      <c r="E17" s="30">
        <v>502703</v>
      </c>
      <c r="F17" s="31">
        <v>10141.530322000001</v>
      </c>
      <c r="G17" s="32">
        <v>2.437218E-2</v>
      </c>
      <c r="H17" s="27" t="str">
        <f>IFERROR(VLOOKUP(B17,#REF!,12,FALSE),"")</f>
        <v/>
      </c>
    </row>
    <row r="18" spans="1:8" x14ac:dyDescent="0.2">
      <c r="A18" s="28">
        <v>12</v>
      </c>
      <c r="B18" s="29" t="s">
        <v>282</v>
      </c>
      <c r="C18" s="29" t="s">
        <v>283</v>
      </c>
      <c r="D18" s="29" t="s">
        <v>132</v>
      </c>
      <c r="E18" s="30">
        <v>1557344</v>
      </c>
      <c r="F18" s="31">
        <v>9956.8788640000002</v>
      </c>
      <c r="G18" s="32">
        <v>2.3928419999999999E-2</v>
      </c>
      <c r="H18" s="27" t="str">
        <f>IFERROR(VLOOKUP(B18,#REF!,12,FALSE),"")</f>
        <v/>
      </c>
    </row>
    <row r="19" spans="1:8" x14ac:dyDescent="0.2">
      <c r="A19" s="28">
        <v>13</v>
      </c>
      <c r="B19" s="29" t="s">
        <v>354</v>
      </c>
      <c r="C19" s="29" t="s">
        <v>355</v>
      </c>
      <c r="D19" s="29" t="s">
        <v>61</v>
      </c>
      <c r="E19" s="30">
        <v>275874</v>
      </c>
      <c r="F19" s="31">
        <v>9807.3207000000002</v>
      </c>
      <c r="G19" s="32">
        <v>2.3569E-2</v>
      </c>
      <c r="H19" s="27" t="str">
        <f>IFERROR(VLOOKUP(B19,#REF!,12,FALSE),"")</f>
        <v/>
      </c>
    </row>
    <row r="20" spans="1:8" x14ac:dyDescent="0.2">
      <c r="A20" s="28">
        <v>14</v>
      </c>
      <c r="B20" s="29" t="s">
        <v>78</v>
      </c>
      <c r="C20" s="29" t="s">
        <v>79</v>
      </c>
      <c r="D20" s="29" t="s">
        <v>13</v>
      </c>
      <c r="E20" s="30">
        <v>2418626</v>
      </c>
      <c r="F20" s="31">
        <v>9291.1517789999998</v>
      </c>
      <c r="G20" s="32">
        <v>2.2328540000000001E-2</v>
      </c>
      <c r="H20" s="27" t="str">
        <f>IFERROR(VLOOKUP(B20,#REF!,12,FALSE),"")</f>
        <v/>
      </c>
    </row>
    <row r="21" spans="1:8" x14ac:dyDescent="0.2">
      <c r="A21" s="28">
        <v>15</v>
      </c>
      <c r="B21" s="29" t="s">
        <v>436</v>
      </c>
      <c r="C21" s="29" t="s">
        <v>437</v>
      </c>
      <c r="D21" s="29" t="s">
        <v>28</v>
      </c>
      <c r="E21" s="30">
        <v>1129086</v>
      </c>
      <c r="F21" s="31">
        <v>9224.0680769999999</v>
      </c>
      <c r="G21" s="32">
        <v>2.2167329999999999E-2</v>
      </c>
      <c r="H21" s="27" t="str">
        <f>IFERROR(VLOOKUP(B21,#REF!,12,FALSE),"")</f>
        <v/>
      </c>
    </row>
    <row r="22" spans="1:8" x14ac:dyDescent="0.2">
      <c r="A22" s="28">
        <v>16</v>
      </c>
      <c r="B22" s="29" t="s">
        <v>361</v>
      </c>
      <c r="C22" s="29" t="s">
        <v>362</v>
      </c>
      <c r="D22" s="29" t="s">
        <v>197</v>
      </c>
      <c r="E22" s="30">
        <v>1639820</v>
      </c>
      <c r="F22" s="31">
        <v>9171.5132599999997</v>
      </c>
      <c r="G22" s="32">
        <v>2.204103E-2</v>
      </c>
      <c r="H22" s="27" t="str">
        <f>IFERROR(VLOOKUP(B22,#REF!,12,FALSE),"")</f>
        <v/>
      </c>
    </row>
    <row r="23" spans="1:8" x14ac:dyDescent="0.2">
      <c r="A23" s="28">
        <v>17</v>
      </c>
      <c r="B23" s="29" t="s">
        <v>337</v>
      </c>
      <c r="C23" s="29" t="s">
        <v>338</v>
      </c>
      <c r="D23" s="29" t="s">
        <v>263</v>
      </c>
      <c r="E23" s="30">
        <v>504624</v>
      </c>
      <c r="F23" s="31">
        <v>8758.2541440000005</v>
      </c>
      <c r="G23" s="32">
        <v>2.1047880000000001E-2</v>
      </c>
      <c r="H23" s="27" t="str">
        <f>IFERROR(VLOOKUP(B23,#REF!,12,FALSE),"")</f>
        <v/>
      </c>
    </row>
    <row r="24" spans="1:8" x14ac:dyDescent="0.2">
      <c r="A24" s="28">
        <v>18</v>
      </c>
      <c r="B24" s="29" t="s">
        <v>369</v>
      </c>
      <c r="C24" s="29" t="s">
        <v>370</v>
      </c>
      <c r="D24" s="29" t="s">
        <v>28</v>
      </c>
      <c r="E24" s="30">
        <v>16826796</v>
      </c>
      <c r="F24" s="31">
        <v>7240.5703187999998</v>
      </c>
      <c r="G24" s="32">
        <v>1.7400579999999999E-2</v>
      </c>
      <c r="H24" s="27" t="str">
        <f>IFERROR(VLOOKUP(B24,#REF!,12,FALSE),"")</f>
        <v/>
      </c>
    </row>
    <row r="25" spans="1:8" x14ac:dyDescent="0.2">
      <c r="A25" s="28">
        <v>19</v>
      </c>
      <c r="B25" s="29" t="s">
        <v>213</v>
      </c>
      <c r="C25" s="29" t="s">
        <v>214</v>
      </c>
      <c r="D25" s="29" t="s">
        <v>58</v>
      </c>
      <c r="E25" s="30">
        <v>457842</v>
      </c>
      <c r="F25" s="31">
        <v>7037.4893819999998</v>
      </c>
      <c r="G25" s="32">
        <v>1.6912529999999999E-2</v>
      </c>
      <c r="H25" s="27" t="str">
        <f>IFERROR(VLOOKUP(B25,#REF!,12,FALSE),"")</f>
        <v/>
      </c>
    </row>
    <row r="26" spans="1:8" x14ac:dyDescent="0.2">
      <c r="A26" s="28">
        <v>20</v>
      </c>
      <c r="B26" s="29" t="s">
        <v>371</v>
      </c>
      <c r="C26" s="29" t="s">
        <v>372</v>
      </c>
      <c r="D26" s="29" t="s">
        <v>212</v>
      </c>
      <c r="E26" s="30">
        <v>223340</v>
      </c>
      <c r="F26" s="31">
        <v>6779.7090399999997</v>
      </c>
      <c r="G26" s="32">
        <v>1.629303E-2</v>
      </c>
      <c r="H26" s="27" t="str">
        <f>IFERROR(VLOOKUP(B26,#REF!,12,FALSE),"")</f>
        <v/>
      </c>
    </row>
    <row r="27" spans="1:8" x14ac:dyDescent="0.2">
      <c r="A27" s="28">
        <v>21</v>
      </c>
      <c r="B27" s="29" t="s">
        <v>363</v>
      </c>
      <c r="C27" s="29" t="s">
        <v>364</v>
      </c>
      <c r="D27" s="29" t="s">
        <v>229</v>
      </c>
      <c r="E27" s="30">
        <v>1990973</v>
      </c>
      <c r="F27" s="31">
        <v>6333.2851129999999</v>
      </c>
      <c r="G27" s="32">
        <v>1.522018E-2</v>
      </c>
      <c r="H27" s="27" t="str">
        <f>IFERROR(VLOOKUP(B27,#REF!,12,FALSE),"")</f>
        <v/>
      </c>
    </row>
    <row r="28" spans="1:8" x14ac:dyDescent="0.2">
      <c r="A28" s="28">
        <v>22</v>
      </c>
      <c r="B28" s="29" t="s">
        <v>335</v>
      </c>
      <c r="C28" s="29" t="s">
        <v>336</v>
      </c>
      <c r="D28" s="29" t="s">
        <v>290</v>
      </c>
      <c r="E28" s="30">
        <v>438335</v>
      </c>
      <c r="F28" s="31">
        <v>6257.2321250000005</v>
      </c>
      <c r="G28" s="32">
        <v>1.5037409999999999E-2</v>
      </c>
      <c r="H28" s="27" t="str">
        <f>IFERROR(VLOOKUP(B28,#REF!,12,FALSE),"")</f>
        <v/>
      </c>
    </row>
    <row r="29" spans="1:8" x14ac:dyDescent="0.2">
      <c r="A29" s="28">
        <v>23</v>
      </c>
      <c r="B29" s="29" t="s">
        <v>234</v>
      </c>
      <c r="C29" s="29" t="s">
        <v>235</v>
      </c>
      <c r="D29" s="29" t="s">
        <v>229</v>
      </c>
      <c r="E29" s="30">
        <v>663825</v>
      </c>
      <c r="F29" s="31">
        <v>6091.9220249999998</v>
      </c>
      <c r="G29" s="32">
        <v>1.4640139999999999E-2</v>
      </c>
      <c r="H29" s="27" t="str">
        <f>IFERROR(VLOOKUP(B29,#REF!,12,FALSE),"")</f>
        <v/>
      </c>
    </row>
    <row r="30" spans="1:8" x14ac:dyDescent="0.2">
      <c r="A30" s="28">
        <v>24</v>
      </c>
      <c r="B30" s="29" t="s">
        <v>377</v>
      </c>
      <c r="C30" s="29" t="s">
        <v>378</v>
      </c>
      <c r="D30" s="29" t="s">
        <v>28</v>
      </c>
      <c r="E30" s="30">
        <v>9120524</v>
      </c>
      <c r="F30" s="31">
        <v>5801.5653163999996</v>
      </c>
      <c r="G30" s="32">
        <v>1.3942349999999999E-2</v>
      </c>
      <c r="H30" s="27" t="str">
        <f>IFERROR(VLOOKUP(B30,#REF!,12,FALSE),"")</f>
        <v/>
      </c>
    </row>
    <row r="31" spans="1:8" x14ac:dyDescent="0.2">
      <c r="A31" s="28">
        <v>25</v>
      </c>
      <c r="B31" s="29" t="s">
        <v>367</v>
      </c>
      <c r="C31" s="29" t="s">
        <v>368</v>
      </c>
      <c r="D31" s="29" t="s">
        <v>28</v>
      </c>
      <c r="E31" s="30">
        <v>1561198</v>
      </c>
      <c r="F31" s="31">
        <v>5696.0309029999999</v>
      </c>
      <c r="G31" s="32">
        <v>1.368873E-2</v>
      </c>
      <c r="H31" s="27" t="str">
        <f>IFERROR(VLOOKUP(B31,#REF!,12,FALSE),"")</f>
        <v/>
      </c>
    </row>
    <row r="32" spans="1:8" x14ac:dyDescent="0.2">
      <c r="A32" s="28">
        <v>26</v>
      </c>
      <c r="B32" s="29" t="s">
        <v>751</v>
      </c>
      <c r="C32" s="29" t="s">
        <v>752</v>
      </c>
      <c r="D32" s="29" t="s">
        <v>200</v>
      </c>
      <c r="E32" s="30">
        <v>109074</v>
      </c>
      <c r="F32" s="31">
        <v>5528.8519859999997</v>
      </c>
      <c r="G32" s="32">
        <v>1.328697E-2</v>
      </c>
      <c r="H32" s="27" t="str">
        <f>IFERROR(VLOOKUP(B32,#REF!,12,FALSE),"")</f>
        <v/>
      </c>
    </row>
    <row r="33" spans="1:8" x14ac:dyDescent="0.2">
      <c r="A33" s="28">
        <v>27</v>
      </c>
      <c r="B33" s="29" t="s">
        <v>323</v>
      </c>
      <c r="C33" s="29" t="s">
        <v>324</v>
      </c>
      <c r="D33" s="29" t="s">
        <v>200</v>
      </c>
      <c r="E33" s="30">
        <v>344194</v>
      </c>
      <c r="F33" s="31">
        <v>5378.7196379999996</v>
      </c>
      <c r="G33" s="32">
        <v>1.2926170000000001E-2</v>
      </c>
      <c r="H33" s="27" t="str">
        <f>IFERROR(VLOOKUP(B33,#REF!,12,FALSE),"")</f>
        <v/>
      </c>
    </row>
    <row r="34" spans="1:8" x14ac:dyDescent="0.2">
      <c r="A34" s="28">
        <v>28</v>
      </c>
      <c r="B34" s="29" t="s">
        <v>329</v>
      </c>
      <c r="C34" s="29" t="s">
        <v>330</v>
      </c>
      <c r="D34" s="29" t="s">
        <v>212</v>
      </c>
      <c r="E34" s="30">
        <v>80256</v>
      </c>
      <c r="F34" s="31">
        <v>5298.5011199999999</v>
      </c>
      <c r="G34" s="32">
        <v>1.2733390000000001E-2</v>
      </c>
      <c r="H34" s="27" t="str">
        <f>IFERROR(VLOOKUP(B34,#REF!,12,FALSE),"")</f>
        <v/>
      </c>
    </row>
    <row r="35" spans="1:8" x14ac:dyDescent="0.2">
      <c r="A35" s="28">
        <v>29</v>
      </c>
      <c r="B35" s="29" t="s">
        <v>130</v>
      </c>
      <c r="C35" s="29" t="s">
        <v>131</v>
      </c>
      <c r="D35" s="29" t="s">
        <v>132</v>
      </c>
      <c r="E35" s="30">
        <v>1260897</v>
      </c>
      <c r="F35" s="31">
        <v>5072.5886309999996</v>
      </c>
      <c r="G35" s="32">
        <v>1.219047E-2</v>
      </c>
      <c r="H35" s="27" t="str">
        <f>IFERROR(VLOOKUP(B35,#REF!,12,FALSE),"")</f>
        <v/>
      </c>
    </row>
    <row r="36" spans="1:8" x14ac:dyDescent="0.2">
      <c r="A36" s="28">
        <v>30</v>
      </c>
      <c r="B36" s="29" t="s">
        <v>113</v>
      </c>
      <c r="C36" s="29" t="s">
        <v>114</v>
      </c>
      <c r="D36" s="29" t="s">
        <v>67</v>
      </c>
      <c r="E36" s="30">
        <v>1343146</v>
      </c>
      <c r="F36" s="31">
        <v>4808.4626799999996</v>
      </c>
      <c r="G36" s="32">
        <v>1.155572E-2</v>
      </c>
      <c r="H36" s="27" t="str">
        <f>IFERROR(VLOOKUP(B36,#REF!,12,FALSE),"")</f>
        <v/>
      </c>
    </row>
    <row r="37" spans="1:8" x14ac:dyDescent="0.2">
      <c r="A37" s="28">
        <v>31</v>
      </c>
      <c r="B37" s="29" t="s">
        <v>401</v>
      </c>
      <c r="C37" s="29" t="s">
        <v>402</v>
      </c>
      <c r="D37" s="29" t="s">
        <v>229</v>
      </c>
      <c r="E37" s="30">
        <v>717133</v>
      </c>
      <c r="F37" s="31">
        <v>4799.4126024999996</v>
      </c>
      <c r="G37" s="32">
        <v>1.1533969999999999E-2</v>
      </c>
      <c r="H37" s="27" t="str">
        <f>IFERROR(VLOOKUP(B37,#REF!,12,FALSE),"")</f>
        <v/>
      </c>
    </row>
    <row r="38" spans="1:8" x14ac:dyDescent="0.2">
      <c r="A38" s="28">
        <v>32</v>
      </c>
      <c r="B38" s="29" t="s">
        <v>195</v>
      </c>
      <c r="C38" s="29" t="s">
        <v>196</v>
      </c>
      <c r="D38" s="29" t="s">
        <v>197</v>
      </c>
      <c r="E38" s="30">
        <v>670186</v>
      </c>
      <c r="F38" s="31">
        <v>4733.5237180000004</v>
      </c>
      <c r="G38" s="32">
        <v>1.1375629999999999E-2</v>
      </c>
      <c r="H38" s="27" t="str">
        <f>IFERROR(VLOOKUP(B38,#REF!,12,FALSE),"")</f>
        <v/>
      </c>
    </row>
    <row r="39" spans="1:8" x14ac:dyDescent="0.2">
      <c r="A39" s="28">
        <v>33</v>
      </c>
      <c r="B39" s="29" t="s">
        <v>393</v>
      </c>
      <c r="C39" s="29" t="s">
        <v>394</v>
      </c>
      <c r="D39" s="29" t="s">
        <v>200</v>
      </c>
      <c r="E39" s="30">
        <v>1037243</v>
      </c>
      <c r="F39" s="31">
        <v>4603.2844340000001</v>
      </c>
      <c r="G39" s="32">
        <v>1.106264E-2</v>
      </c>
      <c r="H39" s="27" t="str">
        <f>IFERROR(VLOOKUP(B39,#REF!,12,FALSE),"")</f>
        <v/>
      </c>
    </row>
    <row r="40" spans="1:8" x14ac:dyDescent="0.2">
      <c r="A40" s="28">
        <v>34</v>
      </c>
      <c r="B40" s="29" t="s">
        <v>471</v>
      </c>
      <c r="C40" s="29" t="s">
        <v>472</v>
      </c>
      <c r="D40" s="29" t="s">
        <v>270</v>
      </c>
      <c r="E40" s="30">
        <v>909737</v>
      </c>
      <c r="F40" s="31">
        <v>4506.3822295</v>
      </c>
      <c r="G40" s="32">
        <v>1.0829760000000001E-2</v>
      </c>
      <c r="H40" s="27" t="str">
        <f>IFERROR(VLOOKUP(B40,#REF!,12,FALSE),"")</f>
        <v/>
      </c>
    </row>
    <row r="41" spans="1:8" x14ac:dyDescent="0.2">
      <c r="A41" s="28">
        <v>35</v>
      </c>
      <c r="B41" s="29" t="s">
        <v>504</v>
      </c>
      <c r="C41" s="29" t="s">
        <v>505</v>
      </c>
      <c r="D41" s="29" t="s">
        <v>200</v>
      </c>
      <c r="E41" s="30">
        <v>275867</v>
      </c>
      <c r="F41" s="31">
        <v>4341.8707130000003</v>
      </c>
      <c r="G41" s="32">
        <v>1.043441E-2</v>
      </c>
      <c r="H41" s="27" t="str">
        <f>IFERROR(VLOOKUP(B41,#REF!,12,FALSE),"")</f>
        <v/>
      </c>
    </row>
    <row r="42" spans="1:8" x14ac:dyDescent="0.2">
      <c r="A42" s="28">
        <v>36</v>
      </c>
      <c r="B42" s="29" t="s">
        <v>390</v>
      </c>
      <c r="C42" s="29" t="s">
        <v>391</v>
      </c>
      <c r="D42" s="29" t="s">
        <v>392</v>
      </c>
      <c r="E42" s="30">
        <v>425515</v>
      </c>
      <c r="F42" s="31">
        <v>4192.3865374999996</v>
      </c>
      <c r="G42" s="32">
        <v>1.007517E-2</v>
      </c>
      <c r="H42" s="27" t="str">
        <f>IFERROR(VLOOKUP(B42,#REF!,12,FALSE),"")</f>
        <v/>
      </c>
    </row>
    <row r="43" spans="1:8" x14ac:dyDescent="0.2">
      <c r="A43" s="28">
        <v>37</v>
      </c>
      <c r="B43" s="29" t="s">
        <v>409</v>
      </c>
      <c r="C43" s="29" t="s">
        <v>410</v>
      </c>
      <c r="D43" s="29" t="s">
        <v>263</v>
      </c>
      <c r="E43" s="30">
        <v>1096915</v>
      </c>
      <c r="F43" s="31">
        <v>4019.6450175</v>
      </c>
      <c r="G43" s="32">
        <v>9.66003E-3</v>
      </c>
      <c r="H43" s="27" t="str">
        <f>IFERROR(VLOOKUP(B43,#REF!,12,FALSE),"")</f>
        <v/>
      </c>
    </row>
    <row r="44" spans="1:8" x14ac:dyDescent="0.2">
      <c r="A44" s="28">
        <v>38</v>
      </c>
      <c r="B44" s="29" t="s">
        <v>388</v>
      </c>
      <c r="C44" s="29" t="s">
        <v>389</v>
      </c>
      <c r="D44" s="29" t="s">
        <v>132</v>
      </c>
      <c r="E44" s="30">
        <v>214055</v>
      </c>
      <c r="F44" s="31">
        <v>3994.6944100000001</v>
      </c>
      <c r="G44" s="32">
        <v>9.6000700000000005E-3</v>
      </c>
      <c r="H44" s="27" t="str">
        <f>IFERROR(VLOOKUP(B44,#REF!,12,FALSE),"")</f>
        <v/>
      </c>
    </row>
    <row r="45" spans="1:8" x14ac:dyDescent="0.2">
      <c r="A45" s="28">
        <v>39</v>
      </c>
      <c r="B45" s="29" t="s">
        <v>469</v>
      </c>
      <c r="C45" s="29" t="s">
        <v>470</v>
      </c>
      <c r="D45" s="29" t="s">
        <v>212</v>
      </c>
      <c r="E45" s="30">
        <v>130000</v>
      </c>
      <c r="F45" s="31">
        <v>3838.51</v>
      </c>
      <c r="G45" s="32">
        <v>9.2247300000000004E-3</v>
      </c>
      <c r="H45" s="27" t="str">
        <f>IFERROR(VLOOKUP(B45,#REF!,12,FALSE),"")</f>
        <v/>
      </c>
    </row>
    <row r="46" spans="1:8" x14ac:dyDescent="0.2">
      <c r="A46" s="28">
        <v>40</v>
      </c>
      <c r="B46" s="29" t="s">
        <v>725</v>
      </c>
      <c r="C46" s="29" t="s">
        <v>726</v>
      </c>
      <c r="D46" s="29" t="s">
        <v>197</v>
      </c>
      <c r="E46" s="30">
        <v>206251</v>
      </c>
      <c r="F46" s="31">
        <v>3465.2230509999999</v>
      </c>
      <c r="G46" s="32">
        <v>8.3276400000000007E-3</v>
      </c>
      <c r="H46" s="27" t="str">
        <f>IFERROR(VLOOKUP(B46,#REF!,12,FALSE),"")</f>
        <v/>
      </c>
    </row>
    <row r="47" spans="1:8" ht="25.5" x14ac:dyDescent="0.2">
      <c r="A47" s="28">
        <v>41</v>
      </c>
      <c r="B47" s="29" t="s">
        <v>383</v>
      </c>
      <c r="C47" s="29" t="s">
        <v>384</v>
      </c>
      <c r="D47" s="29" t="s">
        <v>385</v>
      </c>
      <c r="E47" s="30">
        <v>941308</v>
      </c>
      <c r="F47" s="31">
        <v>3347.7619020000002</v>
      </c>
      <c r="G47" s="32">
        <v>8.0453599999999997E-3</v>
      </c>
      <c r="H47" s="27" t="str">
        <f>IFERROR(VLOOKUP(B47,#REF!,12,FALSE),"")</f>
        <v/>
      </c>
    </row>
    <row r="48" spans="1:8" x14ac:dyDescent="0.2">
      <c r="A48" s="28">
        <v>42</v>
      </c>
      <c r="B48" s="29" t="s">
        <v>218</v>
      </c>
      <c r="C48" s="29" t="s">
        <v>219</v>
      </c>
      <c r="D48" s="29" t="s">
        <v>200</v>
      </c>
      <c r="E48" s="30">
        <v>38634</v>
      </c>
      <c r="F48" s="31">
        <v>3303.4001699999999</v>
      </c>
      <c r="G48" s="32">
        <v>7.9387499999999996E-3</v>
      </c>
      <c r="H48" s="27" t="str">
        <f>IFERROR(VLOOKUP(B48,#REF!,12,FALSE),"")</f>
        <v/>
      </c>
    </row>
    <row r="49" spans="1:8" x14ac:dyDescent="0.2">
      <c r="A49" s="28">
        <v>43</v>
      </c>
      <c r="B49" s="29" t="s">
        <v>783</v>
      </c>
      <c r="C49" s="29" t="s">
        <v>784</v>
      </c>
      <c r="D49" s="29" t="s">
        <v>290</v>
      </c>
      <c r="E49" s="30">
        <v>918536</v>
      </c>
      <c r="F49" s="31">
        <v>3059.1841479999998</v>
      </c>
      <c r="G49" s="32">
        <v>7.3518500000000001E-3</v>
      </c>
      <c r="H49" s="27" t="str">
        <f>IFERROR(VLOOKUP(B49,#REF!,12,FALSE),"")</f>
        <v/>
      </c>
    </row>
    <row r="50" spans="1:8" x14ac:dyDescent="0.2">
      <c r="A50" s="28">
        <v>44</v>
      </c>
      <c r="B50" s="29" t="s">
        <v>486</v>
      </c>
      <c r="C50" s="29" t="s">
        <v>487</v>
      </c>
      <c r="D50" s="29" t="s">
        <v>61</v>
      </c>
      <c r="E50" s="30">
        <v>756074</v>
      </c>
      <c r="F50" s="31">
        <v>2881.0199769999999</v>
      </c>
      <c r="G50" s="32">
        <v>6.9236799999999998E-3</v>
      </c>
      <c r="H50" s="27" t="str">
        <f>IFERROR(VLOOKUP(B50,#REF!,12,FALSE),"")</f>
        <v/>
      </c>
    </row>
    <row r="51" spans="1:8" x14ac:dyDescent="0.2">
      <c r="A51" s="28">
        <v>45</v>
      </c>
      <c r="B51" s="29" t="s">
        <v>479</v>
      </c>
      <c r="C51" s="29" t="s">
        <v>480</v>
      </c>
      <c r="D51" s="29" t="s">
        <v>212</v>
      </c>
      <c r="E51" s="30">
        <v>202966</v>
      </c>
      <c r="F51" s="31">
        <v>2415.7013320000001</v>
      </c>
      <c r="G51" s="32">
        <v>5.8054300000000003E-3</v>
      </c>
      <c r="H51" s="27" t="str">
        <f>IFERROR(VLOOKUP(B51,#REF!,12,FALSE),"")</f>
        <v/>
      </c>
    </row>
    <row r="52" spans="1:8" x14ac:dyDescent="0.2">
      <c r="A52" s="28">
        <v>46</v>
      </c>
      <c r="B52" s="29" t="s">
        <v>65</v>
      </c>
      <c r="C52" s="29" t="s">
        <v>66</v>
      </c>
      <c r="D52" s="29" t="s">
        <v>67</v>
      </c>
      <c r="E52" s="30">
        <v>44887</v>
      </c>
      <c r="F52" s="31">
        <v>2392.4771000000001</v>
      </c>
      <c r="G52" s="32">
        <v>5.7496099999999996E-3</v>
      </c>
      <c r="H52" s="27" t="str">
        <f>IFERROR(VLOOKUP(B52,#REF!,12,FALSE),"")</f>
        <v/>
      </c>
    </row>
    <row r="53" spans="1:8" x14ac:dyDescent="0.2">
      <c r="A53" s="28">
        <v>47</v>
      </c>
      <c r="B53" s="29" t="s">
        <v>403</v>
      </c>
      <c r="C53" s="29" t="s">
        <v>404</v>
      </c>
      <c r="D53" s="29" t="s">
        <v>132</v>
      </c>
      <c r="E53" s="30">
        <v>18938</v>
      </c>
      <c r="F53" s="31">
        <v>216.74540999999999</v>
      </c>
      <c r="G53" s="32">
        <v>5.2088000000000004E-4</v>
      </c>
      <c r="H53" s="27" t="str">
        <f>IFERROR(VLOOKUP(B53,#REF!,12,FALSE),"")</f>
        <v/>
      </c>
    </row>
    <row r="54" spans="1:8" x14ac:dyDescent="0.2">
      <c r="A54" s="25"/>
      <c r="B54" s="25"/>
      <c r="C54" s="26" t="s">
        <v>141</v>
      </c>
      <c r="D54" s="25"/>
      <c r="E54" s="25" t="s">
        <v>142</v>
      </c>
      <c r="F54" s="33">
        <v>384204.02855019999</v>
      </c>
      <c r="G54" s="34">
        <v>0.92332110999999994</v>
      </c>
      <c r="H54" s="27" t="str">
        <f>IFERROR(VLOOKUP(B54,#REF!,12,FALSE),"")</f>
        <v/>
      </c>
    </row>
    <row r="55" spans="1:8" x14ac:dyDescent="0.2">
      <c r="A55" s="25"/>
      <c r="B55" s="25"/>
      <c r="C55" s="35"/>
      <c r="D55" s="25"/>
      <c r="E55" s="25"/>
      <c r="F55" s="36"/>
      <c r="G55" s="36"/>
      <c r="H55" s="27" t="str">
        <f>IFERROR(VLOOKUP(B55,#REF!,12,FALSE),"")</f>
        <v/>
      </c>
    </row>
    <row r="56" spans="1:8" x14ac:dyDescent="0.2">
      <c r="A56" s="25"/>
      <c r="B56" s="25"/>
      <c r="C56" s="26" t="s">
        <v>143</v>
      </c>
      <c r="D56" s="25"/>
      <c r="E56" s="25"/>
      <c r="F56" s="25"/>
      <c r="G56" s="25"/>
      <c r="H56" s="27" t="str">
        <f>IFERROR(VLOOKUP(B56,#REF!,12,FALSE),"")</f>
        <v/>
      </c>
    </row>
    <row r="57" spans="1:8" x14ac:dyDescent="0.2">
      <c r="A57" s="28">
        <v>1</v>
      </c>
      <c r="B57" s="29" t="s">
        <v>804</v>
      </c>
      <c r="C57" s="38" t="s">
        <v>1051</v>
      </c>
      <c r="D57" s="29" t="s">
        <v>229</v>
      </c>
      <c r="E57" s="30">
        <v>37829</v>
      </c>
      <c r="F57" s="31">
        <v>3286.246393248</v>
      </c>
      <c r="G57" s="32">
        <v>7.8975199999999999E-3</v>
      </c>
      <c r="H57" s="27" t="str">
        <f>IFERROR(VLOOKUP(B57,#REF!,12,FALSE),"")</f>
        <v/>
      </c>
    </row>
    <row r="58" spans="1:8" x14ac:dyDescent="0.2">
      <c r="A58" s="25"/>
      <c r="B58" s="25"/>
      <c r="C58" s="26" t="s">
        <v>141</v>
      </c>
      <c r="D58" s="25"/>
      <c r="E58" s="25" t="s">
        <v>142</v>
      </c>
      <c r="F58" s="33">
        <v>3286.246393248</v>
      </c>
      <c r="G58" s="34">
        <v>7.8975199999999999E-3</v>
      </c>
      <c r="H58" s="27" t="str">
        <f>IFERROR(VLOOKUP(B58,#REF!,12,FALSE),"")</f>
        <v/>
      </c>
    </row>
    <row r="59" spans="1:8" x14ac:dyDescent="0.2">
      <c r="A59" s="25"/>
      <c r="B59" s="25"/>
      <c r="C59" s="35"/>
      <c r="D59" s="25"/>
      <c r="E59" s="25"/>
      <c r="F59" s="36"/>
      <c r="G59" s="36"/>
      <c r="H59" s="27" t="str">
        <f>IFERROR(VLOOKUP(B59,#REF!,12,FALSE),"")</f>
        <v/>
      </c>
    </row>
    <row r="60" spans="1:8" x14ac:dyDescent="0.2">
      <c r="A60" s="25"/>
      <c r="B60" s="25"/>
      <c r="C60" s="26" t="s">
        <v>145</v>
      </c>
      <c r="D60" s="25"/>
      <c r="E60" s="25"/>
      <c r="F60" s="25"/>
      <c r="G60" s="25"/>
      <c r="H60" s="27" t="str">
        <f>IFERROR(VLOOKUP(B60,#REF!,12,FALSE),"")</f>
        <v/>
      </c>
    </row>
    <row r="61" spans="1:8" x14ac:dyDescent="0.2">
      <c r="A61" s="25"/>
      <c r="B61" s="25"/>
      <c r="C61" s="26" t="s">
        <v>141</v>
      </c>
      <c r="D61" s="25"/>
      <c r="E61" s="25" t="s">
        <v>142</v>
      </c>
      <c r="F61" s="37" t="s">
        <v>144</v>
      </c>
      <c r="G61" s="34">
        <v>0</v>
      </c>
      <c r="H61" s="27" t="str">
        <f>IFERROR(VLOOKUP(B61,#REF!,12,FALSE),"")</f>
        <v/>
      </c>
    </row>
    <row r="62" spans="1:8" x14ac:dyDescent="0.2">
      <c r="A62" s="25"/>
      <c r="B62" s="25"/>
      <c r="C62" s="35"/>
      <c r="D62" s="25"/>
      <c r="E62" s="25"/>
      <c r="F62" s="36"/>
      <c r="G62" s="36"/>
      <c r="H62" s="27" t="str">
        <f>IFERROR(VLOOKUP(B62,#REF!,12,FALSE),"")</f>
        <v/>
      </c>
    </row>
    <row r="63" spans="1:8" x14ac:dyDescent="0.2">
      <c r="A63" s="25"/>
      <c r="B63" s="25"/>
      <c r="C63" s="26" t="s">
        <v>146</v>
      </c>
      <c r="D63" s="25"/>
      <c r="E63" s="25"/>
      <c r="F63" s="25"/>
      <c r="G63" s="25"/>
      <c r="H63" s="27" t="str">
        <f>IFERROR(VLOOKUP(B63,#REF!,12,FALSE),"")</f>
        <v/>
      </c>
    </row>
    <row r="64" spans="1:8" x14ac:dyDescent="0.2">
      <c r="A64" s="25"/>
      <c r="B64" s="25"/>
      <c r="C64" s="26" t="s">
        <v>141</v>
      </c>
      <c r="D64" s="25"/>
      <c r="E64" s="25" t="s">
        <v>142</v>
      </c>
      <c r="F64" s="37" t="s">
        <v>144</v>
      </c>
      <c r="G64" s="34">
        <v>0</v>
      </c>
      <c r="H64" s="27" t="str">
        <f>IFERROR(VLOOKUP(B64,#REF!,12,FALSE),"")</f>
        <v/>
      </c>
    </row>
    <row r="65" spans="1:8" x14ac:dyDescent="0.2">
      <c r="A65" s="25"/>
      <c r="B65" s="25"/>
      <c r="C65" s="35"/>
      <c r="D65" s="25"/>
      <c r="E65" s="25"/>
      <c r="F65" s="36"/>
      <c r="G65" s="36"/>
      <c r="H65" s="27" t="str">
        <f>IFERROR(VLOOKUP(B65,#REF!,12,FALSE),"")</f>
        <v/>
      </c>
    </row>
    <row r="66" spans="1:8" x14ac:dyDescent="0.2">
      <c r="A66" s="25"/>
      <c r="B66" s="25"/>
      <c r="C66" s="26" t="s">
        <v>147</v>
      </c>
      <c r="D66" s="25"/>
      <c r="E66" s="25"/>
      <c r="F66" s="36"/>
      <c r="G66" s="36"/>
      <c r="H66" s="27" t="str">
        <f>IFERROR(VLOOKUP(B66,#REF!,12,FALSE),"")</f>
        <v/>
      </c>
    </row>
    <row r="67" spans="1:8" x14ac:dyDescent="0.2">
      <c r="A67" s="25"/>
      <c r="B67" s="25"/>
      <c r="C67" s="26" t="s">
        <v>141</v>
      </c>
      <c r="D67" s="25"/>
      <c r="E67" s="25" t="s">
        <v>142</v>
      </c>
      <c r="F67" s="37" t="s">
        <v>144</v>
      </c>
      <c r="G67" s="34">
        <v>0</v>
      </c>
      <c r="H67" s="27" t="str">
        <f>IFERROR(VLOOKUP(B67,#REF!,12,FALSE),"")</f>
        <v/>
      </c>
    </row>
    <row r="68" spans="1:8" x14ac:dyDescent="0.2">
      <c r="A68" s="25"/>
      <c r="B68" s="25"/>
      <c r="C68" s="35"/>
      <c r="D68" s="25"/>
      <c r="E68" s="25"/>
      <c r="F68" s="36"/>
      <c r="G68" s="36"/>
      <c r="H68" s="27" t="str">
        <f>IFERROR(VLOOKUP(B68,#REF!,12,FALSE),"")</f>
        <v/>
      </c>
    </row>
    <row r="69" spans="1:8" x14ac:dyDescent="0.2">
      <c r="A69" s="25"/>
      <c r="B69" s="25"/>
      <c r="C69" s="26" t="s">
        <v>148</v>
      </c>
      <c r="D69" s="25"/>
      <c r="E69" s="25"/>
      <c r="F69" s="36"/>
      <c r="G69" s="36"/>
      <c r="H69" s="27" t="str">
        <f>IFERROR(VLOOKUP(B69,#REF!,12,FALSE),"")</f>
        <v/>
      </c>
    </row>
    <row r="70" spans="1:8" x14ac:dyDescent="0.2">
      <c r="A70" s="25"/>
      <c r="B70" s="25"/>
      <c r="C70" s="26" t="s">
        <v>141</v>
      </c>
      <c r="D70" s="25"/>
      <c r="E70" s="25" t="s">
        <v>142</v>
      </c>
      <c r="F70" s="37" t="s">
        <v>144</v>
      </c>
      <c r="G70" s="34">
        <v>0</v>
      </c>
      <c r="H70" s="27" t="str">
        <f>IFERROR(VLOOKUP(B70,#REF!,12,FALSE),"")</f>
        <v/>
      </c>
    </row>
    <row r="71" spans="1:8" x14ac:dyDescent="0.2">
      <c r="A71" s="25"/>
      <c r="B71" s="25"/>
      <c r="C71" s="35"/>
      <c r="D71" s="25"/>
      <c r="E71" s="25"/>
      <c r="F71" s="36"/>
      <c r="G71" s="36"/>
      <c r="H71" s="27" t="str">
        <f>IFERROR(VLOOKUP(B71,#REF!,12,FALSE),"")</f>
        <v/>
      </c>
    </row>
    <row r="72" spans="1:8" x14ac:dyDescent="0.2">
      <c r="A72" s="25"/>
      <c r="B72" s="25"/>
      <c r="C72" s="26" t="s">
        <v>149</v>
      </c>
      <c r="D72" s="25"/>
      <c r="E72" s="25"/>
      <c r="F72" s="33">
        <v>387490.27494344802</v>
      </c>
      <c r="G72" s="34">
        <v>0.93121863000000005</v>
      </c>
      <c r="H72" s="27" t="str">
        <f>IFERROR(VLOOKUP(B72,#REF!,12,FALSE),"")</f>
        <v/>
      </c>
    </row>
    <row r="73" spans="1:8" x14ac:dyDescent="0.2">
      <c r="A73" s="25"/>
      <c r="B73" s="25"/>
      <c r="C73" s="35"/>
      <c r="D73" s="25"/>
      <c r="E73" s="25"/>
      <c r="F73" s="36"/>
      <c r="G73" s="36"/>
      <c r="H73" s="27" t="str">
        <f>IFERROR(VLOOKUP(B73,#REF!,12,FALSE),"")</f>
        <v/>
      </c>
    </row>
    <row r="74" spans="1:8" x14ac:dyDescent="0.2">
      <c r="A74" s="25"/>
      <c r="B74" s="25"/>
      <c r="C74" s="26" t="s">
        <v>150</v>
      </c>
      <c r="D74" s="25"/>
      <c r="E74" s="25"/>
      <c r="F74" s="36"/>
      <c r="G74" s="36"/>
      <c r="H74" s="27" t="str">
        <f>IFERROR(VLOOKUP(B74,#REF!,12,FALSE),"")</f>
        <v/>
      </c>
    </row>
    <row r="75" spans="1:8" x14ac:dyDescent="0.2">
      <c r="A75" s="25"/>
      <c r="B75" s="25"/>
      <c r="C75" s="26" t="s">
        <v>10</v>
      </c>
      <c r="D75" s="25"/>
      <c r="E75" s="25"/>
      <c r="F75" s="36"/>
      <c r="G75" s="36"/>
      <c r="H75" s="27" t="str">
        <f>IFERROR(VLOOKUP(B75,#REF!,12,FALSE),"")</f>
        <v/>
      </c>
    </row>
    <row r="76" spans="1:8" x14ac:dyDescent="0.2">
      <c r="A76" s="25"/>
      <c r="B76" s="25"/>
      <c r="C76" s="26" t="s">
        <v>141</v>
      </c>
      <c r="D76" s="25"/>
      <c r="E76" s="25" t="s">
        <v>142</v>
      </c>
      <c r="F76" s="37" t="s">
        <v>144</v>
      </c>
      <c r="G76" s="34">
        <v>0</v>
      </c>
      <c r="H76" s="27" t="str">
        <f>IFERROR(VLOOKUP(B76,#REF!,12,FALSE),"")</f>
        <v/>
      </c>
    </row>
    <row r="77" spans="1:8" x14ac:dyDescent="0.2">
      <c r="A77" s="25"/>
      <c r="B77" s="25"/>
      <c r="C77" s="35"/>
      <c r="D77" s="25"/>
      <c r="E77" s="25"/>
      <c r="F77" s="36"/>
      <c r="G77" s="36"/>
      <c r="H77" s="27" t="str">
        <f>IFERROR(VLOOKUP(B77,#REF!,12,FALSE),"")</f>
        <v/>
      </c>
    </row>
    <row r="78" spans="1:8" x14ac:dyDescent="0.2">
      <c r="A78" s="25"/>
      <c r="B78" s="25"/>
      <c r="C78" s="26" t="s">
        <v>151</v>
      </c>
      <c r="D78" s="25"/>
      <c r="E78" s="25"/>
      <c r="F78" s="25"/>
      <c r="G78" s="25"/>
      <c r="H78" s="27" t="str">
        <f>IFERROR(VLOOKUP(B78,#REF!,12,FALSE),"")</f>
        <v/>
      </c>
    </row>
    <row r="79" spans="1:8" x14ac:dyDescent="0.2">
      <c r="A79" s="25"/>
      <c r="B79" s="25"/>
      <c r="C79" s="26" t="s">
        <v>141</v>
      </c>
      <c r="D79" s="25"/>
      <c r="E79" s="25" t="s">
        <v>142</v>
      </c>
      <c r="F79" s="37" t="s">
        <v>144</v>
      </c>
      <c r="G79" s="34">
        <v>0</v>
      </c>
      <c r="H79" s="27" t="str">
        <f>IFERROR(VLOOKUP(B79,#REF!,12,FALSE),"")</f>
        <v/>
      </c>
    </row>
    <row r="80" spans="1:8" x14ac:dyDescent="0.2">
      <c r="A80" s="25"/>
      <c r="B80" s="25"/>
      <c r="C80" s="35"/>
      <c r="D80" s="25"/>
      <c r="E80" s="25"/>
      <c r="F80" s="36"/>
      <c r="G80" s="36"/>
      <c r="H80" s="27" t="str">
        <f>IFERROR(VLOOKUP(B80,#REF!,12,FALSE),"")</f>
        <v/>
      </c>
    </row>
    <row r="81" spans="1:8" x14ac:dyDescent="0.2">
      <c r="A81" s="25"/>
      <c r="B81" s="25"/>
      <c r="C81" s="26" t="s">
        <v>152</v>
      </c>
      <c r="D81" s="25"/>
      <c r="E81" s="25"/>
      <c r="F81" s="25"/>
      <c r="G81" s="25"/>
      <c r="H81" s="27" t="str">
        <f>IFERROR(VLOOKUP(B81,#REF!,12,FALSE),"")</f>
        <v/>
      </c>
    </row>
    <row r="82" spans="1:8" x14ac:dyDescent="0.2">
      <c r="A82" s="25"/>
      <c r="B82" s="25"/>
      <c r="C82" s="26" t="s">
        <v>141</v>
      </c>
      <c r="D82" s="25"/>
      <c r="E82" s="25" t="s">
        <v>142</v>
      </c>
      <c r="F82" s="37" t="s">
        <v>144</v>
      </c>
      <c r="G82" s="34">
        <v>0</v>
      </c>
      <c r="H82" s="27" t="str">
        <f>IFERROR(VLOOKUP(B82,#REF!,12,FALSE),"")</f>
        <v/>
      </c>
    </row>
    <row r="83" spans="1:8" x14ac:dyDescent="0.2">
      <c r="A83" s="25"/>
      <c r="B83" s="25"/>
      <c r="C83" s="35"/>
      <c r="D83" s="25"/>
      <c r="E83" s="25"/>
      <c r="F83" s="36"/>
      <c r="G83" s="36"/>
      <c r="H83" s="27" t="str">
        <f>IFERROR(VLOOKUP(B83,#REF!,12,FALSE),"")</f>
        <v/>
      </c>
    </row>
    <row r="84" spans="1:8" x14ac:dyDescent="0.2">
      <c r="A84" s="25"/>
      <c r="B84" s="25"/>
      <c r="C84" s="26" t="s">
        <v>153</v>
      </c>
      <c r="D84" s="25"/>
      <c r="E84" s="25"/>
      <c r="F84" s="36"/>
      <c r="G84" s="36"/>
      <c r="H84" s="27" t="str">
        <f>IFERROR(VLOOKUP(B84,#REF!,12,FALSE),"")</f>
        <v/>
      </c>
    </row>
    <row r="85" spans="1:8" x14ac:dyDescent="0.2">
      <c r="A85" s="25"/>
      <c r="B85" s="25"/>
      <c r="C85" s="26" t="s">
        <v>141</v>
      </c>
      <c r="D85" s="25"/>
      <c r="E85" s="25" t="s">
        <v>142</v>
      </c>
      <c r="F85" s="37" t="s">
        <v>144</v>
      </c>
      <c r="G85" s="34">
        <v>0</v>
      </c>
      <c r="H85" s="27" t="str">
        <f>IFERROR(VLOOKUP(B85,#REF!,12,FALSE),"")</f>
        <v/>
      </c>
    </row>
    <row r="86" spans="1:8" x14ac:dyDescent="0.2">
      <c r="A86" s="25"/>
      <c r="B86" s="25"/>
      <c r="C86" s="35"/>
      <c r="D86" s="25"/>
      <c r="E86" s="25"/>
      <c r="F86" s="36"/>
      <c r="G86" s="36"/>
      <c r="H86" s="27" t="str">
        <f>IFERROR(VLOOKUP(B86,#REF!,12,FALSE),"")</f>
        <v/>
      </c>
    </row>
    <row r="87" spans="1:8" x14ac:dyDescent="0.2">
      <c r="A87" s="25"/>
      <c r="B87" s="25"/>
      <c r="C87" s="26" t="s">
        <v>154</v>
      </c>
      <c r="D87" s="25"/>
      <c r="E87" s="25"/>
      <c r="F87" s="33">
        <v>0</v>
      </c>
      <c r="G87" s="34">
        <v>0</v>
      </c>
      <c r="H87" s="27" t="str">
        <f>IFERROR(VLOOKUP(B87,#REF!,12,FALSE),"")</f>
        <v/>
      </c>
    </row>
    <row r="88" spans="1:8" x14ac:dyDescent="0.2">
      <c r="A88" s="25"/>
      <c r="B88" s="25"/>
      <c r="C88" s="35"/>
      <c r="D88" s="25"/>
      <c r="E88" s="25"/>
      <c r="F88" s="36"/>
      <c r="G88" s="36"/>
      <c r="H88" s="27" t="str">
        <f>IFERROR(VLOOKUP(B88,#REF!,12,FALSE),"")</f>
        <v/>
      </c>
    </row>
    <row r="89" spans="1:8" x14ac:dyDescent="0.2">
      <c r="A89" s="25"/>
      <c r="B89" s="25"/>
      <c r="C89" s="26" t="s">
        <v>155</v>
      </c>
      <c r="D89" s="25"/>
      <c r="E89" s="25"/>
      <c r="F89" s="36"/>
      <c r="G89" s="36"/>
      <c r="H89" s="27" t="str">
        <f>IFERROR(VLOOKUP(B89,#REF!,12,FALSE),"")</f>
        <v/>
      </c>
    </row>
    <row r="90" spans="1:8" x14ac:dyDescent="0.2">
      <c r="A90" s="25"/>
      <c r="B90" s="25"/>
      <c r="C90" s="26" t="s">
        <v>156</v>
      </c>
      <c r="D90" s="25"/>
      <c r="E90" s="25"/>
      <c r="F90" s="36"/>
      <c r="G90" s="36"/>
      <c r="H90" s="27" t="str">
        <f>IFERROR(VLOOKUP(B90,#REF!,12,FALSE),"")</f>
        <v/>
      </c>
    </row>
    <row r="91" spans="1:8" x14ac:dyDescent="0.2">
      <c r="A91" s="25"/>
      <c r="B91" s="25"/>
      <c r="C91" s="26" t="s">
        <v>141</v>
      </c>
      <c r="D91" s="25"/>
      <c r="E91" s="25" t="s">
        <v>142</v>
      </c>
      <c r="F91" s="37" t="s">
        <v>144</v>
      </c>
      <c r="G91" s="34">
        <v>0</v>
      </c>
      <c r="H91" s="27" t="str">
        <f>IFERROR(VLOOKUP(B91,#REF!,12,FALSE),"")</f>
        <v/>
      </c>
    </row>
    <row r="92" spans="1:8" x14ac:dyDescent="0.2">
      <c r="A92" s="25"/>
      <c r="B92" s="25"/>
      <c r="C92" s="35"/>
      <c r="D92" s="25"/>
      <c r="E92" s="25"/>
      <c r="F92" s="36"/>
      <c r="G92" s="36"/>
      <c r="H92" s="27" t="str">
        <f>IFERROR(VLOOKUP(B92,#REF!,12,FALSE),"")</f>
        <v/>
      </c>
    </row>
    <row r="93" spans="1:8" x14ac:dyDescent="0.2">
      <c r="A93" s="25"/>
      <c r="B93" s="25"/>
      <c r="C93" s="26" t="s">
        <v>157</v>
      </c>
      <c r="D93" s="25"/>
      <c r="E93" s="25"/>
      <c r="F93" s="36"/>
      <c r="G93" s="36"/>
      <c r="H93" s="27" t="str">
        <f>IFERROR(VLOOKUP(B93,#REF!,12,FALSE),"")</f>
        <v/>
      </c>
    </row>
    <row r="94" spans="1:8" x14ac:dyDescent="0.2">
      <c r="A94" s="25"/>
      <c r="B94" s="25"/>
      <c r="C94" s="26" t="s">
        <v>141</v>
      </c>
      <c r="D94" s="25"/>
      <c r="E94" s="25" t="s">
        <v>142</v>
      </c>
      <c r="F94" s="37" t="s">
        <v>144</v>
      </c>
      <c r="G94" s="34">
        <v>0</v>
      </c>
      <c r="H94" s="27" t="str">
        <f>IFERROR(VLOOKUP(B94,#REF!,12,FALSE),"")</f>
        <v/>
      </c>
    </row>
    <row r="95" spans="1:8" x14ac:dyDescent="0.2">
      <c r="A95" s="25"/>
      <c r="B95" s="25"/>
      <c r="C95" s="35"/>
      <c r="D95" s="25"/>
      <c r="E95" s="25"/>
      <c r="F95" s="36"/>
      <c r="G95" s="36"/>
      <c r="H95" s="27" t="str">
        <f>IFERROR(VLOOKUP(B95,#REF!,12,FALSE),"")</f>
        <v/>
      </c>
    </row>
    <row r="96" spans="1:8" x14ac:dyDescent="0.2">
      <c r="A96" s="25"/>
      <c r="B96" s="25"/>
      <c r="C96" s="26" t="s">
        <v>158</v>
      </c>
      <c r="D96" s="25"/>
      <c r="E96" s="25"/>
      <c r="F96" s="36"/>
      <c r="G96" s="36"/>
      <c r="H96" s="27" t="str">
        <f>IFERROR(VLOOKUP(B96,#REF!,12,FALSE),"")</f>
        <v/>
      </c>
    </row>
    <row r="97" spans="1:8" x14ac:dyDescent="0.2">
      <c r="A97" s="28">
        <v>1</v>
      </c>
      <c r="B97" s="29" t="s">
        <v>645</v>
      </c>
      <c r="C97" s="29" t="s">
        <v>1079</v>
      </c>
      <c r="D97" s="29" t="s">
        <v>601</v>
      </c>
      <c r="E97" s="30">
        <v>3000000</v>
      </c>
      <c r="F97" s="31">
        <v>2953.6950000000002</v>
      </c>
      <c r="G97" s="32">
        <v>7.0983399999999999E-3</v>
      </c>
      <c r="H97" s="27" t="str">
        <f>IFERROR(VLOOKUP(B97,#REF!,12,FALSE),"")</f>
        <v/>
      </c>
    </row>
    <row r="98" spans="1:8" x14ac:dyDescent="0.2">
      <c r="A98" s="25"/>
      <c r="B98" s="25"/>
      <c r="C98" s="26" t="s">
        <v>141</v>
      </c>
      <c r="D98" s="25"/>
      <c r="E98" s="25" t="s">
        <v>142</v>
      </c>
      <c r="F98" s="33">
        <v>2953.6950000000002</v>
      </c>
      <c r="G98" s="34">
        <v>7.0983399999999999E-3</v>
      </c>
      <c r="H98" s="27" t="str">
        <f>IFERROR(VLOOKUP(B98,#REF!,12,FALSE),"")</f>
        <v/>
      </c>
    </row>
    <row r="99" spans="1:8" x14ac:dyDescent="0.2">
      <c r="A99" s="25"/>
      <c r="B99" s="25"/>
      <c r="C99" s="35"/>
      <c r="D99" s="25"/>
      <c r="E99" s="25"/>
      <c r="F99" s="36"/>
      <c r="G99" s="36"/>
      <c r="H99" s="27" t="str">
        <f>IFERROR(VLOOKUP(B99,#REF!,12,FALSE),"")</f>
        <v/>
      </c>
    </row>
    <row r="100" spans="1:8" x14ac:dyDescent="0.2">
      <c r="A100" s="25"/>
      <c r="B100" s="25"/>
      <c r="C100" s="26" t="s">
        <v>159</v>
      </c>
      <c r="D100" s="25"/>
      <c r="E100" s="25"/>
      <c r="F100" s="36"/>
      <c r="G100" s="36"/>
      <c r="H100" s="27" t="str">
        <f>IFERROR(VLOOKUP(B100,#REF!,12,FALSE),"")</f>
        <v/>
      </c>
    </row>
    <row r="101" spans="1:8" x14ac:dyDescent="0.2">
      <c r="A101" s="28">
        <v>1</v>
      </c>
      <c r="B101" s="29"/>
      <c r="C101" s="29" t="s">
        <v>160</v>
      </c>
      <c r="D101" s="29"/>
      <c r="E101" s="39"/>
      <c r="F101" s="31">
        <v>23107.154135560999</v>
      </c>
      <c r="G101" s="32">
        <v>5.5531230000000001E-2</v>
      </c>
      <c r="H101" s="27">
        <v>5.76</v>
      </c>
    </row>
    <row r="102" spans="1:8" x14ac:dyDescent="0.2">
      <c r="A102" s="25"/>
      <c r="B102" s="25"/>
      <c r="C102" s="26" t="s">
        <v>141</v>
      </c>
      <c r="D102" s="25"/>
      <c r="E102" s="25" t="s">
        <v>142</v>
      </c>
      <c r="F102" s="33">
        <v>23107.154135560999</v>
      </c>
      <c r="G102" s="34">
        <v>5.5531230000000001E-2</v>
      </c>
      <c r="H102" s="27" t="str">
        <f>IFERROR(VLOOKUP(B102,#REF!,12,FALSE),"")</f>
        <v/>
      </c>
    </row>
    <row r="103" spans="1:8" x14ac:dyDescent="0.2">
      <c r="A103" s="25"/>
      <c r="B103" s="25"/>
      <c r="C103" s="35"/>
      <c r="D103" s="25"/>
      <c r="E103" s="25"/>
      <c r="F103" s="36"/>
      <c r="G103" s="36"/>
      <c r="H103" s="27" t="str">
        <f>IFERROR(VLOOKUP(B103,#REF!,12,FALSE),"")</f>
        <v/>
      </c>
    </row>
    <row r="104" spans="1:8" x14ac:dyDescent="0.2">
      <c r="A104" s="25"/>
      <c r="B104" s="25"/>
      <c r="C104" s="26" t="s">
        <v>161</v>
      </c>
      <c r="D104" s="25"/>
      <c r="E104" s="25"/>
      <c r="F104" s="33">
        <v>26060.849135560999</v>
      </c>
      <c r="G104" s="34">
        <v>6.2629569999999996E-2</v>
      </c>
      <c r="H104" s="27" t="str">
        <f>IFERROR(VLOOKUP(B104,#REF!,12,FALSE),"")</f>
        <v/>
      </c>
    </row>
    <row r="105" spans="1:8" x14ac:dyDescent="0.2">
      <c r="A105" s="25"/>
      <c r="B105" s="25"/>
      <c r="C105" s="36"/>
      <c r="D105" s="25"/>
      <c r="E105" s="25"/>
      <c r="F105" s="25"/>
      <c r="G105" s="25"/>
      <c r="H105" s="27" t="str">
        <f>IFERROR(VLOOKUP(B105,#REF!,12,FALSE),"")</f>
        <v/>
      </c>
    </row>
    <row r="106" spans="1:8" x14ac:dyDescent="0.2">
      <c r="A106" s="25"/>
      <c r="B106" s="25"/>
      <c r="C106" s="26" t="s">
        <v>162</v>
      </c>
      <c r="D106" s="25"/>
      <c r="E106" s="25"/>
      <c r="F106" s="25"/>
      <c r="G106" s="25"/>
      <c r="H106" s="27" t="str">
        <f>IFERROR(VLOOKUP(B106,#REF!,12,FALSE),"")</f>
        <v/>
      </c>
    </row>
    <row r="107" spans="1:8" x14ac:dyDescent="0.2">
      <c r="A107" s="25"/>
      <c r="B107" s="25"/>
      <c r="C107" s="26" t="s">
        <v>163</v>
      </c>
      <c r="D107" s="25"/>
      <c r="E107" s="25"/>
      <c r="F107" s="25"/>
      <c r="G107" s="25"/>
      <c r="H107" s="27" t="str">
        <f>IFERROR(VLOOKUP(B107,#REF!,12,FALSE),"")</f>
        <v/>
      </c>
    </row>
    <row r="108" spans="1:8" ht="25.5" x14ac:dyDescent="0.2">
      <c r="A108" s="28">
        <v>1</v>
      </c>
      <c r="B108" s="29" t="s">
        <v>492</v>
      </c>
      <c r="C108" s="29" t="s">
        <v>1075</v>
      </c>
      <c r="D108" s="29"/>
      <c r="E108" s="69">
        <v>13395446.6942</v>
      </c>
      <c r="F108" s="31">
        <v>2013.884851453</v>
      </c>
      <c r="G108" s="32">
        <v>4.8397800000000001E-3</v>
      </c>
      <c r="H108" s="27" t="str">
        <f>IFERROR(VLOOKUP(B108,#REF!,12,FALSE),"")</f>
        <v/>
      </c>
    </row>
    <row r="109" spans="1:8" x14ac:dyDescent="0.2">
      <c r="A109" s="25"/>
      <c r="B109" s="25"/>
      <c r="C109" s="26" t="s">
        <v>141</v>
      </c>
      <c r="D109" s="25"/>
      <c r="E109" s="25" t="s">
        <v>142</v>
      </c>
      <c r="F109" s="33">
        <v>2013.884851453</v>
      </c>
      <c r="G109" s="34">
        <v>4.8397800000000001E-3</v>
      </c>
      <c r="H109" s="27" t="str">
        <f>IFERROR(VLOOKUP(B109,#REF!,12,FALSE),"")</f>
        <v/>
      </c>
    </row>
    <row r="110" spans="1:8" x14ac:dyDescent="0.2">
      <c r="A110" s="25"/>
      <c r="B110" s="25"/>
      <c r="C110" s="35"/>
      <c r="D110" s="25"/>
      <c r="E110" s="25"/>
      <c r="F110" s="36"/>
      <c r="G110" s="36"/>
      <c r="H110" s="27" t="str">
        <f>IFERROR(VLOOKUP(B110,#REF!,12,FALSE),"")</f>
        <v/>
      </c>
    </row>
    <row r="111" spans="1:8" x14ac:dyDescent="0.2">
      <c r="A111" s="25"/>
      <c r="B111" s="25"/>
      <c r="C111" s="26" t="s">
        <v>164</v>
      </c>
      <c r="D111" s="25"/>
      <c r="E111" s="25"/>
      <c r="F111" s="25"/>
      <c r="G111" s="25"/>
      <c r="H111" s="27" t="str">
        <f>IFERROR(VLOOKUP(B111,#REF!,12,FALSE),"")</f>
        <v/>
      </c>
    </row>
    <row r="112" spans="1:8" x14ac:dyDescent="0.2">
      <c r="A112" s="25"/>
      <c r="B112" s="25"/>
      <c r="C112" s="26" t="s">
        <v>165</v>
      </c>
      <c r="D112" s="25"/>
      <c r="E112" s="25"/>
      <c r="F112" s="25"/>
      <c r="G112" s="25"/>
      <c r="H112" s="27" t="str">
        <f>IFERROR(VLOOKUP(B112,#REF!,12,FALSE),"")</f>
        <v/>
      </c>
    </row>
    <row r="113" spans="1:17" x14ac:dyDescent="0.2">
      <c r="A113" s="25"/>
      <c r="B113" s="25"/>
      <c r="C113" s="26" t="s">
        <v>141</v>
      </c>
      <c r="D113" s="25"/>
      <c r="E113" s="25" t="s">
        <v>142</v>
      </c>
      <c r="F113" s="37" t="s">
        <v>144</v>
      </c>
      <c r="G113" s="34">
        <v>0</v>
      </c>
      <c r="H113" s="27" t="str">
        <f>IFERROR(VLOOKUP(B113,#REF!,12,FALSE),"")</f>
        <v/>
      </c>
    </row>
    <row r="114" spans="1:17" x14ac:dyDescent="0.2">
      <c r="A114" s="25"/>
      <c r="B114" s="25"/>
      <c r="C114" s="35"/>
      <c r="D114" s="25"/>
      <c r="E114" s="25"/>
      <c r="F114" s="36"/>
      <c r="G114" s="36"/>
      <c r="H114" s="27" t="str">
        <f>IFERROR(VLOOKUP(B114,#REF!,12,FALSE),"")</f>
        <v/>
      </c>
    </row>
    <row r="115" spans="1:17" x14ac:dyDescent="0.2">
      <c r="A115" s="25"/>
      <c r="B115" s="25"/>
      <c r="C115" s="26" t="s">
        <v>166</v>
      </c>
      <c r="D115" s="25"/>
      <c r="E115" s="25"/>
      <c r="F115" s="36"/>
      <c r="G115" s="36"/>
      <c r="H115" s="27" t="str">
        <f>IFERROR(VLOOKUP(B115,#REF!,12,FALSE),"")</f>
        <v/>
      </c>
    </row>
    <row r="116" spans="1:17" x14ac:dyDescent="0.2">
      <c r="A116" s="25"/>
      <c r="B116" s="25"/>
      <c r="C116" s="26" t="s">
        <v>141</v>
      </c>
      <c r="D116" s="25"/>
      <c r="E116" s="25" t="s">
        <v>142</v>
      </c>
      <c r="F116" s="37" t="s">
        <v>144</v>
      </c>
      <c r="G116" s="34">
        <v>0</v>
      </c>
      <c r="H116" s="27" t="str">
        <f>IFERROR(VLOOKUP(B116,#REF!,12,FALSE),"")</f>
        <v/>
      </c>
    </row>
    <row r="117" spans="1:17" x14ac:dyDescent="0.2">
      <c r="A117" s="25"/>
      <c r="B117" s="25"/>
      <c r="C117" s="35"/>
      <c r="D117" s="25"/>
      <c r="E117" s="25"/>
      <c r="F117" s="36"/>
      <c r="G117" s="36"/>
      <c r="H117" s="27" t="str">
        <f>IFERROR(VLOOKUP(B117,#REF!,12,FALSE),"")</f>
        <v/>
      </c>
    </row>
    <row r="118" spans="1:17" x14ac:dyDescent="0.2">
      <c r="A118" s="39"/>
      <c r="B118" s="29"/>
      <c r="C118" s="29" t="s">
        <v>1092</v>
      </c>
      <c r="D118" s="29"/>
      <c r="E118" s="39"/>
      <c r="F118" s="31">
        <v>545.96116981</v>
      </c>
      <c r="G118" s="32">
        <v>1.3120600000000001E-3</v>
      </c>
      <c r="H118" s="27" t="str">
        <f>IFERROR(VLOOKUP(B118,#REF!,12,FALSE),"")</f>
        <v/>
      </c>
    </row>
    <row r="119" spans="1:17" x14ac:dyDescent="0.2">
      <c r="A119" s="35"/>
      <c r="B119" s="35"/>
      <c r="C119" s="26" t="s">
        <v>168</v>
      </c>
      <c r="D119" s="36"/>
      <c r="E119" s="36"/>
      <c r="F119" s="33">
        <v>416110.97010027198</v>
      </c>
      <c r="G119" s="40">
        <v>1.00000004</v>
      </c>
      <c r="H119" s="27" t="str">
        <f>IFERROR(VLOOKUP(B119,#REF!,12,FALSE),"")</f>
        <v/>
      </c>
    </row>
    <row r="120" spans="1:17" x14ac:dyDescent="0.2">
      <c r="A120" s="41"/>
      <c r="B120" s="41"/>
      <c r="C120" s="41"/>
      <c r="D120" s="42"/>
      <c r="E120" s="42"/>
      <c r="F120" s="42"/>
      <c r="G120" s="42"/>
    </row>
    <row r="121" spans="1:17" x14ac:dyDescent="0.2">
      <c r="A121" s="43"/>
      <c r="B121" s="210" t="s">
        <v>879</v>
      </c>
      <c r="C121" s="210"/>
      <c r="D121" s="210"/>
      <c r="E121" s="210"/>
      <c r="F121" s="210"/>
      <c r="G121" s="210"/>
      <c r="H121" s="210"/>
      <c r="J121" s="45"/>
    </row>
    <row r="122" spans="1:17" x14ac:dyDescent="0.2">
      <c r="A122" s="43"/>
      <c r="B122" s="210" t="s">
        <v>880</v>
      </c>
      <c r="C122" s="210"/>
      <c r="D122" s="210"/>
      <c r="E122" s="210"/>
      <c r="F122" s="210"/>
      <c r="G122" s="210"/>
      <c r="H122" s="210"/>
      <c r="J122" s="45"/>
    </row>
    <row r="123" spans="1:17" x14ac:dyDescent="0.2">
      <c r="A123" s="43"/>
      <c r="B123" s="210" t="s">
        <v>881</v>
      </c>
      <c r="C123" s="210"/>
      <c r="D123" s="210"/>
      <c r="E123" s="210"/>
      <c r="F123" s="210"/>
      <c r="G123" s="210"/>
      <c r="H123" s="210"/>
      <c r="J123" s="45"/>
    </row>
    <row r="124" spans="1:17" s="47" customFormat="1" ht="66.75" customHeight="1" x14ac:dyDescent="0.25">
      <c r="A124" s="46"/>
      <c r="B124" s="211" t="s">
        <v>882</v>
      </c>
      <c r="C124" s="211"/>
      <c r="D124" s="211"/>
      <c r="E124" s="211"/>
      <c r="F124" s="211"/>
      <c r="G124" s="211"/>
      <c r="H124" s="211"/>
      <c r="I124"/>
      <c r="J124" s="45"/>
      <c r="K124"/>
      <c r="L124"/>
      <c r="M124"/>
      <c r="N124"/>
      <c r="O124"/>
      <c r="P124"/>
      <c r="Q124"/>
    </row>
    <row r="125" spans="1:17" x14ac:dyDescent="0.2">
      <c r="A125" s="43"/>
      <c r="B125" s="210" t="s">
        <v>883</v>
      </c>
      <c r="C125" s="210"/>
      <c r="D125" s="210"/>
      <c r="E125" s="210"/>
      <c r="F125" s="210"/>
      <c r="G125" s="210"/>
      <c r="H125" s="210"/>
      <c r="J125" s="45"/>
    </row>
    <row r="126" spans="1:17" x14ac:dyDescent="0.2">
      <c r="A126" s="48"/>
      <c r="B126" s="48"/>
      <c r="C126" s="48"/>
      <c r="D126" s="49"/>
      <c r="E126" s="49"/>
      <c r="F126" s="49"/>
      <c r="G126" s="49"/>
    </row>
    <row r="127" spans="1:17" x14ac:dyDescent="0.2">
      <c r="A127" s="48"/>
      <c r="B127" s="212" t="s">
        <v>169</v>
      </c>
      <c r="C127" s="213"/>
      <c r="D127" s="214"/>
      <c r="E127" s="50"/>
      <c r="F127" s="49"/>
      <c r="G127" s="49"/>
    </row>
    <row r="128" spans="1:17" ht="27.75" customHeight="1" x14ac:dyDescent="0.2">
      <c r="A128" s="48"/>
      <c r="B128" s="215" t="s">
        <v>170</v>
      </c>
      <c r="C128" s="216"/>
      <c r="D128" s="26" t="s">
        <v>171</v>
      </c>
      <c r="E128" s="50"/>
      <c r="F128" s="49"/>
      <c r="G128" s="49"/>
    </row>
    <row r="129" spans="1:10" ht="12.75" customHeight="1" x14ac:dyDescent="0.2">
      <c r="A129" s="43"/>
      <c r="B129" s="217" t="s">
        <v>884</v>
      </c>
      <c r="C129" s="218"/>
      <c r="D129" s="26" t="s">
        <v>171</v>
      </c>
      <c r="E129" s="52"/>
      <c r="F129" s="53"/>
      <c r="G129" s="53"/>
    </row>
    <row r="130" spans="1:10" x14ac:dyDescent="0.2">
      <c r="A130" s="48"/>
      <c r="B130" s="215" t="s">
        <v>172</v>
      </c>
      <c r="C130" s="216"/>
      <c r="D130" s="36" t="s">
        <v>142</v>
      </c>
      <c r="E130" s="50"/>
      <c r="F130" s="49"/>
      <c r="G130" s="49"/>
    </row>
    <row r="131" spans="1:10" x14ac:dyDescent="0.2">
      <c r="A131" s="54"/>
      <c r="B131" s="55" t="s">
        <v>142</v>
      </c>
      <c r="C131" s="55" t="s">
        <v>885</v>
      </c>
      <c r="D131" s="55" t="s">
        <v>173</v>
      </c>
      <c r="E131" s="54"/>
      <c r="F131" s="54"/>
      <c r="G131" s="54"/>
      <c r="H131" s="54"/>
      <c r="J131" s="45"/>
    </row>
    <row r="132" spans="1:10" x14ac:dyDescent="0.2">
      <c r="A132" s="54"/>
      <c r="B132" s="56" t="s">
        <v>174</v>
      </c>
      <c r="C132" s="57">
        <v>45777</v>
      </c>
      <c r="D132" s="57">
        <v>45808</v>
      </c>
      <c r="E132" s="54"/>
      <c r="F132" s="54"/>
      <c r="G132" s="54"/>
      <c r="H132" s="45"/>
      <c r="J132" s="45"/>
    </row>
    <row r="133" spans="1:10" x14ac:dyDescent="0.2">
      <c r="A133" s="58"/>
      <c r="B133" s="29" t="s">
        <v>175</v>
      </c>
      <c r="C133" s="59">
        <v>35.6068</v>
      </c>
      <c r="D133" s="59">
        <v>36.930700000000002</v>
      </c>
      <c r="E133" s="58"/>
      <c r="F133" s="60"/>
      <c r="G133" s="61"/>
    </row>
    <row r="134" spans="1:10" x14ac:dyDescent="0.2">
      <c r="A134" s="58"/>
      <c r="B134" s="29" t="s">
        <v>1065</v>
      </c>
      <c r="C134" s="59">
        <v>24.438700000000001</v>
      </c>
      <c r="D134" s="59">
        <v>25.347300000000001</v>
      </c>
      <c r="E134" s="58"/>
      <c r="F134" s="60"/>
      <c r="G134" s="61"/>
    </row>
    <row r="135" spans="1:10" x14ac:dyDescent="0.2">
      <c r="A135" s="58"/>
      <c r="B135" s="29" t="s">
        <v>177</v>
      </c>
      <c r="C135" s="59">
        <v>32.976900000000001</v>
      </c>
      <c r="D135" s="59">
        <v>34.169899999999998</v>
      </c>
      <c r="E135" s="58"/>
      <c r="F135" s="60"/>
      <c r="G135" s="61"/>
    </row>
    <row r="136" spans="1:10" x14ac:dyDescent="0.2">
      <c r="A136" s="58"/>
      <c r="B136" s="29" t="s">
        <v>1066</v>
      </c>
      <c r="C136" s="59">
        <v>22.609000000000002</v>
      </c>
      <c r="D136" s="59">
        <v>23.4269</v>
      </c>
      <c r="E136" s="58"/>
      <c r="F136" s="60"/>
      <c r="G136" s="61"/>
    </row>
    <row r="137" spans="1:10" x14ac:dyDescent="0.2">
      <c r="A137" s="58"/>
      <c r="B137" s="58"/>
      <c r="C137" s="58"/>
      <c r="D137" s="58"/>
      <c r="E137" s="58"/>
      <c r="F137" s="58"/>
      <c r="G137" s="58"/>
    </row>
    <row r="138" spans="1:10" x14ac:dyDescent="0.2">
      <c r="A138" s="54"/>
      <c r="B138" s="217" t="s">
        <v>887</v>
      </c>
      <c r="C138" s="218"/>
      <c r="D138" s="51" t="s">
        <v>171</v>
      </c>
      <c r="E138" s="54"/>
      <c r="F138" s="54"/>
      <c r="G138" s="54"/>
    </row>
    <row r="139" spans="1:10" x14ac:dyDescent="0.2">
      <c r="A139" s="54"/>
      <c r="B139" s="70"/>
      <c r="C139" s="70"/>
      <c r="D139" s="70"/>
      <c r="E139" s="54"/>
      <c r="F139" s="54"/>
      <c r="G139" s="54"/>
    </row>
    <row r="140" spans="1:10" ht="29.1" customHeight="1" x14ac:dyDescent="0.2">
      <c r="A140" s="54"/>
      <c r="B140" s="217" t="s">
        <v>180</v>
      </c>
      <c r="C140" s="218"/>
      <c r="D140" s="51" t="s">
        <v>171</v>
      </c>
      <c r="E140" s="54"/>
      <c r="F140" s="54"/>
      <c r="G140" s="54"/>
      <c r="H140" s="54"/>
    </row>
    <row r="141" spans="1:10" ht="29.1" customHeight="1" x14ac:dyDescent="0.2">
      <c r="A141" s="54"/>
      <c r="B141" s="217" t="s">
        <v>181</v>
      </c>
      <c r="C141" s="218"/>
      <c r="D141" s="146" t="str">
        <f>"Rs. "&amp;TEXT(F58,"0.00")&amp;" Lacs"</f>
        <v>Rs. 3286.25 Lacs</v>
      </c>
      <c r="E141" s="65"/>
      <c r="F141" s="54"/>
      <c r="G141" s="54"/>
      <c r="H141" s="54"/>
    </row>
    <row r="142" spans="1:10" ht="17.100000000000001" customHeight="1" x14ac:dyDescent="0.2">
      <c r="A142" s="54"/>
      <c r="B142" s="217" t="s">
        <v>182</v>
      </c>
      <c r="C142" s="218"/>
      <c r="D142" s="51" t="s">
        <v>171</v>
      </c>
      <c r="E142" s="65"/>
      <c r="F142" s="54"/>
      <c r="G142" s="54"/>
      <c r="H142" s="54"/>
    </row>
    <row r="143" spans="1:10" ht="17.100000000000001" customHeight="1" x14ac:dyDescent="0.2">
      <c r="A143" s="54"/>
      <c r="B143" s="217" t="s">
        <v>183</v>
      </c>
      <c r="C143" s="218"/>
      <c r="D143" s="66">
        <v>1.0099418522241179</v>
      </c>
      <c r="E143" s="54"/>
      <c r="F143" s="44"/>
      <c r="G143" s="64"/>
      <c r="H143" s="64"/>
    </row>
    <row r="145" spans="2:4" x14ac:dyDescent="0.2">
      <c r="B145" s="219" t="s">
        <v>888</v>
      </c>
      <c r="C145" s="219"/>
    </row>
    <row r="147" spans="2:4" ht="153.75" customHeight="1" x14ac:dyDescent="0.2"/>
    <row r="150" spans="2:4" x14ac:dyDescent="0.2">
      <c r="B150" s="67" t="s">
        <v>889</v>
      </c>
      <c r="C150" s="68"/>
      <c r="D150" s="67" t="s">
        <v>892</v>
      </c>
    </row>
    <row r="151" spans="2:4" x14ac:dyDescent="0.2">
      <c r="B151" s="67" t="s">
        <v>1052</v>
      </c>
      <c r="D151" s="67" t="s">
        <v>1053</v>
      </c>
    </row>
    <row r="152" spans="2:4" x14ac:dyDescent="0.2">
      <c r="B152" s="77"/>
    </row>
    <row r="153" spans="2:4" ht="165" customHeight="1" x14ac:dyDescent="0.2"/>
  </sheetData>
  <mergeCells count="18">
    <mergeCell ref="B129:C129"/>
    <mergeCell ref="B130:C130"/>
    <mergeCell ref="B145:C145"/>
    <mergeCell ref="B138:C138"/>
    <mergeCell ref="B142:C142"/>
    <mergeCell ref="B143:C143"/>
    <mergeCell ref="B140:C140"/>
    <mergeCell ref="B141:C141"/>
    <mergeCell ref="B123:H123"/>
    <mergeCell ref="B124:H124"/>
    <mergeCell ref="B125:H125"/>
    <mergeCell ref="B127:D127"/>
    <mergeCell ref="B128:C128"/>
    <mergeCell ref="A1:H1"/>
    <mergeCell ref="A2:H2"/>
    <mergeCell ref="A3:H3"/>
    <mergeCell ref="B121:H121"/>
    <mergeCell ref="B122:H122"/>
  </mergeCells>
  <hyperlinks>
    <hyperlink ref="I1" location="Index!B2" display="Index" xr:uid="{9DF06A1B-AA82-495D-9C95-24694180489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70E5-1870-4E62-92CC-672122A53684}">
  <sheetPr>
    <outlinePr summaryBelow="0" summaryRight="0"/>
  </sheetPr>
  <dimension ref="A1:Q166"/>
  <sheetViews>
    <sheetView showGridLines="0" workbookViewId="0">
      <selection activeCell="D141" sqref="D14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805</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724000</v>
      </c>
      <c r="F7" s="31">
        <v>14081.075999999999</v>
      </c>
      <c r="G7" s="32">
        <v>9.4661209999999996E-2</v>
      </c>
      <c r="H7" s="27" t="s">
        <v>142</v>
      </c>
    </row>
    <row r="8" spans="1:9" x14ac:dyDescent="0.2">
      <c r="A8" s="28">
        <v>2</v>
      </c>
      <c r="B8" s="29" t="s">
        <v>26</v>
      </c>
      <c r="C8" s="29" t="s">
        <v>27</v>
      </c>
      <c r="D8" s="29" t="s">
        <v>28</v>
      </c>
      <c r="E8" s="30">
        <v>883000</v>
      </c>
      <c r="F8" s="31">
        <v>12766.414000000001</v>
      </c>
      <c r="G8" s="32">
        <v>8.5823289999999997E-2</v>
      </c>
      <c r="H8" s="27" t="s">
        <v>142</v>
      </c>
    </row>
    <row r="9" spans="1:9" x14ac:dyDescent="0.2">
      <c r="A9" s="28">
        <v>3</v>
      </c>
      <c r="B9" s="29" t="s">
        <v>14</v>
      </c>
      <c r="C9" s="29" t="s">
        <v>15</v>
      </c>
      <c r="D9" s="29" t="s">
        <v>16</v>
      </c>
      <c r="E9" s="30">
        <v>504000</v>
      </c>
      <c r="F9" s="31">
        <v>7161.3360000000002</v>
      </c>
      <c r="G9" s="32">
        <v>4.814268E-2</v>
      </c>
      <c r="H9" s="27" t="s">
        <v>142</v>
      </c>
    </row>
    <row r="10" spans="1:9" x14ac:dyDescent="0.2">
      <c r="A10" s="28">
        <v>4</v>
      </c>
      <c r="B10" s="29" t="s">
        <v>17</v>
      </c>
      <c r="C10" s="29" t="s">
        <v>18</v>
      </c>
      <c r="D10" s="29" t="s">
        <v>19</v>
      </c>
      <c r="E10" s="30">
        <v>138000</v>
      </c>
      <c r="F10" s="31">
        <v>5071.6379999999999</v>
      </c>
      <c r="G10" s="32">
        <v>3.4094510000000001E-2</v>
      </c>
      <c r="H10" s="27" t="s">
        <v>142</v>
      </c>
    </row>
    <row r="11" spans="1:9" x14ac:dyDescent="0.2">
      <c r="A11" s="28">
        <v>5</v>
      </c>
      <c r="B11" s="29" t="s">
        <v>319</v>
      </c>
      <c r="C11" s="29" t="s">
        <v>320</v>
      </c>
      <c r="D11" s="29" t="s">
        <v>28</v>
      </c>
      <c r="E11" s="30">
        <v>419000</v>
      </c>
      <c r="F11" s="31">
        <v>4995.3180000000002</v>
      </c>
      <c r="G11" s="32">
        <v>3.3581439999999997E-2</v>
      </c>
      <c r="H11" s="27" t="s">
        <v>142</v>
      </c>
    </row>
    <row r="12" spans="1:9" x14ac:dyDescent="0.2">
      <c r="A12" s="28">
        <v>6</v>
      </c>
      <c r="B12" s="29" t="s">
        <v>46</v>
      </c>
      <c r="C12" s="29" t="s">
        <v>47</v>
      </c>
      <c r="D12" s="29" t="s">
        <v>28</v>
      </c>
      <c r="E12" s="30">
        <v>595000</v>
      </c>
      <c r="F12" s="31">
        <v>4833.1850000000004</v>
      </c>
      <c r="G12" s="32">
        <v>3.2491489999999998E-2</v>
      </c>
      <c r="H12" s="27" t="s">
        <v>142</v>
      </c>
    </row>
    <row r="13" spans="1:9" x14ac:dyDescent="0.2">
      <c r="A13" s="28">
        <v>7</v>
      </c>
      <c r="B13" s="29" t="s">
        <v>323</v>
      </c>
      <c r="C13" s="29" t="s">
        <v>324</v>
      </c>
      <c r="D13" s="29" t="s">
        <v>200</v>
      </c>
      <c r="E13" s="30">
        <v>306000</v>
      </c>
      <c r="F13" s="31">
        <v>4781.8620000000001</v>
      </c>
      <c r="G13" s="32">
        <v>3.2146470000000003E-2</v>
      </c>
      <c r="H13" s="27" t="s">
        <v>142</v>
      </c>
    </row>
    <row r="14" spans="1:9" x14ac:dyDescent="0.2">
      <c r="A14" s="28">
        <v>8</v>
      </c>
      <c r="B14" s="29" t="s">
        <v>11</v>
      </c>
      <c r="C14" s="29" t="s">
        <v>12</v>
      </c>
      <c r="D14" s="29" t="s">
        <v>13</v>
      </c>
      <c r="E14" s="30">
        <v>256000</v>
      </c>
      <c r="F14" s="31">
        <v>4751.8720000000003</v>
      </c>
      <c r="G14" s="32">
        <v>3.1944859999999999E-2</v>
      </c>
      <c r="H14" s="27" t="s">
        <v>142</v>
      </c>
    </row>
    <row r="15" spans="1:9" x14ac:dyDescent="0.2">
      <c r="A15" s="28">
        <v>9</v>
      </c>
      <c r="B15" s="29" t="s">
        <v>343</v>
      </c>
      <c r="C15" s="29" t="s">
        <v>344</v>
      </c>
      <c r="D15" s="29" t="s">
        <v>345</v>
      </c>
      <c r="E15" s="30">
        <v>1046000</v>
      </c>
      <c r="F15" s="31">
        <v>4372.8029999999999</v>
      </c>
      <c r="G15" s="32">
        <v>2.9396539999999999E-2</v>
      </c>
      <c r="H15" s="27" t="s">
        <v>142</v>
      </c>
    </row>
    <row r="16" spans="1:9" ht="25.5" x14ac:dyDescent="0.2">
      <c r="A16" s="28">
        <v>10</v>
      </c>
      <c r="B16" s="29" t="s">
        <v>23</v>
      </c>
      <c r="C16" s="29" t="s">
        <v>24</v>
      </c>
      <c r="D16" s="29" t="s">
        <v>25</v>
      </c>
      <c r="E16" s="30">
        <v>32000</v>
      </c>
      <c r="F16" s="31">
        <v>3587.2</v>
      </c>
      <c r="G16" s="32">
        <v>2.4115250000000001E-2</v>
      </c>
      <c r="H16" s="27" t="s">
        <v>142</v>
      </c>
    </row>
    <row r="17" spans="1:8" x14ac:dyDescent="0.2">
      <c r="A17" s="28">
        <v>11</v>
      </c>
      <c r="B17" s="29" t="s">
        <v>434</v>
      </c>
      <c r="C17" s="29" t="s">
        <v>435</v>
      </c>
      <c r="D17" s="29" t="s">
        <v>345</v>
      </c>
      <c r="E17" s="30">
        <v>137000</v>
      </c>
      <c r="F17" s="31">
        <v>3217.1709999999998</v>
      </c>
      <c r="G17" s="32">
        <v>2.16277E-2</v>
      </c>
      <c r="H17" s="27" t="s">
        <v>142</v>
      </c>
    </row>
    <row r="18" spans="1:8" x14ac:dyDescent="0.2">
      <c r="A18" s="28">
        <v>12</v>
      </c>
      <c r="B18" s="29" t="s">
        <v>498</v>
      </c>
      <c r="C18" s="29" t="s">
        <v>499</v>
      </c>
      <c r="D18" s="29" t="s">
        <v>254</v>
      </c>
      <c r="E18" s="30">
        <v>24000</v>
      </c>
      <c r="F18" s="31">
        <v>2956.56</v>
      </c>
      <c r="G18" s="32">
        <v>1.9875719999999999E-2</v>
      </c>
      <c r="H18" s="27" t="s">
        <v>142</v>
      </c>
    </row>
    <row r="19" spans="1:8" x14ac:dyDescent="0.2">
      <c r="A19" s="28">
        <v>13</v>
      </c>
      <c r="B19" s="29" t="s">
        <v>358</v>
      </c>
      <c r="C19" s="29" t="s">
        <v>359</v>
      </c>
      <c r="D19" s="29" t="s">
        <v>200</v>
      </c>
      <c r="E19" s="30">
        <v>74734</v>
      </c>
      <c r="F19" s="31">
        <v>2588.337356</v>
      </c>
      <c r="G19" s="32">
        <v>1.740032E-2</v>
      </c>
      <c r="H19" s="27" t="s">
        <v>142</v>
      </c>
    </row>
    <row r="20" spans="1:8" ht="25.5" x14ac:dyDescent="0.2">
      <c r="A20" s="28">
        <v>14</v>
      </c>
      <c r="B20" s="29" t="s">
        <v>331</v>
      </c>
      <c r="C20" s="29" t="s">
        <v>332</v>
      </c>
      <c r="D20" s="29" t="s">
        <v>194</v>
      </c>
      <c r="E20" s="30">
        <v>150000</v>
      </c>
      <c r="F20" s="31">
        <v>2516.4</v>
      </c>
      <c r="G20" s="32">
        <v>1.6916710000000001E-2</v>
      </c>
      <c r="H20" s="27" t="s">
        <v>142</v>
      </c>
    </row>
    <row r="21" spans="1:8" x14ac:dyDescent="0.2">
      <c r="A21" s="28">
        <v>15</v>
      </c>
      <c r="B21" s="29" t="s">
        <v>680</v>
      </c>
      <c r="C21" s="29" t="s">
        <v>681</v>
      </c>
      <c r="D21" s="29" t="s">
        <v>254</v>
      </c>
      <c r="E21" s="30">
        <v>19735</v>
      </c>
      <c r="F21" s="31">
        <v>2496.3788249999998</v>
      </c>
      <c r="G21" s="32">
        <v>1.6782120000000001E-2</v>
      </c>
      <c r="H21" s="27" t="s">
        <v>142</v>
      </c>
    </row>
    <row r="22" spans="1:8" x14ac:dyDescent="0.2">
      <c r="A22" s="28">
        <v>16</v>
      </c>
      <c r="B22" s="29" t="s">
        <v>321</v>
      </c>
      <c r="C22" s="29" t="s">
        <v>322</v>
      </c>
      <c r="D22" s="29" t="s">
        <v>28</v>
      </c>
      <c r="E22" s="30">
        <v>116000</v>
      </c>
      <c r="F22" s="31">
        <v>2406.652</v>
      </c>
      <c r="G22" s="32">
        <v>1.6178919999999999E-2</v>
      </c>
      <c r="H22" s="27" t="s">
        <v>142</v>
      </c>
    </row>
    <row r="23" spans="1:8" ht="25.5" x14ac:dyDescent="0.2">
      <c r="A23" s="28">
        <v>17</v>
      </c>
      <c r="B23" s="29" t="s">
        <v>341</v>
      </c>
      <c r="C23" s="29" t="s">
        <v>342</v>
      </c>
      <c r="D23" s="29" t="s">
        <v>132</v>
      </c>
      <c r="E23" s="30">
        <v>149000</v>
      </c>
      <c r="F23" s="31">
        <v>2385.4899999999998</v>
      </c>
      <c r="G23" s="32">
        <v>1.6036660000000001E-2</v>
      </c>
      <c r="H23" s="27" t="s">
        <v>142</v>
      </c>
    </row>
    <row r="24" spans="1:8" x14ac:dyDescent="0.2">
      <c r="A24" s="28">
        <v>18</v>
      </c>
      <c r="B24" s="29" t="s">
        <v>686</v>
      </c>
      <c r="C24" s="29" t="s">
        <v>687</v>
      </c>
      <c r="D24" s="29" t="s">
        <v>212</v>
      </c>
      <c r="E24" s="30">
        <v>34000</v>
      </c>
      <c r="F24" s="31">
        <v>2291.6</v>
      </c>
      <c r="G24" s="32">
        <v>1.5405469999999999E-2</v>
      </c>
      <c r="H24" s="27" t="s">
        <v>142</v>
      </c>
    </row>
    <row r="25" spans="1:8" ht="25.5" x14ac:dyDescent="0.2">
      <c r="A25" s="28">
        <v>19</v>
      </c>
      <c r="B25" s="29" t="s">
        <v>631</v>
      </c>
      <c r="C25" s="29" t="s">
        <v>632</v>
      </c>
      <c r="D25" s="29" t="s">
        <v>194</v>
      </c>
      <c r="E25" s="30">
        <v>193000</v>
      </c>
      <c r="F25" s="31">
        <v>2215.2539999999999</v>
      </c>
      <c r="G25" s="32">
        <v>1.4892229999999999E-2</v>
      </c>
      <c r="H25" s="27" t="s">
        <v>142</v>
      </c>
    </row>
    <row r="26" spans="1:8" x14ac:dyDescent="0.2">
      <c r="A26" s="28">
        <v>20</v>
      </c>
      <c r="B26" s="29" t="s">
        <v>436</v>
      </c>
      <c r="C26" s="29" t="s">
        <v>437</v>
      </c>
      <c r="D26" s="29" t="s">
        <v>28</v>
      </c>
      <c r="E26" s="30">
        <v>270000</v>
      </c>
      <c r="F26" s="31">
        <v>2205.7649999999999</v>
      </c>
      <c r="G26" s="32">
        <v>1.482844E-2</v>
      </c>
      <c r="H26" s="27" t="s">
        <v>142</v>
      </c>
    </row>
    <row r="27" spans="1:8" ht="25.5" x14ac:dyDescent="0.2">
      <c r="A27" s="28">
        <v>21</v>
      </c>
      <c r="B27" s="29" t="s">
        <v>425</v>
      </c>
      <c r="C27" s="29" t="s">
        <v>426</v>
      </c>
      <c r="D27" s="29" t="s">
        <v>203</v>
      </c>
      <c r="E27" s="30">
        <v>169962</v>
      </c>
      <c r="F27" s="31">
        <v>1880.289606</v>
      </c>
      <c r="G27" s="32">
        <v>1.2640409999999999E-2</v>
      </c>
      <c r="H27" s="27" t="s">
        <v>142</v>
      </c>
    </row>
    <row r="28" spans="1:8" x14ac:dyDescent="0.2">
      <c r="A28" s="28">
        <v>22</v>
      </c>
      <c r="B28" s="29" t="s">
        <v>188</v>
      </c>
      <c r="C28" s="29" t="s">
        <v>189</v>
      </c>
      <c r="D28" s="29" t="s">
        <v>28</v>
      </c>
      <c r="E28" s="30">
        <v>923000</v>
      </c>
      <c r="F28" s="31">
        <v>1865.0137999999999</v>
      </c>
      <c r="G28" s="32">
        <v>1.2537710000000001E-2</v>
      </c>
      <c r="H28" s="27" t="s">
        <v>142</v>
      </c>
    </row>
    <row r="29" spans="1:8" ht="25.5" x14ac:dyDescent="0.2">
      <c r="A29" s="28">
        <v>23</v>
      </c>
      <c r="B29" s="29" t="s">
        <v>99</v>
      </c>
      <c r="C29" s="29" t="s">
        <v>100</v>
      </c>
      <c r="D29" s="29" t="s">
        <v>25</v>
      </c>
      <c r="E29" s="30">
        <v>336000</v>
      </c>
      <c r="F29" s="31">
        <v>1859.76</v>
      </c>
      <c r="G29" s="32">
        <v>1.250239E-2</v>
      </c>
      <c r="H29" s="27" t="s">
        <v>142</v>
      </c>
    </row>
    <row r="30" spans="1:8" x14ac:dyDescent="0.2">
      <c r="A30" s="28">
        <v>24</v>
      </c>
      <c r="B30" s="29" t="s">
        <v>725</v>
      </c>
      <c r="C30" s="29" t="s">
        <v>726</v>
      </c>
      <c r="D30" s="29" t="s">
        <v>197</v>
      </c>
      <c r="E30" s="30">
        <v>110000</v>
      </c>
      <c r="F30" s="31">
        <v>1848.11</v>
      </c>
      <c r="G30" s="32">
        <v>1.2424070000000001E-2</v>
      </c>
      <c r="H30" s="27" t="s">
        <v>142</v>
      </c>
    </row>
    <row r="31" spans="1:8" x14ac:dyDescent="0.2">
      <c r="A31" s="28">
        <v>25</v>
      </c>
      <c r="B31" s="29" t="s">
        <v>793</v>
      </c>
      <c r="C31" s="29" t="s">
        <v>794</v>
      </c>
      <c r="D31" s="29" t="s">
        <v>61</v>
      </c>
      <c r="E31" s="30">
        <v>144000</v>
      </c>
      <c r="F31" s="31">
        <v>1819.8720000000001</v>
      </c>
      <c r="G31" s="32">
        <v>1.223424E-2</v>
      </c>
      <c r="H31" s="27" t="s">
        <v>142</v>
      </c>
    </row>
    <row r="32" spans="1:8" x14ac:dyDescent="0.2">
      <c r="A32" s="28">
        <v>26</v>
      </c>
      <c r="B32" s="29" t="s">
        <v>113</v>
      </c>
      <c r="C32" s="29" t="s">
        <v>114</v>
      </c>
      <c r="D32" s="29" t="s">
        <v>67</v>
      </c>
      <c r="E32" s="30">
        <v>475000</v>
      </c>
      <c r="F32" s="31">
        <v>1700.5</v>
      </c>
      <c r="G32" s="32">
        <v>1.1431749999999999E-2</v>
      </c>
      <c r="H32" s="27" t="s">
        <v>142</v>
      </c>
    </row>
    <row r="33" spans="1:8" ht="25.5" x14ac:dyDescent="0.2">
      <c r="A33" s="28">
        <v>27</v>
      </c>
      <c r="B33" s="29" t="s">
        <v>795</v>
      </c>
      <c r="C33" s="29" t="s">
        <v>796</v>
      </c>
      <c r="D33" s="29" t="s">
        <v>187</v>
      </c>
      <c r="E33" s="30">
        <v>268000</v>
      </c>
      <c r="F33" s="31">
        <v>1682.7719999999999</v>
      </c>
      <c r="G33" s="32">
        <v>1.1312579999999999E-2</v>
      </c>
      <c r="H33" s="27" t="s">
        <v>142</v>
      </c>
    </row>
    <row r="34" spans="1:8" x14ac:dyDescent="0.2">
      <c r="A34" s="28">
        <v>28</v>
      </c>
      <c r="B34" s="29" t="s">
        <v>65</v>
      </c>
      <c r="C34" s="29" t="s">
        <v>66</v>
      </c>
      <c r="D34" s="29" t="s">
        <v>67</v>
      </c>
      <c r="E34" s="30">
        <v>30562</v>
      </c>
      <c r="F34" s="31">
        <v>1628.9546</v>
      </c>
      <c r="G34" s="32">
        <v>1.095078E-2</v>
      </c>
      <c r="H34" s="27" t="s">
        <v>142</v>
      </c>
    </row>
    <row r="35" spans="1:8" ht="25.5" x14ac:dyDescent="0.2">
      <c r="A35" s="28">
        <v>29</v>
      </c>
      <c r="B35" s="29" t="s">
        <v>430</v>
      </c>
      <c r="C35" s="29" t="s">
        <v>431</v>
      </c>
      <c r="D35" s="29" t="s">
        <v>194</v>
      </c>
      <c r="E35" s="30">
        <v>109000</v>
      </c>
      <c r="F35" s="31">
        <v>1597.6130000000001</v>
      </c>
      <c r="G35" s="32">
        <v>1.0740090000000001E-2</v>
      </c>
      <c r="H35" s="27" t="s">
        <v>142</v>
      </c>
    </row>
    <row r="36" spans="1:8" x14ac:dyDescent="0.2">
      <c r="A36" s="28">
        <v>30</v>
      </c>
      <c r="B36" s="29" t="s">
        <v>688</v>
      </c>
      <c r="C36" s="29" t="s">
        <v>689</v>
      </c>
      <c r="D36" s="29" t="s">
        <v>197</v>
      </c>
      <c r="E36" s="30">
        <v>23000</v>
      </c>
      <c r="F36" s="31">
        <v>1582.5150000000001</v>
      </c>
      <c r="G36" s="32">
        <v>1.063859E-2</v>
      </c>
      <c r="H36" s="27" t="s">
        <v>142</v>
      </c>
    </row>
    <row r="37" spans="1:8" x14ac:dyDescent="0.2">
      <c r="A37" s="28">
        <v>31</v>
      </c>
      <c r="B37" s="29" t="s">
        <v>352</v>
      </c>
      <c r="C37" s="29" t="s">
        <v>353</v>
      </c>
      <c r="D37" s="29" t="s">
        <v>254</v>
      </c>
      <c r="E37" s="30">
        <v>219000</v>
      </c>
      <c r="F37" s="31">
        <v>1575.7049999999999</v>
      </c>
      <c r="G37" s="32">
        <v>1.0592809999999999E-2</v>
      </c>
      <c r="H37" s="27" t="s">
        <v>142</v>
      </c>
    </row>
    <row r="38" spans="1:8" x14ac:dyDescent="0.2">
      <c r="A38" s="28">
        <v>32</v>
      </c>
      <c r="B38" s="29" t="s">
        <v>84</v>
      </c>
      <c r="C38" s="29" t="s">
        <v>85</v>
      </c>
      <c r="D38" s="29" t="s">
        <v>86</v>
      </c>
      <c r="E38" s="30">
        <v>810000</v>
      </c>
      <c r="F38" s="31">
        <v>1537.38</v>
      </c>
      <c r="G38" s="32">
        <v>1.0335169999999999E-2</v>
      </c>
      <c r="H38" s="27" t="s">
        <v>142</v>
      </c>
    </row>
    <row r="39" spans="1:8" ht="25.5" x14ac:dyDescent="0.2">
      <c r="A39" s="28">
        <v>33</v>
      </c>
      <c r="B39" s="29" t="s">
        <v>286</v>
      </c>
      <c r="C39" s="29" t="s">
        <v>287</v>
      </c>
      <c r="D39" s="29" t="s">
        <v>187</v>
      </c>
      <c r="E39" s="30">
        <v>40000</v>
      </c>
      <c r="F39" s="31">
        <v>1529.48</v>
      </c>
      <c r="G39" s="32">
        <v>1.0282060000000001E-2</v>
      </c>
      <c r="H39" s="27" t="s">
        <v>142</v>
      </c>
    </row>
    <row r="40" spans="1:8" x14ac:dyDescent="0.2">
      <c r="A40" s="28">
        <v>34</v>
      </c>
      <c r="B40" s="29" t="s">
        <v>348</v>
      </c>
      <c r="C40" s="29" t="s">
        <v>349</v>
      </c>
      <c r="D40" s="29" t="s">
        <v>290</v>
      </c>
      <c r="E40" s="30">
        <v>631000</v>
      </c>
      <c r="F40" s="31">
        <v>1503.7361000000001</v>
      </c>
      <c r="G40" s="32">
        <v>1.010899E-2</v>
      </c>
      <c r="H40" s="27" t="s">
        <v>142</v>
      </c>
    </row>
    <row r="41" spans="1:8" x14ac:dyDescent="0.2">
      <c r="A41" s="28">
        <v>35</v>
      </c>
      <c r="B41" s="29" t="s">
        <v>327</v>
      </c>
      <c r="C41" s="29" t="s">
        <v>328</v>
      </c>
      <c r="D41" s="29" t="s">
        <v>132</v>
      </c>
      <c r="E41" s="30">
        <v>16000</v>
      </c>
      <c r="F41" s="31">
        <v>1468.88</v>
      </c>
      <c r="G41" s="32">
        <v>9.8746700000000003E-3</v>
      </c>
      <c r="H41" s="27" t="s">
        <v>142</v>
      </c>
    </row>
    <row r="42" spans="1:8" x14ac:dyDescent="0.2">
      <c r="A42" s="28">
        <v>36</v>
      </c>
      <c r="B42" s="29" t="s">
        <v>496</v>
      </c>
      <c r="C42" s="29" t="s">
        <v>497</v>
      </c>
      <c r="D42" s="29" t="s">
        <v>226</v>
      </c>
      <c r="E42" s="30">
        <v>96000</v>
      </c>
      <c r="F42" s="31">
        <v>1459.296</v>
      </c>
      <c r="G42" s="32">
        <v>9.8102399999999996E-3</v>
      </c>
      <c r="H42" s="27" t="s">
        <v>142</v>
      </c>
    </row>
    <row r="43" spans="1:8" x14ac:dyDescent="0.2">
      <c r="A43" s="28">
        <v>37</v>
      </c>
      <c r="B43" s="29" t="s">
        <v>227</v>
      </c>
      <c r="C43" s="29" t="s">
        <v>228</v>
      </c>
      <c r="D43" s="29" t="s">
        <v>229</v>
      </c>
      <c r="E43" s="30">
        <v>221000</v>
      </c>
      <c r="F43" s="31">
        <v>1448.7655</v>
      </c>
      <c r="G43" s="32">
        <v>9.7394500000000002E-3</v>
      </c>
      <c r="H43" s="27" t="s">
        <v>142</v>
      </c>
    </row>
    <row r="44" spans="1:8" x14ac:dyDescent="0.2">
      <c r="A44" s="28">
        <v>38</v>
      </c>
      <c r="B44" s="29" t="s">
        <v>335</v>
      </c>
      <c r="C44" s="29" t="s">
        <v>336</v>
      </c>
      <c r="D44" s="29" t="s">
        <v>290</v>
      </c>
      <c r="E44" s="30">
        <v>100000</v>
      </c>
      <c r="F44" s="31">
        <v>1427.5</v>
      </c>
      <c r="G44" s="32">
        <v>9.5964899999999992E-3</v>
      </c>
      <c r="H44" s="27" t="s">
        <v>142</v>
      </c>
    </row>
    <row r="45" spans="1:8" ht="25.5" x14ac:dyDescent="0.2">
      <c r="A45" s="28">
        <v>39</v>
      </c>
      <c r="B45" s="29" t="s">
        <v>121</v>
      </c>
      <c r="C45" s="29" t="s">
        <v>122</v>
      </c>
      <c r="D45" s="29" t="s">
        <v>123</v>
      </c>
      <c r="E45" s="30">
        <v>294000</v>
      </c>
      <c r="F45" s="31">
        <v>1411.0530000000001</v>
      </c>
      <c r="G45" s="32">
        <v>9.4859200000000001E-3</v>
      </c>
      <c r="H45" s="27" t="s">
        <v>142</v>
      </c>
    </row>
    <row r="46" spans="1:8" ht="25.5" x14ac:dyDescent="0.2">
      <c r="A46" s="28">
        <v>40</v>
      </c>
      <c r="B46" s="29" t="s">
        <v>753</v>
      </c>
      <c r="C46" s="29" t="s">
        <v>754</v>
      </c>
      <c r="D46" s="29" t="s">
        <v>273</v>
      </c>
      <c r="E46" s="30">
        <v>45000</v>
      </c>
      <c r="F46" s="31">
        <v>1398.24</v>
      </c>
      <c r="G46" s="32">
        <v>9.3997899999999999E-3</v>
      </c>
      <c r="H46" s="27" t="s">
        <v>142</v>
      </c>
    </row>
    <row r="47" spans="1:8" x14ac:dyDescent="0.2">
      <c r="A47" s="28">
        <v>41</v>
      </c>
      <c r="B47" s="29" t="s">
        <v>34</v>
      </c>
      <c r="C47" s="29" t="s">
        <v>35</v>
      </c>
      <c r="D47" s="29" t="s">
        <v>36</v>
      </c>
      <c r="E47" s="30">
        <v>60000</v>
      </c>
      <c r="F47" s="31">
        <v>1344.84</v>
      </c>
      <c r="G47" s="32">
        <v>9.0407999999999999E-3</v>
      </c>
      <c r="H47" s="27" t="s">
        <v>142</v>
      </c>
    </row>
    <row r="48" spans="1:8" x14ac:dyDescent="0.2">
      <c r="A48" s="28">
        <v>42</v>
      </c>
      <c r="B48" s="29" t="s">
        <v>504</v>
      </c>
      <c r="C48" s="29" t="s">
        <v>505</v>
      </c>
      <c r="D48" s="29" t="s">
        <v>200</v>
      </c>
      <c r="E48" s="30">
        <v>83000</v>
      </c>
      <c r="F48" s="31">
        <v>1306.337</v>
      </c>
      <c r="G48" s="32">
        <v>8.7819600000000001E-3</v>
      </c>
      <c r="H48" s="27" t="s">
        <v>142</v>
      </c>
    </row>
    <row r="49" spans="1:8" x14ac:dyDescent="0.2">
      <c r="A49" s="28">
        <v>43</v>
      </c>
      <c r="B49" s="29" t="s">
        <v>20</v>
      </c>
      <c r="C49" s="29" t="s">
        <v>21</v>
      </c>
      <c r="D49" s="29" t="s">
        <v>22</v>
      </c>
      <c r="E49" s="30">
        <v>382000</v>
      </c>
      <c r="F49" s="31">
        <v>1275.498</v>
      </c>
      <c r="G49" s="32">
        <v>8.5746399999999997E-3</v>
      </c>
      <c r="H49" s="27" t="s">
        <v>142</v>
      </c>
    </row>
    <row r="50" spans="1:8" x14ac:dyDescent="0.2">
      <c r="A50" s="28">
        <v>44</v>
      </c>
      <c r="B50" s="29" t="s">
        <v>783</v>
      </c>
      <c r="C50" s="29" t="s">
        <v>784</v>
      </c>
      <c r="D50" s="29" t="s">
        <v>290</v>
      </c>
      <c r="E50" s="30">
        <v>381140</v>
      </c>
      <c r="F50" s="31">
        <v>1269.3867700000001</v>
      </c>
      <c r="G50" s="32">
        <v>8.5335600000000008E-3</v>
      </c>
      <c r="H50" s="27" t="s">
        <v>142</v>
      </c>
    </row>
    <row r="51" spans="1:8" x14ac:dyDescent="0.2">
      <c r="A51" s="28">
        <v>45</v>
      </c>
      <c r="B51" s="29" t="s">
        <v>727</v>
      </c>
      <c r="C51" s="29" t="s">
        <v>728</v>
      </c>
      <c r="D51" s="29" t="s">
        <v>61</v>
      </c>
      <c r="E51" s="30">
        <v>114667</v>
      </c>
      <c r="F51" s="31">
        <v>1192.2501325000001</v>
      </c>
      <c r="G51" s="32">
        <v>8.0149999999999996E-3</v>
      </c>
      <c r="H51" s="27" t="s">
        <v>142</v>
      </c>
    </row>
    <row r="52" spans="1:8" x14ac:dyDescent="0.2">
      <c r="A52" s="28">
        <v>46</v>
      </c>
      <c r="B52" s="29" t="s">
        <v>494</v>
      </c>
      <c r="C52" s="29" t="s">
        <v>495</v>
      </c>
      <c r="D52" s="29" t="s">
        <v>254</v>
      </c>
      <c r="E52" s="30">
        <v>40000</v>
      </c>
      <c r="F52" s="31">
        <v>1190.72</v>
      </c>
      <c r="G52" s="32">
        <v>8.0047199999999999E-3</v>
      </c>
      <c r="H52" s="27" t="s">
        <v>142</v>
      </c>
    </row>
    <row r="53" spans="1:8" x14ac:dyDescent="0.2">
      <c r="A53" s="28">
        <v>47</v>
      </c>
      <c r="B53" s="29" t="s">
        <v>797</v>
      </c>
      <c r="C53" s="29" t="s">
        <v>798</v>
      </c>
      <c r="D53" s="29" t="s">
        <v>70</v>
      </c>
      <c r="E53" s="30">
        <v>274000</v>
      </c>
      <c r="F53" s="31">
        <v>1169.432</v>
      </c>
      <c r="G53" s="32">
        <v>7.8616099999999998E-3</v>
      </c>
      <c r="H53" s="27" t="s">
        <v>142</v>
      </c>
    </row>
    <row r="54" spans="1:8" x14ac:dyDescent="0.2">
      <c r="A54" s="28">
        <v>48</v>
      </c>
      <c r="B54" s="29" t="s">
        <v>723</v>
      </c>
      <c r="C54" s="29" t="s">
        <v>724</v>
      </c>
      <c r="D54" s="29" t="s">
        <v>61</v>
      </c>
      <c r="E54" s="30">
        <v>73750</v>
      </c>
      <c r="F54" s="31">
        <v>1130.07125</v>
      </c>
      <c r="G54" s="32">
        <v>7.5969999999999996E-3</v>
      </c>
      <c r="H54" s="27" t="s">
        <v>142</v>
      </c>
    </row>
    <row r="55" spans="1:8" x14ac:dyDescent="0.2">
      <c r="A55" s="28">
        <v>49</v>
      </c>
      <c r="B55" s="29" t="s">
        <v>278</v>
      </c>
      <c r="C55" s="29" t="s">
        <v>279</v>
      </c>
      <c r="D55" s="29" t="s">
        <v>212</v>
      </c>
      <c r="E55" s="30">
        <v>28000</v>
      </c>
      <c r="F55" s="31">
        <v>1109.1079999999999</v>
      </c>
      <c r="G55" s="32">
        <v>7.4560700000000004E-3</v>
      </c>
      <c r="H55" s="27" t="s">
        <v>142</v>
      </c>
    </row>
    <row r="56" spans="1:8" x14ac:dyDescent="0.2">
      <c r="A56" s="28">
        <v>50</v>
      </c>
      <c r="B56" s="29" t="s">
        <v>222</v>
      </c>
      <c r="C56" s="29" t="s">
        <v>223</v>
      </c>
      <c r="D56" s="29" t="s">
        <v>64</v>
      </c>
      <c r="E56" s="30">
        <v>225000</v>
      </c>
      <c r="F56" s="31">
        <v>1058.7375</v>
      </c>
      <c r="G56" s="32">
        <v>7.11745E-3</v>
      </c>
      <c r="H56" s="27" t="s">
        <v>142</v>
      </c>
    </row>
    <row r="57" spans="1:8" x14ac:dyDescent="0.2">
      <c r="A57" s="28">
        <v>51</v>
      </c>
      <c r="B57" s="29" t="s">
        <v>95</v>
      </c>
      <c r="C57" s="29" t="s">
        <v>96</v>
      </c>
      <c r="D57" s="29" t="s">
        <v>64</v>
      </c>
      <c r="E57" s="30">
        <v>22000</v>
      </c>
      <c r="F57" s="31">
        <v>921.51400000000001</v>
      </c>
      <c r="G57" s="32">
        <v>6.1949600000000002E-3</v>
      </c>
      <c r="H57" s="27" t="s">
        <v>142</v>
      </c>
    </row>
    <row r="58" spans="1:8" ht="25.5" x14ac:dyDescent="0.2">
      <c r="A58" s="28">
        <v>52</v>
      </c>
      <c r="B58" s="29" t="s">
        <v>43</v>
      </c>
      <c r="C58" s="29" t="s">
        <v>44</v>
      </c>
      <c r="D58" s="29" t="s">
        <v>45</v>
      </c>
      <c r="E58" s="30">
        <v>64000</v>
      </c>
      <c r="F58" s="31">
        <v>916.99199999999996</v>
      </c>
      <c r="G58" s="32">
        <v>6.1645600000000004E-3</v>
      </c>
      <c r="H58" s="27" t="s">
        <v>142</v>
      </c>
    </row>
    <row r="59" spans="1:8" x14ac:dyDescent="0.2">
      <c r="A59" s="28">
        <v>53</v>
      </c>
      <c r="B59" s="29" t="s">
        <v>274</v>
      </c>
      <c r="C59" s="29" t="s">
        <v>275</v>
      </c>
      <c r="D59" s="29" t="s">
        <v>270</v>
      </c>
      <c r="E59" s="30">
        <v>60000</v>
      </c>
      <c r="F59" s="31">
        <v>901.62</v>
      </c>
      <c r="G59" s="32">
        <v>6.06122E-3</v>
      </c>
      <c r="H59" s="27" t="s">
        <v>142</v>
      </c>
    </row>
    <row r="60" spans="1:8" x14ac:dyDescent="0.2">
      <c r="A60" s="28">
        <v>54</v>
      </c>
      <c r="B60" s="29" t="s">
        <v>238</v>
      </c>
      <c r="C60" s="29" t="s">
        <v>239</v>
      </c>
      <c r="D60" s="29" t="s">
        <v>73</v>
      </c>
      <c r="E60" s="30">
        <v>21000</v>
      </c>
      <c r="F60" s="31">
        <v>870.702</v>
      </c>
      <c r="G60" s="32">
        <v>5.8533700000000001E-3</v>
      </c>
      <c r="H60" s="27" t="s">
        <v>142</v>
      </c>
    </row>
    <row r="61" spans="1:8" x14ac:dyDescent="0.2">
      <c r="A61" s="28">
        <v>55</v>
      </c>
      <c r="B61" s="29" t="s">
        <v>204</v>
      </c>
      <c r="C61" s="29" t="s">
        <v>205</v>
      </c>
      <c r="D61" s="29" t="s">
        <v>16</v>
      </c>
      <c r="E61" s="30">
        <v>211000</v>
      </c>
      <c r="F61" s="31">
        <v>867.31550000000004</v>
      </c>
      <c r="G61" s="32">
        <v>5.8306E-3</v>
      </c>
      <c r="H61" s="27" t="s">
        <v>142</v>
      </c>
    </row>
    <row r="62" spans="1:8" x14ac:dyDescent="0.2">
      <c r="A62" s="28">
        <v>56</v>
      </c>
      <c r="B62" s="29" t="s">
        <v>337</v>
      </c>
      <c r="C62" s="29" t="s">
        <v>338</v>
      </c>
      <c r="D62" s="29" t="s">
        <v>263</v>
      </c>
      <c r="E62" s="30">
        <v>49000</v>
      </c>
      <c r="F62" s="31">
        <v>850.44399999999996</v>
      </c>
      <c r="G62" s="32">
        <v>5.7171799999999997E-3</v>
      </c>
      <c r="H62" s="27" t="s">
        <v>142</v>
      </c>
    </row>
    <row r="63" spans="1:8" x14ac:dyDescent="0.2">
      <c r="A63" s="28">
        <v>57</v>
      </c>
      <c r="B63" s="29" t="s">
        <v>268</v>
      </c>
      <c r="C63" s="29" t="s">
        <v>269</v>
      </c>
      <c r="D63" s="29" t="s">
        <v>270</v>
      </c>
      <c r="E63" s="30">
        <v>119000</v>
      </c>
      <c r="F63" s="31">
        <v>788.25599999999997</v>
      </c>
      <c r="G63" s="32">
        <v>5.29912E-3</v>
      </c>
      <c r="H63" s="27" t="s">
        <v>142</v>
      </c>
    </row>
    <row r="64" spans="1:8" x14ac:dyDescent="0.2">
      <c r="A64" s="28">
        <v>58</v>
      </c>
      <c r="B64" s="29" t="s">
        <v>759</v>
      </c>
      <c r="C64" s="29" t="s">
        <v>760</v>
      </c>
      <c r="D64" s="29" t="s">
        <v>254</v>
      </c>
      <c r="E64" s="30">
        <v>38619</v>
      </c>
      <c r="F64" s="31">
        <v>713.37016800000004</v>
      </c>
      <c r="G64" s="32">
        <v>4.79569E-3</v>
      </c>
      <c r="H64" s="27" t="s">
        <v>142</v>
      </c>
    </row>
    <row r="65" spans="1:8" ht="25.5" x14ac:dyDescent="0.2">
      <c r="A65" s="28">
        <v>59</v>
      </c>
      <c r="B65" s="29" t="s">
        <v>460</v>
      </c>
      <c r="C65" s="29" t="s">
        <v>461</v>
      </c>
      <c r="D65" s="29" t="s">
        <v>194</v>
      </c>
      <c r="E65" s="30">
        <v>6191</v>
      </c>
      <c r="F65" s="31">
        <v>712.15072999999995</v>
      </c>
      <c r="G65" s="32">
        <v>4.7874900000000001E-3</v>
      </c>
      <c r="H65" s="27" t="s">
        <v>142</v>
      </c>
    </row>
    <row r="66" spans="1:8" ht="25.5" x14ac:dyDescent="0.2">
      <c r="A66" s="28">
        <v>60</v>
      </c>
      <c r="B66" s="29" t="s">
        <v>692</v>
      </c>
      <c r="C66" s="29" t="s">
        <v>693</v>
      </c>
      <c r="D66" s="29" t="s">
        <v>25</v>
      </c>
      <c r="E66" s="30">
        <v>32737</v>
      </c>
      <c r="F66" s="31">
        <v>660.10886800000003</v>
      </c>
      <c r="G66" s="32">
        <v>4.4376399999999996E-3</v>
      </c>
      <c r="H66" s="27" t="s">
        <v>142</v>
      </c>
    </row>
    <row r="67" spans="1:8" x14ac:dyDescent="0.2">
      <c r="A67" s="28">
        <v>61</v>
      </c>
      <c r="B67" s="29" t="s">
        <v>93</v>
      </c>
      <c r="C67" s="29" t="s">
        <v>94</v>
      </c>
      <c r="D67" s="29" t="s">
        <v>73</v>
      </c>
      <c r="E67" s="30">
        <v>23015</v>
      </c>
      <c r="F67" s="31">
        <v>416.96275500000002</v>
      </c>
      <c r="G67" s="32">
        <v>2.80307E-3</v>
      </c>
      <c r="H67" s="27" t="s">
        <v>142</v>
      </c>
    </row>
    <row r="68" spans="1:8" ht="25.5" x14ac:dyDescent="0.2">
      <c r="A68" s="28">
        <v>62</v>
      </c>
      <c r="B68" s="29" t="s">
        <v>276</v>
      </c>
      <c r="C68" s="29" t="s">
        <v>277</v>
      </c>
      <c r="D68" s="29" t="s">
        <v>194</v>
      </c>
      <c r="E68" s="30">
        <v>10649</v>
      </c>
      <c r="F68" s="31">
        <v>262.78537299999999</v>
      </c>
      <c r="G68" s="32">
        <v>1.7665999999999999E-3</v>
      </c>
      <c r="H68" s="27" t="s">
        <v>142</v>
      </c>
    </row>
    <row r="69" spans="1:8" x14ac:dyDescent="0.2">
      <c r="A69" s="25"/>
      <c r="B69" s="25"/>
      <c r="C69" s="26" t="s">
        <v>141</v>
      </c>
      <c r="D69" s="25"/>
      <c r="E69" s="25" t="s">
        <v>142</v>
      </c>
      <c r="F69" s="33">
        <v>144836.34983349999</v>
      </c>
      <c r="G69" s="34">
        <v>0.97367453999999998</v>
      </c>
      <c r="H69" s="27" t="s">
        <v>142</v>
      </c>
    </row>
    <row r="70" spans="1:8" x14ac:dyDescent="0.2">
      <c r="A70" s="25"/>
      <c r="B70" s="25"/>
      <c r="C70" s="35"/>
      <c r="D70" s="25"/>
      <c r="E70" s="25"/>
      <c r="F70" s="36"/>
      <c r="G70" s="36"/>
      <c r="H70" s="27" t="s">
        <v>142</v>
      </c>
    </row>
    <row r="71" spans="1:8" x14ac:dyDescent="0.2">
      <c r="A71" s="25"/>
      <c r="B71" s="25"/>
      <c r="C71" s="26" t="s">
        <v>143</v>
      </c>
      <c r="D71" s="25"/>
      <c r="E71" s="25"/>
      <c r="F71" s="25"/>
      <c r="G71" s="25"/>
      <c r="H71" s="27" t="s">
        <v>142</v>
      </c>
    </row>
    <row r="72" spans="1:8" x14ac:dyDescent="0.2">
      <c r="A72" s="25"/>
      <c r="B72" s="25"/>
      <c r="C72" s="26" t="s">
        <v>141</v>
      </c>
      <c r="D72" s="25"/>
      <c r="E72" s="25" t="s">
        <v>142</v>
      </c>
      <c r="F72" s="37" t="s">
        <v>144</v>
      </c>
      <c r="G72" s="34">
        <v>0</v>
      </c>
      <c r="H72" s="27" t="s">
        <v>142</v>
      </c>
    </row>
    <row r="73" spans="1:8" x14ac:dyDescent="0.2">
      <c r="A73" s="25"/>
      <c r="B73" s="25"/>
      <c r="C73" s="35"/>
      <c r="D73" s="25"/>
      <c r="E73" s="25"/>
      <c r="F73" s="36"/>
      <c r="G73" s="36"/>
      <c r="H73" s="27" t="s">
        <v>142</v>
      </c>
    </row>
    <row r="74" spans="1:8" x14ac:dyDescent="0.2">
      <c r="A74" s="25"/>
      <c r="B74" s="25"/>
      <c r="C74" s="26" t="s">
        <v>145</v>
      </c>
      <c r="D74" s="25"/>
      <c r="E74" s="25"/>
      <c r="F74" s="25"/>
      <c r="G74" s="25"/>
      <c r="H74" s="27" t="s">
        <v>142</v>
      </c>
    </row>
    <row r="75" spans="1:8" x14ac:dyDescent="0.2">
      <c r="A75" s="25"/>
      <c r="B75" s="25"/>
      <c r="C75" s="26" t="s">
        <v>141</v>
      </c>
      <c r="D75" s="25"/>
      <c r="E75" s="25" t="s">
        <v>142</v>
      </c>
      <c r="F75" s="37" t="s">
        <v>144</v>
      </c>
      <c r="G75" s="34">
        <v>0</v>
      </c>
      <c r="H75" s="27" t="s">
        <v>142</v>
      </c>
    </row>
    <row r="76" spans="1:8" x14ac:dyDescent="0.2">
      <c r="A76" s="25"/>
      <c r="B76" s="25"/>
      <c r="C76" s="35"/>
      <c r="D76" s="25"/>
      <c r="E76" s="25"/>
      <c r="F76" s="36"/>
      <c r="G76" s="36"/>
      <c r="H76" s="27" t="s">
        <v>142</v>
      </c>
    </row>
    <row r="77" spans="1:8" x14ac:dyDescent="0.2">
      <c r="A77" s="25"/>
      <c r="B77" s="25"/>
      <c r="C77" s="26" t="s">
        <v>146</v>
      </c>
      <c r="D77" s="25"/>
      <c r="E77" s="25"/>
      <c r="F77" s="25"/>
      <c r="G77" s="25"/>
      <c r="H77" s="27" t="s">
        <v>142</v>
      </c>
    </row>
    <row r="78" spans="1:8" x14ac:dyDescent="0.2">
      <c r="A78" s="25"/>
      <c r="B78" s="25"/>
      <c r="C78" s="26" t="s">
        <v>141</v>
      </c>
      <c r="D78" s="25"/>
      <c r="E78" s="25" t="s">
        <v>142</v>
      </c>
      <c r="F78" s="37" t="s">
        <v>144</v>
      </c>
      <c r="G78" s="34">
        <v>0</v>
      </c>
      <c r="H78" s="27" t="s">
        <v>142</v>
      </c>
    </row>
    <row r="79" spans="1:8" x14ac:dyDescent="0.2">
      <c r="A79" s="25"/>
      <c r="B79" s="25"/>
      <c r="C79" s="35"/>
      <c r="D79" s="25"/>
      <c r="E79" s="25"/>
      <c r="F79" s="36"/>
      <c r="G79" s="36"/>
      <c r="H79" s="27" t="s">
        <v>142</v>
      </c>
    </row>
    <row r="80" spans="1:8" x14ac:dyDescent="0.2">
      <c r="A80" s="25"/>
      <c r="B80" s="25"/>
      <c r="C80" s="26" t="s">
        <v>147</v>
      </c>
      <c r="D80" s="25"/>
      <c r="E80" s="25"/>
      <c r="F80" s="36"/>
      <c r="G80" s="36"/>
      <c r="H80" s="27" t="s">
        <v>142</v>
      </c>
    </row>
    <row r="81" spans="1:8" x14ac:dyDescent="0.2">
      <c r="A81" s="25"/>
      <c r="B81" s="25"/>
      <c r="C81" s="26" t="s">
        <v>141</v>
      </c>
      <c r="D81" s="25"/>
      <c r="E81" s="25" t="s">
        <v>142</v>
      </c>
      <c r="F81" s="37" t="s">
        <v>144</v>
      </c>
      <c r="G81" s="34">
        <v>0</v>
      </c>
      <c r="H81" s="27" t="s">
        <v>142</v>
      </c>
    </row>
    <row r="82" spans="1:8" x14ac:dyDescent="0.2">
      <c r="A82" s="25"/>
      <c r="B82" s="25"/>
      <c r="C82" s="35"/>
      <c r="D82" s="25"/>
      <c r="E82" s="25"/>
      <c r="F82" s="36"/>
      <c r="G82" s="36"/>
      <c r="H82" s="27" t="s">
        <v>142</v>
      </c>
    </row>
    <row r="83" spans="1:8" x14ac:dyDescent="0.2">
      <c r="A83" s="25"/>
      <c r="B83" s="25"/>
      <c r="C83" s="26" t="s">
        <v>148</v>
      </c>
      <c r="D83" s="25"/>
      <c r="E83" s="25"/>
      <c r="F83" s="36"/>
      <c r="G83" s="36"/>
      <c r="H83" s="27" t="s">
        <v>142</v>
      </c>
    </row>
    <row r="84" spans="1:8" x14ac:dyDescent="0.2">
      <c r="A84" s="25"/>
      <c r="B84" s="25"/>
      <c r="C84" s="26" t="s">
        <v>141</v>
      </c>
      <c r="D84" s="25"/>
      <c r="E84" s="25" t="s">
        <v>142</v>
      </c>
      <c r="F84" s="37" t="s">
        <v>144</v>
      </c>
      <c r="G84" s="34">
        <v>0</v>
      </c>
      <c r="H84" s="27" t="s">
        <v>142</v>
      </c>
    </row>
    <row r="85" spans="1:8" x14ac:dyDescent="0.2">
      <c r="A85" s="25"/>
      <c r="B85" s="25"/>
      <c r="C85" s="35"/>
      <c r="D85" s="25"/>
      <c r="E85" s="25"/>
      <c r="F85" s="36"/>
      <c r="G85" s="36"/>
      <c r="H85" s="27" t="s">
        <v>142</v>
      </c>
    </row>
    <row r="86" spans="1:8" x14ac:dyDescent="0.2">
      <c r="A86" s="25"/>
      <c r="B86" s="25"/>
      <c r="C86" s="26" t="s">
        <v>149</v>
      </c>
      <c r="D86" s="25"/>
      <c r="E86" s="25"/>
      <c r="F86" s="33">
        <v>144836.34983349999</v>
      </c>
      <c r="G86" s="34">
        <v>0.97367453999999998</v>
      </c>
      <c r="H86" s="27" t="s">
        <v>142</v>
      </c>
    </row>
    <row r="87" spans="1:8" x14ac:dyDescent="0.2">
      <c r="A87" s="25"/>
      <c r="B87" s="25"/>
      <c r="C87" s="35"/>
      <c r="D87" s="25"/>
      <c r="E87" s="25"/>
      <c r="F87" s="36"/>
      <c r="G87" s="36"/>
      <c r="H87" s="27" t="s">
        <v>142</v>
      </c>
    </row>
    <row r="88" spans="1:8" x14ac:dyDescent="0.2">
      <c r="A88" s="25"/>
      <c r="B88" s="25"/>
      <c r="C88" s="26" t="s">
        <v>150</v>
      </c>
      <c r="D88" s="25"/>
      <c r="E88" s="25"/>
      <c r="F88" s="36"/>
      <c r="G88" s="36"/>
      <c r="H88" s="27" t="s">
        <v>142</v>
      </c>
    </row>
    <row r="89" spans="1:8" x14ac:dyDescent="0.2">
      <c r="A89" s="25"/>
      <c r="B89" s="25"/>
      <c r="C89" s="26" t="s">
        <v>10</v>
      </c>
      <c r="D89" s="25"/>
      <c r="E89" s="25"/>
      <c r="F89" s="36"/>
      <c r="G89" s="36"/>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151</v>
      </c>
      <c r="D92" s="25"/>
      <c r="E92" s="25"/>
      <c r="F92" s="25"/>
      <c r="G92" s="25"/>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152</v>
      </c>
      <c r="D95" s="25"/>
      <c r="E95" s="25"/>
      <c r="F95" s="25"/>
      <c r="G95" s="25"/>
      <c r="H95" s="27" t="s">
        <v>142</v>
      </c>
    </row>
    <row r="96" spans="1:8" x14ac:dyDescent="0.2">
      <c r="A96" s="25"/>
      <c r="B96" s="25"/>
      <c r="C96" s="26" t="s">
        <v>141</v>
      </c>
      <c r="D96" s="25"/>
      <c r="E96" s="25" t="s">
        <v>142</v>
      </c>
      <c r="F96" s="37" t="s">
        <v>144</v>
      </c>
      <c r="G96" s="34">
        <v>0</v>
      </c>
      <c r="H96" s="27" t="s">
        <v>142</v>
      </c>
    </row>
    <row r="97" spans="1:8" x14ac:dyDescent="0.2">
      <c r="A97" s="25"/>
      <c r="B97" s="25"/>
      <c r="C97" s="35"/>
      <c r="D97" s="25"/>
      <c r="E97" s="25"/>
      <c r="F97" s="36"/>
      <c r="G97" s="36"/>
      <c r="H97" s="27" t="s">
        <v>142</v>
      </c>
    </row>
    <row r="98" spans="1:8" x14ac:dyDescent="0.2">
      <c r="A98" s="25"/>
      <c r="B98" s="25"/>
      <c r="C98" s="26" t="s">
        <v>153</v>
      </c>
      <c r="D98" s="25"/>
      <c r="E98" s="25"/>
      <c r="F98" s="36"/>
      <c r="G98" s="36"/>
      <c r="H98" s="27" t="s">
        <v>142</v>
      </c>
    </row>
    <row r="99" spans="1:8" x14ac:dyDescent="0.2">
      <c r="A99" s="25"/>
      <c r="B99" s="25"/>
      <c r="C99" s="26" t="s">
        <v>141</v>
      </c>
      <c r="D99" s="25"/>
      <c r="E99" s="25" t="s">
        <v>142</v>
      </c>
      <c r="F99" s="37" t="s">
        <v>144</v>
      </c>
      <c r="G99" s="34">
        <v>0</v>
      </c>
      <c r="H99" s="27" t="s">
        <v>142</v>
      </c>
    </row>
    <row r="100" spans="1:8" x14ac:dyDescent="0.2">
      <c r="A100" s="25"/>
      <c r="B100" s="25"/>
      <c r="C100" s="35"/>
      <c r="D100" s="25"/>
      <c r="E100" s="25"/>
      <c r="F100" s="36"/>
      <c r="G100" s="36"/>
      <c r="H100" s="27" t="s">
        <v>142</v>
      </c>
    </row>
    <row r="101" spans="1:8" x14ac:dyDescent="0.2">
      <c r="A101" s="25"/>
      <c r="B101" s="25"/>
      <c r="C101" s="26" t="s">
        <v>154</v>
      </c>
      <c r="D101" s="25"/>
      <c r="E101" s="25"/>
      <c r="F101" s="33">
        <v>0</v>
      </c>
      <c r="G101" s="34">
        <v>0</v>
      </c>
      <c r="H101" s="27" t="s">
        <v>142</v>
      </c>
    </row>
    <row r="102" spans="1:8" x14ac:dyDescent="0.2">
      <c r="A102" s="25"/>
      <c r="B102" s="25"/>
      <c r="C102" s="35"/>
      <c r="D102" s="25"/>
      <c r="E102" s="25"/>
      <c r="F102" s="36"/>
      <c r="G102" s="36"/>
      <c r="H102" s="27" t="s">
        <v>142</v>
      </c>
    </row>
    <row r="103" spans="1:8" x14ac:dyDescent="0.2">
      <c r="A103" s="25"/>
      <c r="B103" s="25"/>
      <c r="C103" s="26" t="s">
        <v>155</v>
      </c>
      <c r="D103" s="25"/>
      <c r="E103" s="25"/>
      <c r="F103" s="36"/>
      <c r="G103" s="36"/>
      <c r="H103" s="27" t="s">
        <v>142</v>
      </c>
    </row>
    <row r="104" spans="1:8" x14ac:dyDescent="0.2">
      <c r="A104" s="25"/>
      <c r="B104" s="25"/>
      <c r="C104" s="26" t="s">
        <v>156</v>
      </c>
      <c r="D104" s="25"/>
      <c r="E104" s="25"/>
      <c r="F104" s="36"/>
      <c r="G104" s="36"/>
      <c r="H104" s="27" t="s">
        <v>142</v>
      </c>
    </row>
    <row r="105" spans="1:8" x14ac:dyDescent="0.2">
      <c r="A105" s="25"/>
      <c r="B105" s="25"/>
      <c r="C105" s="26" t="s">
        <v>141</v>
      </c>
      <c r="D105" s="25"/>
      <c r="E105" s="25" t="s">
        <v>142</v>
      </c>
      <c r="F105" s="37" t="s">
        <v>144</v>
      </c>
      <c r="G105" s="34">
        <v>0</v>
      </c>
      <c r="H105" s="27" t="s">
        <v>142</v>
      </c>
    </row>
    <row r="106" spans="1:8" x14ac:dyDescent="0.2">
      <c r="A106" s="25"/>
      <c r="B106" s="25"/>
      <c r="C106" s="35"/>
      <c r="D106" s="25"/>
      <c r="E106" s="25"/>
      <c r="F106" s="36"/>
      <c r="G106" s="36"/>
      <c r="H106" s="27" t="s">
        <v>142</v>
      </c>
    </row>
    <row r="107" spans="1:8" x14ac:dyDescent="0.2">
      <c r="A107" s="25"/>
      <c r="B107" s="25"/>
      <c r="C107" s="26" t="s">
        <v>157</v>
      </c>
      <c r="D107" s="25"/>
      <c r="E107" s="25"/>
      <c r="F107" s="36"/>
      <c r="G107" s="36"/>
      <c r="H107" s="27" t="s">
        <v>142</v>
      </c>
    </row>
    <row r="108" spans="1:8" x14ac:dyDescent="0.2">
      <c r="A108" s="25"/>
      <c r="B108" s="25"/>
      <c r="C108" s="26" t="s">
        <v>141</v>
      </c>
      <c r="D108" s="25"/>
      <c r="E108" s="25" t="s">
        <v>142</v>
      </c>
      <c r="F108" s="37" t="s">
        <v>144</v>
      </c>
      <c r="G108" s="34">
        <v>0</v>
      </c>
      <c r="H108" s="27" t="s">
        <v>142</v>
      </c>
    </row>
    <row r="109" spans="1:8" x14ac:dyDescent="0.2">
      <c r="A109" s="25"/>
      <c r="B109" s="25"/>
      <c r="C109" s="35"/>
      <c r="D109" s="25"/>
      <c r="E109" s="25"/>
      <c r="F109" s="36"/>
      <c r="G109" s="36"/>
      <c r="H109" s="27" t="s">
        <v>142</v>
      </c>
    </row>
    <row r="110" spans="1:8" x14ac:dyDescent="0.2">
      <c r="A110" s="25"/>
      <c r="B110" s="25"/>
      <c r="C110" s="26" t="s">
        <v>158</v>
      </c>
      <c r="D110" s="25"/>
      <c r="E110" s="25"/>
      <c r="F110" s="36"/>
      <c r="G110" s="36"/>
      <c r="H110" s="27" t="s">
        <v>142</v>
      </c>
    </row>
    <row r="111" spans="1:8" x14ac:dyDescent="0.2">
      <c r="A111" s="25"/>
      <c r="B111" s="25"/>
      <c r="C111" s="26" t="s">
        <v>141</v>
      </c>
      <c r="D111" s="25"/>
      <c r="E111" s="25" t="s">
        <v>142</v>
      </c>
      <c r="F111" s="37" t="s">
        <v>144</v>
      </c>
      <c r="G111" s="34">
        <v>0</v>
      </c>
      <c r="H111" s="27" t="s">
        <v>142</v>
      </c>
    </row>
    <row r="112" spans="1:8" x14ac:dyDescent="0.2">
      <c r="A112" s="25"/>
      <c r="B112" s="25"/>
      <c r="C112" s="35"/>
      <c r="D112" s="25"/>
      <c r="E112" s="25"/>
      <c r="F112" s="36"/>
      <c r="G112" s="36"/>
      <c r="H112" s="27" t="s">
        <v>142</v>
      </c>
    </row>
    <row r="113" spans="1:8" x14ac:dyDescent="0.2">
      <c r="A113" s="25"/>
      <c r="B113" s="25"/>
      <c r="C113" s="26" t="s">
        <v>159</v>
      </c>
      <c r="D113" s="25"/>
      <c r="E113" s="25"/>
      <c r="F113" s="36"/>
      <c r="G113" s="36"/>
      <c r="H113" s="27" t="s">
        <v>142</v>
      </c>
    </row>
    <row r="114" spans="1:8" x14ac:dyDescent="0.2">
      <c r="A114" s="28">
        <v>1</v>
      </c>
      <c r="B114" s="29"/>
      <c r="C114" s="29" t="s">
        <v>160</v>
      </c>
      <c r="D114" s="29"/>
      <c r="E114" s="39"/>
      <c r="F114" s="31">
        <v>4050.3718562150002</v>
      </c>
      <c r="G114" s="32">
        <v>2.722896E-2</v>
      </c>
      <c r="H114" s="27">
        <v>5.76</v>
      </c>
    </row>
    <row r="115" spans="1:8" x14ac:dyDescent="0.2">
      <c r="A115" s="25"/>
      <c r="B115" s="25"/>
      <c r="C115" s="26" t="s">
        <v>141</v>
      </c>
      <c r="D115" s="25"/>
      <c r="E115" s="25" t="s">
        <v>142</v>
      </c>
      <c r="F115" s="33">
        <v>4050.3718562150002</v>
      </c>
      <c r="G115" s="34">
        <v>2.722896E-2</v>
      </c>
      <c r="H115" s="27" t="s">
        <v>142</v>
      </c>
    </row>
    <row r="116" spans="1:8" x14ac:dyDescent="0.2">
      <c r="A116" s="25"/>
      <c r="B116" s="25"/>
      <c r="C116" s="35"/>
      <c r="D116" s="25"/>
      <c r="E116" s="25"/>
      <c r="F116" s="36"/>
      <c r="G116" s="36"/>
      <c r="H116" s="27" t="s">
        <v>142</v>
      </c>
    </row>
    <row r="117" spans="1:8" x14ac:dyDescent="0.2">
      <c r="A117" s="25"/>
      <c r="B117" s="25"/>
      <c r="C117" s="26" t="s">
        <v>161</v>
      </c>
      <c r="D117" s="25"/>
      <c r="E117" s="25"/>
      <c r="F117" s="33">
        <v>4050.3718562150002</v>
      </c>
      <c r="G117" s="34">
        <v>2.722896E-2</v>
      </c>
      <c r="H117" s="27" t="s">
        <v>142</v>
      </c>
    </row>
    <row r="118" spans="1:8" x14ac:dyDescent="0.2">
      <c r="A118" s="25"/>
      <c r="B118" s="25"/>
      <c r="C118" s="36"/>
      <c r="D118" s="25"/>
      <c r="E118" s="25"/>
      <c r="F118" s="25"/>
      <c r="G118" s="25"/>
      <c r="H118" s="27" t="s">
        <v>142</v>
      </c>
    </row>
    <row r="119" spans="1:8" x14ac:dyDescent="0.2">
      <c r="A119" s="25"/>
      <c r="B119" s="25"/>
      <c r="C119" s="26" t="s">
        <v>162</v>
      </c>
      <c r="D119" s="25"/>
      <c r="E119" s="25"/>
      <c r="F119" s="25"/>
      <c r="G119" s="25"/>
      <c r="H119" s="27" t="s">
        <v>142</v>
      </c>
    </row>
    <row r="120" spans="1:8" x14ac:dyDescent="0.2">
      <c r="A120" s="25"/>
      <c r="B120" s="25"/>
      <c r="C120" s="26" t="s">
        <v>163</v>
      </c>
      <c r="D120" s="25"/>
      <c r="E120" s="25"/>
      <c r="F120" s="25"/>
      <c r="G120" s="25"/>
      <c r="H120" s="27" t="s">
        <v>142</v>
      </c>
    </row>
    <row r="121" spans="1:8" x14ac:dyDescent="0.2">
      <c r="A121" s="25"/>
      <c r="B121" s="25"/>
      <c r="C121" s="26" t="s">
        <v>141</v>
      </c>
      <c r="D121" s="25"/>
      <c r="E121" s="25" t="s">
        <v>142</v>
      </c>
      <c r="F121" s="37" t="s">
        <v>144</v>
      </c>
      <c r="G121" s="34">
        <v>0</v>
      </c>
      <c r="H121" s="27" t="s">
        <v>142</v>
      </c>
    </row>
    <row r="122" spans="1:8" x14ac:dyDescent="0.2">
      <c r="A122" s="25"/>
      <c r="B122" s="25"/>
      <c r="C122" s="35"/>
      <c r="D122" s="25"/>
      <c r="E122" s="25"/>
      <c r="F122" s="36"/>
      <c r="G122" s="36"/>
      <c r="H122" s="27" t="s">
        <v>142</v>
      </c>
    </row>
    <row r="123" spans="1:8" x14ac:dyDescent="0.2">
      <c r="A123" s="25"/>
      <c r="B123" s="25"/>
      <c r="C123" s="26" t="s">
        <v>164</v>
      </c>
      <c r="D123" s="25"/>
      <c r="E123" s="25"/>
      <c r="F123" s="25"/>
      <c r="G123" s="25"/>
      <c r="H123" s="27" t="s">
        <v>142</v>
      </c>
    </row>
    <row r="124" spans="1:8" x14ac:dyDescent="0.2">
      <c r="A124" s="25"/>
      <c r="B124" s="25"/>
      <c r="C124" s="26" t="s">
        <v>165</v>
      </c>
      <c r="D124" s="25"/>
      <c r="E124" s="25"/>
      <c r="F124" s="25"/>
      <c r="G124" s="25"/>
      <c r="H124" s="27" t="s">
        <v>142</v>
      </c>
    </row>
    <row r="125" spans="1:8" x14ac:dyDescent="0.2">
      <c r="A125" s="25"/>
      <c r="B125" s="25"/>
      <c r="C125" s="26" t="s">
        <v>141</v>
      </c>
      <c r="D125" s="25"/>
      <c r="E125" s="25" t="s">
        <v>142</v>
      </c>
      <c r="F125" s="37" t="s">
        <v>144</v>
      </c>
      <c r="G125" s="34">
        <v>0</v>
      </c>
      <c r="H125" s="27" t="s">
        <v>142</v>
      </c>
    </row>
    <row r="126" spans="1:8" x14ac:dyDescent="0.2">
      <c r="A126" s="25"/>
      <c r="B126" s="25"/>
      <c r="C126" s="35"/>
      <c r="D126" s="25"/>
      <c r="E126" s="25"/>
      <c r="F126" s="36"/>
      <c r="G126" s="36"/>
      <c r="H126" s="27" t="s">
        <v>142</v>
      </c>
    </row>
    <row r="127" spans="1:8" x14ac:dyDescent="0.2">
      <c r="A127" s="25"/>
      <c r="B127" s="25"/>
      <c r="C127" s="26" t="s">
        <v>166</v>
      </c>
      <c r="D127" s="25"/>
      <c r="E127" s="25"/>
      <c r="F127" s="36"/>
      <c r="G127" s="36"/>
      <c r="H127" s="27" t="s">
        <v>142</v>
      </c>
    </row>
    <row r="128" spans="1:8" x14ac:dyDescent="0.2">
      <c r="A128" s="25"/>
      <c r="B128" s="25"/>
      <c r="C128" s="26" t="s">
        <v>141</v>
      </c>
      <c r="D128" s="25"/>
      <c r="E128" s="25" t="s">
        <v>142</v>
      </c>
      <c r="F128" s="37" t="s">
        <v>144</v>
      </c>
      <c r="G128" s="34">
        <v>0</v>
      </c>
      <c r="H128" s="27" t="s">
        <v>142</v>
      </c>
    </row>
    <row r="129" spans="1:17" x14ac:dyDescent="0.2">
      <c r="A129" s="25"/>
      <c r="B129" s="25"/>
      <c r="C129" s="35"/>
      <c r="D129" s="25"/>
      <c r="E129" s="25"/>
      <c r="F129" s="36"/>
      <c r="G129" s="36"/>
      <c r="H129" s="27" t="s">
        <v>142</v>
      </c>
    </row>
    <row r="130" spans="1:17" x14ac:dyDescent="0.2">
      <c r="A130" s="39"/>
      <c r="B130" s="29"/>
      <c r="C130" s="29" t="s">
        <v>167</v>
      </c>
      <c r="D130" s="29"/>
      <c r="E130" s="39"/>
      <c r="F130" s="31">
        <v>-134.39340523000001</v>
      </c>
      <c r="G130" s="32">
        <v>-9.0346999999999997E-4</v>
      </c>
      <c r="H130" s="27" t="s">
        <v>142</v>
      </c>
    </row>
    <row r="131" spans="1:17" x14ac:dyDescent="0.2">
      <c r="A131" s="35"/>
      <c r="B131" s="35"/>
      <c r="C131" s="26" t="s">
        <v>168</v>
      </c>
      <c r="D131" s="36"/>
      <c r="E131" s="36"/>
      <c r="F131" s="33">
        <v>148752.328284485</v>
      </c>
      <c r="G131" s="40">
        <v>1.00000003</v>
      </c>
      <c r="H131" s="27" t="s">
        <v>142</v>
      </c>
    </row>
    <row r="132" spans="1:17" x14ac:dyDescent="0.2">
      <c r="A132" s="41"/>
      <c r="B132" s="41"/>
      <c r="C132" s="41"/>
      <c r="D132" s="42"/>
      <c r="E132" s="42"/>
      <c r="F132" s="42"/>
      <c r="G132" s="42"/>
    </row>
    <row r="133" spans="1:17" x14ac:dyDescent="0.2">
      <c r="A133" s="43"/>
      <c r="B133" s="210" t="s">
        <v>879</v>
      </c>
      <c r="C133" s="210"/>
      <c r="D133" s="210"/>
      <c r="E133" s="210"/>
      <c r="F133" s="210"/>
      <c r="G133" s="210"/>
      <c r="H133" s="210"/>
      <c r="J133" s="45"/>
    </row>
    <row r="134" spans="1:17" x14ac:dyDescent="0.2">
      <c r="A134" s="43"/>
      <c r="B134" s="210" t="s">
        <v>880</v>
      </c>
      <c r="C134" s="210"/>
      <c r="D134" s="210"/>
      <c r="E134" s="210"/>
      <c r="F134" s="210"/>
      <c r="G134" s="210"/>
      <c r="H134" s="210"/>
      <c r="J134" s="45"/>
    </row>
    <row r="135" spans="1:17" x14ac:dyDescent="0.2">
      <c r="A135" s="43"/>
      <c r="B135" s="210" t="s">
        <v>881</v>
      </c>
      <c r="C135" s="210"/>
      <c r="D135" s="210"/>
      <c r="E135" s="210"/>
      <c r="F135" s="210"/>
      <c r="G135" s="210"/>
      <c r="H135" s="210"/>
      <c r="J135" s="45"/>
    </row>
    <row r="136" spans="1:17" s="47" customFormat="1" ht="66.75" customHeight="1" x14ac:dyDescent="0.25">
      <c r="A136" s="46"/>
      <c r="B136" s="211" t="s">
        <v>882</v>
      </c>
      <c r="C136" s="211"/>
      <c r="D136" s="211"/>
      <c r="E136" s="211"/>
      <c r="F136" s="211"/>
      <c r="G136" s="211"/>
      <c r="H136" s="211"/>
      <c r="I136"/>
      <c r="J136" s="45"/>
      <c r="K136"/>
      <c r="L136"/>
      <c r="M136"/>
      <c r="N136"/>
      <c r="O136"/>
      <c r="P136"/>
      <c r="Q136"/>
    </row>
    <row r="137" spans="1:17" x14ac:dyDescent="0.2">
      <c r="A137" s="43"/>
      <c r="B137" s="210" t="s">
        <v>883</v>
      </c>
      <c r="C137" s="210"/>
      <c r="D137" s="210"/>
      <c r="E137" s="210"/>
      <c r="F137" s="210"/>
      <c r="G137" s="210"/>
      <c r="H137" s="210"/>
      <c r="J137" s="45"/>
    </row>
    <row r="138" spans="1:17" x14ac:dyDescent="0.2">
      <c r="A138" s="48"/>
      <c r="B138" s="48"/>
      <c r="C138" s="48"/>
      <c r="D138" s="49"/>
      <c r="E138" s="49"/>
      <c r="F138" s="49"/>
      <c r="G138" s="49"/>
    </row>
    <row r="139" spans="1:17" x14ac:dyDescent="0.2">
      <c r="A139" s="48"/>
      <c r="B139" s="212" t="s">
        <v>169</v>
      </c>
      <c r="C139" s="213"/>
      <c r="D139" s="214"/>
      <c r="E139" s="50"/>
      <c r="F139" s="49"/>
      <c r="G139" s="49"/>
    </row>
    <row r="140" spans="1:17" ht="27.75" customHeight="1" x14ac:dyDescent="0.2">
      <c r="A140" s="48"/>
      <c r="B140" s="215" t="s">
        <v>170</v>
      </c>
      <c r="C140" s="216"/>
      <c r="D140" s="26" t="s">
        <v>171</v>
      </c>
      <c r="E140" s="50"/>
      <c r="F140" s="49"/>
      <c r="G140" s="49"/>
    </row>
    <row r="141" spans="1:17" ht="12.75" customHeight="1" x14ac:dyDescent="0.2">
      <c r="A141" s="43"/>
      <c r="B141" s="217" t="s">
        <v>884</v>
      </c>
      <c r="C141" s="218"/>
      <c r="D141" s="26" t="s">
        <v>171</v>
      </c>
      <c r="E141" s="52"/>
      <c r="F141" s="53"/>
      <c r="G141" s="53"/>
    </row>
    <row r="142" spans="1:17" x14ac:dyDescent="0.2">
      <c r="A142" s="48"/>
      <c r="B142" s="215" t="s">
        <v>172</v>
      </c>
      <c r="C142" s="216"/>
      <c r="D142" s="36" t="s">
        <v>142</v>
      </c>
      <c r="E142" s="50"/>
      <c r="F142" s="49"/>
      <c r="G142" s="49"/>
    </row>
    <row r="143" spans="1:17" x14ac:dyDescent="0.2">
      <c r="A143" s="54"/>
      <c r="B143" s="55" t="s">
        <v>142</v>
      </c>
      <c r="C143" s="55" t="s">
        <v>885</v>
      </c>
      <c r="D143" s="55" t="s">
        <v>173</v>
      </c>
      <c r="E143" s="54"/>
      <c r="F143" s="54"/>
      <c r="G143" s="54"/>
      <c r="H143" s="54"/>
      <c r="J143" s="45"/>
    </row>
    <row r="144" spans="1:17" x14ac:dyDescent="0.2">
      <c r="A144" s="54"/>
      <c r="B144" s="56" t="s">
        <v>174</v>
      </c>
      <c r="C144" s="57">
        <v>45777</v>
      </c>
      <c r="D144" s="57">
        <v>45808</v>
      </c>
      <c r="E144" s="54"/>
      <c r="F144" s="54"/>
      <c r="G144" s="54"/>
      <c r="J144" s="45"/>
    </row>
    <row r="145" spans="1:7" x14ac:dyDescent="0.2">
      <c r="A145" s="58"/>
      <c r="B145" s="29" t="s">
        <v>175</v>
      </c>
      <c r="C145" s="59">
        <v>223.2499</v>
      </c>
      <c r="D145" s="59">
        <v>228.79150000000001</v>
      </c>
      <c r="E145" s="58"/>
      <c r="F145" s="60"/>
      <c r="G145" s="61"/>
    </row>
    <row r="146" spans="1:7" x14ac:dyDescent="0.2">
      <c r="A146" s="58"/>
      <c r="B146" s="29" t="s">
        <v>1065</v>
      </c>
      <c r="C146" s="59">
        <v>19.849799999999998</v>
      </c>
      <c r="D146" s="59">
        <v>20.342600000000001</v>
      </c>
      <c r="E146" s="58"/>
      <c r="F146" s="60"/>
      <c r="G146" s="61"/>
    </row>
    <row r="147" spans="1:7" x14ac:dyDescent="0.2">
      <c r="A147" s="58"/>
      <c r="B147" s="29" t="s">
        <v>177</v>
      </c>
      <c r="C147" s="59">
        <v>210.9958</v>
      </c>
      <c r="D147" s="59">
        <v>216.1378</v>
      </c>
      <c r="E147" s="58"/>
      <c r="F147" s="60"/>
      <c r="G147" s="61"/>
    </row>
    <row r="148" spans="1:7" x14ac:dyDescent="0.2">
      <c r="A148" s="58"/>
      <c r="B148" s="29" t="s">
        <v>1066</v>
      </c>
      <c r="C148" s="59">
        <v>16.3553</v>
      </c>
      <c r="D148" s="59">
        <v>16.753900000000002</v>
      </c>
      <c r="E148" s="58"/>
      <c r="F148" s="60"/>
      <c r="G148" s="61"/>
    </row>
    <row r="149" spans="1:7" x14ac:dyDescent="0.2">
      <c r="A149" s="58"/>
      <c r="B149" s="58"/>
      <c r="C149" s="58"/>
      <c r="D149" s="58"/>
      <c r="E149" s="58"/>
      <c r="F149" s="58"/>
      <c r="G149" s="58"/>
    </row>
    <row r="150" spans="1:7" x14ac:dyDescent="0.2">
      <c r="A150" s="58"/>
      <c r="B150" s="215" t="s">
        <v>887</v>
      </c>
      <c r="C150" s="216"/>
      <c r="D150" s="51" t="s">
        <v>171</v>
      </c>
      <c r="E150" s="58"/>
      <c r="F150" s="58"/>
      <c r="G150" s="58"/>
    </row>
    <row r="151" spans="1:7" x14ac:dyDescent="0.2">
      <c r="A151" s="58"/>
      <c r="B151" s="70"/>
      <c r="C151" s="70"/>
      <c r="D151" s="70"/>
      <c r="E151" s="58"/>
      <c r="F151" s="58"/>
      <c r="G151" s="58"/>
    </row>
    <row r="152" spans="1:7" x14ac:dyDescent="0.2">
      <c r="A152" s="54"/>
      <c r="B152" s="217" t="s">
        <v>180</v>
      </c>
      <c r="C152" s="218"/>
      <c r="D152" s="51" t="s">
        <v>171</v>
      </c>
      <c r="E152" s="65"/>
      <c r="F152" s="54"/>
      <c r="G152" s="54"/>
    </row>
    <row r="153" spans="1:7" x14ac:dyDescent="0.2">
      <c r="A153" s="54"/>
      <c r="B153" s="217" t="s">
        <v>181</v>
      </c>
      <c r="C153" s="218"/>
      <c r="D153" s="51" t="s">
        <v>171</v>
      </c>
      <c r="E153" s="65"/>
      <c r="F153" s="54"/>
      <c r="G153" s="54"/>
    </row>
    <row r="154" spans="1:7" x14ac:dyDescent="0.2">
      <c r="A154" s="54"/>
      <c r="B154" s="217" t="s">
        <v>182</v>
      </c>
      <c r="C154" s="218"/>
      <c r="D154" s="51" t="s">
        <v>171</v>
      </c>
      <c r="E154" s="65"/>
      <c r="F154" s="54"/>
      <c r="G154" s="54"/>
    </row>
    <row r="155" spans="1:7" x14ac:dyDescent="0.2">
      <c r="A155" s="54"/>
      <c r="B155" s="217" t="s">
        <v>183</v>
      </c>
      <c r="C155" s="218"/>
      <c r="D155" s="66">
        <v>0.33937256562445289</v>
      </c>
      <c r="E155" s="54"/>
      <c r="F155" s="44"/>
      <c r="G155" s="64"/>
    </row>
    <row r="157" spans="1:7" x14ac:dyDescent="0.2">
      <c r="B157" s="219" t="s">
        <v>888</v>
      </c>
      <c r="C157" s="219"/>
    </row>
    <row r="159" spans="1:7" ht="153.75" customHeight="1" x14ac:dyDescent="0.2"/>
    <row r="162" spans="2:10" x14ac:dyDescent="0.2">
      <c r="B162" s="67" t="s">
        <v>889</v>
      </c>
      <c r="C162" s="68"/>
      <c r="D162" s="67"/>
    </row>
    <row r="163" spans="2:10" x14ac:dyDescent="0.2">
      <c r="B163" s="67" t="s">
        <v>1054</v>
      </c>
      <c r="D163" s="67"/>
    </row>
    <row r="164" spans="2:10" ht="165" customHeight="1" x14ac:dyDescent="0.2"/>
    <row r="166" spans="2:10" x14ac:dyDescent="0.2">
      <c r="J166" s="24"/>
    </row>
  </sheetData>
  <mergeCells count="18">
    <mergeCell ref="B141:C141"/>
    <mergeCell ref="B142:C142"/>
    <mergeCell ref="B157:C157"/>
    <mergeCell ref="B150:C150"/>
    <mergeCell ref="B154:C154"/>
    <mergeCell ref="B155:C155"/>
    <mergeCell ref="B152:C152"/>
    <mergeCell ref="B153:C153"/>
    <mergeCell ref="B135:H135"/>
    <mergeCell ref="B136:H136"/>
    <mergeCell ref="B137:H137"/>
    <mergeCell ref="B139:D139"/>
    <mergeCell ref="B140:C140"/>
    <mergeCell ref="A1:H1"/>
    <mergeCell ref="A2:H2"/>
    <mergeCell ref="A3:H3"/>
    <mergeCell ref="B133:H133"/>
    <mergeCell ref="B134:H134"/>
  </mergeCells>
  <hyperlinks>
    <hyperlink ref="I1" location="Index!B2" display="Index" xr:uid="{7D1E2DF1-19AA-4CA8-92B5-0595DECA7E2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8F2F7-DB6C-4D6D-AE76-03DC55A9F06C}">
  <sheetPr>
    <outlinePr summaryBelow="0" summaryRight="0"/>
  </sheetPr>
  <dimension ref="A1:Q136"/>
  <sheetViews>
    <sheetView showGridLines="0" workbookViewId="0">
      <selection activeCell="D111" sqref="D11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806</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26</v>
      </c>
      <c r="C7" s="29" t="s">
        <v>27</v>
      </c>
      <c r="D7" s="29" t="s">
        <v>28</v>
      </c>
      <c r="E7" s="30">
        <v>2365000</v>
      </c>
      <c r="F7" s="31">
        <v>34193.17</v>
      </c>
      <c r="G7" s="32">
        <v>0.10067703</v>
      </c>
      <c r="H7" s="27" t="s">
        <v>142</v>
      </c>
    </row>
    <row r="8" spans="1:9" x14ac:dyDescent="0.2">
      <c r="A8" s="28">
        <v>2</v>
      </c>
      <c r="B8" s="29" t="s">
        <v>317</v>
      </c>
      <c r="C8" s="29" t="s">
        <v>318</v>
      </c>
      <c r="D8" s="29" t="s">
        <v>28</v>
      </c>
      <c r="E8" s="30">
        <v>1752617</v>
      </c>
      <c r="F8" s="31">
        <v>34086.648032999998</v>
      </c>
      <c r="G8" s="32">
        <v>0.10036339</v>
      </c>
      <c r="H8" s="27" t="s">
        <v>142</v>
      </c>
    </row>
    <row r="9" spans="1:9" x14ac:dyDescent="0.2">
      <c r="A9" s="28">
        <v>3</v>
      </c>
      <c r="B9" s="29" t="s">
        <v>11</v>
      </c>
      <c r="C9" s="29" t="s">
        <v>12</v>
      </c>
      <c r="D9" s="29" t="s">
        <v>13</v>
      </c>
      <c r="E9" s="30">
        <v>977000</v>
      </c>
      <c r="F9" s="31">
        <v>18135.074000000001</v>
      </c>
      <c r="G9" s="32">
        <v>5.3396199999999998E-2</v>
      </c>
      <c r="H9" s="27" t="s">
        <v>142</v>
      </c>
    </row>
    <row r="10" spans="1:9" x14ac:dyDescent="0.2">
      <c r="A10" s="28">
        <v>4</v>
      </c>
      <c r="B10" s="29" t="s">
        <v>323</v>
      </c>
      <c r="C10" s="29" t="s">
        <v>324</v>
      </c>
      <c r="D10" s="29" t="s">
        <v>200</v>
      </c>
      <c r="E10" s="30">
        <v>1067000</v>
      </c>
      <c r="F10" s="31">
        <v>16674.008999999998</v>
      </c>
      <c r="G10" s="32">
        <v>4.90943E-2</v>
      </c>
      <c r="H10" s="27" t="s">
        <v>142</v>
      </c>
    </row>
    <row r="11" spans="1:9" x14ac:dyDescent="0.2">
      <c r="A11" s="28">
        <v>5</v>
      </c>
      <c r="B11" s="29" t="s">
        <v>14</v>
      </c>
      <c r="C11" s="29" t="s">
        <v>15</v>
      </c>
      <c r="D11" s="29" t="s">
        <v>16</v>
      </c>
      <c r="E11" s="30">
        <v>1011076</v>
      </c>
      <c r="F11" s="31">
        <v>14366.378884</v>
      </c>
      <c r="G11" s="32">
        <v>4.2299799999999999E-2</v>
      </c>
      <c r="H11" s="27" t="s">
        <v>142</v>
      </c>
    </row>
    <row r="12" spans="1:9" ht="25.5" x14ac:dyDescent="0.2">
      <c r="A12" s="28">
        <v>6</v>
      </c>
      <c r="B12" s="29" t="s">
        <v>690</v>
      </c>
      <c r="C12" s="29" t="s">
        <v>691</v>
      </c>
      <c r="D12" s="29" t="s">
        <v>194</v>
      </c>
      <c r="E12" s="30">
        <v>1019304</v>
      </c>
      <c r="F12" s="31">
        <v>12753.531648</v>
      </c>
      <c r="G12" s="32">
        <v>3.7551000000000001E-2</v>
      </c>
      <c r="H12" s="27" t="s">
        <v>142</v>
      </c>
    </row>
    <row r="13" spans="1:9" x14ac:dyDescent="0.2">
      <c r="A13" s="28">
        <v>7</v>
      </c>
      <c r="B13" s="29" t="s">
        <v>319</v>
      </c>
      <c r="C13" s="29" t="s">
        <v>320</v>
      </c>
      <c r="D13" s="29" t="s">
        <v>28</v>
      </c>
      <c r="E13" s="30">
        <v>976671</v>
      </c>
      <c r="F13" s="31">
        <v>11643.871662</v>
      </c>
      <c r="G13" s="32">
        <v>3.4283760000000003E-2</v>
      </c>
      <c r="H13" s="27" t="s">
        <v>142</v>
      </c>
    </row>
    <row r="14" spans="1:9" ht="25.5" x14ac:dyDescent="0.2">
      <c r="A14" s="28">
        <v>8</v>
      </c>
      <c r="B14" s="29" t="s">
        <v>331</v>
      </c>
      <c r="C14" s="29" t="s">
        <v>332</v>
      </c>
      <c r="D14" s="29" t="s">
        <v>194</v>
      </c>
      <c r="E14" s="30">
        <v>662000</v>
      </c>
      <c r="F14" s="31">
        <v>11105.712</v>
      </c>
      <c r="G14" s="32">
        <v>3.2699220000000001E-2</v>
      </c>
      <c r="H14" s="27" t="s">
        <v>142</v>
      </c>
    </row>
    <row r="15" spans="1:9" x14ac:dyDescent="0.2">
      <c r="A15" s="28">
        <v>9</v>
      </c>
      <c r="B15" s="29" t="s">
        <v>37</v>
      </c>
      <c r="C15" s="29" t="s">
        <v>38</v>
      </c>
      <c r="D15" s="29" t="s">
        <v>16</v>
      </c>
      <c r="E15" s="30">
        <v>3353195</v>
      </c>
      <c r="F15" s="31">
        <v>10676.57288</v>
      </c>
      <c r="G15" s="32">
        <v>3.1435680000000001E-2</v>
      </c>
      <c r="H15" s="27" t="s">
        <v>142</v>
      </c>
    </row>
    <row r="16" spans="1:9" x14ac:dyDescent="0.2">
      <c r="A16" s="28">
        <v>10</v>
      </c>
      <c r="B16" s="29" t="s">
        <v>46</v>
      </c>
      <c r="C16" s="29" t="s">
        <v>47</v>
      </c>
      <c r="D16" s="29" t="s">
        <v>28</v>
      </c>
      <c r="E16" s="30">
        <v>1307239</v>
      </c>
      <c r="F16" s="31">
        <v>10618.702396999999</v>
      </c>
      <c r="G16" s="32">
        <v>3.1265290000000001E-2</v>
      </c>
      <c r="H16" s="27" t="s">
        <v>142</v>
      </c>
    </row>
    <row r="17" spans="1:8" x14ac:dyDescent="0.2">
      <c r="A17" s="28">
        <v>11</v>
      </c>
      <c r="B17" s="29" t="s">
        <v>321</v>
      </c>
      <c r="C17" s="29" t="s">
        <v>322</v>
      </c>
      <c r="D17" s="29" t="s">
        <v>28</v>
      </c>
      <c r="E17" s="30">
        <v>496353</v>
      </c>
      <c r="F17" s="31">
        <v>10297.835691</v>
      </c>
      <c r="G17" s="32">
        <v>3.032054E-2</v>
      </c>
      <c r="H17" s="27" t="s">
        <v>142</v>
      </c>
    </row>
    <row r="18" spans="1:8" x14ac:dyDescent="0.2">
      <c r="A18" s="28">
        <v>12</v>
      </c>
      <c r="B18" s="29" t="s">
        <v>17</v>
      </c>
      <c r="C18" s="29" t="s">
        <v>18</v>
      </c>
      <c r="D18" s="29" t="s">
        <v>19</v>
      </c>
      <c r="E18" s="30">
        <v>277730</v>
      </c>
      <c r="F18" s="31">
        <v>10206.855229999999</v>
      </c>
      <c r="G18" s="32">
        <v>3.0052659999999998E-2</v>
      </c>
      <c r="H18" s="27" t="s">
        <v>142</v>
      </c>
    </row>
    <row r="19" spans="1:8" x14ac:dyDescent="0.2">
      <c r="A19" s="28">
        <v>13</v>
      </c>
      <c r="B19" s="29" t="s">
        <v>713</v>
      </c>
      <c r="C19" s="29" t="s">
        <v>714</v>
      </c>
      <c r="D19" s="29" t="s">
        <v>270</v>
      </c>
      <c r="E19" s="30">
        <v>543333</v>
      </c>
      <c r="F19" s="31">
        <v>10189.667082</v>
      </c>
      <c r="G19" s="32">
        <v>3.0002060000000001E-2</v>
      </c>
      <c r="H19" s="27" t="s">
        <v>142</v>
      </c>
    </row>
    <row r="20" spans="1:8" x14ac:dyDescent="0.2">
      <c r="A20" s="28">
        <v>14</v>
      </c>
      <c r="B20" s="29" t="s">
        <v>504</v>
      </c>
      <c r="C20" s="29" t="s">
        <v>505</v>
      </c>
      <c r="D20" s="29" t="s">
        <v>200</v>
      </c>
      <c r="E20" s="30">
        <v>596688</v>
      </c>
      <c r="F20" s="31">
        <v>9391.2724319999998</v>
      </c>
      <c r="G20" s="32">
        <v>2.7651289999999999E-2</v>
      </c>
      <c r="H20" s="27" t="s">
        <v>142</v>
      </c>
    </row>
    <row r="21" spans="1:8" x14ac:dyDescent="0.2">
      <c r="A21" s="28">
        <v>15</v>
      </c>
      <c r="B21" s="29" t="s">
        <v>498</v>
      </c>
      <c r="C21" s="29" t="s">
        <v>499</v>
      </c>
      <c r="D21" s="29" t="s">
        <v>254</v>
      </c>
      <c r="E21" s="30">
        <v>66000</v>
      </c>
      <c r="F21" s="31">
        <v>8130.54</v>
      </c>
      <c r="G21" s="32">
        <v>2.3939240000000001E-2</v>
      </c>
      <c r="H21" s="27" t="s">
        <v>142</v>
      </c>
    </row>
    <row r="22" spans="1:8" x14ac:dyDescent="0.2">
      <c r="A22" s="28">
        <v>16</v>
      </c>
      <c r="B22" s="29" t="s">
        <v>717</v>
      </c>
      <c r="C22" s="29" t="s">
        <v>718</v>
      </c>
      <c r="D22" s="29" t="s">
        <v>290</v>
      </c>
      <c r="E22" s="30">
        <v>198923</v>
      </c>
      <c r="F22" s="31">
        <v>7961.0973830000003</v>
      </c>
      <c r="G22" s="32">
        <v>2.344034E-2</v>
      </c>
      <c r="H22" s="27" t="s">
        <v>142</v>
      </c>
    </row>
    <row r="23" spans="1:8" x14ac:dyDescent="0.2">
      <c r="A23" s="28">
        <v>17</v>
      </c>
      <c r="B23" s="29" t="s">
        <v>252</v>
      </c>
      <c r="C23" s="29" t="s">
        <v>253</v>
      </c>
      <c r="D23" s="29" t="s">
        <v>254</v>
      </c>
      <c r="E23" s="30">
        <v>278803</v>
      </c>
      <c r="F23" s="31">
        <v>7752.9538240000002</v>
      </c>
      <c r="G23" s="32">
        <v>2.2827489999999999E-2</v>
      </c>
      <c r="H23" s="27" t="s">
        <v>142</v>
      </c>
    </row>
    <row r="24" spans="1:8" x14ac:dyDescent="0.2">
      <c r="A24" s="28">
        <v>18</v>
      </c>
      <c r="B24" s="29" t="s">
        <v>65</v>
      </c>
      <c r="C24" s="29" t="s">
        <v>66</v>
      </c>
      <c r="D24" s="29" t="s">
        <v>67</v>
      </c>
      <c r="E24" s="30">
        <v>145000</v>
      </c>
      <c r="F24" s="31">
        <v>7728.5</v>
      </c>
      <c r="G24" s="32">
        <v>2.275549E-2</v>
      </c>
      <c r="H24" s="27" t="s">
        <v>142</v>
      </c>
    </row>
    <row r="25" spans="1:8" ht="25.5" x14ac:dyDescent="0.2">
      <c r="A25" s="28">
        <v>19</v>
      </c>
      <c r="B25" s="29" t="s">
        <v>23</v>
      </c>
      <c r="C25" s="29" t="s">
        <v>24</v>
      </c>
      <c r="D25" s="29" t="s">
        <v>25</v>
      </c>
      <c r="E25" s="30">
        <v>62000</v>
      </c>
      <c r="F25" s="31">
        <v>6950.2</v>
      </c>
      <c r="G25" s="32">
        <v>2.04639E-2</v>
      </c>
      <c r="H25" s="27" t="s">
        <v>142</v>
      </c>
    </row>
    <row r="26" spans="1:8" x14ac:dyDescent="0.2">
      <c r="A26" s="28">
        <v>20</v>
      </c>
      <c r="B26" s="29" t="s">
        <v>20</v>
      </c>
      <c r="C26" s="29" t="s">
        <v>21</v>
      </c>
      <c r="D26" s="29" t="s">
        <v>22</v>
      </c>
      <c r="E26" s="30">
        <v>1967000</v>
      </c>
      <c r="F26" s="31">
        <v>6567.8130000000001</v>
      </c>
      <c r="G26" s="32">
        <v>1.9338009999999999E-2</v>
      </c>
      <c r="H26" s="27" t="s">
        <v>142</v>
      </c>
    </row>
    <row r="27" spans="1:8" x14ac:dyDescent="0.2">
      <c r="A27" s="28">
        <v>21</v>
      </c>
      <c r="B27" s="29" t="s">
        <v>427</v>
      </c>
      <c r="C27" s="29" t="s">
        <v>428</v>
      </c>
      <c r="D27" s="29" t="s">
        <v>429</v>
      </c>
      <c r="E27" s="30">
        <v>1033842</v>
      </c>
      <c r="F27" s="31">
        <v>6549.3890700000002</v>
      </c>
      <c r="G27" s="32">
        <v>1.928376E-2</v>
      </c>
      <c r="H27" s="27" t="s">
        <v>142</v>
      </c>
    </row>
    <row r="28" spans="1:8" x14ac:dyDescent="0.2">
      <c r="A28" s="28">
        <v>22</v>
      </c>
      <c r="B28" s="29" t="s">
        <v>74</v>
      </c>
      <c r="C28" s="29" t="s">
        <v>75</v>
      </c>
      <c r="D28" s="29" t="s">
        <v>64</v>
      </c>
      <c r="E28" s="30">
        <v>109075</v>
      </c>
      <c r="F28" s="31">
        <v>6112.9993000000004</v>
      </c>
      <c r="G28" s="32">
        <v>1.7998879999999998E-2</v>
      </c>
      <c r="H28" s="27" t="s">
        <v>142</v>
      </c>
    </row>
    <row r="29" spans="1:8" x14ac:dyDescent="0.2">
      <c r="A29" s="28">
        <v>23</v>
      </c>
      <c r="B29" s="29" t="s">
        <v>502</v>
      </c>
      <c r="C29" s="29" t="s">
        <v>503</v>
      </c>
      <c r="D29" s="29" t="s">
        <v>254</v>
      </c>
      <c r="E29" s="30">
        <v>70454</v>
      </c>
      <c r="F29" s="31">
        <v>6063.9757799999998</v>
      </c>
      <c r="G29" s="32">
        <v>1.785453E-2</v>
      </c>
      <c r="H29" s="27" t="s">
        <v>142</v>
      </c>
    </row>
    <row r="30" spans="1:8" x14ac:dyDescent="0.2">
      <c r="A30" s="28">
        <v>24</v>
      </c>
      <c r="B30" s="29" t="s">
        <v>350</v>
      </c>
      <c r="C30" s="29" t="s">
        <v>351</v>
      </c>
      <c r="D30" s="29" t="s">
        <v>226</v>
      </c>
      <c r="E30" s="30">
        <v>1187500</v>
      </c>
      <c r="F30" s="31">
        <v>5651.90625</v>
      </c>
      <c r="G30" s="32">
        <v>1.664125E-2</v>
      </c>
      <c r="H30" s="27" t="s">
        <v>142</v>
      </c>
    </row>
    <row r="31" spans="1:8" x14ac:dyDescent="0.2">
      <c r="A31" s="28">
        <v>25</v>
      </c>
      <c r="B31" s="29" t="s">
        <v>421</v>
      </c>
      <c r="C31" s="29" t="s">
        <v>422</v>
      </c>
      <c r="D31" s="29" t="s">
        <v>200</v>
      </c>
      <c r="E31" s="30">
        <v>285965</v>
      </c>
      <c r="F31" s="31">
        <v>4680.1031899999998</v>
      </c>
      <c r="G31" s="32">
        <v>1.3779909999999999E-2</v>
      </c>
      <c r="H31" s="27" t="s">
        <v>142</v>
      </c>
    </row>
    <row r="32" spans="1:8" x14ac:dyDescent="0.2">
      <c r="A32" s="28">
        <v>26</v>
      </c>
      <c r="B32" s="29" t="s">
        <v>423</v>
      </c>
      <c r="C32" s="29" t="s">
        <v>424</v>
      </c>
      <c r="D32" s="29" t="s">
        <v>270</v>
      </c>
      <c r="E32" s="30">
        <v>229431</v>
      </c>
      <c r="F32" s="31">
        <v>4157.7485820000002</v>
      </c>
      <c r="G32" s="32">
        <v>1.224191E-2</v>
      </c>
      <c r="H32" s="27" t="s">
        <v>142</v>
      </c>
    </row>
    <row r="33" spans="1:8" x14ac:dyDescent="0.2">
      <c r="A33" s="28">
        <v>27</v>
      </c>
      <c r="B33" s="29" t="s">
        <v>227</v>
      </c>
      <c r="C33" s="29" t="s">
        <v>228</v>
      </c>
      <c r="D33" s="29" t="s">
        <v>229</v>
      </c>
      <c r="E33" s="30">
        <v>586911</v>
      </c>
      <c r="F33" s="31">
        <v>3847.4950604999999</v>
      </c>
      <c r="G33" s="32">
        <v>1.1328410000000001E-2</v>
      </c>
      <c r="H33" s="27" t="s">
        <v>142</v>
      </c>
    </row>
    <row r="34" spans="1:8" x14ac:dyDescent="0.2">
      <c r="A34" s="28">
        <v>28</v>
      </c>
      <c r="B34" s="29" t="s">
        <v>496</v>
      </c>
      <c r="C34" s="29" t="s">
        <v>497</v>
      </c>
      <c r="D34" s="29" t="s">
        <v>226</v>
      </c>
      <c r="E34" s="30">
        <v>237000</v>
      </c>
      <c r="F34" s="31">
        <v>3602.6370000000002</v>
      </c>
      <c r="G34" s="32">
        <v>1.0607460000000001E-2</v>
      </c>
      <c r="H34" s="27" t="s">
        <v>142</v>
      </c>
    </row>
    <row r="35" spans="1:8" ht="25.5" x14ac:dyDescent="0.2">
      <c r="A35" s="28">
        <v>29</v>
      </c>
      <c r="B35" s="29" t="s">
        <v>425</v>
      </c>
      <c r="C35" s="29" t="s">
        <v>426</v>
      </c>
      <c r="D35" s="29" t="s">
        <v>203</v>
      </c>
      <c r="E35" s="30">
        <v>319989</v>
      </c>
      <c r="F35" s="31">
        <v>3540.0383069999998</v>
      </c>
      <c r="G35" s="32">
        <v>1.0423150000000001E-2</v>
      </c>
      <c r="H35" s="27" t="s">
        <v>142</v>
      </c>
    </row>
    <row r="36" spans="1:8" x14ac:dyDescent="0.2">
      <c r="A36" s="28">
        <v>30</v>
      </c>
      <c r="B36" s="29" t="s">
        <v>335</v>
      </c>
      <c r="C36" s="29" t="s">
        <v>336</v>
      </c>
      <c r="D36" s="29" t="s">
        <v>290</v>
      </c>
      <c r="E36" s="30">
        <v>235000</v>
      </c>
      <c r="F36" s="31">
        <v>3354.625</v>
      </c>
      <c r="G36" s="32">
        <v>9.8772300000000007E-3</v>
      </c>
      <c r="H36" s="27" t="s">
        <v>142</v>
      </c>
    </row>
    <row r="37" spans="1:8" x14ac:dyDescent="0.2">
      <c r="A37" s="28">
        <v>31</v>
      </c>
      <c r="B37" s="29" t="s">
        <v>109</v>
      </c>
      <c r="C37" s="29" t="s">
        <v>110</v>
      </c>
      <c r="D37" s="29" t="s">
        <v>73</v>
      </c>
      <c r="E37" s="30">
        <v>85031</v>
      </c>
      <c r="F37" s="31">
        <v>3069.789162</v>
      </c>
      <c r="G37" s="32">
        <v>9.0385699999999992E-3</v>
      </c>
      <c r="H37" s="27" t="s">
        <v>142</v>
      </c>
    </row>
    <row r="38" spans="1:8" x14ac:dyDescent="0.2">
      <c r="A38" s="28">
        <v>32</v>
      </c>
      <c r="B38" s="29" t="s">
        <v>727</v>
      </c>
      <c r="C38" s="29" t="s">
        <v>728</v>
      </c>
      <c r="D38" s="29" t="s">
        <v>61</v>
      </c>
      <c r="E38" s="30">
        <v>281548</v>
      </c>
      <c r="F38" s="31">
        <v>2927.3953299999998</v>
      </c>
      <c r="G38" s="32">
        <v>8.6193099999999998E-3</v>
      </c>
      <c r="H38" s="27" t="s">
        <v>142</v>
      </c>
    </row>
    <row r="39" spans="1:8" x14ac:dyDescent="0.2">
      <c r="A39" s="25"/>
      <c r="B39" s="25"/>
      <c r="C39" s="26" t="s">
        <v>141</v>
      </c>
      <c r="D39" s="25"/>
      <c r="E39" s="25" t="s">
        <v>142</v>
      </c>
      <c r="F39" s="33">
        <v>312988.5071775</v>
      </c>
      <c r="G39" s="34">
        <v>0.92155105999999998</v>
      </c>
      <c r="H39" s="27" t="s">
        <v>142</v>
      </c>
    </row>
    <row r="40" spans="1:8" x14ac:dyDescent="0.2">
      <c r="A40" s="25"/>
      <c r="B40" s="25"/>
      <c r="C40" s="35"/>
      <c r="D40" s="25"/>
      <c r="E40" s="25"/>
      <c r="F40" s="36"/>
      <c r="G40" s="36"/>
      <c r="H40" s="27" t="s">
        <v>142</v>
      </c>
    </row>
    <row r="41" spans="1:8" x14ac:dyDescent="0.2">
      <c r="A41" s="25"/>
      <c r="B41" s="25"/>
      <c r="C41" s="26" t="s">
        <v>143</v>
      </c>
      <c r="D41" s="25"/>
      <c r="E41" s="25"/>
      <c r="F41" s="25"/>
      <c r="G41" s="25"/>
      <c r="H41" s="27" t="s">
        <v>142</v>
      </c>
    </row>
    <row r="42" spans="1:8" x14ac:dyDescent="0.2">
      <c r="A42" s="25"/>
      <c r="B42" s="25"/>
      <c r="C42" s="26" t="s">
        <v>141</v>
      </c>
      <c r="D42" s="25"/>
      <c r="E42" s="25" t="s">
        <v>142</v>
      </c>
      <c r="F42" s="37" t="s">
        <v>144</v>
      </c>
      <c r="G42" s="34">
        <v>0</v>
      </c>
      <c r="H42" s="27" t="s">
        <v>142</v>
      </c>
    </row>
    <row r="43" spans="1:8" x14ac:dyDescent="0.2">
      <c r="A43" s="25"/>
      <c r="B43" s="25"/>
      <c r="C43" s="35"/>
      <c r="D43" s="25"/>
      <c r="E43" s="25"/>
      <c r="F43" s="36"/>
      <c r="G43" s="36"/>
      <c r="H43" s="27" t="s">
        <v>142</v>
      </c>
    </row>
    <row r="44" spans="1:8" x14ac:dyDescent="0.2">
      <c r="A44" s="25"/>
      <c r="B44" s="25"/>
      <c r="C44" s="26" t="s">
        <v>145</v>
      </c>
      <c r="D44" s="25"/>
      <c r="E44" s="25"/>
      <c r="F44" s="25"/>
      <c r="G44" s="25"/>
      <c r="H44" s="27" t="s">
        <v>142</v>
      </c>
    </row>
    <row r="45" spans="1:8" x14ac:dyDescent="0.2">
      <c r="A45" s="25"/>
      <c r="B45" s="25"/>
      <c r="C45" s="26" t="s">
        <v>141</v>
      </c>
      <c r="D45" s="25"/>
      <c r="E45" s="25" t="s">
        <v>142</v>
      </c>
      <c r="F45" s="37" t="s">
        <v>144</v>
      </c>
      <c r="G45" s="34">
        <v>0</v>
      </c>
      <c r="H45" s="27" t="s">
        <v>142</v>
      </c>
    </row>
    <row r="46" spans="1:8" x14ac:dyDescent="0.2">
      <c r="A46" s="25"/>
      <c r="B46" s="25"/>
      <c r="C46" s="35"/>
      <c r="D46" s="25"/>
      <c r="E46" s="25"/>
      <c r="F46" s="36"/>
      <c r="G46" s="36"/>
      <c r="H46" s="27" t="s">
        <v>142</v>
      </c>
    </row>
    <row r="47" spans="1:8" x14ac:dyDescent="0.2">
      <c r="A47" s="25"/>
      <c r="B47" s="25"/>
      <c r="C47" s="26" t="s">
        <v>146</v>
      </c>
      <c r="D47" s="25"/>
      <c r="E47" s="25"/>
      <c r="F47" s="25"/>
      <c r="G47" s="25"/>
      <c r="H47" s="27" t="s">
        <v>142</v>
      </c>
    </row>
    <row r="48" spans="1:8" x14ac:dyDescent="0.2">
      <c r="A48" s="25"/>
      <c r="B48" s="25"/>
      <c r="C48" s="26" t="s">
        <v>141</v>
      </c>
      <c r="D48" s="25"/>
      <c r="E48" s="25" t="s">
        <v>142</v>
      </c>
      <c r="F48" s="37" t="s">
        <v>144</v>
      </c>
      <c r="G48" s="34">
        <v>0</v>
      </c>
      <c r="H48" s="27" t="s">
        <v>142</v>
      </c>
    </row>
    <row r="49" spans="1:8" x14ac:dyDescent="0.2">
      <c r="A49" s="25"/>
      <c r="B49" s="25"/>
      <c r="C49" s="35"/>
      <c r="D49" s="25"/>
      <c r="E49" s="25"/>
      <c r="F49" s="36"/>
      <c r="G49" s="36"/>
      <c r="H49" s="27" t="s">
        <v>142</v>
      </c>
    </row>
    <row r="50" spans="1:8" x14ac:dyDescent="0.2">
      <c r="A50" s="25"/>
      <c r="B50" s="25"/>
      <c r="C50" s="26" t="s">
        <v>147</v>
      </c>
      <c r="D50" s="25"/>
      <c r="E50" s="25"/>
      <c r="F50" s="36"/>
      <c r="G50" s="36"/>
      <c r="H50" s="27" t="s">
        <v>142</v>
      </c>
    </row>
    <row r="51" spans="1:8" x14ac:dyDescent="0.2">
      <c r="A51" s="25"/>
      <c r="B51" s="25"/>
      <c r="C51" s="26" t="s">
        <v>141</v>
      </c>
      <c r="D51" s="25"/>
      <c r="E51" s="25" t="s">
        <v>142</v>
      </c>
      <c r="F51" s="37" t="s">
        <v>144</v>
      </c>
      <c r="G51" s="34">
        <v>0</v>
      </c>
      <c r="H51" s="27" t="s">
        <v>142</v>
      </c>
    </row>
    <row r="52" spans="1:8" x14ac:dyDescent="0.2">
      <c r="A52" s="25"/>
      <c r="B52" s="25"/>
      <c r="C52" s="35"/>
      <c r="D52" s="25"/>
      <c r="E52" s="25"/>
      <c r="F52" s="36"/>
      <c r="G52" s="36"/>
      <c r="H52" s="27" t="s">
        <v>142</v>
      </c>
    </row>
    <row r="53" spans="1:8" x14ac:dyDescent="0.2">
      <c r="A53" s="25"/>
      <c r="B53" s="25"/>
      <c r="C53" s="26" t="s">
        <v>148</v>
      </c>
      <c r="D53" s="25"/>
      <c r="E53" s="25"/>
      <c r="F53" s="36"/>
      <c r="G53" s="36"/>
      <c r="H53" s="27" t="s">
        <v>142</v>
      </c>
    </row>
    <row r="54" spans="1:8" x14ac:dyDescent="0.2">
      <c r="A54" s="25"/>
      <c r="B54" s="25"/>
      <c r="C54" s="26" t="s">
        <v>141</v>
      </c>
      <c r="D54" s="25"/>
      <c r="E54" s="25" t="s">
        <v>142</v>
      </c>
      <c r="F54" s="37" t="s">
        <v>144</v>
      </c>
      <c r="G54" s="34">
        <v>0</v>
      </c>
      <c r="H54" s="27" t="s">
        <v>142</v>
      </c>
    </row>
    <row r="55" spans="1:8" x14ac:dyDescent="0.2">
      <c r="A55" s="25"/>
      <c r="B55" s="25"/>
      <c r="C55" s="35"/>
      <c r="D55" s="25"/>
      <c r="E55" s="25"/>
      <c r="F55" s="36"/>
      <c r="G55" s="36"/>
      <c r="H55" s="27" t="s">
        <v>142</v>
      </c>
    </row>
    <row r="56" spans="1:8" x14ac:dyDescent="0.2">
      <c r="A56" s="25"/>
      <c r="B56" s="25"/>
      <c r="C56" s="26" t="s">
        <v>149</v>
      </c>
      <c r="D56" s="25"/>
      <c r="E56" s="25"/>
      <c r="F56" s="33">
        <v>312988.5071775</v>
      </c>
      <c r="G56" s="34">
        <v>0.92155105999999998</v>
      </c>
      <c r="H56" s="27" t="s">
        <v>142</v>
      </c>
    </row>
    <row r="57" spans="1:8" x14ac:dyDescent="0.2">
      <c r="A57" s="25"/>
      <c r="B57" s="25"/>
      <c r="C57" s="35"/>
      <c r="D57" s="25"/>
      <c r="E57" s="25"/>
      <c r="F57" s="36"/>
      <c r="G57" s="36"/>
      <c r="H57" s="27" t="s">
        <v>142</v>
      </c>
    </row>
    <row r="58" spans="1:8" x14ac:dyDescent="0.2">
      <c r="A58" s="25"/>
      <c r="B58" s="25"/>
      <c r="C58" s="26" t="s">
        <v>150</v>
      </c>
      <c r="D58" s="25"/>
      <c r="E58" s="25"/>
      <c r="F58" s="36"/>
      <c r="G58" s="36"/>
      <c r="H58" s="27" t="s">
        <v>142</v>
      </c>
    </row>
    <row r="59" spans="1:8" x14ac:dyDescent="0.2">
      <c r="A59" s="25"/>
      <c r="B59" s="25"/>
      <c r="C59" s="26" t="s">
        <v>10</v>
      </c>
      <c r="D59" s="25"/>
      <c r="E59" s="25"/>
      <c r="F59" s="36"/>
      <c r="G59" s="36"/>
      <c r="H59" s="27" t="s">
        <v>142</v>
      </c>
    </row>
    <row r="60" spans="1:8" x14ac:dyDescent="0.2">
      <c r="A60" s="25"/>
      <c r="B60" s="25"/>
      <c r="C60" s="26" t="s">
        <v>141</v>
      </c>
      <c r="D60" s="25"/>
      <c r="E60" s="25" t="s">
        <v>142</v>
      </c>
      <c r="F60" s="37" t="s">
        <v>144</v>
      </c>
      <c r="G60" s="34">
        <v>0</v>
      </c>
      <c r="H60" s="27" t="s">
        <v>142</v>
      </c>
    </row>
    <row r="61" spans="1:8" x14ac:dyDescent="0.2">
      <c r="A61" s="25"/>
      <c r="B61" s="25"/>
      <c r="C61" s="35"/>
      <c r="D61" s="25"/>
      <c r="E61" s="25"/>
      <c r="F61" s="36"/>
      <c r="G61" s="36"/>
      <c r="H61" s="27" t="s">
        <v>142</v>
      </c>
    </row>
    <row r="62" spans="1:8" x14ac:dyDescent="0.2">
      <c r="A62" s="25"/>
      <c r="B62" s="25"/>
      <c r="C62" s="26" t="s">
        <v>151</v>
      </c>
      <c r="D62" s="25"/>
      <c r="E62" s="25"/>
      <c r="F62" s="25"/>
      <c r="G62" s="25"/>
      <c r="H62" s="27" t="s">
        <v>142</v>
      </c>
    </row>
    <row r="63" spans="1:8" x14ac:dyDescent="0.2">
      <c r="A63" s="25"/>
      <c r="B63" s="25"/>
      <c r="C63" s="26" t="s">
        <v>141</v>
      </c>
      <c r="D63" s="25"/>
      <c r="E63" s="25" t="s">
        <v>142</v>
      </c>
      <c r="F63" s="37" t="s">
        <v>144</v>
      </c>
      <c r="G63" s="34">
        <v>0</v>
      </c>
      <c r="H63" s="27" t="s">
        <v>142</v>
      </c>
    </row>
    <row r="64" spans="1:8" x14ac:dyDescent="0.2">
      <c r="A64" s="25"/>
      <c r="B64" s="25"/>
      <c r="C64" s="35"/>
      <c r="D64" s="25"/>
      <c r="E64" s="25"/>
      <c r="F64" s="36"/>
      <c r="G64" s="36"/>
      <c r="H64" s="27" t="s">
        <v>142</v>
      </c>
    </row>
    <row r="65" spans="1:8" x14ac:dyDescent="0.2">
      <c r="A65" s="25"/>
      <c r="B65" s="25"/>
      <c r="C65" s="26" t="s">
        <v>152</v>
      </c>
      <c r="D65" s="25"/>
      <c r="E65" s="25"/>
      <c r="F65" s="25"/>
      <c r="G65" s="25"/>
      <c r="H65" s="27" t="s">
        <v>142</v>
      </c>
    </row>
    <row r="66" spans="1:8" x14ac:dyDescent="0.2">
      <c r="A66" s="25"/>
      <c r="B66" s="25"/>
      <c r="C66" s="26" t="s">
        <v>141</v>
      </c>
      <c r="D66" s="25"/>
      <c r="E66" s="25" t="s">
        <v>142</v>
      </c>
      <c r="F66" s="37" t="s">
        <v>144</v>
      </c>
      <c r="G66" s="34">
        <v>0</v>
      </c>
      <c r="H66" s="27" t="s">
        <v>142</v>
      </c>
    </row>
    <row r="67" spans="1:8" x14ac:dyDescent="0.2">
      <c r="A67" s="25"/>
      <c r="B67" s="25"/>
      <c r="C67" s="35"/>
      <c r="D67" s="25"/>
      <c r="E67" s="25"/>
      <c r="F67" s="36"/>
      <c r="G67" s="36"/>
      <c r="H67" s="27" t="s">
        <v>142</v>
      </c>
    </row>
    <row r="68" spans="1:8" x14ac:dyDescent="0.2">
      <c r="A68" s="25"/>
      <c r="B68" s="25"/>
      <c r="C68" s="26" t="s">
        <v>153</v>
      </c>
      <c r="D68" s="25"/>
      <c r="E68" s="25"/>
      <c r="F68" s="36"/>
      <c r="G68" s="36"/>
      <c r="H68" s="27" t="s">
        <v>142</v>
      </c>
    </row>
    <row r="69" spans="1:8" x14ac:dyDescent="0.2">
      <c r="A69" s="25"/>
      <c r="B69" s="25"/>
      <c r="C69" s="26" t="s">
        <v>141</v>
      </c>
      <c r="D69" s="25"/>
      <c r="E69" s="25" t="s">
        <v>142</v>
      </c>
      <c r="F69" s="37" t="s">
        <v>144</v>
      </c>
      <c r="G69" s="34">
        <v>0</v>
      </c>
      <c r="H69" s="27" t="s">
        <v>142</v>
      </c>
    </row>
    <row r="70" spans="1:8" x14ac:dyDescent="0.2">
      <c r="A70" s="25"/>
      <c r="B70" s="25"/>
      <c r="C70" s="35"/>
      <c r="D70" s="25"/>
      <c r="E70" s="25"/>
      <c r="F70" s="36"/>
      <c r="G70" s="36"/>
      <c r="H70" s="27" t="s">
        <v>142</v>
      </c>
    </row>
    <row r="71" spans="1:8" x14ac:dyDescent="0.2">
      <c r="A71" s="25"/>
      <c r="B71" s="25"/>
      <c r="C71" s="26" t="s">
        <v>154</v>
      </c>
      <c r="D71" s="25"/>
      <c r="E71" s="25"/>
      <c r="F71" s="33">
        <v>0</v>
      </c>
      <c r="G71" s="34">
        <v>0</v>
      </c>
      <c r="H71" s="27" t="s">
        <v>142</v>
      </c>
    </row>
    <row r="72" spans="1:8" x14ac:dyDescent="0.2">
      <c r="A72" s="25"/>
      <c r="B72" s="25"/>
      <c r="C72" s="35"/>
      <c r="D72" s="25"/>
      <c r="E72" s="25"/>
      <c r="F72" s="36"/>
      <c r="G72" s="36"/>
      <c r="H72" s="27" t="s">
        <v>142</v>
      </c>
    </row>
    <row r="73" spans="1:8" x14ac:dyDescent="0.2">
      <c r="A73" s="25"/>
      <c r="B73" s="25"/>
      <c r="C73" s="26" t="s">
        <v>155</v>
      </c>
      <c r="D73" s="25"/>
      <c r="E73" s="25"/>
      <c r="F73" s="36"/>
      <c r="G73" s="36"/>
      <c r="H73" s="27" t="s">
        <v>142</v>
      </c>
    </row>
    <row r="74" spans="1:8" x14ac:dyDescent="0.2">
      <c r="A74" s="25"/>
      <c r="B74" s="25"/>
      <c r="C74" s="26" t="s">
        <v>156</v>
      </c>
      <c r="D74" s="25"/>
      <c r="E74" s="25"/>
      <c r="F74" s="36"/>
      <c r="G74" s="36"/>
      <c r="H74" s="27" t="s">
        <v>142</v>
      </c>
    </row>
    <row r="75" spans="1:8" x14ac:dyDescent="0.2">
      <c r="A75" s="25"/>
      <c r="B75" s="25"/>
      <c r="C75" s="26" t="s">
        <v>141</v>
      </c>
      <c r="D75" s="25"/>
      <c r="E75" s="25" t="s">
        <v>142</v>
      </c>
      <c r="F75" s="37" t="s">
        <v>144</v>
      </c>
      <c r="G75" s="34">
        <v>0</v>
      </c>
      <c r="H75" s="27" t="s">
        <v>142</v>
      </c>
    </row>
    <row r="76" spans="1:8" x14ac:dyDescent="0.2">
      <c r="A76" s="25"/>
      <c r="B76" s="25"/>
      <c r="C76" s="35"/>
      <c r="D76" s="25"/>
      <c r="E76" s="25"/>
      <c r="F76" s="36"/>
      <c r="G76" s="36"/>
      <c r="H76" s="27" t="s">
        <v>142</v>
      </c>
    </row>
    <row r="77" spans="1:8" x14ac:dyDescent="0.2">
      <c r="A77" s="25"/>
      <c r="B77" s="25"/>
      <c r="C77" s="26" t="s">
        <v>157</v>
      </c>
      <c r="D77" s="25"/>
      <c r="E77" s="25"/>
      <c r="F77" s="36"/>
      <c r="G77" s="36"/>
      <c r="H77" s="27" t="s">
        <v>142</v>
      </c>
    </row>
    <row r="78" spans="1:8" x14ac:dyDescent="0.2">
      <c r="A78" s="25"/>
      <c r="B78" s="25"/>
      <c r="C78" s="26" t="s">
        <v>141</v>
      </c>
      <c r="D78" s="25"/>
      <c r="E78" s="25" t="s">
        <v>142</v>
      </c>
      <c r="F78" s="37" t="s">
        <v>144</v>
      </c>
      <c r="G78" s="34">
        <v>0</v>
      </c>
      <c r="H78" s="27" t="s">
        <v>142</v>
      </c>
    </row>
    <row r="79" spans="1:8" x14ac:dyDescent="0.2">
      <c r="A79" s="25"/>
      <c r="B79" s="25"/>
      <c r="C79" s="35"/>
      <c r="D79" s="25"/>
      <c r="E79" s="25"/>
      <c r="F79" s="36"/>
      <c r="G79" s="36"/>
      <c r="H79" s="27" t="s">
        <v>142</v>
      </c>
    </row>
    <row r="80" spans="1:8" x14ac:dyDescent="0.2">
      <c r="A80" s="25"/>
      <c r="B80" s="25"/>
      <c r="C80" s="26" t="s">
        <v>158</v>
      </c>
      <c r="D80" s="25"/>
      <c r="E80" s="25"/>
      <c r="F80" s="36"/>
      <c r="G80" s="36"/>
      <c r="H80" s="27" t="s">
        <v>142</v>
      </c>
    </row>
    <row r="81" spans="1:8" x14ac:dyDescent="0.2">
      <c r="A81" s="25"/>
      <c r="B81" s="25"/>
      <c r="C81" s="26" t="s">
        <v>141</v>
      </c>
      <c r="D81" s="25"/>
      <c r="E81" s="25" t="s">
        <v>142</v>
      </c>
      <c r="F81" s="37" t="s">
        <v>144</v>
      </c>
      <c r="G81" s="34">
        <v>0</v>
      </c>
      <c r="H81" s="27" t="s">
        <v>142</v>
      </c>
    </row>
    <row r="82" spans="1:8" x14ac:dyDescent="0.2">
      <c r="A82" s="25"/>
      <c r="B82" s="25"/>
      <c r="C82" s="35"/>
      <c r="D82" s="25"/>
      <c r="E82" s="25"/>
      <c r="F82" s="36"/>
      <c r="G82" s="36"/>
      <c r="H82" s="27" t="s">
        <v>142</v>
      </c>
    </row>
    <row r="83" spans="1:8" x14ac:dyDescent="0.2">
      <c r="A83" s="25"/>
      <c r="B83" s="25"/>
      <c r="C83" s="26" t="s">
        <v>159</v>
      </c>
      <c r="D83" s="25"/>
      <c r="E83" s="25"/>
      <c r="F83" s="36"/>
      <c r="G83" s="36"/>
      <c r="H83" s="27" t="s">
        <v>142</v>
      </c>
    </row>
    <row r="84" spans="1:8" x14ac:dyDescent="0.2">
      <c r="A84" s="28">
        <v>1</v>
      </c>
      <c r="B84" s="29"/>
      <c r="C84" s="29" t="s">
        <v>160</v>
      </c>
      <c r="D84" s="29"/>
      <c r="E84" s="39"/>
      <c r="F84" s="31">
        <v>26639.848127853998</v>
      </c>
      <c r="G84" s="32">
        <v>7.8437320000000005E-2</v>
      </c>
      <c r="H84" s="27">
        <v>5.76</v>
      </c>
    </row>
    <row r="85" spans="1:8" x14ac:dyDescent="0.2">
      <c r="A85" s="25"/>
      <c r="B85" s="25"/>
      <c r="C85" s="26" t="s">
        <v>141</v>
      </c>
      <c r="D85" s="25"/>
      <c r="E85" s="25" t="s">
        <v>142</v>
      </c>
      <c r="F85" s="33">
        <v>26639.848127853998</v>
      </c>
      <c r="G85" s="34">
        <v>7.8437320000000005E-2</v>
      </c>
      <c r="H85" s="27" t="s">
        <v>142</v>
      </c>
    </row>
    <row r="86" spans="1:8" x14ac:dyDescent="0.2">
      <c r="A86" s="25"/>
      <c r="B86" s="25"/>
      <c r="C86" s="35"/>
      <c r="D86" s="25"/>
      <c r="E86" s="25"/>
      <c r="F86" s="36"/>
      <c r="G86" s="36"/>
      <c r="H86" s="27" t="s">
        <v>142</v>
      </c>
    </row>
    <row r="87" spans="1:8" x14ac:dyDescent="0.2">
      <c r="A87" s="25"/>
      <c r="B87" s="25"/>
      <c r="C87" s="26" t="s">
        <v>161</v>
      </c>
      <c r="D87" s="25"/>
      <c r="E87" s="25"/>
      <c r="F87" s="33">
        <v>26639.848127853998</v>
      </c>
      <c r="G87" s="34">
        <v>7.8437320000000005E-2</v>
      </c>
      <c r="H87" s="27" t="s">
        <v>142</v>
      </c>
    </row>
    <row r="88" spans="1:8" x14ac:dyDescent="0.2">
      <c r="A88" s="25"/>
      <c r="B88" s="25"/>
      <c r="C88" s="36"/>
      <c r="D88" s="25"/>
      <c r="E88" s="25"/>
      <c r="F88" s="25"/>
      <c r="G88" s="25"/>
      <c r="H88" s="27" t="s">
        <v>142</v>
      </c>
    </row>
    <row r="89" spans="1:8" x14ac:dyDescent="0.2">
      <c r="A89" s="25"/>
      <c r="B89" s="25"/>
      <c r="C89" s="26" t="s">
        <v>162</v>
      </c>
      <c r="D89" s="25"/>
      <c r="E89" s="25"/>
      <c r="F89" s="25"/>
      <c r="G89" s="25"/>
      <c r="H89" s="27" t="s">
        <v>142</v>
      </c>
    </row>
    <row r="90" spans="1:8" x14ac:dyDescent="0.2">
      <c r="A90" s="25"/>
      <c r="B90" s="25"/>
      <c r="C90" s="26" t="s">
        <v>163</v>
      </c>
      <c r="D90" s="25"/>
      <c r="E90" s="25"/>
      <c r="F90" s="25"/>
      <c r="G90" s="25"/>
      <c r="H90" s="27" t="s">
        <v>142</v>
      </c>
    </row>
    <row r="91" spans="1:8" x14ac:dyDescent="0.2">
      <c r="A91" s="25"/>
      <c r="B91" s="25"/>
      <c r="C91" s="26" t="s">
        <v>141</v>
      </c>
      <c r="D91" s="25"/>
      <c r="E91" s="25" t="s">
        <v>142</v>
      </c>
      <c r="F91" s="37" t="s">
        <v>144</v>
      </c>
      <c r="G91" s="34">
        <v>0</v>
      </c>
      <c r="H91" s="27" t="s">
        <v>142</v>
      </c>
    </row>
    <row r="92" spans="1:8" x14ac:dyDescent="0.2">
      <c r="A92" s="25"/>
      <c r="B92" s="25"/>
      <c r="C92" s="35"/>
      <c r="D92" s="25"/>
      <c r="E92" s="25"/>
      <c r="F92" s="36"/>
      <c r="G92" s="36"/>
      <c r="H92" s="27" t="s">
        <v>142</v>
      </c>
    </row>
    <row r="93" spans="1:8" x14ac:dyDescent="0.2">
      <c r="A93" s="25"/>
      <c r="B93" s="25"/>
      <c r="C93" s="26" t="s">
        <v>164</v>
      </c>
      <c r="D93" s="25"/>
      <c r="E93" s="25"/>
      <c r="F93" s="25"/>
      <c r="G93" s="25"/>
      <c r="H93" s="27" t="s">
        <v>142</v>
      </c>
    </row>
    <row r="94" spans="1:8" x14ac:dyDescent="0.2">
      <c r="A94" s="25"/>
      <c r="B94" s="25"/>
      <c r="C94" s="26" t="s">
        <v>165</v>
      </c>
      <c r="D94" s="25"/>
      <c r="E94" s="25"/>
      <c r="F94" s="25"/>
      <c r="G94" s="25"/>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17" x14ac:dyDescent="0.2">
      <c r="A97" s="25"/>
      <c r="B97" s="25"/>
      <c r="C97" s="26" t="s">
        <v>166</v>
      </c>
      <c r="D97" s="25"/>
      <c r="E97" s="25"/>
      <c r="F97" s="36"/>
      <c r="G97" s="36"/>
      <c r="H97" s="27" t="s">
        <v>142</v>
      </c>
    </row>
    <row r="98" spans="1:17" x14ac:dyDescent="0.2">
      <c r="A98" s="25"/>
      <c r="B98" s="25"/>
      <c r="C98" s="26" t="s">
        <v>141</v>
      </c>
      <c r="D98" s="25"/>
      <c r="E98" s="25" t="s">
        <v>142</v>
      </c>
      <c r="F98" s="37" t="s">
        <v>144</v>
      </c>
      <c r="G98" s="34">
        <v>0</v>
      </c>
      <c r="H98" s="27" t="s">
        <v>142</v>
      </c>
    </row>
    <row r="99" spans="1:17" x14ac:dyDescent="0.2">
      <c r="A99" s="25"/>
      <c r="B99" s="25"/>
      <c r="C99" s="35"/>
      <c r="D99" s="25"/>
      <c r="E99" s="25"/>
      <c r="F99" s="36"/>
      <c r="G99" s="36"/>
      <c r="H99" s="27" t="s">
        <v>142</v>
      </c>
    </row>
    <row r="100" spans="1:17" x14ac:dyDescent="0.2">
      <c r="A100" s="39"/>
      <c r="B100" s="29"/>
      <c r="C100" s="29" t="s">
        <v>167</v>
      </c>
      <c r="D100" s="29"/>
      <c r="E100" s="39"/>
      <c r="F100" s="31">
        <v>3.9495186699999998</v>
      </c>
      <c r="G100" s="32" t="s">
        <v>140</v>
      </c>
      <c r="H100" s="27" t="s">
        <v>142</v>
      </c>
    </row>
    <row r="101" spans="1:17" x14ac:dyDescent="0.2">
      <c r="A101" s="35"/>
      <c r="B101" s="35"/>
      <c r="C101" s="26" t="s">
        <v>168</v>
      </c>
      <c r="D101" s="36"/>
      <c r="E101" s="36"/>
      <c r="F101" s="33">
        <v>339632.30482402397</v>
      </c>
      <c r="G101" s="40">
        <v>1.0000000099999999</v>
      </c>
      <c r="H101" s="27" t="s">
        <v>142</v>
      </c>
    </row>
    <row r="102" spans="1:17" x14ac:dyDescent="0.2">
      <c r="A102" s="41"/>
      <c r="B102" s="41"/>
      <c r="C102" s="41"/>
      <c r="D102" s="42"/>
      <c r="E102" s="42"/>
      <c r="F102" s="42"/>
      <c r="G102" s="42"/>
    </row>
    <row r="103" spans="1:17" x14ac:dyDescent="0.2">
      <c r="A103" s="43"/>
      <c r="B103" s="210" t="s">
        <v>879</v>
      </c>
      <c r="C103" s="210"/>
      <c r="D103" s="210"/>
      <c r="E103" s="210"/>
      <c r="F103" s="210"/>
      <c r="G103" s="210"/>
      <c r="H103" s="210"/>
      <c r="J103" s="45"/>
    </row>
    <row r="104" spans="1:17" x14ac:dyDescent="0.2">
      <c r="A104" s="43"/>
      <c r="B104" s="210" t="s">
        <v>880</v>
      </c>
      <c r="C104" s="210"/>
      <c r="D104" s="210"/>
      <c r="E104" s="210"/>
      <c r="F104" s="210"/>
      <c r="G104" s="210"/>
      <c r="H104" s="210"/>
      <c r="J104" s="45"/>
    </row>
    <row r="105" spans="1:17" x14ac:dyDescent="0.2">
      <c r="A105" s="43"/>
      <c r="B105" s="210" t="s">
        <v>881</v>
      </c>
      <c r="C105" s="210"/>
      <c r="D105" s="210"/>
      <c r="E105" s="210"/>
      <c r="F105" s="210"/>
      <c r="G105" s="210"/>
      <c r="H105" s="210"/>
      <c r="J105" s="45"/>
    </row>
    <row r="106" spans="1:17" s="47" customFormat="1" ht="66.75" customHeight="1" x14ac:dyDescent="0.25">
      <c r="A106" s="46"/>
      <c r="B106" s="211" t="s">
        <v>882</v>
      </c>
      <c r="C106" s="211"/>
      <c r="D106" s="211"/>
      <c r="E106" s="211"/>
      <c r="F106" s="211"/>
      <c r="G106" s="211"/>
      <c r="H106" s="211"/>
      <c r="I106"/>
      <c r="J106" s="45"/>
      <c r="K106"/>
      <c r="L106"/>
      <c r="M106"/>
      <c r="N106"/>
      <c r="O106"/>
      <c r="P106"/>
      <c r="Q106"/>
    </row>
    <row r="107" spans="1:17" x14ac:dyDescent="0.2">
      <c r="A107" s="43"/>
      <c r="B107" s="210" t="s">
        <v>883</v>
      </c>
      <c r="C107" s="210"/>
      <c r="D107" s="210"/>
      <c r="E107" s="210"/>
      <c r="F107" s="210"/>
      <c r="G107" s="210"/>
      <c r="H107" s="210"/>
      <c r="J107" s="45"/>
    </row>
    <row r="108" spans="1:17" x14ac:dyDescent="0.2">
      <c r="A108" s="48"/>
      <c r="B108" s="48"/>
      <c r="C108" s="48"/>
      <c r="D108" s="49"/>
      <c r="E108" s="49"/>
      <c r="F108" s="49"/>
      <c r="G108" s="49"/>
    </row>
    <row r="109" spans="1:17" x14ac:dyDescent="0.2">
      <c r="A109" s="48"/>
      <c r="B109" s="212" t="s">
        <v>169</v>
      </c>
      <c r="C109" s="213"/>
      <c r="D109" s="214"/>
      <c r="E109" s="50"/>
      <c r="F109" s="49"/>
      <c r="G109" s="49"/>
    </row>
    <row r="110" spans="1:17" ht="27.75" customHeight="1" x14ac:dyDescent="0.2">
      <c r="A110" s="48"/>
      <c r="B110" s="215" t="s">
        <v>170</v>
      </c>
      <c r="C110" s="216"/>
      <c r="D110" s="26" t="s">
        <v>171</v>
      </c>
      <c r="E110" s="50"/>
      <c r="F110" s="49"/>
      <c r="G110" s="49"/>
    </row>
    <row r="111" spans="1:17" ht="12.75" customHeight="1" x14ac:dyDescent="0.2">
      <c r="A111" s="43"/>
      <c r="B111" s="217" t="s">
        <v>884</v>
      </c>
      <c r="C111" s="218"/>
      <c r="D111" s="26" t="s">
        <v>171</v>
      </c>
      <c r="E111" s="52"/>
      <c r="F111" s="53"/>
      <c r="G111" s="53"/>
    </row>
    <row r="112" spans="1:17" x14ac:dyDescent="0.2">
      <c r="A112" s="48"/>
      <c r="B112" s="215" t="s">
        <v>172</v>
      </c>
      <c r="C112" s="216"/>
      <c r="D112" s="36" t="s">
        <v>142</v>
      </c>
      <c r="E112" s="50"/>
      <c r="F112" s="49"/>
      <c r="G112" s="49"/>
    </row>
    <row r="113" spans="1:10" x14ac:dyDescent="0.2">
      <c r="A113" s="54"/>
      <c r="B113" s="55" t="s">
        <v>142</v>
      </c>
      <c r="C113" s="55" t="s">
        <v>885</v>
      </c>
      <c r="D113" s="55" t="s">
        <v>173</v>
      </c>
      <c r="E113" s="54"/>
      <c r="F113" s="54"/>
      <c r="G113" s="54"/>
      <c r="H113" s="54"/>
      <c r="J113" s="45"/>
    </row>
    <row r="114" spans="1:10" x14ac:dyDescent="0.2">
      <c r="A114" s="54"/>
      <c r="B114" s="56" t="s">
        <v>174</v>
      </c>
      <c r="C114" s="57">
        <v>45777</v>
      </c>
      <c r="D114" s="57">
        <v>45808</v>
      </c>
      <c r="E114" s="54"/>
      <c r="F114" s="54"/>
      <c r="G114" s="54"/>
      <c r="H114" s="45"/>
      <c r="J114" s="45"/>
    </row>
    <row r="115" spans="1:10" x14ac:dyDescent="0.2">
      <c r="A115" s="58"/>
      <c r="B115" s="29" t="s">
        <v>175</v>
      </c>
      <c r="C115" s="59">
        <v>22.1387</v>
      </c>
      <c r="D115" s="59">
        <v>22.413</v>
      </c>
      <c r="E115" s="58"/>
      <c r="F115" s="60"/>
      <c r="G115" s="61"/>
    </row>
    <row r="116" spans="1:10" x14ac:dyDescent="0.2">
      <c r="A116" s="58"/>
      <c r="B116" s="29" t="s">
        <v>1065</v>
      </c>
      <c r="C116" s="59">
        <v>17.242000000000001</v>
      </c>
      <c r="D116" s="59">
        <v>17.4557</v>
      </c>
      <c r="E116" s="58"/>
      <c r="F116" s="60"/>
      <c r="G116" s="61"/>
    </row>
    <row r="117" spans="1:10" x14ac:dyDescent="0.2">
      <c r="A117" s="58"/>
      <c r="B117" s="29" t="s">
        <v>177</v>
      </c>
      <c r="C117" s="59">
        <v>20.6783</v>
      </c>
      <c r="D117" s="59">
        <v>20.911999999999999</v>
      </c>
      <c r="E117" s="58"/>
      <c r="F117" s="60"/>
      <c r="G117" s="61"/>
    </row>
    <row r="118" spans="1:10" x14ac:dyDescent="0.2">
      <c r="A118" s="58"/>
      <c r="B118" s="29" t="s">
        <v>1066</v>
      </c>
      <c r="C118" s="59">
        <v>16.088999999999999</v>
      </c>
      <c r="D118" s="59">
        <v>16.270800000000001</v>
      </c>
      <c r="E118" s="58"/>
      <c r="F118" s="60"/>
      <c r="G118" s="61"/>
    </row>
    <row r="119" spans="1:10" x14ac:dyDescent="0.2">
      <c r="A119" s="58"/>
      <c r="B119" s="58"/>
      <c r="C119" s="58"/>
      <c r="D119" s="58"/>
      <c r="E119" s="58"/>
      <c r="F119" s="58"/>
      <c r="G119" s="58"/>
    </row>
    <row r="120" spans="1:10" x14ac:dyDescent="0.2">
      <c r="A120" s="58"/>
      <c r="B120" s="215" t="s">
        <v>887</v>
      </c>
      <c r="C120" s="216"/>
      <c r="D120" s="51" t="s">
        <v>171</v>
      </c>
      <c r="E120" s="58"/>
      <c r="F120" s="58"/>
      <c r="G120" s="58"/>
    </row>
    <row r="121" spans="1:10" x14ac:dyDescent="0.2">
      <c r="A121" s="58"/>
      <c r="B121" s="70"/>
      <c r="C121" s="70"/>
      <c r="D121" s="70"/>
      <c r="E121" s="58"/>
      <c r="F121" s="58"/>
      <c r="G121" s="58"/>
    </row>
    <row r="122" spans="1:10" x14ac:dyDescent="0.2">
      <c r="A122" s="54"/>
      <c r="B122" s="217" t="s">
        <v>180</v>
      </c>
      <c r="C122" s="218"/>
      <c r="D122" s="51" t="s">
        <v>171</v>
      </c>
      <c r="E122" s="65"/>
      <c r="F122" s="54"/>
      <c r="G122" s="54"/>
    </row>
    <row r="123" spans="1:10" x14ac:dyDescent="0.2">
      <c r="A123" s="54"/>
      <c r="B123" s="217" t="s">
        <v>181</v>
      </c>
      <c r="C123" s="218"/>
      <c r="D123" s="51" t="s">
        <v>171</v>
      </c>
      <c r="E123" s="65"/>
      <c r="F123" s="54"/>
      <c r="G123" s="54"/>
    </row>
    <row r="124" spans="1:10" x14ac:dyDescent="0.2">
      <c r="A124" s="54"/>
      <c r="B124" s="217" t="s">
        <v>182</v>
      </c>
      <c r="C124" s="218"/>
      <c r="D124" s="51" t="s">
        <v>171</v>
      </c>
      <c r="E124" s="65"/>
      <c r="F124" s="54"/>
      <c r="G124" s="54"/>
    </row>
    <row r="125" spans="1:10" x14ac:dyDescent="0.2">
      <c r="A125" s="54"/>
      <c r="B125" s="217" t="s">
        <v>183</v>
      </c>
      <c r="C125" s="218"/>
      <c r="D125" s="66">
        <v>0.33925195439663169</v>
      </c>
      <c r="E125" s="54"/>
      <c r="F125" s="44"/>
      <c r="G125" s="64"/>
    </row>
    <row r="127" spans="1:10" x14ac:dyDescent="0.2">
      <c r="B127" s="219" t="s">
        <v>888</v>
      </c>
      <c r="C127" s="219"/>
    </row>
    <row r="129" spans="2:10" ht="153.75" customHeight="1" x14ac:dyDescent="0.2"/>
    <row r="132" spans="2:10" x14ac:dyDescent="0.2">
      <c r="B132" s="67" t="s">
        <v>889</v>
      </c>
      <c r="C132" s="68"/>
      <c r="D132" s="67"/>
    </row>
    <row r="133" spans="2:10" x14ac:dyDescent="0.2">
      <c r="B133" s="67" t="s">
        <v>1055</v>
      </c>
      <c r="D133" s="67"/>
    </row>
    <row r="134" spans="2:10" ht="165" customHeight="1" x14ac:dyDescent="0.2"/>
    <row r="136" spans="2:10" x14ac:dyDescent="0.2">
      <c r="J136" s="24"/>
    </row>
  </sheetData>
  <mergeCells count="18">
    <mergeCell ref="B111:C111"/>
    <mergeCell ref="B112:C112"/>
    <mergeCell ref="B127:C127"/>
    <mergeCell ref="B120:C120"/>
    <mergeCell ref="B124:C124"/>
    <mergeCell ref="B125:C125"/>
    <mergeCell ref="B122:C122"/>
    <mergeCell ref="B123:C123"/>
    <mergeCell ref="B105:H105"/>
    <mergeCell ref="B106:H106"/>
    <mergeCell ref="B107:H107"/>
    <mergeCell ref="B109:D109"/>
    <mergeCell ref="B110:C110"/>
    <mergeCell ref="A1:H1"/>
    <mergeCell ref="A2:H2"/>
    <mergeCell ref="A3:H3"/>
    <mergeCell ref="B103:H103"/>
    <mergeCell ref="B104:H104"/>
  </mergeCells>
  <hyperlinks>
    <hyperlink ref="I1" location="Index!B2" display="Index" xr:uid="{D5CC1629-5C39-40C0-8D64-4342BAF2E08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1291-655B-4AE6-B4ED-9EA5AF04A116}">
  <sheetPr>
    <outlinePr summaryBelow="0" summaryRight="0"/>
  </sheetPr>
  <dimension ref="A1:Q149"/>
  <sheetViews>
    <sheetView showGridLines="0" workbookViewId="0">
      <selection activeCell="D124" sqref="D124"/>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807</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11</v>
      </c>
      <c r="C7" s="29" t="s">
        <v>12</v>
      </c>
      <c r="D7" s="29" t="s">
        <v>13</v>
      </c>
      <c r="E7" s="30">
        <v>508213</v>
      </c>
      <c r="F7" s="31">
        <v>9433.4497059999994</v>
      </c>
      <c r="G7" s="32">
        <v>5.3719000000000003E-2</v>
      </c>
      <c r="H7" s="27" t="s">
        <v>142</v>
      </c>
    </row>
    <row r="8" spans="1:9" x14ac:dyDescent="0.2">
      <c r="A8" s="28">
        <v>2</v>
      </c>
      <c r="B8" s="29" t="s">
        <v>321</v>
      </c>
      <c r="C8" s="29" t="s">
        <v>322</v>
      </c>
      <c r="D8" s="29" t="s">
        <v>28</v>
      </c>
      <c r="E8" s="30">
        <v>422649</v>
      </c>
      <c r="F8" s="31">
        <v>8768.6988029999993</v>
      </c>
      <c r="G8" s="32">
        <v>4.9933560000000002E-2</v>
      </c>
      <c r="H8" s="27" t="s">
        <v>142</v>
      </c>
    </row>
    <row r="9" spans="1:9" x14ac:dyDescent="0.2">
      <c r="A9" s="28">
        <v>3</v>
      </c>
      <c r="B9" s="29" t="s">
        <v>17</v>
      </c>
      <c r="C9" s="29" t="s">
        <v>18</v>
      </c>
      <c r="D9" s="29" t="s">
        <v>19</v>
      </c>
      <c r="E9" s="30">
        <v>218399</v>
      </c>
      <c r="F9" s="31">
        <v>8026.3816489999999</v>
      </c>
      <c r="G9" s="32">
        <v>4.5706419999999998E-2</v>
      </c>
      <c r="H9" s="27" t="s">
        <v>142</v>
      </c>
    </row>
    <row r="10" spans="1:9" x14ac:dyDescent="0.2">
      <c r="A10" s="28">
        <v>4</v>
      </c>
      <c r="B10" s="29" t="s">
        <v>348</v>
      </c>
      <c r="C10" s="29" t="s">
        <v>349</v>
      </c>
      <c r="D10" s="29" t="s">
        <v>290</v>
      </c>
      <c r="E10" s="30">
        <v>3037687</v>
      </c>
      <c r="F10" s="31">
        <v>7239.1118896999997</v>
      </c>
      <c r="G10" s="32">
        <v>4.1223290000000003E-2</v>
      </c>
      <c r="H10" s="27" t="s">
        <v>142</v>
      </c>
    </row>
    <row r="11" spans="1:9" x14ac:dyDescent="0.2">
      <c r="A11" s="28">
        <v>5</v>
      </c>
      <c r="B11" s="29" t="s">
        <v>14</v>
      </c>
      <c r="C11" s="29" t="s">
        <v>15</v>
      </c>
      <c r="D11" s="29" t="s">
        <v>16</v>
      </c>
      <c r="E11" s="30">
        <v>480134</v>
      </c>
      <c r="F11" s="31">
        <v>6822.2240060000004</v>
      </c>
      <c r="G11" s="32">
        <v>3.8849309999999998E-2</v>
      </c>
      <c r="H11" s="27" t="s">
        <v>142</v>
      </c>
    </row>
    <row r="12" spans="1:9" x14ac:dyDescent="0.2">
      <c r="A12" s="28">
        <v>6</v>
      </c>
      <c r="B12" s="29" t="s">
        <v>59</v>
      </c>
      <c r="C12" s="29" t="s">
        <v>60</v>
      </c>
      <c r="D12" s="29" t="s">
        <v>61</v>
      </c>
      <c r="E12" s="30">
        <v>86113</v>
      </c>
      <c r="F12" s="31">
        <v>5590.0253949999997</v>
      </c>
      <c r="G12" s="32">
        <v>3.1832529999999998E-2</v>
      </c>
      <c r="H12" s="27" t="s">
        <v>142</v>
      </c>
    </row>
    <row r="13" spans="1:9" x14ac:dyDescent="0.2">
      <c r="A13" s="28">
        <v>7</v>
      </c>
      <c r="B13" s="29" t="s">
        <v>363</v>
      </c>
      <c r="C13" s="29" t="s">
        <v>364</v>
      </c>
      <c r="D13" s="29" t="s">
        <v>229</v>
      </c>
      <c r="E13" s="30">
        <v>1639530</v>
      </c>
      <c r="F13" s="31">
        <v>5215.3449300000002</v>
      </c>
      <c r="G13" s="32">
        <v>2.96989E-2</v>
      </c>
      <c r="H13" s="27" t="s">
        <v>142</v>
      </c>
    </row>
    <row r="14" spans="1:9" ht="25.5" x14ac:dyDescent="0.2">
      <c r="A14" s="28">
        <v>8</v>
      </c>
      <c r="B14" s="29" t="s">
        <v>99</v>
      </c>
      <c r="C14" s="29" t="s">
        <v>100</v>
      </c>
      <c r="D14" s="29" t="s">
        <v>25</v>
      </c>
      <c r="E14" s="30">
        <v>778529</v>
      </c>
      <c r="F14" s="31">
        <v>4309.158015</v>
      </c>
      <c r="G14" s="32">
        <v>2.4538600000000001E-2</v>
      </c>
      <c r="H14" s="27" t="s">
        <v>142</v>
      </c>
    </row>
    <row r="15" spans="1:9" x14ac:dyDescent="0.2">
      <c r="A15" s="28">
        <v>9</v>
      </c>
      <c r="B15" s="29" t="s">
        <v>337</v>
      </c>
      <c r="C15" s="29" t="s">
        <v>338</v>
      </c>
      <c r="D15" s="29" t="s">
        <v>263</v>
      </c>
      <c r="E15" s="30">
        <v>247262</v>
      </c>
      <c r="F15" s="31">
        <v>4291.4792719999996</v>
      </c>
      <c r="G15" s="32">
        <v>2.443793E-2</v>
      </c>
      <c r="H15" s="27" t="s">
        <v>142</v>
      </c>
    </row>
    <row r="16" spans="1:9" x14ac:dyDescent="0.2">
      <c r="A16" s="28">
        <v>10</v>
      </c>
      <c r="B16" s="29" t="s">
        <v>514</v>
      </c>
      <c r="C16" s="29" t="s">
        <v>515</v>
      </c>
      <c r="D16" s="29" t="s">
        <v>270</v>
      </c>
      <c r="E16" s="30">
        <v>546537</v>
      </c>
      <c r="F16" s="31">
        <v>4245.7726844999997</v>
      </c>
      <c r="G16" s="32">
        <v>2.4177649999999998E-2</v>
      </c>
      <c r="H16" s="27" t="s">
        <v>142</v>
      </c>
    </row>
    <row r="17" spans="1:8" x14ac:dyDescent="0.2">
      <c r="A17" s="28">
        <v>11</v>
      </c>
      <c r="B17" s="29" t="s">
        <v>506</v>
      </c>
      <c r="C17" s="29" t="s">
        <v>507</v>
      </c>
      <c r="D17" s="29" t="s">
        <v>64</v>
      </c>
      <c r="E17" s="30">
        <v>397564</v>
      </c>
      <c r="F17" s="31">
        <v>4097.8909299999996</v>
      </c>
      <c r="G17" s="32">
        <v>2.3335539999999998E-2</v>
      </c>
      <c r="H17" s="27" t="s">
        <v>142</v>
      </c>
    </row>
    <row r="18" spans="1:8" x14ac:dyDescent="0.2">
      <c r="A18" s="28">
        <v>12</v>
      </c>
      <c r="B18" s="29" t="s">
        <v>227</v>
      </c>
      <c r="C18" s="29" t="s">
        <v>228</v>
      </c>
      <c r="D18" s="29" t="s">
        <v>229</v>
      </c>
      <c r="E18" s="30">
        <v>604375</v>
      </c>
      <c r="F18" s="31">
        <v>3961.9803124999999</v>
      </c>
      <c r="G18" s="32">
        <v>2.2561589999999999E-2</v>
      </c>
      <c r="H18" s="27" t="s">
        <v>142</v>
      </c>
    </row>
    <row r="19" spans="1:8" ht="25.5" x14ac:dyDescent="0.2">
      <c r="A19" s="28">
        <v>13</v>
      </c>
      <c r="B19" s="29" t="s">
        <v>215</v>
      </c>
      <c r="C19" s="29" t="s">
        <v>216</v>
      </c>
      <c r="D19" s="29" t="s">
        <v>217</v>
      </c>
      <c r="E19" s="30">
        <v>224164</v>
      </c>
      <c r="F19" s="31">
        <v>3948.873024</v>
      </c>
      <c r="G19" s="32">
        <v>2.2486949999999999E-2</v>
      </c>
      <c r="H19" s="27" t="s">
        <v>142</v>
      </c>
    </row>
    <row r="20" spans="1:8" x14ac:dyDescent="0.2">
      <c r="A20" s="28">
        <v>14</v>
      </c>
      <c r="B20" s="29" t="s">
        <v>473</v>
      </c>
      <c r="C20" s="29" t="s">
        <v>474</v>
      </c>
      <c r="D20" s="29" t="s">
        <v>263</v>
      </c>
      <c r="E20" s="30">
        <v>272994</v>
      </c>
      <c r="F20" s="31">
        <v>3676.683192</v>
      </c>
      <c r="G20" s="32">
        <v>2.0936960000000001E-2</v>
      </c>
      <c r="H20" s="27" t="s">
        <v>142</v>
      </c>
    </row>
    <row r="21" spans="1:8" x14ac:dyDescent="0.2">
      <c r="A21" s="28">
        <v>15</v>
      </c>
      <c r="B21" s="29" t="s">
        <v>352</v>
      </c>
      <c r="C21" s="29" t="s">
        <v>353</v>
      </c>
      <c r="D21" s="29" t="s">
        <v>254</v>
      </c>
      <c r="E21" s="30">
        <v>502561</v>
      </c>
      <c r="F21" s="31">
        <v>3615.926395</v>
      </c>
      <c r="G21" s="32">
        <v>2.0590979999999998E-2</v>
      </c>
      <c r="H21" s="27" t="s">
        <v>142</v>
      </c>
    </row>
    <row r="22" spans="1:8" x14ac:dyDescent="0.2">
      <c r="A22" s="28">
        <v>16</v>
      </c>
      <c r="B22" s="29" t="s">
        <v>477</v>
      </c>
      <c r="C22" s="29" t="s">
        <v>478</v>
      </c>
      <c r="D22" s="29" t="s">
        <v>73</v>
      </c>
      <c r="E22" s="30">
        <v>76200</v>
      </c>
      <c r="F22" s="31">
        <v>3578.3519999999999</v>
      </c>
      <c r="G22" s="32">
        <v>2.0377010000000001E-2</v>
      </c>
      <c r="H22" s="27" t="s">
        <v>142</v>
      </c>
    </row>
    <row r="23" spans="1:8" x14ac:dyDescent="0.2">
      <c r="A23" s="28">
        <v>17</v>
      </c>
      <c r="B23" s="29" t="s">
        <v>496</v>
      </c>
      <c r="C23" s="29" t="s">
        <v>497</v>
      </c>
      <c r="D23" s="29" t="s">
        <v>226</v>
      </c>
      <c r="E23" s="30">
        <v>224589</v>
      </c>
      <c r="F23" s="31">
        <v>3413.9773890000001</v>
      </c>
      <c r="G23" s="32">
        <v>1.9440969999999998E-2</v>
      </c>
      <c r="H23" s="27" t="s">
        <v>142</v>
      </c>
    </row>
    <row r="24" spans="1:8" x14ac:dyDescent="0.2">
      <c r="A24" s="28">
        <v>18</v>
      </c>
      <c r="B24" s="29" t="s">
        <v>427</v>
      </c>
      <c r="C24" s="29" t="s">
        <v>428</v>
      </c>
      <c r="D24" s="29" t="s">
        <v>429</v>
      </c>
      <c r="E24" s="30">
        <v>534199</v>
      </c>
      <c r="F24" s="31">
        <v>3384.1506650000001</v>
      </c>
      <c r="G24" s="32">
        <v>1.9271130000000001E-2</v>
      </c>
      <c r="H24" s="27" t="s">
        <v>142</v>
      </c>
    </row>
    <row r="25" spans="1:8" x14ac:dyDescent="0.2">
      <c r="A25" s="28">
        <v>19</v>
      </c>
      <c r="B25" s="29" t="s">
        <v>29</v>
      </c>
      <c r="C25" s="29" t="s">
        <v>30</v>
      </c>
      <c r="D25" s="29" t="s">
        <v>31</v>
      </c>
      <c r="E25" s="30">
        <v>836771</v>
      </c>
      <c r="F25" s="31">
        <v>3218.221266</v>
      </c>
      <c r="G25" s="32">
        <v>1.8326240000000001E-2</v>
      </c>
      <c r="H25" s="27" t="s">
        <v>142</v>
      </c>
    </row>
    <row r="26" spans="1:8" x14ac:dyDescent="0.2">
      <c r="A26" s="28">
        <v>20</v>
      </c>
      <c r="B26" s="29" t="s">
        <v>113</v>
      </c>
      <c r="C26" s="29" t="s">
        <v>114</v>
      </c>
      <c r="D26" s="29" t="s">
        <v>67</v>
      </c>
      <c r="E26" s="30">
        <v>884502</v>
      </c>
      <c r="F26" s="31">
        <v>3166.5171599999999</v>
      </c>
      <c r="G26" s="32">
        <v>1.8031809999999999E-2</v>
      </c>
      <c r="H26" s="27" t="s">
        <v>142</v>
      </c>
    </row>
    <row r="27" spans="1:8" x14ac:dyDescent="0.2">
      <c r="A27" s="28">
        <v>21</v>
      </c>
      <c r="B27" s="29" t="s">
        <v>87</v>
      </c>
      <c r="C27" s="29" t="s">
        <v>88</v>
      </c>
      <c r="D27" s="29" t="s">
        <v>73</v>
      </c>
      <c r="E27" s="30">
        <v>234751</v>
      </c>
      <c r="F27" s="31">
        <v>2943.3080380000001</v>
      </c>
      <c r="G27" s="32">
        <v>1.676074E-2</v>
      </c>
      <c r="H27" s="27" t="s">
        <v>142</v>
      </c>
    </row>
    <row r="28" spans="1:8" x14ac:dyDescent="0.2">
      <c r="A28" s="28">
        <v>22</v>
      </c>
      <c r="B28" s="29" t="s">
        <v>41</v>
      </c>
      <c r="C28" s="29" t="s">
        <v>42</v>
      </c>
      <c r="D28" s="29" t="s">
        <v>22</v>
      </c>
      <c r="E28" s="30">
        <v>740627</v>
      </c>
      <c r="F28" s="31">
        <v>2909.1828559999999</v>
      </c>
      <c r="G28" s="32">
        <v>1.656641E-2</v>
      </c>
      <c r="H28" s="27" t="s">
        <v>142</v>
      </c>
    </row>
    <row r="29" spans="1:8" x14ac:dyDescent="0.2">
      <c r="A29" s="28">
        <v>23</v>
      </c>
      <c r="B29" s="29" t="s">
        <v>808</v>
      </c>
      <c r="C29" s="29" t="s">
        <v>809</v>
      </c>
      <c r="D29" s="29" t="s">
        <v>197</v>
      </c>
      <c r="E29" s="30">
        <v>160489</v>
      </c>
      <c r="F29" s="31">
        <v>2798.7676710000001</v>
      </c>
      <c r="G29" s="32">
        <v>1.5937650000000001E-2</v>
      </c>
      <c r="H29" s="27" t="s">
        <v>142</v>
      </c>
    </row>
    <row r="30" spans="1:8" x14ac:dyDescent="0.2">
      <c r="A30" s="28">
        <v>24</v>
      </c>
      <c r="B30" s="29" t="s">
        <v>469</v>
      </c>
      <c r="C30" s="29" t="s">
        <v>470</v>
      </c>
      <c r="D30" s="29" t="s">
        <v>212</v>
      </c>
      <c r="E30" s="30">
        <v>94065</v>
      </c>
      <c r="F30" s="31">
        <v>2777.4572549999998</v>
      </c>
      <c r="G30" s="32">
        <v>1.5816299999999998E-2</v>
      </c>
      <c r="H30" s="27" t="s">
        <v>142</v>
      </c>
    </row>
    <row r="31" spans="1:8" x14ac:dyDescent="0.2">
      <c r="A31" s="28">
        <v>25</v>
      </c>
      <c r="B31" s="29" t="s">
        <v>74</v>
      </c>
      <c r="C31" s="29" t="s">
        <v>75</v>
      </c>
      <c r="D31" s="29" t="s">
        <v>64</v>
      </c>
      <c r="E31" s="30">
        <v>47911</v>
      </c>
      <c r="F31" s="31">
        <v>2685.124084</v>
      </c>
      <c r="G31" s="32">
        <v>1.52905E-2</v>
      </c>
      <c r="H31" s="27" t="s">
        <v>142</v>
      </c>
    </row>
    <row r="32" spans="1:8" x14ac:dyDescent="0.2">
      <c r="A32" s="28">
        <v>26</v>
      </c>
      <c r="B32" s="29" t="s">
        <v>494</v>
      </c>
      <c r="C32" s="29" t="s">
        <v>495</v>
      </c>
      <c r="D32" s="29" t="s">
        <v>254</v>
      </c>
      <c r="E32" s="30">
        <v>85974</v>
      </c>
      <c r="F32" s="31">
        <v>2559.2740319999998</v>
      </c>
      <c r="G32" s="32">
        <v>1.4573849999999999E-2</v>
      </c>
      <c r="H32" s="27" t="s">
        <v>142</v>
      </c>
    </row>
    <row r="33" spans="1:8" x14ac:dyDescent="0.2">
      <c r="A33" s="28">
        <v>27</v>
      </c>
      <c r="B33" s="29" t="s">
        <v>224</v>
      </c>
      <c r="C33" s="29" t="s">
        <v>225</v>
      </c>
      <c r="D33" s="29" t="s">
        <v>226</v>
      </c>
      <c r="E33" s="30">
        <v>127766</v>
      </c>
      <c r="F33" s="31">
        <v>2525.6782880000001</v>
      </c>
      <c r="G33" s="32">
        <v>1.4382529999999999E-2</v>
      </c>
      <c r="H33" s="27" t="s">
        <v>142</v>
      </c>
    </row>
    <row r="34" spans="1:8" x14ac:dyDescent="0.2">
      <c r="A34" s="28">
        <v>28</v>
      </c>
      <c r="B34" s="29" t="s">
        <v>288</v>
      </c>
      <c r="C34" s="29" t="s">
        <v>289</v>
      </c>
      <c r="D34" s="29" t="s">
        <v>290</v>
      </c>
      <c r="E34" s="30">
        <v>1178268</v>
      </c>
      <c r="F34" s="31">
        <v>2394.9475367999999</v>
      </c>
      <c r="G34" s="32">
        <v>1.363809E-2</v>
      </c>
      <c r="H34" s="27" t="s">
        <v>142</v>
      </c>
    </row>
    <row r="35" spans="1:8" x14ac:dyDescent="0.2">
      <c r="A35" s="28">
        <v>29</v>
      </c>
      <c r="B35" s="29" t="s">
        <v>259</v>
      </c>
      <c r="C35" s="29" t="s">
        <v>260</v>
      </c>
      <c r="D35" s="29" t="s">
        <v>61</v>
      </c>
      <c r="E35" s="30">
        <v>665716</v>
      </c>
      <c r="F35" s="31">
        <v>2349.311764</v>
      </c>
      <c r="G35" s="32">
        <v>1.337821E-2</v>
      </c>
      <c r="H35" s="27" t="s">
        <v>142</v>
      </c>
    </row>
    <row r="36" spans="1:8" x14ac:dyDescent="0.2">
      <c r="A36" s="28">
        <v>30</v>
      </c>
      <c r="B36" s="29" t="s">
        <v>801</v>
      </c>
      <c r="C36" s="29" t="s">
        <v>802</v>
      </c>
      <c r="D36" s="29" t="s">
        <v>290</v>
      </c>
      <c r="E36" s="30">
        <v>271165</v>
      </c>
      <c r="F36" s="31">
        <v>2307.885315</v>
      </c>
      <c r="G36" s="32">
        <v>1.3142310000000001E-2</v>
      </c>
      <c r="H36" s="27" t="s">
        <v>142</v>
      </c>
    </row>
    <row r="37" spans="1:8" x14ac:dyDescent="0.2">
      <c r="A37" s="28">
        <v>31</v>
      </c>
      <c r="B37" s="29" t="s">
        <v>810</v>
      </c>
      <c r="C37" s="29" t="s">
        <v>811</v>
      </c>
      <c r="D37" s="29" t="s">
        <v>212</v>
      </c>
      <c r="E37" s="30">
        <v>968770</v>
      </c>
      <c r="F37" s="31">
        <v>1942.8682349999999</v>
      </c>
      <c r="G37" s="32">
        <v>1.1063709999999999E-2</v>
      </c>
      <c r="H37" s="27" t="s">
        <v>142</v>
      </c>
    </row>
    <row r="38" spans="1:8" x14ac:dyDescent="0.2">
      <c r="A38" s="28">
        <v>32</v>
      </c>
      <c r="B38" s="29" t="s">
        <v>278</v>
      </c>
      <c r="C38" s="29" t="s">
        <v>279</v>
      </c>
      <c r="D38" s="29" t="s">
        <v>212</v>
      </c>
      <c r="E38" s="30">
        <v>46972</v>
      </c>
      <c r="F38" s="31">
        <v>1860.607892</v>
      </c>
      <c r="G38" s="32">
        <v>1.059528E-2</v>
      </c>
      <c r="H38" s="27" t="s">
        <v>142</v>
      </c>
    </row>
    <row r="39" spans="1:8" x14ac:dyDescent="0.2">
      <c r="A39" s="28">
        <v>33</v>
      </c>
      <c r="B39" s="29" t="s">
        <v>244</v>
      </c>
      <c r="C39" s="29" t="s">
        <v>245</v>
      </c>
      <c r="D39" s="29" t="s">
        <v>197</v>
      </c>
      <c r="E39" s="30">
        <v>65944</v>
      </c>
      <c r="F39" s="31">
        <v>1837.5955039999999</v>
      </c>
      <c r="G39" s="32">
        <v>1.046423E-2</v>
      </c>
      <c r="H39" s="27" t="s">
        <v>142</v>
      </c>
    </row>
    <row r="40" spans="1:8" x14ac:dyDescent="0.2">
      <c r="A40" s="28">
        <v>34</v>
      </c>
      <c r="B40" s="29" t="s">
        <v>725</v>
      </c>
      <c r="C40" s="29" t="s">
        <v>726</v>
      </c>
      <c r="D40" s="29" t="s">
        <v>197</v>
      </c>
      <c r="E40" s="30">
        <v>106286</v>
      </c>
      <c r="F40" s="31">
        <v>1785.711086</v>
      </c>
      <c r="G40" s="32">
        <v>1.0168770000000001E-2</v>
      </c>
      <c r="H40" s="27" t="s">
        <v>142</v>
      </c>
    </row>
    <row r="41" spans="1:8" x14ac:dyDescent="0.2">
      <c r="A41" s="28">
        <v>35</v>
      </c>
      <c r="B41" s="29" t="s">
        <v>393</v>
      </c>
      <c r="C41" s="29" t="s">
        <v>394</v>
      </c>
      <c r="D41" s="29" t="s">
        <v>200</v>
      </c>
      <c r="E41" s="30">
        <v>391410</v>
      </c>
      <c r="F41" s="31">
        <v>1737.0775799999999</v>
      </c>
      <c r="G41" s="32">
        <v>9.8918300000000008E-3</v>
      </c>
      <c r="H41" s="27" t="s">
        <v>142</v>
      </c>
    </row>
    <row r="42" spans="1:8" ht="25.5" x14ac:dyDescent="0.2">
      <c r="A42" s="28">
        <v>36</v>
      </c>
      <c r="B42" s="29" t="s">
        <v>271</v>
      </c>
      <c r="C42" s="29" t="s">
        <v>272</v>
      </c>
      <c r="D42" s="29" t="s">
        <v>273</v>
      </c>
      <c r="E42" s="30">
        <v>81738</v>
      </c>
      <c r="F42" s="31">
        <v>1657.074474</v>
      </c>
      <c r="G42" s="32">
        <v>9.4362500000000002E-3</v>
      </c>
      <c r="H42" s="27" t="s">
        <v>142</v>
      </c>
    </row>
    <row r="43" spans="1:8" x14ac:dyDescent="0.2">
      <c r="A43" s="28">
        <v>37</v>
      </c>
      <c r="B43" s="29" t="s">
        <v>488</v>
      </c>
      <c r="C43" s="29" t="s">
        <v>489</v>
      </c>
      <c r="D43" s="29" t="s">
        <v>290</v>
      </c>
      <c r="E43" s="30">
        <v>1347820</v>
      </c>
      <c r="F43" s="31">
        <v>1620.888332</v>
      </c>
      <c r="G43" s="32">
        <v>9.2301899999999992E-3</v>
      </c>
      <c r="H43" s="27" t="s">
        <v>142</v>
      </c>
    </row>
    <row r="44" spans="1:8" x14ac:dyDescent="0.2">
      <c r="A44" s="28">
        <v>38</v>
      </c>
      <c r="B44" s="29" t="s">
        <v>62</v>
      </c>
      <c r="C44" s="29" t="s">
        <v>63</v>
      </c>
      <c r="D44" s="29" t="s">
        <v>64</v>
      </c>
      <c r="E44" s="30">
        <v>133746</v>
      </c>
      <c r="F44" s="31">
        <v>1474.4827769999999</v>
      </c>
      <c r="G44" s="32">
        <v>8.3964799999999996E-3</v>
      </c>
      <c r="H44" s="27" t="s">
        <v>142</v>
      </c>
    </row>
    <row r="45" spans="1:8" ht="25.5" x14ac:dyDescent="0.2">
      <c r="A45" s="28">
        <v>39</v>
      </c>
      <c r="B45" s="29" t="s">
        <v>121</v>
      </c>
      <c r="C45" s="29" t="s">
        <v>122</v>
      </c>
      <c r="D45" s="29" t="s">
        <v>123</v>
      </c>
      <c r="E45" s="30">
        <v>296628</v>
      </c>
      <c r="F45" s="31">
        <v>1423.666086</v>
      </c>
      <c r="G45" s="32">
        <v>8.1071000000000008E-3</v>
      </c>
      <c r="H45" s="27" t="s">
        <v>142</v>
      </c>
    </row>
    <row r="46" spans="1:8" x14ac:dyDescent="0.2">
      <c r="A46" s="28">
        <v>40</v>
      </c>
      <c r="B46" s="29" t="s">
        <v>749</v>
      </c>
      <c r="C46" s="29" t="s">
        <v>750</v>
      </c>
      <c r="D46" s="29" t="s">
        <v>64</v>
      </c>
      <c r="E46" s="30">
        <v>4473</v>
      </c>
      <c r="F46" s="31">
        <v>1405.1929500000001</v>
      </c>
      <c r="G46" s="32">
        <v>8.0018999999999993E-3</v>
      </c>
      <c r="H46" s="27" t="s">
        <v>142</v>
      </c>
    </row>
    <row r="47" spans="1:8" x14ac:dyDescent="0.2">
      <c r="A47" s="28">
        <v>41</v>
      </c>
      <c r="B47" s="29" t="s">
        <v>812</v>
      </c>
      <c r="C47" s="29" t="s">
        <v>813</v>
      </c>
      <c r="D47" s="29" t="s">
        <v>73</v>
      </c>
      <c r="E47" s="30">
        <v>250773</v>
      </c>
      <c r="F47" s="31">
        <v>1369.5967395</v>
      </c>
      <c r="G47" s="32">
        <v>7.7992000000000001E-3</v>
      </c>
      <c r="H47" s="27" t="s">
        <v>142</v>
      </c>
    </row>
    <row r="48" spans="1:8" x14ac:dyDescent="0.2">
      <c r="A48" s="28">
        <v>42</v>
      </c>
      <c r="B48" s="29" t="s">
        <v>814</v>
      </c>
      <c r="C48" s="29" t="s">
        <v>815</v>
      </c>
      <c r="D48" s="29" t="s">
        <v>73</v>
      </c>
      <c r="E48" s="30">
        <v>632038</v>
      </c>
      <c r="F48" s="31">
        <v>1260.8526062000001</v>
      </c>
      <c r="G48" s="32">
        <v>7.17996E-3</v>
      </c>
      <c r="H48" s="27" t="s">
        <v>142</v>
      </c>
    </row>
    <row r="49" spans="1:8" x14ac:dyDescent="0.2">
      <c r="A49" s="28">
        <v>43</v>
      </c>
      <c r="B49" s="29" t="s">
        <v>301</v>
      </c>
      <c r="C49" s="29" t="s">
        <v>302</v>
      </c>
      <c r="D49" s="29" t="s">
        <v>254</v>
      </c>
      <c r="E49" s="30">
        <v>2386504</v>
      </c>
      <c r="F49" s="31">
        <v>1216.1624383999999</v>
      </c>
      <c r="G49" s="32">
        <v>6.9254700000000004E-3</v>
      </c>
      <c r="H49" s="27" t="s">
        <v>142</v>
      </c>
    </row>
    <row r="50" spans="1:8" x14ac:dyDescent="0.2">
      <c r="A50" s="28">
        <v>44</v>
      </c>
      <c r="B50" s="29" t="s">
        <v>816</v>
      </c>
      <c r="C50" s="29" t="s">
        <v>817</v>
      </c>
      <c r="D50" s="29" t="s">
        <v>61</v>
      </c>
      <c r="E50" s="30">
        <v>167719</v>
      </c>
      <c r="F50" s="31">
        <v>1033.2328995</v>
      </c>
      <c r="G50" s="32">
        <v>5.88377E-3</v>
      </c>
      <c r="H50" s="27" t="s">
        <v>142</v>
      </c>
    </row>
    <row r="51" spans="1:8" x14ac:dyDescent="0.2">
      <c r="A51" s="28">
        <v>45</v>
      </c>
      <c r="B51" s="29" t="s">
        <v>818</v>
      </c>
      <c r="C51" s="29" t="s">
        <v>819</v>
      </c>
      <c r="D51" s="29" t="s">
        <v>290</v>
      </c>
      <c r="E51" s="30">
        <v>85455</v>
      </c>
      <c r="F51" s="31">
        <v>759.22494749999998</v>
      </c>
      <c r="G51" s="32">
        <v>4.3234199999999997E-3</v>
      </c>
      <c r="H51" s="27" t="s">
        <v>142</v>
      </c>
    </row>
    <row r="52" spans="1:8" x14ac:dyDescent="0.2">
      <c r="A52" s="25"/>
      <c r="B52" s="25"/>
      <c r="C52" s="26" t="s">
        <v>141</v>
      </c>
      <c r="D52" s="25"/>
      <c r="E52" s="25" t="s">
        <v>142</v>
      </c>
      <c r="F52" s="33">
        <v>148639.3900706</v>
      </c>
      <c r="G52" s="34">
        <v>0.84643051999999996</v>
      </c>
      <c r="H52" s="27" t="s">
        <v>142</v>
      </c>
    </row>
    <row r="53" spans="1:8" x14ac:dyDescent="0.2">
      <c r="A53" s="25"/>
      <c r="B53" s="25"/>
      <c r="C53" s="35"/>
      <c r="D53" s="25"/>
      <c r="E53" s="25"/>
      <c r="F53" s="36"/>
      <c r="G53" s="36"/>
      <c r="H53" s="27" t="s">
        <v>142</v>
      </c>
    </row>
    <row r="54" spans="1:8" x14ac:dyDescent="0.2">
      <c r="A54" s="25"/>
      <c r="B54" s="25"/>
      <c r="C54" s="26" t="s">
        <v>143</v>
      </c>
      <c r="D54" s="25"/>
      <c r="E54" s="25"/>
      <c r="F54" s="25"/>
      <c r="G54" s="25"/>
      <c r="H54" s="27" t="s">
        <v>142</v>
      </c>
    </row>
    <row r="55" spans="1:8" x14ac:dyDescent="0.2">
      <c r="A55" s="25"/>
      <c r="B55" s="25"/>
      <c r="C55" s="26" t="s">
        <v>141</v>
      </c>
      <c r="D55" s="25"/>
      <c r="E55" s="25" t="s">
        <v>142</v>
      </c>
      <c r="F55" s="37" t="s">
        <v>144</v>
      </c>
      <c r="G55" s="34">
        <v>0</v>
      </c>
      <c r="H55" s="27" t="s">
        <v>142</v>
      </c>
    </row>
    <row r="56" spans="1:8" x14ac:dyDescent="0.2">
      <c r="A56" s="25"/>
      <c r="B56" s="25"/>
      <c r="C56" s="35"/>
      <c r="D56" s="25"/>
      <c r="E56" s="25"/>
      <c r="F56" s="36"/>
      <c r="G56" s="36"/>
      <c r="H56" s="27" t="s">
        <v>142</v>
      </c>
    </row>
    <row r="57" spans="1:8" x14ac:dyDescent="0.2">
      <c r="A57" s="25"/>
      <c r="B57" s="25"/>
      <c r="C57" s="26" t="s">
        <v>145</v>
      </c>
      <c r="D57" s="25"/>
      <c r="E57" s="25"/>
      <c r="F57" s="25"/>
      <c r="G57" s="25"/>
      <c r="H57" s="27" t="s">
        <v>142</v>
      </c>
    </row>
    <row r="58" spans="1:8" x14ac:dyDescent="0.2">
      <c r="A58" s="25"/>
      <c r="B58" s="25"/>
      <c r="C58" s="26" t="s">
        <v>141</v>
      </c>
      <c r="D58" s="25"/>
      <c r="E58" s="25" t="s">
        <v>142</v>
      </c>
      <c r="F58" s="37" t="s">
        <v>144</v>
      </c>
      <c r="G58" s="34">
        <v>0</v>
      </c>
      <c r="H58" s="27" t="s">
        <v>142</v>
      </c>
    </row>
    <row r="59" spans="1:8" x14ac:dyDescent="0.2">
      <c r="A59" s="25"/>
      <c r="B59" s="25"/>
      <c r="C59" s="35"/>
      <c r="D59" s="25"/>
      <c r="E59" s="25"/>
      <c r="F59" s="36"/>
      <c r="G59" s="36"/>
      <c r="H59" s="27" t="s">
        <v>142</v>
      </c>
    </row>
    <row r="60" spans="1:8" x14ac:dyDescent="0.2">
      <c r="A60" s="25"/>
      <c r="B60" s="25"/>
      <c r="C60" s="26" t="s">
        <v>146</v>
      </c>
      <c r="D60" s="25"/>
      <c r="E60" s="25"/>
      <c r="F60" s="25"/>
      <c r="G60" s="25"/>
      <c r="H60" s="27" t="s">
        <v>142</v>
      </c>
    </row>
    <row r="61" spans="1:8" x14ac:dyDescent="0.2">
      <c r="A61" s="25"/>
      <c r="B61" s="25"/>
      <c r="C61" s="26" t="s">
        <v>141</v>
      </c>
      <c r="D61" s="25"/>
      <c r="E61" s="25" t="s">
        <v>142</v>
      </c>
      <c r="F61" s="37" t="s">
        <v>144</v>
      </c>
      <c r="G61" s="34">
        <v>0</v>
      </c>
      <c r="H61" s="27" t="s">
        <v>142</v>
      </c>
    </row>
    <row r="62" spans="1:8" x14ac:dyDescent="0.2">
      <c r="A62" s="25"/>
      <c r="B62" s="25"/>
      <c r="C62" s="35"/>
      <c r="D62" s="25"/>
      <c r="E62" s="25"/>
      <c r="F62" s="36"/>
      <c r="G62" s="36"/>
      <c r="H62" s="27" t="s">
        <v>142</v>
      </c>
    </row>
    <row r="63" spans="1:8" x14ac:dyDescent="0.2">
      <c r="A63" s="25"/>
      <c r="B63" s="25"/>
      <c r="C63" s="26" t="s">
        <v>147</v>
      </c>
      <c r="D63" s="25"/>
      <c r="E63" s="25"/>
      <c r="F63" s="36"/>
      <c r="G63" s="36"/>
      <c r="H63" s="27" t="s">
        <v>142</v>
      </c>
    </row>
    <row r="64" spans="1:8" x14ac:dyDescent="0.2">
      <c r="A64" s="25"/>
      <c r="B64" s="25"/>
      <c r="C64" s="26" t="s">
        <v>141</v>
      </c>
      <c r="D64" s="25"/>
      <c r="E64" s="25" t="s">
        <v>142</v>
      </c>
      <c r="F64" s="37" t="s">
        <v>144</v>
      </c>
      <c r="G64" s="34">
        <v>0</v>
      </c>
      <c r="H64" s="27" t="s">
        <v>142</v>
      </c>
    </row>
    <row r="65" spans="1:8" x14ac:dyDescent="0.2">
      <c r="A65" s="25"/>
      <c r="B65" s="25"/>
      <c r="C65" s="35"/>
      <c r="D65" s="25"/>
      <c r="E65" s="25"/>
      <c r="F65" s="36"/>
      <c r="G65" s="36"/>
      <c r="H65" s="27" t="s">
        <v>142</v>
      </c>
    </row>
    <row r="66" spans="1:8" x14ac:dyDescent="0.2">
      <c r="A66" s="25"/>
      <c r="B66" s="25"/>
      <c r="C66" s="26" t="s">
        <v>148</v>
      </c>
      <c r="D66" s="25"/>
      <c r="E66" s="25"/>
      <c r="F66" s="36"/>
      <c r="G66" s="36"/>
      <c r="H66" s="27" t="s">
        <v>142</v>
      </c>
    </row>
    <row r="67" spans="1:8" x14ac:dyDescent="0.2">
      <c r="A67" s="25"/>
      <c r="B67" s="25"/>
      <c r="C67" s="26" t="s">
        <v>141</v>
      </c>
      <c r="D67" s="25"/>
      <c r="E67" s="25" t="s">
        <v>142</v>
      </c>
      <c r="F67" s="37" t="s">
        <v>144</v>
      </c>
      <c r="G67" s="34">
        <v>0</v>
      </c>
      <c r="H67" s="27" t="s">
        <v>142</v>
      </c>
    </row>
    <row r="68" spans="1:8" x14ac:dyDescent="0.2">
      <c r="A68" s="25"/>
      <c r="B68" s="25"/>
      <c r="C68" s="35"/>
      <c r="D68" s="25"/>
      <c r="E68" s="25"/>
      <c r="F68" s="36"/>
      <c r="G68" s="36"/>
      <c r="H68" s="27" t="s">
        <v>142</v>
      </c>
    </row>
    <row r="69" spans="1:8" x14ac:dyDescent="0.2">
      <c r="A69" s="25"/>
      <c r="B69" s="25"/>
      <c r="C69" s="26" t="s">
        <v>149</v>
      </c>
      <c r="D69" s="25"/>
      <c r="E69" s="25"/>
      <c r="F69" s="33">
        <v>148639.3900706</v>
      </c>
      <c r="G69" s="34">
        <v>0.84643051999999996</v>
      </c>
      <c r="H69" s="27" t="s">
        <v>142</v>
      </c>
    </row>
    <row r="70" spans="1:8" x14ac:dyDescent="0.2">
      <c r="A70" s="25"/>
      <c r="B70" s="25"/>
      <c r="C70" s="35"/>
      <c r="D70" s="25"/>
      <c r="E70" s="25"/>
      <c r="F70" s="36"/>
      <c r="G70" s="36"/>
      <c r="H70" s="27" t="s">
        <v>142</v>
      </c>
    </row>
    <row r="71" spans="1:8" x14ac:dyDescent="0.2">
      <c r="A71" s="25"/>
      <c r="B71" s="25"/>
      <c r="C71" s="26" t="s">
        <v>150</v>
      </c>
      <c r="D71" s="25"/>
      <c r="E71" s="25"/>
      <c r="F71" s="36"/>
      <c r="G71" s="36"/>
      <c r="H71" s="27" t="s">
        <v>142</v>
      </c>
    </row>
    <row r="72" spans="1:8" x14ac:dyDescent="0.2">
      <c r="A72" s="25"/>
      <c r="B72" s="25"/>
      <c r="C72" s="26" t="s">
        <v>10</v>
      </c>
      <c r="D72" s="25"/>
      <c r="E72" s="25"/>
      <c r="F72" s="36"/>
      <c r="G72" s="36"/>
      <c r="H72" s="27" t="s">
        <v>142</v>
      </c>
    </row>
    <row r="73" spans="1:8" x14ac:dyDescent="0.2">
      <c r="A73" s="25"/>
      <c r="B73" s="25"/>
      <c r="C73" s="26" t="s">
        <v>141</v>
      </c>
      <c r="D73" s="25"/>
      <c r="E73" s="25" t="s">
        <v>142</v>
      </c>
      <c r="F73" s="37" t="s">
        <v>144</v>
      </c>
      <c r="G73" s="34">
        <v>0</v>
      </c>
      <c r="H73" s="27" t="s">
        <v>142</v>
      </c>
    </row>
    <row r="74" spans="1:8" x14ac:dyDescent="0.2">
      <c r="A74" s="25"/>
      <c r="B74" s="25"/>
      <c r="C74" s="35"/>
      <c r="D74" s="25"/>
      <c r="E74" s="25"/>
      <c r="F74" s="36"/>
      <c r="G74" s="36"/>
      <c r="H74" s="27" t="s">
        <v>142</v>
      </c>
    </row>
    <row r="75" spans="1:8" x14ac:dyDescent="0.2">
      <c r="A75" s="25"/>
      <c r="B75" s="25"/>
      <c r="C75" s="26" t="s">
        <v>151</v>
      </c>
      <c r="D75" s="25"/>
      <c r="E75" s="25"/>
      <c r="F75" s="25"/>
      <c r="G75" s="25"/>
      <c r="H75" s="27" t="s">
        <v>142</v>
      </c>
    </row>
    <row r="76" spans="1:8" x14ac:dyDescent="0.2">
      <c r="A76" s="25"/>
      <c r="B76" s="25"/>
      <c r="C76" s="26" t="s">
        <v>141</v>
      </c>
      <c r="D76" s="25"/>
      <c r="E76" s="25" t="s">
        <v>142</v>
      </c>
      <c r="F76" s="37" t="s">
        <v>144</v>
      </c>
      <c r="G76" s="34">
        <v>0</v>
      </c>
      <c r="H76" s="27" t="s">
        <v>142</v>
      </c>
    </row>
    <row r="77" spans="1:8" x14ac:dyDescent="0.2">
      <c r="A77" s="25"/>
      <c r="B77" s="25"/>
      <c r="C77" s="35"/>
      <c r="D77" s="25"/>
      <c r="E77" s="25"/>
      <c r="F77" s="36"/>
      <c r="G77" s="36"/>
      <c r="H77" s="27" t="s">
        <v>142</v>
      </c>
    </row>
    <row r="78" spans="1:8" x14ac:dyDescent="0.2">
      <c r="A78" s="25"/>
      <c r="B78" s="25"/>
      <c r="C78" s="26" t="s">
        <v>152</v>
      </c>
      <c r="D78" s="25"/>
      <c r="E78" s="25"/>
      <c r="F78" s="25"/>
      <c r="G78" s="25"/>
      <c r="H78" s="27" t="s">
        <v>142</v>
      </c>
    </row>
    <row r="79" spans="1:8" x14ac:dyDescent="0.2">
      <c r="A79" s="25"/>
      <c r="B79" s="25"/>
      <c r="C79" s="26" t="s">
        <v>141</v>
      </c>
      <c r="D79" s="25"/>
      <c r="E79" s="25" t="s">
        <v>142</v>
      </c>
      <c r="F79" s="37" t="s">
        <v>144</v>
      </c>
      <c r="G79" s="34">
        <v>0</v>
      </c>
      <c r="H79" s="27" t="s">
        <v>142</v>
      </c>
    </row>
    <row r="80" spans="1:8" x14ac:dyDescent="0.2">
      <c r="A80" s="25"/>
      <c r="B80" s="25"/>
      <c r="C80" s="35"/>
      <c r="D80" s="25"/>
      <c r="E80" s="25"/>
      <c r="F80" s="36"/>
      <c r="G80" s="36"/>
      <c r="H80" s="27" t="s">
        <v>142</v>
      </c>
    </row>
    <row r="81" spans="1:8" x14ac:dyDescent="0.2">
      <c r="A81" s="25"/>
      <c r="B81" s="25"/>
      <c r="C81" s="26" t="s">
        <v>153</v>
      </c>
      <c r="D81" s="25"/>
      <c r="E81" s="25"/>
      <c r="F81" s="36"/>
      <c r="G81" s="36"/>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154</v>
      </c>
      <c r="D84" s="25"/>
      <c r="E84" s="25"/>
      <c r="F84" s="33">
        <v>0</v>
      </c>
      <c r="G84" s="34">
        <v>0</v>
      </c>
      <c r="H84" s="27" t="s">
        <v>142</v>
      </c>
    </row>
    <row r="85" spans="1:8" x14ac:dyDescent="0.2">
      <c r="A85" s="25"/>
      <c r="B85" s="25"/>
      <c r="C85" s="35"/>
      <c r="D85" s="25"/>
      <c r="E85" s="25"/>
      <c r="F85" s="36"/>
      <c r="G85" s="36"/>
      <c r="H85" s="27" t="s">
        <v>142</v>
      </c>
    </row>
    <row r="86" spans="1:8" x14ac:dyDescent="0.2">
      <c r="A86" s="25"/>
      <c r="B86" s="25"/>
      <c r="C86" s="26" t="s">
        <v>155</v>
      </c>
      <c r="D86" s="25"/>
      <c r="E86" s="25"/>
      <c r="F86" s="36"/>
      <c r="G86" s="36"/>
      <c r="H86" s="27" t="s">
        <v>142</v>
      </c>
    </row>
    <row r="87" spans="1:8" x14ac:dyDescent="0.2">
      <c r="A87" s="25"/>
      <c r="B87" s="25"/>
      <c r="C87" s="26" t="s">
        <v>156</v>
      </c>
      <c r="D87" s="25"/>
      <c r="E87" s="25"/>
      <c r="F87" s="36"/>
      <c r="G87" s="36"/>
      <c r="H87" s="27" t="s">
        <v>142</v>
      </c>
    </row>
    <row r="88" spans="1:8" x14ac:dyDescent="0.2">
      <c r="A88" s="25"/>
      <c r="B88" s="25"/>
      <c r="C88" s="26" t="s">
        <v>141</v>
      </c>
      <c r="D88" s="25"/>
      <c r="E88" s="25" t="s">
        <v>142</v>
      </c>
      <c r="F88" s="37" t="s">
        <v>144</v>
      </c>
      <c r="G88" s="34">
        <v>0</v>
      </c>
      <c r="H88" s="27" t="s">
        <v>142</v>
      </c>
    </row>
    <row r="89" spans="1:8" x14ac:dyDescent="0.2">
      <c r="A89" s="25"/>
      <c r="B89" s="25"/>
      <c r="C89" s="35"/>
      <c r="D89" s="25"/>
      <c r="E89" s="25"/>
      <c r="F89" s="36"/>
      <c r="G89" s="36"/>
      <c r="H89" s="27" t="s">
        <v>142</v>
      </c>
    </row>
    <row r="90" spans="1:8" x14ac:dyDescent="0.2">
      <c r="A90" s="25"/>
      <c r="B90" s="25"/>
      <c r="C90" s="26" t="s">
        <v>157</v>
      </c>
      <c r="D90" s="25"/>
      <c r="E90" s="25"/>
      <c r="F90" s="36"/>
      <c r="G90" s="36"/>
      <c r="H90" s="27" t="s">
        <v>142</v>
      </c>
    </row>
    <row r="91" spans="1:8" x14ac:dyDescent="0.2">
      <c r="A91" s="25"/>
      <c r="B91" s="25"/>
      <c r="C91" s="26" t="s">
        <v>141</v>
      </c>
      <c r="D91" s="25"/>
      <c r="E91" s="25" t="s">
        <v>142</v>
      </c>
      <c r="F91" s="37" t="s">
        <v>144</v>
      </c>
      <c r="G91" s="34">
        <v>0</v>
      </c>
      <c r="H91" s="27" t="s">
        <v>142</v>
      </c>
    </row>
    <row r="92" spans="1:8" x14ac:dyDescent="0.2">
      <c r="A92" s="25"/>
      <c r="B92" s="25"/>
      <c r="C92" s="35"/>
      <c r="D92" s="25"/>
      <c r="E92" s="25"/>
      <c r="F92" s="36"/>
      <c r="G92" s="36"/>
      <c r="H92" s="27" t="s">
        <v>142</v>
      </c>
    </row>
    <row r="93" spans="1:8" x14ac:dyDescent="0.2">
      <c r="A93" s="25"/>
      <c r="B93" s="25"/>
      <c r="C93" s="26" t="s">
        <v>158</v>
      </c>
      <c r="D93" s="25"/>
      <c r="E93" s="25"/>
      <c r="F93" s="36"/>
      <c r="G93" s="36"/>
      <c r="H93" s="27" t="s">
        <v>142</v>
      </c>
    </row>
    <row r="94" spans="1:8" x14ac:dyDescent="0.2">
      <c r="A94" s="25"/>
      <c r="B94" s="25"/>
      <c r="C94" s="26" t="s">
        <v>141</v>
      </c>
      <c r="D94" s="25"/>
      <c r="E94" s="25" t="s">
        <v>142</v>
      </c>
      <c r="F94" s="37" t="s">
        <v>144</v>
      </c>
      <c r="G94" s="34">
        <v>0</v>
      </c>
      <c r="H94" s="27" t="s">
        <v>142</v>
      </c>
    </row>
    <row r="95" spans="1:8" x14ac:dyDescent="0.2">
      <c r="A95" s="25"/>
      <c r="B95" s="25"/>
      <c r="C95" s="35"/>
      <c r="D95" s="25"/>
      <c r="E95" s="25"/>
      <c r="F95" s="36"/>
      <c r="G95" s="36"/>
      <c r="H95" s="27" t="s">
        <v>142</v>
      </c>
    </row>
    <row r="96" spans="1:8" x14ac:dyDescent="0.2">
      <c r="A96" s="25"/>
      <c r="B96" s="25"/>
      <c r="C96" s="26" t="s">
        <v>159</v>
      </c>
      <c r="D96" s="25"/>
      <c r="E96" s="25"/>
      <c r="F96" s="36"/>
      <c r="G96" s="36"/>
      <c r="H96" s="27" t="s">
        <v>142</v>
      </c>
    </row>
    <row r="97" spans="1:8" x14ac:dyDescent="0.2">
      <c r="A97" s="28">
        <v>1</v>
      </c>
      <c r="B97" s="29"/>
      <c r="C97" s="29" t="s">
        <v>160</v>
      </c>
      <c r="D97" s="29"/>
      <c r="E97" s="39"/>
      <c r="F97" s="31">
        <v>25280.612480766998</v>
      </c>
      <c r="G97" s="32">
        <v>0.14396104000000001</v>
      </c>
      <c r="H97" s="27">
        <v>5.76</v>
      </c>
    </row>
    <row r="98" spans="1:8" x14ac:dyDescent="0.2">
      <c r="A98" s="25"/>
      <c r="B98" s="25"/>
      <c r="C98" s="26" t="s">
        <v>141</v>
      </c>
      <c r="D98" s="25"/>
      <c r="E98" s="25" t="s">
        <v>142</v>
      </c>
      <c r="F98" s="33">
        <v>25280.612480766998</v>
      </c>
      <c r="G98" s="34">
        <v>0.14396104000000001</v>
      </c>
      <c r="H98" s="27" t="s">
        <v>142</v>
      </c>
    </row>
    <row r="99" spans="1:8" x14ac:dyDescent="0.2">
      <c r="A99" s="25"/>
      <c r="B99" s="25"/>
      <c r="C99" s="35"/>
      <c r="D99" s="25"/>
      <c r="E99" s="25"/>
      <c r="F99" s="36"/>
      <c r="G99" s="36"/>
      <c r="H99" s="27" t="s">
        <v>142</v>
      </c>
    </row>
    <row r="100" spans="1:8" x14ac:dyDescent="0.2">
      <c r="A100" s="25"/>
      <c r="B100" s="25"/>
      <c r="C100" s="26" t="s">
        <v>161</v>
      </c>
      <c r="D100" s="25"/>
      <c r="E100" s="25"/>
      <c r="F100" s="33">
        <v>25280.612480766998</v>
      </c>
      <c r="G100" s="34">
        <v>0.14396104000000001</v>
      </c>
      <c r="H100" s="27" t="s">
        <v>142</v>
      </c>
    </row>
    <row r="101" spans="1:8" x14ac:dyDescent="0.2">
      <c r="A101" s="25"/>
      <c r="B101" s="25"/>
      <c r="C101" s="36"/>
      <c r="D101" s="25"/>
      <c r="E101" s="25"/>
      <c r="F101" s="25"/>
      <c r="G101" s="25"/>
      <c r="H101" s="27" t="s">
        <v>142</v>
      </c>
    </row>
    <row r="102" spans="1:8" x14ac:dyDescent="0.2">
      <c r="A102" s="25"/>
      <c r="B102" s="25"/>
      <c r="C102" s="26" t="s">
        <v>162</v>
      </c>
      <c r="D102" s="25"/>
      <c r="E102" s="25"/>
      <c r="F102" s="25"/>
      <c r="G102" s="25"/>
      <c r="H102" s="27" t="s">
        <v>142</v>
      </c>
    </row>
    <row r="103" spans="1:8" x14ac:dyDescent="0.2">
      <c r="A103" s="25"/>
      <c r="B103" s="25"/>
      <c r="C103" s="26" t="s">
        <v>163</v>
      </c>
      <c r="D103" s="25"/>
      <c r="E103" s="25"/>
      <c r="F103" s="25"/>
      <c r="G103" s="25"/>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164</v>
      </c>
      <c r="D106" s="25"/>
      <c r="E106" s="25"/>
      <c r="F106" s="25"/>
      <c r="G106" s="25"/>
      <c r="H106" s="27" t="s">
        <v>142</v>
      </c>
    </row>
    <row r="107" spans="1:8" x14ac:dyDescent="0.2">
      <c r="A107" s="25"/>
      <c r="B107" s="25"/>
      <c r="C107" s="26" t="s">
        <v>165</v>
      </c>
      <c r="D107" s="25"/>
      <c r="E107" s="25"/>
      <c r="F107" s="25"/>
      <c r="G107" s="25"/>
      <c r="H107" s="27" t="s">
        <v>142</v>
      </c>
    </row>
    <row r="108" spans="1:8" x14ac:dyDescent="0.2">
      <c r="A108" s="25"/>
      <c r="B108" s="25"/>
      <c r="C108" s="26" t="s">
        <v>141</v>
      </c>
      <c r="D108" s="25"/>
      <c r="E108" s="25" t="s">
        <v>142</v>
      </c>
      <c r="F108" s="37" t="s">
        <v>144</v>
      </c>
      <c r="G108" s="34">
        <v>0</v>
      </c>
      <c r="H108" s="27" t="s">
        <v>142</v>
      </c>
    </row>
    <row r="109" spans="1:8" x14ac:dyDescent="0.2">
      <c r="A109" s="25"/>
      <c r="B109" s="25"/>
      <c r="C109" s="35"/>
      <c r="D109" s="25"/>
      <c r="E109" s="25"/>
      <c r="F109" s="36"/>
      <c r="G109" s="36"/>
      <c r="H109" s="27" t="s">
        <v>142</v>
      </c>
    </row>
    <row r="110" spans="1:8" x14ac:dyDescent="0.2">
      <c r="A110" s="25"/>
      <c r="B110" s="25"/>
      <c r="C110" s="26" t="s">
        <v>166</v>
      </c>
      <c r="D110" s="25"/>
      <c r="E110" s="25"/>
      <c r="F110" s="36"/>
      <c r="G110" s="36"/>
      <c r="H110" s="27" t="s">
        <v>142</v>
      </c>
    </row>
    <row r="111" spans="1:8" x14ac:dyDescent="0.2">
      <c r="A111" s="25"/>
      <c r="B111" s="25"/>
      <c r="C111" s="26" t="s">
        <v>141</v>
      </c>
      <c r="D111" s="25"/>
      <c r="E111" s="25" t="s">
        <v>142</v>
      </c>
      <c r="F111" s="37" t="s">
        <v>144</v>
      </c>
      <c r="G111" s="34">
        <v>0</v>
      </c>
      <c r="H111" s="27" t="s">
        <v>142</v>
      </c>
    </row>
    <row r="112" spans="1:8" x14ac:dyDescent="0.2">
      <c r="A112" s="25"/>
      <c r="B112" s="29"/>
      <c r="C112" s="29"/>
      <c r="D112" s="26"/>
      <c r="E112" s="25"/>
      <c r="F112" s="29"/>
      <c r="G112" s="39"/>
      <c r="H112" s="27" t="s">
        <v>142</v>
      </c>
    </row>
    <row r="113" spans="1:17" x14ac:dyDescent="0.2">
      <c r="A113" s="39"/>
      <c r="B113" s="29"/>
      <c r="C113" s="29" t="s">
        <v>167</v>
      </c>
      <c r="D113" s="29"/>
      <c r="E113" s="39"/>
      <c r="F113" s="31">
        <v>1687.31989892</v>
      </c>
      <c r="G113" s="32">
        <v>9.6084800000000008E-3</v>
      </c>
      <c r="H113" s="27" t="s">
        <v>142</v>
      </c>
    </row>
    <row r="114" spans="1:17" x14ac:dyDescent="0.2">
      <c r="A114" s="35"/>
      <c r="B114" s="35"/>
      <c r="C114" s="26" t="s">
        <v>168</v>
      </c>
      <c r="D114" s="36"/>
      <c r="E114" s="36"/>
      <c r="F114" s="33">
        <v>175607.322450287</v>
      </c>
      <c r="G114" s="40">
        <v>1.00000004</v>
      </c>
      <c r="H114" s="27" t="s">
        <v>142</v>
      </c>
    </row>
    <row r="115" spans="1:17" x14ac:dyDescent="0.2">
      <c r="A115" s="41"/>
      <c r="B115" s="41"/>
      <c r="C115" s="41"/>
      <c r="D115" s="42"/>
      <c r="E115" s="42"/>
      <c r="F115" s="42"/>
      <c r="G115" s="42"/>
    </row>
    <row r="116" spans="1:17" x14ac:dyDescent="0.2">
      <c r="A116" s="43"/>
      <c r="B116" s="210" t="s">
        <v>879</v>
      </c>
      <c r="C116" s="210"/>
      <c r="D116" s="210"/>
      <c r="E116" s="210"/>
      <c r="F116" s="210"/>
      <c r="G116" s="210"/>
      <c r="H116" s="210"/>
      <c r="J116" s="45"/>
    </row>
    <row r="117" spans="1:17" x14ac:dyDescent="0.2">
      <c r="A117" s="43"/>
      <c r="B117" s="210" t="s">
        <v>880</v>
      </c>
      <c r="C117" s="210"/>
      <c r="D117" s="210"/>
      <c r="E117" s="210"/>
      <c r="F117" s="210"/>
      <c r="G117" s="210"/>
      <c r="H117" s="210"/>
      <c r="J117" s="45"/>
    </row>
    <row r="118" spans="1:17" x14ac:dyDescent="0.2">
      <c r="A118" s="43"/>
      <c r="B118" s="210" t="s">
        <v>881</v>
      </c>
      <c r="C118" s="210"/>
      <c r="D118" s="210"/>
      <c r="E118" s="210"/>
      <c r="F118" s="210"/>
      <c r="G118" s="210"/>
      <c r="H118" s="210"/>
      <c r="J118" s="45"/>
    </row>
    <row r="119" spans="1:17" s="47" customFormat="1" ht="66.75" customHeight="1" x14ac:dyDescent="0.25">
      <c r="A119" s="46"/>
      <c r="B119" s="211" t="s">
        <v>882</v>
      </c>
      <c r="C119" s="211"/>
      <c r="D119" s="211"/>
      <c r="E119" s="211"/>
      <c r="F119" s="211"/>
      <c r="G119" s="211"/>
      <c r="H119" s="211"/>
      <c r="I119"/>
      <c r="J119" s="45"/>
      <c r="K119"/>
      <c r="L119"/>
      <c r="M119"/>
      <c r="N119"/>
      <c r="O119"/>
      <c r="P119"/>
      <c r="Q119"/>
    </row>
    <row r="120" spans="1:17" x14ac:dyDescent="0.2">
      <c r="A120" s="43"/>
      <c r="B120" s="210" t="s">
        <v>883</v>
      </c>
      <c r="C120" s="210"/>
      <c r="D120" s="210"/>
      <c r="E120" s="210"/>
      <c r="F120" s="210"/>
      <c r="G120" s="210"/>
      <c r="H120" s="210"/>
      <c r="J120" s="45"/>
    </row>
    <row r="121" spans="1:17" x14ac:dyDescent="0.2">
      <c r="A121" s="48"/>
      <c r="B121" s="48"/>
      <c r="C121" s="48"/>
      <c r="D121" s="49"/>
      <c r="E121" s="49"/>
      <c r="F121" s="49"/>
      <c r="G121" s="49"/>
    </row>
    <row r="122" spans="1:17" x14ac:dyDescent="0.2">
      <c r="A122" s="48"/>
      <c r="B122" s="212" t="s">
        <v>169</v>
      </c>
      <c r="C122" s="213"/>
      <c r="D122" s="214"/>
      <c r="E122" s="50"/>
      <c r="F122" s="49"/>
      <c r="G122" s="49"/>
    </row>
    <row r="123" spans="1:17" ht="27.75" customHeight="1" x14ac:dyDescent="0.2">
      <c r="A123" s="48"/>
      <c r="B123" s="215" t="s">
        <v>170</v>
      </c>
      <c r="C123" s="216"/>
      <c r="D123" s="26" t="s">
        <v>171</v>
      </c>
      <c r="E123" s="50"/>
      <c r="F123" s="49"/>
      <c r="G123" s="49"/>
    </row>
    <row r="124" spans="1:17" ht="12.75" customHeight="1" x14ac:dyDescent="0.2">
      <c r="A124" s="43"/>
      <c r="B124" s="217" t="s">
        <v>884</v>
      </c>
      <c r="C124" s="218"/>
      <c r="D124" s="26" t="s">
        <v>171</v>
      </c>
      <c r="E124" s="52"/>
      <c r="F124" s="53"/>
      <c r="G124" s="53"/>
    </row>
    <row r="125" spans="1:17" x14ac:dyDescent="0.2">
      <c r="A125" s="48"/>
      <c r="B125" s="215" t="s">
        <v>172</v>
      </c>
      <c r="C125" s="216"/>
      <c r="D125" s="36" t="s">
        <v>142</v>
      </c>
      <c r="E125" s="50"/>
      <c r="F125" s="49"/>
      <c r="G125" s="49"/>
    </row>
    <row r="126" spans="1:17" x14ac:dyDescent="0.2">
      <c r="A126" s="54"/>
      <c r="B126" s="55" t="s">
        <v>142</v>
      </c>
      <c r="C126" s="55" t="s">
        <v>885</v>
      </c>
      <c r="D126" s="55" t="s">
        <v>173</v>
      </c>
      <c r="E126" s="54"/>
      <c r="F126" s="54"/>
      <c r="G126" s="54"/>
      <c r="H126" s="45"/>
      <c r="J126" s="45"/>
    </row>
    <row r="127" spans="1:17" x14ac:dyDescent="0.2">
      <c r="A127" s="54"/>
      <c r="B127" s="56" t="s">
        <v>174</v>
      </c>
      <c r="C127" s="57">
        <v>45777</v>
      </c>
      <c r="D127" s="57">
        <v>45808</v>
      </c>
      <c r="E127" s="54"/>
      <c r="F127" s="54"/>
      <c r="G127" s="54"/>
      <c r="H127" s="45"/>
      <c r="J127" s="45"/>
    </row>
    <row r="128" spans="1:17" x14ac:dyDescent="0.2">
      <c r="A128" s="58"/>
      <c r="B128" s="29" t="s">
        <v>175</v>
      </c>
      <c r="C128" s="59">
        <v>10.433</v>
      </c>
      <c r="D128" s="59">
        <v>10.841900000000001</v>
      </c>
      <c r="E128" s="58"/>
      <c r="F128" s="60"/>
      <c r="G128" s="61"/>
    </row>
    <row r="129" spans="1:7" x14ac:dyDescent="0.2">
      <c r="A129" s="58"/>
      <c r="B129" s="29" t="s">
        <v>1065</v>
      </c>
      <c r="C129" s="59">
        <v>10.433</v>
      </c>
      <c r="D129" s="59">
        <v>10.841900000000001</v>
      </c>
      <c r="E129" s="58"/>
      <c r="F129" s="60"/>
      <c r="G129" s="61"/>
    </row>
    <row r="130" spans="1:7" x14ac:dyDescent="0.2">
      <c r="A130" s="58"/>
      <c r="B130" s="29" t="s">
        <v>177</v>
      </c>
      <c r="C130" s="59">
        <v>10.292</v>
      </c>
      <c r="D130" s="59">
        <v>10.680999999999999</v>
      </c>
      <c r="E130" s="58"/>
      <c r="F130" s="60"/>
      <c r="G130" s="61"/>
    </row>
    <row r="131" spans="1:7" x14ac:dyDescent="0.2">
      <c r="A131" s="58"/>
      <c r="B131" s="29" t="s">
        <v>1066</v>
      </c>
      <c r="C131" s="59">
        <v>10.292</v>
      </c>
      <c r="D131" s="59">
        <v>10.680999999999999</v>
      </c>
      <c r="E131" s="58"/>
      <c r="F131" s="60"/>
      <c r="G131" s="61"/>
    </row>
    <row r="132" spans="1:7" x14ac:dyDescent="0.2">
      <c r="A132" s="58"/>
      <c r="B132" s="58"/>
      <c r="C132" s="58"/>
      <c r="D132" s="58"/>
      <c r="E132" s="58"/>
      <c r="F132" s="58"/>
      <c r="G132" s="58"/>
    </row>
    <row r="133" spans="1:7" x14ac:dyDescent="0.2">
      <c r="A133" s="58"/>
      <c r="B133" s="215" t="s">
        <v>887</v>
      </c>
      <c r="C133" s="216"/>
      <c r="D133" s="26" t="s">
        <v>171</v>
      </c>
      <c r="E133" s="58"/>
      <c r="F133" s="58"/>
      <c r="G133" s="58"/>
    </row>
    <row r="134" spans="1:7" x14ac:dyDescent="0.2">
      <c r="A134" s="58"/>
      <c r="B134" s="70"/>
      <c r="C134" s="70"/>
      <c r="D134" s="70"/>
      <c r="E134" s="58"/>
      <c r="F134" s="58"/>
      <c r="G134" s="58"/>
    </row>
    <row r="135" spans="1:7" ht="27.75" customHeight="1" x14ac:dyDescent="0.2">
      <c r="A135" s="54"/>
      <c r="B135" s="217" t="s">
        <v>180</v>
      </c>
      <c r="C135" s="218"/>
      <c r="D135" s="51" t="s">
        <v>171</v>
      </c>
      <c r="E135" s="65"/>
      <c r="F135" s="54"/>
      <c r="G135" s="54"/>
    </row>
    <row r="136" spans="1:7" x14ac:dyDescent="0.2">
      <c r="A136" s="54"/>
      <c r="B136" s="217" t="s">
        <v>181</v>
      </c>
      <c r="C136" s="218"/>
      <c r="D136" s="51" t="s">
        <v>171</v>
      </c>
      <c r="E136" s="65"/>
      <c r="F136" s="54"/>
      <c r="G136" s="54"/>
    </row>
    <row r="137" spans="1:7" ht="12.75" customHeight="1" x14ac:dyDescent="0.2">
      <c r="A137" s="54"/>
      <c r="B137" s="217" t="s">
        <v>182</v>
      </c>
      <c r="C137" s="218"/>
      <c r="D137" s="51" t="s">
        <v>171</v>
      </c>
      <c r="E137" s="65"/>
      <c r="F137" s="54"/>
      <c r="G137" s="54"/>
    </row>
    <row r="138" spans="1:7" x14ac:dyDescent="0.2">
      <c r="A138" s="54"/>
      <c r="B138" s="217" t="s">
        <v>183</v>
      </c>
      <c r="C138" s="218"/>
      <c r="D138" s="66">
        <v>0.33271203310546832</v>
      </c>
      <c r="E138" s="54"/>
      <c r="F138" s="44"/>
      <c r="G138" s="64"/>
    </row>
    <row r="140" spans="1:7" x14ac:dyDescent="0.2">
      <c r="B140" s="219" t="s">
        <v>888</v>
      </c>
      <c r="C140" s="219"/>
    </row>
    <row r="142" spans="1:7" ht="153.75" customHeight="1" x14ac:dyDescent="0.2"/>
    <row r="145" spans="2:10" x14ac:dyDescent="0.2">
      <c r="B145" s="67" t="s">
        <v>889</v>
      </c>
      <c r="C145" s="68"/>
      <c r="D145" s="67"/>
    </row>
    <row r="146" spans="2:10" x14ac:dyDescent="0.2">
      <c r="B146" s="67" t="s">
        <v>1056</v>
      </c>
      <c r="D146" s="67"/>
    </row>
    <row r="147" spans="2:10" ht="165" customHeight="1" x14ac:dyDescent="0.2"/>
    <row r="149" spans="2:10" x14ac:dyDescent="0.2">
      <c r="J149" s="24"/>
    </row>
  </sheetData>
  <mergeCells count="18">
    <mergeCell ref="B124:C124"/>
    <mergeCell ref="B125:C125"/>
    <mergeCell ref="B140:C140"/>
    <mergeCell ref="B133:C133"/>
    <mergeCell ref="B137:C137"/>
    <mergeCell ref="B138:C138"/>
    <mergeCell ref="B135:C135"/>
    <mergeCell ref="B136:C136"/>
    <mergeCell ref="B118:H118"/>
    <mergeCell ref="B119:H119"/>
    <mergeCell ref="B120:H120"/>
    <mergeCell ref="B122:D122"/>
    <mergeCell ref="B123:C123"/>
    <mergeCell ref="A1:H1"/>
    <mergeCell ref="A2:H2"/>
    <mergeCell ref="A3:H3"/>
    <mergeCell ref="B116:H116"/>
    <mergeCell ref="B117:H117"/>
  </mergeCells>
  <hyperlinks>
    <hyperlink ref="I1" location="Index!B2" display="Index" xr:uid="{E2E486D4-C63E-42F0-BDAE-E6276B4E1F7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F813-1409-415A-9872-E5B278C06136}">
  <sheetPr>
    <outlinePr summaryBelow="0" summaryRight="0"/>
  </sheetPr>
  <dimension ref="A1:Q169"/>
  <sheetViews>
    <sheetView showGridLines="0" topLeftCell="A108" workbookViewId="0">
      <selection activeCell="D144" sqref="D144"/>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820</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996000</v>
      </c>
      <c r="F7" s="31">
        <v>19371.204000000002</v>
      </c>
      <c r="G7" s="32">
        <v>9.4248849999999995E-2</v>
      </c>
      <c r="H7" s="27" t="s">
        <v>142</v>
      </c>
    </row>
    <row r="8" spans="1:9" x14ac:dyDescent="0.2">
      <c r="A8" s="28">
        <v>2</v>
      </c>
      <c r="B8" s="29" t="s">
        <v>26</v>
      </c>
      <c r="C8" s="29" t="s">
        <v>27</v>
      </c>
      <c r="D8" s="29" t="s">
        <v>28</v>
      </c>
      <c r="E8" s="30">
        <v>1151000</v>
      </c>
      <c r="F8" s="31">
        <v>16641.157999999999</v>
      </c>
      <c r="G8" s="32">
        <v>8.0966049999999998E-2</v>
      </c>
      <c r="H8" s="27" t="s">
        <v>142</v>
      </c>
    </row>
    <row r="9" spans="1:9" x14ac:dyDescent="0.2">
      <c r="A9" s="28">
        <v>3</v>
      </c>
      <c r="B9" s="29" t="s">
        <v>14</v>
      </c>
      <c r="C9" s="29" t="s">
        <v>15</v>
      </c>
      <c r="D9" s="29" t="s">
        <v>16</v>
      </c>
      <c r="E9" s="30">
        <v>682000</v>
      </c>
      <c r="F9" s="31">
        <v>9690.5380000000005</v>
      </c>
      <c r="G9" s="32">
        <v>4.714844E-2</v>
      </c>
      <c r="H9" s="27" t="s">
        <v>142</v>
      </c>
    </row>
    <row r="10" spans="1:9" x14ac:dyDescent="0.2">
      <c r="A10" s="28">
        <v>4</v>
      </c>
      <c r="B10" s="29" t="s">
        <v>17</v>
      </c>
      <c r="C10" s="29" t="s">
        <v>18</v>
      </c>
      <c r="D10" s="29" t="s">
        <v>19</v>
      </c>
      <c r="E10" s="30">
        <v>190000</v>
      </c>
      <c r="F10" s="31">
        <v>6982.69</v>
      </c>
      <c r="G10" s="32">
        <v>3.3973650000000001E-2</v>
      </c>
      <c r="H10" s="27" t="s">
        <v>142</v>
      </c>
    </row>
    <row r="11" spans="1:9" x14ac:dyDescent="0.2">
      <c r="A11" s="28">
        <v>5</v>
      </c>
      <c r="B11" s="29" t="s">
        <v>323</v>
      </c>
      <c r="C11" s="29" t="s">
        <v>324</v>
      </c>
      <c r="D11" s="29" t="s">
        <v>200</v>
      </c>
      <c r="E11" s="30">
        <v>417000</v>
      </c>
      <c r="F11" s="31">
        <v>6516.4589999999998</v>
      </c>
      <c r="G11" s="32">
        <v>3.1705240000000003E-2</v>
      </c>
      <c r="H11" s="27" t="s">
        <v>142</v>
      </c>
    </row>
    <row r="12" spans="1:9" x14ac:dyDescent="0.2">
      <c r="A12" s="28">
        <v>6</v>
      </c>
      <c r="B12" s="29" t="s">
        <v>46</v>
      </c>
      <c r="C12" s="29" t="s">
        <v>47</v>
      </c>
      <c r="D12" s="29" t="s">
        <v>28</v>
      </c>
      <c r="E12" s="30">
        <v>796000</v>
      </c>
      <c r="F12" s="31">
        <v>6465.9080000000004</v>
      </c>
      <c r="G12" s="32">
        <v>3.1459290000000001E-2</v>
      </c>
      <c r="H12" s="27" t="s">
        <v>142</v>
      </c>
    </row>
    <row r="13" spans="1:9" x14ac:dyDescent="0.2">
      <c r="A13" s="28">
        <v>7</v>
      </c>
      <c r="B13" s="29" t="s">
        <v>11</v>
      </c>
      <c r="C13" s="29" t="s">
        <v>12</v>
      </c>
      <c r="D13" s="29" t="s">
        <v>13</v>
      </c>
      <c r="E13" s="30">
        <v>336000</v>
      </c>
      <c r="F13" s="31">
        <v>6236.8320000000003</v>
      </c>
      <c r="G13" s="32">
        <v>3.0344739999999999E-2</v>
      </c>
      <c r="H13" s="27" t="s">
        <v>142</v>
      </c>
    </row>
    <row r="14" spans="1:9" x14ac:dyDescent="0.2">
      <c r="A14" s="28">
        <v>8</v>
      </c>
      <c r="B14" s="29" t="s">
        <v>343</v>
      </c>
      <c r="C14" s="29" t="s">
        <v>344</v>
      </c>
      <c r="D14" s="29" t="s">
        <v>345</v>
      </c>
      <c r="E14" s="30">
        <v>1440000</v>
      </c>
      <c r="F14" s="31">
        <v>6019.92</v>
      </c>
      <c r="G14" s="32">
        <v>2.928938E-2</v>
      </c>
      <c r="H14" s="27" t="s">
        <v>142</v>
      </c>
    </row>
    <row r="15" spans="1:9" x14ac:dyDescent="0.2">
      <c r="A15" s="28">
        <v>9</v>
      </c>
      <c r="B15" s="29" t="s">
        <v>319</v>
      </c>
      <c r="C15" s="29" t="s">
        <v>320</v>
      </c>
      <c r="D15" s="29" t="s">
        <v>28</v>
      </c>
      <c r="E15" s="30">
        <v>501535</v>
      </c>
      <c r="F15" s="31">
        <v>5979.3002699999997</v>
      </c>
      <c r="G15" s="32">
        <v>2.909175E-2</v>
      </c>
      <c r="H15" s="27" t="s">
        <v>142</v>
      </c>
    </row>
    <row r="16" spans="1:9" ht="25.5" x14ac:dyDescent="0.2">
      <c r="A16" s="28">
        <v>10</v>
      </c>
      <c r="B16" s="29" t="s">
        <v>23</v>
      </c>
      <c r="C16" s="29" t="s">
        <v>24</v>
      </c>
      <c r="D16" s="29" t="s">
        <v>25</v>
      </c>
      <c r="E16" s="30">
        <v>42000</v>
      </c>
      <c r="F16" s="31">
        <v>4708.2</v>
      </c>
      <c r="G16" s="32">
        <v>2.2907319999999998E-2</v>
      </c>
      <c r="H16" s="27" t="s">
        <v>142</v>
      </c>
    </row>
    <row r="17" spans="1:8" x14ac:dyDescent="0.2">
      <c r="A17" s="28">
        <v>11</v>
      </c>
      <c r="B17" s="29" t="s">
        <v>434</v>
      </c>
      <c r="C17" s="29" t="s">
        <v>435</v>
      </c>
      <c r="D17" s="29" t="s">
        <v>345</v>
      </c>
      <c r="E17" s="30">
        <v>190000</v>
      </c>
      <c r="F17" s="31">
        <v>4461.7700000000004</v>
      </c>
      <c r="G17" s="32">
        <v>2.170834E-2</v>
      </c>
      <c r="H17" s="27" t="s">
        <v>142</v>
      </c>
    </row>
    <row r="18" spans="1:8" x14ac:dyDescent="0.2">
      <c r="A18" s="28">
        <v>12</v>
      </c>
      <c r="B18" s="29" t="s">
        <v>498</v>
      </c>
      <c r="C18" s="29" t="s">
        <v>499</v>
      </c>
      <c r="D18" s="29" t="s">
        <v>254</v>
      </c>
      <c r="E18" s="30">
        <v>32000</v>
      </c>
      <c r="F18" s="31">
        <v>3942.08</v>
      </c>
      <c r="G18" s="32">
        <v>1.917984E-2</v>
      </c>
      <c r="H18" s="27" t="s">
        <v>142</v>
      </c>
    </row>
    <row r="19" spans="1:8" x14ac:dyDescent="0.2">
      <c r="A19" s="28">
        <v>13</v>
      </c>
      <c r="B19" s="29" t="s">
        <v>680</v>
      </c>
      <c r="C19" s="29" t="s">
        <v>681</v>
      </c>
      <c r="D19" s="29" t="s">
        <v>254</v>
      </c>
      <c r="E19" s="30">
        <v>29601</v>
      </c>
      <c r="F19" s="31">
        <v>3744.3784949999999</v>
      </c>
      <c r="G19" s="32">
        <v>1.8217939999999998E-2</v>
      </c>
      <c r="H19" s="27" t="s">
        <v>142</v>
      </c>
    </row>
    <row r="20" spans="1:8" ht="25.5" x14ac:dyDescent="0.2">
      <c r="A20" s="28">
        <v>14</v>
      </c>
      <c r="B20" s="29" t="s">
        <v>331</v>
      </c>
      <c r="C20" s="29" t="s">
        <v>332</v>
      </c>
      <c r="D20" s="29" t="s">
        <v>194</v>
      </c>
      <c r="E20" s="30">
        <v>202000</v>
      </c>
      <c r="F20" s="31">
        <v>3388.752</v>
      </c>
      <c r="G20" s="32">
        <v>1.6487669999999999E-2</v>
      </c>
      <c r="H20" s="27" t="s">
        <v>142</v>
      </c>
    </row>
    <row r="21" spans="1:8" x14ac:dyDescent="0.2">
      <c r="A21" s="28">
        <v>15</v>
      </c>
      <c r="B21" s="29" t="s">
        <v>321</v>
      </c>
      <c r="C21" s="29" t="s">
        <v>322</v>
      </c>
      <c r="D21" s="29" t="s">
        <v>28</v>
      </c>
      <c r="E21" s="30">
        <v>161000</v>
      </c>
      <c r="F21" s="31">
        <v>3340.2669999999998</v>
      </c>
      <c r="G21" s="32">
        <v>1.6251769999999999E-2</v>
      </c>
      <c r="H21" s="27" t="s">
        <v>142</v>
      </c>
    </row>
    <row r="22" spans="1:8" x14ac:dyDescent="0.2">
      <c r="A22" s="28">
        <v>16</v>
      </c>
      <c r="B22" s="29" t="s">
        <v>358</v>
      </c>
      <c r="C22" s="29" t="s">
        <v>359</v>
      </c>
      <c r="D22" s="29" t="s">
        <v>200</v>
      </c>
      <c r="E22" s="30">
        <v>90702</v>
      </c>
      <c r="F22" s="31">
        <v>3141.3730679999999</v>
      </c>
      <c r="G22" s="32">
        <v>1.528407E-2</v>
      </c>
      <c r="H22" s="27" t="s">
        <v>142</v>
      </c>
    </row>
    <row r="23" spans="1:8" x14ac:dyDescent="0.2">
      <c r="A23" s="28">
        <v>17</v>
      </c>
      <c r="B23" s="29" t="s">
        <v>686</v>
      </c>
      <c r="C23" s="29" t="s">
        <v>687</v>
      </c>
      <c r="D23" s="29" t="s">
        <v>212</v>
      </c>
      <c r="E23" s="30">
        <v>46000</v>
      </c>
      <c r="F23" s="31">
        <v>3100.4</v>
      </c>
      <c r="G23" s="32">
        <v>1.5084719999999999E-2</v>
      </c>
      <c r="H23" s="27" t="s">
        <v>142</v>
      </c>
    </row>
    <row r="24" spans="1:8" ht="25.5" x14ac:dyDescent="0.2">
      <c r="A24" s="28">
        <v>18</v>
      </c>
      <c r="B24" s="29" t="s">
        <v>341</v>
      </c>
      <c r="C24" s="29" t="s">
        <v>342</v>
      </c>
      <c r="D24" s="29" t="s">
        <v>132</v>
      </c>
      <c r="E24" s="30">
        <v>191000</v>
      </c>
      <c r="F24" s="31">
        <v>3057.91</v>
      </c>
      <c r="G24" s="32">
        <v>1.4877990000000001E-2</v>
      </c>
      <c r="H24" s="27" t="s">
        <v>142</v>
      </c>
    </row>
    <row r="25" spans="1:8" x14ac:dyDescent="0.2">
      <c r="A25" s="28">
        <v>19</v>
      </c>
      <c r="B25" s="29" t="s">
        <v>436</v>
      </c>
      <c r="C25" s="29" t="s">
        <v>437</v>
      </c>
      <c r="D25" s="29" t="s">
        <v>28</v>
      </c>
      <c r="E25" s="30">
        <v>369000</v>
      </c>
      <c r="F25" s="31">
        <v>3014.5455000000002</v>
      </c>
      <c r="G25" s="32">
        <v>1.4666999999999999E-2</v>
      </c>
      <c r="H25" s="27" t="s">
        <v>142</v>
      </c>
    </row>
    <row r="26" spans="1:8" ht="25.5" x14ac:dyDescent="0.2">
      <c r="A26" s="28">
        <v>20</v>
      </c>
      <c r="B26" s="29" t="s">
        <v>631</v>
      </c>
      <c r="C26" s="29" t="s">
        <v>632</v>
      </c>
      <c r="D26" s="29" t="s">
        <v>194</v>
      </c>
      <c r="E26" s="30">
        <v>260000</v>
      </c>
      <c r="F26" s="31">
        <v>2984.28</v>
      </c>
      <c r="G26" s="32">
        <v>1.451975E-2</v>
      </c>
      <c r="H26" s="27" t="s">
        <v>142</v>
      </c>
    </row>
    <row r="27" spans="1:8" x14ac:dyDescent="0.2">
      <c r="A27" s="28">
        <v>21</v>
      </c>
      <c r="B27" s="29" t="s">
        <v>117</v>
      </c>
      <c r="C27" s="29" t="s">
        <v>118</v>
      </c>
      <c r="D27" s="29" t="s">
        <v>36</v>
      </c>
      <c r="E27" s="30">
        <v>450000</v>
      </c>
      <c r="F27" s="31">
        <v>2615.625</v>
      </c>
      <c r="G27" s="32">
        <v>1.2726090000000001E-2</v>
      </c>
      <c r="H27" s="27" t="s">
        <v>142</v>
      </c>
    </row>
    <row r="28" spans="1:8" ht="25.5" x14ac:dyDescent="0.2">
      <c r="A28" s="28">
        <v>22</v>
      </c>
      <c r="B28" s="29" t="s">
        <v>99</v>
      </c>
      <c r="C28" s="29" t="s">
        <v>100</v>
      </c>
      <c r="D28" s="29" t="s">
        <v>25</v>
      </c>
      <c r="E28" s="30">
        <v>460000</v>
      </c>
      <c r="F28" s="31">
        <v>2546.1</v>
      </c>
      <c r="G28" s="32">
        <v>1.2387820000000001E-2</v>
      </c>
      <c r="H28" s="27" t="s">
        <v>142</v>
      </c>
    </row>
    <row r="29" spans="1:8" x14ac:dyDescent="0.2">
      <c r="A29" s="28">
        <v>23</v>
      </c>
      <c r="B29" s="29" t="s">
        <v>725</v>
      </c>
      <c r="C29" s="29" t="s">
        <v>726</v>
      </c>
      <c r="D29" s="29" t="s">
        <v>197</v>
      </c>
      <c r="E29" s="30">
        <v>150000</v>
      </c>
      <c r="F29" s="31">
        <v>2520.15</v>
      </c>
      <c r="G29" s="32">
        <v>1.2261559999999999E-2</v>
      </c>
      <c r="H29" s="27" t="s">
        <v>142</v>
      </c>
    </row>
    <row r="30" spans="1:8" x14ac:dyDescent="0.2">
      <c r="A30" s="28">
        <v>24</v>
      </c>
      <c r="B30" s="29" t="s">
        <v>793</v>
      </c>
      <c r="C30" s="29" t="s">
        <v>794</v>
      </c>
      <c r="D30" s="29" t="s">
        <v>61</v>
      </c>
      <c r="E30" s="30">
        <v>195000</v>
      </c>
      <c r="F30" s="31">
        <v>2464.41</v>
      </c>
      <c r="G30" s="32">
        <v>1.199037E-2</v>
      </c>
      <c r="H30" s="27" t="s">
        <v>142</v>
      </c>
    </row>
    <row r="31" spans="1:8" x14ac:dyDescent="0.2">
      <c r="A31" s="28">
        <v>25</v>
      </c>
      <c r="B31" s="29" t="s">
        <v>34</v>
      </c>
      <c r="C31" s="29" t="s">
        <v>35</v>
      </c>
      <c r="D31" s="29" t="s">
        <v>36</v>
      </c>
      <c r="E31" s="30">
        <v>109000</v>
      </c>
      <c r="F31" s="31">
        <v>2443.1260000000002</v>
      </c>
      <c r="G31" s="32">
        <v>1.1886809999999999E-2</v>
      </c>
      <c r="H31" s="27" t="s">
        <v>142</v>
      </c>
    </row>
    <row r="32" spans="1:8" x14ac:dyDescent="0.2">
      <c r="A32" s="28">
        <v>26</v>
      </c>
      <c r="B32" s="29" t="s">
        <v>65</v>
      </c>
      <c r="C32" s="29" t="s">
        <v>66</v>
      </c>
      <c r="D32" s="29" t="s">
        <v>67</v>
      </c>
      <c r="E32" s="30">
        <v>43308</v>
      </c>
      <c r="F32" s="31">
        <v>2308.3164000000002</v>
      </c>
      <c r="G32" s="32">
        <v>1.123091E-2</v>
      </c>
      <c r="H32" s="27" t="s">
        <v>142</v>
      </c>
    </row>
    <row r="33" spans="1:8" ht="25.5" x14ac:dyDescent="0.2">
      <c r="A33" s="28">
        <v>27</v>
      </c>
      <c r="B33" s="29" t="s">
        <v>795</v>
      </c>
      <c r="C33" s="29" t="s">
        <v>796</v>
      </c>
      <c r="D33" s="29" t="s">
        <v>187</v>
      </c>
      <c r="E33" s="30">
        <v>362000</v>
      </c>
      <c r="F33" s="31">
        <v>2272.998</v>
      </c>
      <c r="G33" s="32">
        <v>1.1059070000000001E-2</v>
      </c>
      <c r="H33" s="27" t="s">
        <v>142</v>
      </c>
    </row>
    <row r="34" spans="1:8" x14ac:dyDescent="0.2">
      <c r="A34" s="28">
        <v>28</v>
      </c>
      <c r="B34" s="29" t="s">
        <v>113</v>
      </c>
      <c r="C34" s="29" t="s">
        <v>114</v>
      </c>
      <c r="D34" s="29" t="s">
        <v>67</v>
      </c>
      <c r="E34" s="30">
        <v>629000</v>
      </c>
      <c r="F34" s="31">
        <v>2251.8200000000002</v>
      </c>
      <c r="G34" s="32">
        <v>1.095603E-2</v>
      </c>
      <c r="H34" s="27" t="s">
        <v>142</v>
      </c>
    </row>
    <row r="35" spans="1:8" ht="25.5" x14ac:dyDescent="0.2">
      <c r="A35" s="28">
        <v>29</v>
      </c>
      <c r="B35" s="29" t="s">
        <v>430</v>
      </c>
      <c r="C35" s="29" t="s">
        <v>431</v>
      </c>
      <c r="D35" s="29" t="s">
        <v>194</v>
      </c>
      <c r="E35" s="30">
        <v>149000</v>
      </c>
      <c r="F35" s="31">
        <v>2183.893</v>
      </c>
      <c r="G35" s="32">
        <v>1.0625529999999999E-2</v>
      </c>
      <c r="H35" s="27" t="s">
        <v>142</v>
      </c>
    </row>
    <row r="36" spans="1:8" ht="25.5" x14ac:dyDescent="0.2">
      <c r="A36" s="28">
        <v>30</v>
      </c>
      <c r="B36" s="29" t="s">
        <v>753</v>
      </c>
      <c r="C36" s="29" t="s">
        <v>754</v>
      </c>
      <c r="D36" s="29" t="s">
        <v>273</v>
      </c>
      <c r="E36" s="30">
        <v>70000</v>
      </c>
      <c r="F36" s="31">
        <v>2175.04</v>
      </c>
      <c r="G36" s="32">
        <v>1.058246E-2</v>
      </c>
      <c r="H36" s="27" t="s">
        <v>142</v>
      </c>
    </row>
    <row r="37" spans="1:8" ht="25.5" x14ac:dyDescent="0.2">
      <c r="A37" s="28">
        <v>31</v>
      </c>
      <c r="B37" s="29" t="s">
        <v>286</v>
      </c>
      <c r="C37" s="29" t="s">
        <v>287</v>
      </c>
      <c r="D37" s="29" t="s">
        <v>187</v>
      </c>
      <c r="E37" s="30">
        <v>56000</v>
      </c>
      <c r="F37" s="31">
        <v>2141.2719999999999</v>
      </c>
      <c r="G37" s="32">
        <v>1.0418169999999999E-2</v>
      </c>
      <c r="H37" s="27" t="s">
        <v>142</v>
      </c>
    </row>
    <row r="38" spans="1:8" ht="25.5" x14ac:dyDescent="0.2">
      <c r="A38" s="28">
        <v>32</v>
      </c>
      <c r="B38" s="29" t="s">
        <v>425</v>
      </c>
      <c r="C38" s="29" t="s">
        <v>426</v>
      </c>
      <c r="D38" s="29" t="s">
        <v>203</v>
      </c>
      <c r="E38" s="30">
        <v>193000</v>
      </c>
      <c r="F38" s="31">
        <v>2135.1590000000001</v>
      </c>
      <c r="G38" s="32">
        <v>1.0388420000000001E-2</v>
      </c>
      <c r="H38" s="27" t="s">
        <v>142</v>
      </c>
    </row>
    <row r="39" spans="1:8" x14ac:dyDescent="0.2">
      <c r="A39" s="28">
        <v>33</v>
      </c>
      <c r="B39" s="29" t="s">
        <v>688</v>
      </c>
      <c r="C39" s="29" t="s">
        <v>689</v>
      </c>
      <c r="D39" s="29" t="s">
        <v>197</v>
      </c>
      <c r="E39" s="30">
        <v>31000</v>
      </c>
      <c r="F39" s="31">
        <v>2132.9549999999999</v>
      </c>
      <c r="G39" s="32">
        <v>1.03777E-2</v>
      </c>
      <c r="H39" s="27" t="s">
        <v>142</v>
      </c>
    </row>
    <row r="40" spans="1:8" x14ac:dyDescent="0.2">
      <c r="A40" s="28">
        <v>34</v>
      </c>
      <c r="B40" s="29" t="s">
        <v>327</v>
      </c>
      <c r="C40" s="29" t="s">
        <v>328</v>
      </c>
      <c r="D40" s="29" t="s">
        <v>132</v>
      </c>
      <c r="E40" s="30">
        <v>23000</v>
      </c>
      <c r="F40" s="31">
        <v>2111.5149999999999</v>
      </c>
      <c r="G40" s="32">
        <v>1.027339E-2</v>
      </c>
      <c r="H40" s="27" t="s">
        <v>142</v>
      </c>
    </row>
    <row r="41" spans="1:8" x14ac:dyDescent="0.2">
      <c r="A41" s="28">
        <v>35</v>
      </c>
      <c r="B41" s="29" t="s">
        <v>84</v>
      </c>
      <c r="C41" s="29" t="s">
        <v>85</v>
      </c>
      <c r="D41" s="29" t="s">
        <v>86</v>
      </c>
      <c r="E41" s="30">
        <v>1101000</v>
      </c>
      <c r="F41" s="31">
        <v>2089.6979999999999</v>
      </c>
      <c r="G41" s="32">
        <v>1.0167239999999999E-2</v>
      </c>
      <c r="H41" s="27" t="s">
        <v>142</v>
      </c>
    </row>
    <row r="42" spans="1:8" x14ac:dyDescent="0.2">
      <c r="A42" s="28">
        <v>36</v>
      </c>
      <c r="B42" s="29" t="s">
        <v>348</v>
      </c>
      <c r="C42" s="29" t="s">
        <v>349</v>
      </c>
      <c r="D42" s="29" t="s">
        <v>290</v>
      </c>
      <c r="E42" s="30">
        <v>863000</v>
      </c>
      <c r="F42" s="31">
        <v>2056.6152999999999</v>
      </c>
      <c r="G42" s="32">
        <v>1.0006279999999999E-2</v>
      </c>
      <c r="H42" s="27" t="s">
        <v>142</v>
      </c>
    </row>
    <row r="43" spans="1:8" x14ac:dyDescent="0.2">
      <c r="A43" s="28">
        <v>37</v>
      </c>
      <c r="B43" s="29" t="s">
        <v>496</v>
      </c>
      <c r="C43" s="29" t="s">
        <v>497</v>
      </c>
      <c r="D43" s="29" t="s">
        <v>226</v>
      </c>
      <c r="E43" s="30">
        <v>135000</v>
      </c>
      <c r="F43" s="31">
        <v>2052.1350000000002</v>
      </c>
      <c r="G43" s="32">
        <v>9.9844800000000004E-3</v>
      </c>
      <c r="H43" s="27" t="s">
        <v>142</v>
      </c>
    </row>
    <row r="44" spans="1:8" x14ac:dyDescent="0.2">
      <c r="A44" s="28">
        <v>38</v>
      </c>
      <c r="B44" s="29" t="s">
        <v>335</v>
      </c>
      <c r="C44" s="29" t="s">
        <v>336</v>
      </c>
      <c r="D44" s="29" t="s">
        <v>290</v>
      </c>
      <c r="E44" s="30">
        <v>135000</v>
      </c>
      <c r="F44" s="31">
        <v>1927.125</v>
      </c>
      <c r="G44" s="32">
        <v>9.3762499999999992E-3</v>
      </c>
      <c r="H44" s="27" t="s">
        <v>142</v>
      </c>
    </row>
    <row r="45" spans="1:8" ht="25.5" x14ac:dyDescent="0.2">
      <c r="A45" s="28">
        <v>39</v>
      </c>
      <c r="B45" s="29" t="s">
        <v>121</v>
      </c>
      <c r="C45" s="29" t="s">
        <v>122</v>
      </c>
      <c r="D45" s="29" t="s">
        <v>123</v>
      </c>
      <c r="E45" s="30">
        <v>397000</v>
      </c>
      <c r="F45" s="31">
        <v>1905.4014999999999</v>
      </c>
      <c r="G45" s="32">
        <v>9.2705600000000006E-3</v>
      </c>
      <c r="H45" s="27" t="s">
        <v>142</v>
      </c>
    </row>
    <row r="46" spans="1:8" x14ac:dyDescent="0.2">
      <c r="A46" s="28">
        <v>40</v>
      </c>
      <c r="B46" s="29" t="s">
        <v>352</v>
      </c>
      <c r="C46" s="29" t="s">
        <v>353</v>
      </c>
      <c r="D46" s="29" t="s">
        <v>254</v>
      </c>
      <c r="E46" s="30">
        <v>250000</v>
      </c>
      <c r="F46" s="31">
        <v>1798.75</v>
      </c>
      <c r="G46" s="32">
        <v>8.7516599999999996E-3</v>
      </c>
      <c r="H46" s="27" t="s">
        <v>142</v>
      </c>
    </row>
    <row r="47" spans="1:8" x14ac:dyDescent="0.2">
      <c r="A47" s="28">
        <v>41</v>
      </c>
      <c r="B47" s="29" t="s">
        <v>504</v>
      </c>
      <c r="C47" s="29" t="s">
        <v>505</v>
      </c>
      <c r="D47" s="29" t="s">
        <v>200</v>
      </c>
      <c r="E47" s="30">
        <v>113000</v>
      </c>
      <c r="F47" s="31">
        <v>1778.5070000000001</v>
      </c>
      <c r="G47" s="32">
        <v>8.65317E-3</v>
      </c>
      <c r="H47" s="27" t="s">
        <v>142</v>
      </c>
    </row>
    <row r="48" spans="1:8" x14ac:dyDescent="0.2">
      <c r="A48" s="28">
        <v>42</v>
      </c>
      <c r="B48" s="29" t="s">
        <v>20</v>
      </c>
      <c r="C48" s="29" t="s">
        <v>21</v>
      </c>
      <c r="D48" s="29" t="s">
        <v>22</v>
      </c>
      <c r="E48" s="30">
        <v>525000</v>
      </c>
      <c r="F48" s="31">
        <v>1752.9749999999999</v>
      </c>
      <c r="G48" s="32">
        <v>8.5289400000000005E-3</v>
      </c>
      <c r="H48" s="27" t="s">
        <v>142</v>
      </c>
    </row>
    <row r="49" spans="1:8" x14ac:dyDescent="0.2">
      <c r="A49" s="28">
        <v>43</v>
      </c>
      <c r="B49" s="29" t="s">
        <v>188</v>
      </c>
      <c r="C49" s="29" t="s">
        <v>189</v>
      </c>
      <c r="D49" s="29" t="s">
        <v>28</v>
      </c>
      <c r="E49" s="30">
        <v>865456</v>
      </c>
      <c r="F49" s="31">
        <v>1748.7403936000001</v>
      </c>
      <c r="G49" s="32">
        <v>8.5083399999999997E-3</v>
      </c>
      <c r="H49" s="27" t="s">
        <v>142</v>
      </c>
    </row>
    <row r="50" spans="1:8" x14ac:dyDescent="0.2">
      <c r="A50" s="28">
        <v>44</v>
      </c>
      <c r="B50" s="29" t="s">
        <v>783</v>
      </c>
      <c r="C50" s="29" t="s">
        <v>784</v>
      </c>
      <c r="D50" s="29" t="s">
        <v>290</v>
      </c>
      <c r="E50" s="30">
        <v>512164</v>
      </c>
      <c r="F50" s="31">
        <v>1705.7622019999999</v>
      </c>
      <c r="G50" s="32">
        <v>8.2992299999999995E-3</v>
      </c>
      <c r="H50" s="27" t="s">
        <v>142</v>
      </c>
    </row>
    <row r="51" spans="1:8" x14ac:dyDescent="0.2">
      <c r="A51" s="28">
        <v>45</v>
      </c>
      <c r="B51" s="29" t="s">
        <v>227</v>
      </c>
      <c r="C51" s="29" t="s">
        <v>228</v>
      </c>
      <c r="D51" s="29" t="s">
        <v>229</v>
      </c>
      <c r="E51" s="30">
        <v>257000</v>
      </c>
      <c r="F51" s="31">
        <v>1684.7635</v>
      </c>
      <c r="G51" s="32">
        <v>8.1970700000000007E-3</v>
      </c>
      <c r="H51" s="27" t="s">
        <v>142</v>
      </c>
    </row>
    <row r="52" spans="1:8" x14ac:dyDescent="0.2">
      <c r="A52" s="28">
        <v>46</v>
      </c>
      <c r="B52" s="29" t="s">
        <v>494</v>
      </c>
      <c r="C52" s="29" t="s">
        <v>495</v>
      </c>
      <c r="D52" s="29" t="s">
        <v>254</v>
      </c>
      <c r="E52" s="30">
        <v>55000</v>
      </c>
      <c r="F52" s="31">
        <v>1637.24</v>
      </c>
      <c r="G52" s="32">
        <v>7.9658400000000001E-3</v>
      </c>
      <c r="H52" s="27" t="s">
        <v>142</v>
      </c>
    </row>
    <row r="53" spans="1:8" x14ac:dyDescent="0.2">
      <c r="A53" s="28">
        <v>47</v>
      </c>
      <c r="B53" s="29" t="s">
        <v>727</v>
      </c>
      <c r="C53" s="29" t="s">
        <v>728</v>
      </c>
      <c r="D53" s="29" t="s">
        <v>61</v>
      </c>
      <c r="E53" s="30">
        <v>153217</v>
      </c>
      <c r="F53" s="31">
        <v>1593.0737575000001</v>
      </c>
      <c r="G53" s="32">
        <v>7.7509600000000003E-3</v>
      </c>
      <c r="H53" s="27" t="s">
        <v>142</v>
      </c>
    </row>
    <row r="54" spans="1:8" x14ac:dyDescent="0.2">
      <c r="A54" s="28">
        <v>48</v>
      </c>
      <c r="B54" s="29" t="s">
        <v>278</v>
      </c>
      <c r="C54" s="29" t="s">
        <v>279</v>
      </c>
      <c r="D54" s="29" t="s">
        <v>212</v>
      </c>
      <c r="E54" s="30">
        <v>39000</v>
      </c>
      <c r="F54" s="31">
        <v>1544.829</v>
      </c>
      <c r="G54" s="32">
        <v>7.5162299999999996E-3</v>
      </c>
      <c r="H54" s="27" t="s">
        <v>142</v>
      </c>
    </row>
    <row r="55" spans="1:8" x14ac:dyDescent="0.2">
      <c r="A55" s="28">
        <v>49</v>
      </c>
      <c r="B55" s="29" t="s">
        <v>723</v>
      </c>
      <c r="C55" s="29" t="s">
        <v>724</v>
      </c>
      <c r="D55" s="29" t="s">
        <v>61</v>
      </c>
      <c r="E55" s="30">
        <v>99875</v>
      </c>
      <c r="F55" s="31">
        <v>1530.3846249999999</v>
      </c>
      <c r="G55" s="32">
        <v>7.4459499999999998E-3</v>
      </c>
      <c r="H55" s="27" t="s">
        <v>142</v>
      </c>
    </row>
    <row r="56" spans="1:8" x14ac:dyDescent="0.2">
      <c r="A56" s="28">
        <v>50</v>
      </c>
      <c r="B56" s="29" t="s">
        <v>797</v>
      </c>
      <c r="C56" s="29" t="s">
        <v>798</v>
      </c>
      <c r="D56" s="29" t="s">
        <v>70</v>
      </c>
      <c r="E56" s="30">
        <v>356000</v>
      </c>
      <c r="F56" s="31">
        <v>1519.4079999999999</v>
      </c>
      <c r="G56" s="32">
        <v>7.3925400000000004E-3</v>
      </c>
      <c r="H56" s="27" t="s">
        <v>142</v>
      </c>
    </row>
    <row r="57" spans="1:8" ht="25.5" x14ac:dyDescent="0.2">
      <c r="A57" s="28">
        <v>51</v>
      </c>
      <c r="B57" s="29" t="s">
        <v>43</v>
      </c>
      <c r="C57" s="29" t="s">
        <v>44</v>
      </c>
      <c r="D57" s="29" t="s">
        <v>45</v>
      </c>
      <c r="E57" s="30">
        <v>100000</v>
      </c>
      <c r="F57" s="31">
        <v>1432.8</v>
      </c>
      <c r="G57" s="32">
        <v>6.9711599999999997E-3</v>
      </c>
      <c r="H57" s="27" t="s">
        <v>142</v>
      </c>
    </row>
    <row r="58" spans="1:8" x14ac:dyDescent="0.2">
      <c r="A58" s="28">
        <v>52</v>
      </c>
      <c r="B58" s="29" t="s">
        <v>222</v>
      </c>
      <c r="C58" s="29" t="s">
        <v>223</v>
      </c>
      <c r="D58" s="29" t="s">
        <v>64</v>
      </c>
      <c r="E58" s="30">
        <v>301000</v>
      </c>
      <c r="F58" s="31">
        <v>1416.3554999999999</v>
      </c>
      <c r="G58" s="32">
        <v>6.8911500000000004E-3</v>
      </c>
      <c r="H58" s="27" t="s">
        <v>142</v>
      </c>
    </row>
    <row r="59" spans="1:8" x14ac:dyDescent="0.2">
      <c r="A59" s="28">
        <v>53</v>
      </c>
      <c r="B59" s="29" t="s">
        <v>274</v>
      </c>
      <c r="C59" s="29" t="s">
        <v>275</v>
      </c>
      <c r="D59" s="29" t="s">
        <v>270</v>
      </c>
      <c r="E59" s="30">
        <v>84000</v>
      </c>
      <c r="F59" s="31">
        <v>1262.268</v>
      </c>
      <c r="G59" s="32">
        <v>6.1414499999999997E-3</v>
      </c>
      <c r="H59" s="27" t="s">
        <v>142</v>
      </c>
    </row>
    <row r="60" spans="1:8" x14ac:dyDescent="0.2">
      <c r="A60" s="28">
        <v>54</v>
      </c>
      <c r="B60" s="29" t="s">
        <v>469</v>
      </c>
      <c r="C60" s="29" t="s">
        <v>470</v>
      </c>
      <c r="D60" s="29" t="s">
        <v>212</v>
      </c>
      <c r="E60" s="30">
        <v>41000</v>
      </c>
      <c r="F60" s="31">
        <v>1210.607</v>
      </c>
      <c r="G60" s="32">
        <v>5.8900999999999997E-3</v>
      </c>
      <c r="H60" s="27" t="s">
        <v>142</v>
      </c>
    </row>
    <row r="61" spans="1:8" ht="25.5" x14ac:dyDescent="0.2">
      <c r="A61" s="28">
        <v>55</v>
      </c>
      <c r="B61" s="29" t="s">
        <v>692</v>
      </c>
      <c r="C61" s="29" t="s">
        <v>693</v>
      </c>
      <c r="D61" s="29" t="s">
        <v>25</v>
      </c>
      <c r="E61" s="30">
        <v>60000</v>
      </c>
      <c r="F61" s="31">
        <v>1209.8399999999999</v>
      </c>
      <c r="G61" s="32">
        <v>5.8863700000000001E-3</v>
      </c>
      <c r="H61" s="27" t="s">
        <v>142</v>
      </c>
    </row>
    <row r="62" spans="1:8" x14ac:dyDescent="0.2">
      <c r="A62" s="28">
        <v>56</v>
      </c>
      <c r="B62" s="29" t="s">
        <v>238</v>
      </c>
      <c r="C62" s="29" t="s">
        <v>239</v>
      </c>
      <c r="D62" s="29" t="s">
        <v>73</v>
      </c>
      <c r="E62" s="30">
        <v>29000</v>
      </c>
      <c r="F62" s="31">
        <v>1202.3979999999999</v>
      </c>
      <c r="G62" s="32">
        <v>5.8501600000000001E-3</v>
      </c>
      <c r="H62" s="27" t="s">
        <v>142</v>
      </c>
    </row>
    <row r="63" spans="1:8" x14ac:dyDescent="0.2">
      <c r="A63" s="28">
        <v>57</v>
      </c>
      <c r="B63" s="29" t="s">
        <v>337</v>
      </c>
      <c r="C63" s="29" t="s">
        <v>338</v>
      </c>
      <c r="D63" s="29" t="s">
        <v>263</v>
      </c>
      <c r="E63" s="30">
        <v>66000</v>
      </c>
      <c r="F63" s="31">
        <v>1145.4960000000001</v>
      </c>
      <c r="G63" s="32">
        <v>5.5733099999999997E-3</v>
      </c>
      <c r="H63" s="27" t="s">
        <v>142</v>
      </c>
    </row>
    <row r="64" spans="1:8" x14ac:dyDescent="0.2">
      <c r="A64" s="28">
        <v>58</v>
      </c>
      <c r="B64" s="29" t="s">
        <v>204</v>
      </c>
      <c r="C64" s="29" t="s">
        <v>205</v>
      </c>
      <c r="D64" s="29" t="s">
        <v>16</v>
      </c>
      <c r="E64" s="30">
        <v>271000</v>
      </c>
      <c r="F64" s="31">
        <v>1113.9455</v>
      </c>
      <c r="G64" s="32">
        <v>5.4197999999999998E-3</v>
      </c>
      <c r="H64" s="27" t="s">
        <v>142</v>
      </c>
    </row>
    <row r="65" spans="1:8" x14ac:dyDescent="0.2">
      <c r="A65" s="28">
        <v>59</v>
      </c>
      <c r="B65" s="29" t="s">
        <v>268</v>
      </c>
      <c r="C65" s="29" t="s">
        <v>269</v>
      </c>
      <c r="D65" s="29" t="s">
        <v>270</v>
      </c>
      <c r="E65" s="30">
        <v>155000</v>
      </c>
      <c r="F65" s="31">
        <v>1026.72</v>
      </c>
      <c r="G65" s="32">
        <v>4.9954099999999996E-3</v>
      </c>
      <c r="H65" s="27" t="s">
        <v>142</v>
      </c>
    </row>
    <row r="66" spans="1:8" x14ac:dyDescent="0.2">
      <c r="A66" s="28">
        <v>60</v>
      </c>
      <c r="B66" s="29" t="s">
        <v>759</v>
      </c>
      <c r="C66" s="29" t="s">
        <v>760</v>
      </c>
      <c r="D66" s="29" t="s">
        <v>254</v>
      </c>
      <c r="E66" s="30">
        <v>53060</v>
      </c>
      <c r="F66" s="31">
        <v>980.12432000000001</v>
      </c>
      <c r="G66" s="32">
        <v>4.7687099999999998E-3</v>
      </c>
      <c r="H66" s="27" t="s">
        <v>142</v>
      </c>
    </row>
    <row r="67" spans="1:8" ht="25.5" x14ac:dyDescent="0.2">
      <c r="A67" s="28">
        <v>61</v>
      </c>
      <c r="B67" s="29" t="s">
        <v>460</v>
      </c>
      <c r="C67" s="29" t="s">
        <v>461</v>
      </c>
      <c r="D67" s="29" t="s">
        <v>194</v>
      </c>
      <c r="E67" s="30">
        <v>8235</v>
      </c>
      <c r="F67" s="31">
        <v>947.27205000000004</v>
      </c>
      <c r="G67" s="32">
        <v>4.6088700000000002E-3</v>
      </c>
      <c r="H67" s="27" t="s">
        <v>142</v>
      </c>
    </row>
    <row r="68" spans="1:8" x14ac:dyDescent="0.2">
      <c r="A68" s="28">
        <v>62</v>
      </c>
      <c r="B68" s="29" t="s">
        <v>95</v>
      </c>
      <c r="C68" s="29" t="s">
        <v>96</v>
      </c>
      <c r="D68" s="29" t="s">
        <v>64</v>
      </c>
      <c r="E68" s="30">
        <v>21000</v>
      </c>
      <c r="F68" s="31">
        <v>879.62699999999995</v>
      </c>
      <c r="G68" s="32">
        <v>4.2797499999999997E-3</v>
      </c>
      <c r="H68" s="27" t="s">
        <v>142</v>
      </c>
    </row>
    <row r="69" spans="1:8" x14ac:dyDescent="0.2">
      <c r="A69" s="28">
        <v>63</v>
      </c>
      <c r="B69" s="29" t="s">
        <v>413</v>
      </c>
      <c r="C69" s="29" t="s">
        <v>414</v>
      </c>
      <c r="D69" s="29" t="s">
        <v>61</v>
      </c>
      <c r="E69" s="30">
        <v>86827</v>
      </c>
      <c r="F69" s="31">
        <v>667.43914900000004</v>
      </c>
      <c r="G69" s="32">
        <v>3.2473699999999999E-3</v>
      </c>
      <c r="H69" s="27" t="s">
        <v>142</v>
      </c>
    </row>
    <row r="70" spans="1:8" x14ac:dyDescent="0.2">
      <c r="A70" s="28">
        <v>64</v>
      </c>
      <c r="B70" s="29" t="s">
        <v>93</v>
      </c>
      <c r="C70" s="29" t="s">
        <v>94</v>
      </c>
      <c r="D70" s="29" t="s">
        <v>73</v>
      </c>
      <c r="E70" s="30">
        <v>31783</v>
      </c>
      <c r="F70" s="31">
        <v>575.81261099999995</v>
      </c>
      <c r="G70" s="32">
        <v>2.8015599999999998E-3</v>
      </c>
      <c r="H70" s="27" t="s">
        <v>142</v>
      </c>
    </row>
    <row r="71" spans="1:8" ht="25.5" x14ac:dyDescent="0.2">
      <c r="A71" s="28">
        <v>65</v>
      </c>
      <c r="B71" s="29" t="s">
        <v>276</v>
      </c>
      <c r="C71" s="29" t="s">
        <v>277</v>
      </c>
      <c r="D71" s="29" t="s">
        <v>194</v>
      </c>
      <c r="E71" s="30">
        <v>13953</v>
      </c>
      <c r="F71" s="31">
        <v>344.31818099999998</v>
      </c>
      <c r="G71" s="32">
        <v>1.6752500000000001E-3</v>
      </c>
      <c r="H71" s="27" t="s">
        <v>142</v>
      </c>
    </row>
    <row r="72" spans="1:8" x14ac:dyDescent="0.2">
      <c r="A72" s="25"/>
      <c r="B72" s="25"/>
      <c r="C72" s="26" t="s">
        <v>141</v>
      </c>
      <c r="D72" s="25"/>
      <c r="E72" s="25" t="s">
        <v>142</v>
      </c>
      <c r="F72" s="33">
        <v>198830.77632209999</v>
      </c>
      <c r="G72" s="34">
        <v>0.96739328999999996</v>
      </c>
      <c r="H72" s="27" t="s">
        <v>142</v>
      </c>
    </row>
    <row r="73" spans="1:8" x14ac:dyDescent="0.2">
      <c r="A73" s="25"/>
      <c r="B73" s="25"/>
      <c r="C73" s="35"/>
      <c r="D73" s="25"/>
      <c r="E73" s="25"/>
      <c r="F73" s="36"/>
      <c r="G73" s="36"/>
      <c r="H73" s="27" t="s">
        <v>142</v>
      </c>
    </row>
    <row r="74" spans="1:8" x14ac:dyDescent="0.2">
      <c r="A74" s="25"/>
      <c r="B74" s="25"/>
      <c r="C74" s="26" t="s">
        <v>143</v>
      </c>
      <c r="D74" s="25"/>
      <c r="E74" s="25"/>
      <c r="F74" s="25"/>
      <c r="G74" s="25"/>
      <c r="H74" s="27" t="s">
        <v>142</v>
      </c>
    </row>
    <row r="75" spans="1:8" x14ac:dyDescent="0.2">
      <c r="A75" s="25"/>
      <c r="B75" s="25"/>
      <c r="C75" s="26" t="s">
        <v>141</v>
      </c>
      <c r="D75" s="25"/>
      <c r="E75" s="25" t="s">
        <v>142</v>
      </c>
      <c r="F75" s="37" t="s">
        <v>144</v>
      </c>
      <c r="G75" s="34">
        <v>0</v>
      </c>
      <c r="H75" s="27" t="s">
        <v>142</v>
      </c>
    </row>
    <row r="76" spans="1:8" x14ac:dyDescent="0.2">
      <c r="A76" s="25"/>
      <c r="B76" s="25"/>
      <c r="C76" s="35"/>
      <c r="D76" s="25"/>
      <c r="E76" s="25"/>
      <c r="F76" s="36"/>
      <c r="G76" s="36"/>
      <c r="H76" s="27" t="s">
        <v>142</v>
      </c>
    </row>
    <row r="77" spans="1:8" x14ac:dyDescent="0.2">
      <c r="A77" s="25"/>
      <c r="B77" s="25"/>
      <c r="C77" s="26" t="s">
        <v>145</v>
      </c>
      <c r="D77" s="25"/>
      <c r="E77" s="25"/>
      <c r="F77" s="25"/>
      <c r="G77" s="25"/>
      <c r="H77" s="27" t="s">
        <v>142</v>
      </c>
    </row>
    <row r="78" spans="1:8" x14ac:dyDescent="0.2">
      <c r="A78" s="25"/>
      <c r="B78" s="25"/>
      <c r="C78" s="26" t="s">
        <v>141</v>
      </c>
      <c r="D78" s="25"/>
      <c r="E78" s="25" t="s">
        <v>142</v>
      </c>
      <c r="F78" s="37" t="s">
        <v>144</v>
      </c>
      <c r="G78" s="34">
        <v>0</v>
      </c>
      <c r="H78" s="27" t="s">
        <v>142</v>
      </c>
    </row>
    <row r="79" spans="1:8" x14ac:dyDescent="0.2">
      <c r="A79" s="25"/>
      <c r="B79" s="25"/>
      <c r="C79" s="35"/>
      <c r="D79" s="25"/>
      <c r="E79" s="25"/>
      <c r="F79" s="36"/>
      <c r="G79" s="36"/>
      <c r="H79" s="27" t="s">
        <v>142</v>
      </c>
    </row>
    <row r="80" spans="1:8" x14ac:dyDescent="0.2">
      <c r="A80" s="25"/>
      <c r="B80" s="25"/>
      <c r="C80" s="26" t="s">
        <v>146</v>
      </c>
      <c r="D80" s="25"/>
      <c r="E80" s="25"/>
      <c r="F80" s="25"/>
      <c r="G80" s="25"/>
      <c r="H80" s="27" t="s">
        <v>142</v>
      </c>
    </row>
    <row r="81" spans="1:8" x14ac:dyDescent="0.2">
      <c r="A81" s="25"/>
      <c r="B81" s="25"/>
      <c r="C81" s="26" t="s">
        <v>141</v>
      </c>
      <c r="D81" s="25"/>
      <c r="E81" s="25" t="s">
        <v>142</v>
      </c>
      <c r="F81" s="37" t="s">
        <v>144</v>
      </c>
      <c r="G81" s="34">
        <v>0</v>
      </c>
      <c r="H81" s="27" t="s">
        <v>142</v>
      </c>
    </row>
    <row r="82" spans="1:8" x14ac:dyDescent="0.2">
      <c r="A82" s="25"/>
      <c r="B82" s="25"/>
      <c r="C82" s="35"/>
      <c r="D82" s="25"/>
      <c r="E82" s="25"/>
      <c r="F82" s="36"/>
      <c r="G82" s="36"/>
      <c r="H82" s="27" t="s">
        <v>142</v>
      </c>
    </row>
    <row r="83" spans="1:8" x14ac:dyDescent="0.2">
      <c r="A83" s="25"/>
      <c r="B83" s="25"/>
      <c r="C83" s="26" t="s">
        <v>147</v>
      </c>
      <c r="D83" s="25"/>
      <c r="E83" s="25"/>
      <c r="F83" s="36"/>
      <c r="G83" s="36"/>
      <c r="H83" s="27" t="s">
        <v>142</v>
      </c>
    </row>
    <row r="84" spans="1:8" x14ac:dyDescent="0.2">
      <c r="A84" s="25"/>
      <c r="B84" s="25"/>
      <c r="C84" s="26" t="s">
        <v>141</v>
      </c>
      <c r="D84" s="25"/>
      <c r="E84" s="25" t="s">
        <v>142</v>
      </c>
      <c r="F84" s="37" t="s">
        <v>144</v>
      </c>
      <c r="G84" s="34">
        <v>0</v>
      </c>
      <c r="H84" s="27" t="s">
        <v>142</v>
      </c>
    </row>
    <row r="85" spans="1:8" x14ac:dyDescent="0.2">
      <c r="A85" s="25"/>
      <c r="B85" s="25"/>
      <c r="C85" s="35"/>
      <c r="D85" s="25"/>
      <c r="E85" s="25"/>
      <c r="F85" s="36"/>
      <c r="G85" s="36"/>
      <c r="H85" s="27" t="s">
        <v>142</v>
      </c>
    </row>
    <row r="86" spans="1:8" x14ac:dyDescent="0.2">
      <c r="A86" s="25"/>
      <c r="B86" s="25"/>
      <c r="C86" s="26" t="s">
        <v>148</v>
      </c>
      <c r="D86" s="25"/>
      <c r="E86" s="25"/>
      <c r="F86" s="36"/>
      <c r="G86" s="36"/>
      <c r="H86" s="27" t="s">
        <v>142</v>
      </c>
    </row>
    <row r="87" spans="1:8" x14ac:dyDescent="0.2">
      <c r="A87" s="25"/>
      <c r="B87" s="25"/>
      <c r="C87" s="26" t="s">
        <v>141</v>
      </c>
      <c r="D87" s="25"/>
      <c r="E87" s="25" t="s">
        <v>142</v>
      </c>
      <c r="F87" s="37" t="s">
        <v>144</v>
      </c>
      <c r="G87" s="34">
        <v>0</v>
      </c>
      <c r="H87" s="27" t="s">
        <v>142</v>
      </c>
    </row>
    <row r="88" spans="1:8" x14ac:dyDescent="0.2">
      <c r="A88" s="25"/>
      <c r="B88" s="25"/>
      <c r="C88" s="35"/>
      <c r="D88" s="25"/>
      <c r="E88" s="25"/>
      <c r="F88" s="36"/>
      <c r="G88" s="36"/>
      <c r="H88" s="27" t="s">
        <v>142</v>
      </c>
    </row>
    <row r="89" spans="1:8" x14ac:dyDescent="0.2">
      <c r="A89" s="25"/>
      <c r="B89" s="25"/>
      <c r="C89" s="26" t="s">
        <v>149</v>
      </c>
      <c r="D89" s="25"/>
      <c r="E89" s="25"/>
      <c r="F89" s="33">
        <v>198830.77632209999</v>
      </c>
      <c r="G89" s="34">
        <v>0.96739328999999996</v>
      </c>
      <c r="H89" s="27" t="s">
        <v>142</v>
      </c>
    </row>
    <row r="90" spans="1:8" x14ac:dyDescent="0.2">
      <c r="A90" s="25"/>
      <c r="B90" s="25"/>
      <c r="C90" s="35"/>
      <c r="D90" s="25"/>
      <c r="E90" s="25"/>
      <c r="F90" s="36"/>
      <c r="G90" s="36"/>
      <c r="H90" s="27" t="s">
        <v>142</v>
      </c>
    </row>
    <row r="91" spans="1:8" x14ac:dyDescent="0.2">
      <c r="A91" s="25"/>
      <c r="B91" s="25"/>
      <c r="C91" s="26" t="s">
        <v>150</v>
      </c>
      <c r="D91" s="25"/>
      <c r="E91" s="25"/>
      <c r="F91" s="36"/>
      <c r="G91" s="36"/>
      <c r="H91" s="27" t="s">
        <v>142</v>
      </c>
    </row>
    <row r="92" spans="1:8" x14ac:dyDescent="0.2">
      <c r="A92" s="25"/>
      <c r="B92" s="25"/>
      <c r="C92" s="26" t="s">
        <v>10</v>
      </c>
      <c r="D92" s="25"/>
      <c r="E92" s="25"/>
      <c r="F92" s="36"/>
      <c r="G92" s="36"/>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151</v>
      </c>
      <c r="D95" s="25"/>
      <c r="E95" s="25"/>
      <c r="F95" s="25"/>
      <c r="G95" s="25"/>
      <c r="H95" s="27" t="s">
        <v>142</v>
      </c>
    </row>
    <row r="96" spans="1:8" x14ac:dyDescent="0.2">
      <c r="A96" s="25"/>
      <c r="B96" s="25"/>
      <c r="C96" s="26" t="s">
        <v>141</v>
      </c>
      <c r="D96" s="25"/>
      <c r="E96" s="25" t="s">
        <v>142</v>
      </c>
      <c r="F96" s="37" t="s">
        <v>144</v>
      </c>
      <c r="G96" s="34">
        <v>0</v>
      </c>
      <c r="H96" s="27" t="s">
        <v>142</v>
      </c>
    </row>
    <row r="97" spans="1:8" x14ac:dyDescent="0.2">
      <c r="A97" s="25"/>
      <c r="B97" s="25"/>
      <c r="C97" s="35"/>
      <c r="D97" s="25"/>
      <c r="E97" s="25"/>
      <c r="F97" s="36"/>
      <c r="G97" s="36"/>
      <c r="H97" s="27" t="s">
        <v>142</v>
      </c>
    </row>
    <row r="98" spans="1:8" x14ac:dyDescent="0.2">
      <c r="A98" s="25"/>
      <c r="B98" s="25"/>
      <c r="C98" s="26" t="s">
        <v>152</v>
      </c>
      <c r="D98" s="25"/>
      <c r="E98" s="25"/>
      <c r="F98" s="25"/>
      <c r="G98" s="25"/>
      <c r="H98" s="27" t="s">
        <v>142</v>
      </c>
    </row>
    <row r="99" spans="1:8" x14ac:dyDescent="0.2">
      <c r="A99" s="25"/>
      <c r="B99" s="25"/>
      <c r="C99" s="26" t="s">
        <v>141</v>
      </c>
      <c r="D99" s="25"/>
      <c r="E99" s="25" t="s">
        <v>142</v>
      </c>
      <c r="F99" s="37" t="s">
        <v>144</v>
      </c>
      <c r="G99" s="34">
        <v>0</v>
      </c>
      <c r="H99" s="27" t="s">
        <v>142</v>
      </c>
    </row>
    <row r="100" spans="1:8" x14ac:dyDescent="0.2">
      <c r="A100" s="25"/>
      <c r="B100" s="25"/>
      <c r="C100" s="35"/>
      <c r="D100" s="25"/>
      <c r="E100" s="25"/>
      <c r="F100" s="36"/>
      <c r="G100" s="36"/>
      <c r="H100" s="27" t="s">
        <v>142</v>
      </c>
    </row>
    <row r="101" spans="1:8" x14ac:dyDescent="0.2">
      <c r="A101" s="25"/>
      <c r="B101" s="25"/>
      <c r="C101" s="26" t="s">
        <v>153</v>
      </c>
      <c r="D101" s="25"/>
      <c r="E101" s="25"/>
      <c r="F101" s="36"/>
      <c r="G101" s="36"/>
      <c r="H101" s="27" t="s">
        <v>142</v>
      </c>
    </row>
    <row r="102" spans="1:8" x14ac:dyDescent="0.2">
      <c r="A102" s="25"/>
      <c r="B102" s="25"/>
      <c r="C102" s="26" t="s">
        <v>141</v>
      </c>
      <c r="D102" s="25"/>
      <c r="E102" s="25" t="s">
        <v>142</v>
      </c>
      <c r="F102" s="37" t="s">
        <v>144</v>
      </c>
      <c r="G102" s="34">
        <v>0</v>
      </c>
      <c r="H102" s="27" t="s">
        <v>142</v>
      </c>
    </row>
    <row r="103" spans="1:8" x14ac:dyDescent="0.2">
      <c r="A103" s="25"/>
      <c r="B103" s="25"/>
      <c r="C103" s="35"/>
      <c r="D103" s="25"/>
      <c r="E103" s="25"/>
      <c r="F103" s="36"/>
      <c r="G103" s="36"/>
      <c r="H103" s="27" t="s">
        <v>142</v>
      </c>
    </row>
    <row r="104" spans="1:8" x14ac:dyDescent="0.2">
      <c r="A104" s="25"/>
      <c r="B104" s="25"/>
      <c r="C104" s="26" t="s">
        <v>154</v>
      </c>
      <c r="D104" s="25"/>
      <c r="E104" s="25"/>
      <c r="F104" s="33">
        <v>0</v>
      </c>
      <c r="G104" s="34">
        <v>0</v>
      </c>
      <c r="H104" s="27" t="s">
        <v>142</v>
      </c>
    </row>
    <row r="105" spans="1:8" x14ac:dyDescent="0.2">
      <c r="A105" s="25"/>
      <c r="B105" s="25"/>
      <c r="C105" s="35"/>
      <c r="D105" s="25"/>
      <c r="E105" s="25"/>
      <c r="F105" s="36"/>
      <c r="G105" s="36"/>
      <c r="H105" s="27" t="s">
        <v>142</v>
      </c>
    </row>
    <row r="106" spans="1:8" x14ac:dyDescent="0.2">
      <c r="A106" s="25"/>
      <c r="B106" s="25"/>
      <c r="C106" s="26" t="s">
        <v>155</v>
      </c>
      <c r="D106" s="25"/>
      <c r="E106" s="25"/>
      <c r="F106" s="36"/>
      <c r="G106" s="36"/>
      <c r="H106" s="27" t="s">
        <v>142</v>
      </c>
    </row>
    <row r="107" spans="1:8" x14ac:dyDescent="0.2">
      <c r="A107" s="25"/>
      <c r="B107" s="25"/>
      <c r="C107" s="26" t="s">
        <v>156</v>
      </c>
      <c r="D107" s="25"/>
      <c r="E107" s="25"/>
      <c r="F107" s="36"/>
      <c r="G107" s="36"/>
      <c r="H107" s="27" t="s">
        <v>142</v>
      </c>
    </row>
    <row r="108" spans="1:8" x14ac:dyDescent="0.2">
      <c r="A108" s="25"/>
      <c r="B108" s="25"/>
      <c r="C108" s="26" t="s">
        <v>141</v>
      </c>
      <c r="D108" s="25"/>
      <c r="E108" s="25" t="s">
        <v>142</v>
      </c>
      <c r="F108" s="37" t="s">
        <v>144</v>
      </c>
      <c r="G108" s="34">
        <v>0</v>
      </c>
      <c r="H108" s="27" t="s">
        <v>142</v>
      </c>
    </row>
    <row r="109" spans="1:8" x14ac:dyDescent="0.2">
      <c r="A109" s="25"/>
      <c r="B109" s="25"/>
      <c r="C109" s="35"/>
      <c r="D109" s="25"/>
      <c r="E109" s="25"/>
      <c r="F109" s="36"/>
      <c r="G109" s="36"/>
      <c r="H109" s="27" t="s">
        <v>142</v>
      </c>
    </row>
    <row r="110" spans="1:8" x14ac:dyDescent="0.2">
      <c r="A110" s="25"/>
      <c r="B110" s="25"/>
      <c r="C110" s="26" t="s">
        <v>157</v>
      </c>
      <c r="D110" s="25"/>
      <c r="E110" s="25"/>
      <c r="F110" s="36"/>
      <c r="G110" s="36"/>
      <c r="H110" s="27" t="s">
        <v>142</v>
      </c>
    </row>
    <row r="111" spans="1:8" x14ac:dyDescent="0.2">
      <c r="A111" s="25"/>
      <c r="B111" s="25"/>
      <c r="C111" s="26" t="s">
        <v>141</v>
      </c>
      <c r="D111" s="25"/>
      <c r="E111" s="25" t="s">
        <v>142</v>
      </c>
      <c r="F111" s="37" t="s">
        <v>144</v>
      </c>
      <c r="G111" s="34">
        <v>0</v>
      </c>
      <c r="H111" s="27" t="s">
        <v>142</v>
      </c>
    </row>
    <row r="112" spans="1:8" x14ac:dyDescent="0.2">
      <c r="A112" s="25"/>
      <c r="B112" s="25"/>
      <c r="C112" s="35"/>
      <c r="D112" s="25"/>
      <c r="E112" s="25"/>
      <c r="F112" s="36"/>
      <c r="G112" s="36"/>
      <c r="H112" s="27" t="s">
        <v>142</v>
      </c>
    </row>
    <row r="113" spans="1:8" x14ac:dyDescent="0.2">
      <c r="A113" s="25"/>
      <c r="B113" s="25"/>
      <c r="C113" s="26" t="s">
        <v>158</v>
      </c>
      <c r="D113" s="25"/>
      <c r="E113" s="25"/>
      <c r="F113" s="36"/>
      <c r="G113" s="36"/>
      <c r="H113" s="27" t="s">
        <v>142</v>
      </c>
    </row>
    <row r="114" spans="1:8" x14ac:dyDescent="0.2">
      <c r="A114" s="25"/>
      <c r="B114" s="25"/>
      <c r="C114" s="26" t="s">
        <v>141</v>
      </c>
      <c r="D114" s="25"/>
      <c r="E114" s="25" t="s">
        <v>142</v>
      </c>
      <c r="F114" s="37" t="s">
        <v>144</v>
      </c>
      <c r="G114" s="34">
        <v>0</v>
      </c>
      <c r="H114" s="27" t="s">
        <v>142</v>
      </c>
    </row>
    <row r="115" spans="1:8" x14ac:dyDescent="0.2">
      <c r="A115" s="25"/>
      <c r="B115" s="25"/>
      <c r="C115" s="35"/>
      <c r="D115" s="25"/>
      <c r="E115" s="25"/>
      <c r="F115" s="36"/>
      <c r="G115" s="36"/>
      <c r="H115" s="27" t="s">
        <v>142</v>
      </c>
    </row>
    <row r="116" spans="1:8" x14ac:dyDescent="0.2">
      <c r="A116" s="25"/>
      <c r="B116" s="25"/>
      <c r="C116" s="26" t="s">
        <v>159</v>
      </c>
      <c r="D116" s="25"/>
      <c r="E116" s="25"/>
      <c r="F116" s="36"/>
      <c r="G116" s="36"/>
      <c r="H116" s="27" t="s">
        <v>142</v>
      </c>
    </row>
    <row r="117" spans="1:8" x14ac:dyDescent="0.2">
      <c r="A117" s="28">
        <v>1</v>
      </c>
      <c r="B117" s="29"/>
      <c r="C117" s="29" t="s">
        <v>160</v>
      </c>
      <c r="D117" s="29"/>
      <c r="E117" s="39"/>
      <c r="F117" s="31">
        <v>6837.4403205090002</v>
      </c>
      <c r="G117" s="32">
        <v>3.3266950000000003E-2</v>
      </c>
      <c r="H117" s="27">
        <v>5.76</v>
      </c>
    </row>
    <row r="118" spans="1:8" x14ac:dyDescent="0.2">
      <c r="A118" s="25"/>
      <c r="B118" s="25"/>
      <c r="C118" s="26" t="s">
        <v>141</v>
      </c>
      <c r="D118" s="25"/>
      <c r="E118" s="25" t="s">
        <v>142</v>
      </c>
      <c r="F118" s="33">
        <v>6837.4403205090002</v>
      </c>
      <c r="G118" s="34">
        <v>3.3266950000000003E-2</v>
      </c>
      <c r="H118" s="27" t="s">
        <v>142</v>
      </c>
    </row>
    <row r="119" spans="1:8" x14ac:dyDescent="0.2">
      <c r="A119" s="25"/>
      <c r="B119" s="25"/>
      <c r="C119" s="35"/>
      <c r="D119" s="25"/>
      <c r="E119" s="25"/>
      <c r="F119" s="36"/>
      <c r="G119" s="36"/>
      <c r="H119" s="27" t="s">
        <v>142</v>
      </c>
    </row>
    <row r="120" spans="1:8" x14ac:dyDescent="0.2">
      <c r="A120" s="25"/>
      <c r="B120" s="25"/>
      <c r="C120" s="26" t="s">
        <v>161</v>
      </c>
      <c r="D120" s="25"/>
      <c r="E120" s="25"/>
      <c r="F120" s="33">
        <v>6837.4403205090002</v>
      </c>
      <c r="G120" s="34">
        <v>3.3266950000000003E-2</v>
      </c>
      <c r="H120" s="27" t="s">
        <v>142</v>
      </c>
    </row>
    <row r="121" spans="1:8" x14ac:dyDescent="0.2">
      <c r="A121" s="25"/>
      <c r="B121" s="25"/>
      <c r="C121" s="36"/>
      <c r="D121" s="25"/>
      <c r="E121" s="25"/>
      <c r="F121" s="25"/>
      <c r="G121" s="25"/>
      <c r="H121" s="27" t="s">
        <v>142</v>
      </c>
    </row>
    <row r="122" spans="1:8" x14ac:dyDescent="0.2">
      <c r="A122" s="25"/>
      <c r="B122" s="25"/>
      <c r="C122" s="26" t="s">
        <v>162</v>
      </c>
      <c r="D122" s="25"/>
      <c r="E122" s="25"/>
      <c r="F122" s="25"/>
      <c r="G122" s="25"/>
      <c r="H122" s="27" t="s">
        <v>142</v>
      </c>
    </row>
    <row r="123" spans="1:8" x14ac:dyDescent="0.2">
      <c r="A123" s="25"/>
      <c r="B123" s="25"/>
      <c r="C123" s="26" t="s">
        <v>163</v>
      </c>
      <c r="D123" s="25"/>
      <c r="E123" s="25"/>
      <c r="F123" s="25"/>
      <c r="G123" s="25"/>
      <c r="H123" s="27" t="s">
        <v>142</v>
      </c>
    </row>
    <row r="124" spans="1:8" x14ac:dyDescent="0.2">
      <c r="A124" s="25"/>
      <c r="B124" s="25"/>
      <c r="C124" s="26" t="s">
        <v>141</v>
      </c>
      <c r="D124" s="25"/>
      <c r="E124" s="25" t="s">
        <v>142</v>
      </c>
      <c r="F124" s="37" t="s">
        <v>144</v>
      </c>
      <c r="G124" s="34">
        <v>0</v>
      </c>
      <c r="H124" s="27" t="s">
        <v>142</v>
      </c>
    </row>
    <row r="125" spans="1:8" x14ac:dyDescent="0.2">
      <c r="A125" s="25"/>
      <c r="B125" s="25"/>
      <c r="C125" s="35"/>
      <c r="D125" s="25"/>
      <c r="E125" s="25"/>
      <c r="F125" s="36"/>
      <c r="G125" s="36"/>
      <c r="H125" s="27" t="s">
        <v>142</v>
      </c>
    </row>
    <row r="126" spans="1:8" x14ac:dyDescent="0.2">
      <c r="A126" s="25"/>
      <c r="B126" s="25"/>
      <c r="C126" s="26" t="s">
        <v>164</v>
      </c>
      <c r="D126" s="25"/>
      <c r="E126" s="25"/>
      <c r="F126" s="25"/>
      <c r="G126" s="25"/>
      <c r="H126" s="27" t="s">
        <v>142</v>
      </c>
    </row>
    <row r="127" spans="1:8" x14ac:dyDescent="0.2">
      <c r="A127" s="25"/>
      <c r="B127" s="25"/>
      <c r="C127" s="26" t="s">
        <v>165</v>
      </c>
      <c r="D127" s="25"/>
      <c r="E127" s="25"/>
      <c r="F127" s="25"/>
      <c r="G127" s="25"/>
      <c r="H127" s="27" t="s">
        <v>142</v>
      </c>
    </row>
    <row r="128" spans="1:8" x14ac:dyDescent="0.2">
      <c r="A128" s="25"/>
      <c r="B128" s="25"/>
      <c r="C128" s="26" t="s">
        <v>141</v>
      </c>
      <c r="D128" s="25"/>
      <c r="E128" s="25" t="s">
        <v>142</v>
      </c>
      <c r="F128" s="37" t="s">
        <v>144</v>
      </c>
      <c r="G128" s="34">
        <v>0</v>
      </c>
      <c r="H128" s="27" t="s">
        <v>142</v>
      </c>
    </row>
    <row r="129" spans="1:17" x14ac:dyDescent="0.2">
      <c r="A129" s="25"/>
      <c r="B129" s="25"/>
      <c r="C129" s="35"/>
      <c r="D129" s="25"/>
      <c r="E129" s="25"/>
      <c r="F129" s="36"/>
      <c r="G129" s="36"/>
      <c r="H129" s="27" t="s">
        <v>142</v>
      </c>
    </row>
    <row r="130" spans="1:17" x14ac:dyDescent="0.2">
      <c r="A130" s="25"/>
      <c r="B130" s="25"/>
      <c r="C130" s="26" t="s">
        <v>166</v>
      </c>
      <c r="D130" s="25"/>
      <c r="E130" s="25"/>
      <c r="F130" s="36"/>
      <c r="G130" s="36"/>
      <c r="H130" s="27" t="s">
        <v>142</v>
      </c>
    </row>
    <row r="131" spans="1:17" x14ac:dyDescent="0.2">
      <c r="A131" s="25"/>
      <c r="B131" s="25"/>
      <c r="C131" s="26" t="s">
        <v>141</v>
      </c>
      <c r="D131" s="25"/>
      <c r="E131" s="25" t="s">
        <v>142</v>
      </c>
      <c r="F131" s="37" t="s">
        <v>144</v>
      </c>
      <c r="G131" s="34">
        <v>0</v>
      </c>
      <c r="H131" s="27" t="s">
        <v>142</v>
      </c>
    </row>
    <row r="132" spans="1:17" x14ac:dyDescent="0.2">
      <c r="A132" s="25"/>
      <c r="B132" s="25"/>
      <c r="C132" s="35"/>
      <c r="D132" s="25"/>
      <c r="E132" s="25"/>
      <c r="F132" s="36"/>
      <c r="G132" s="36"/>
      <c r="H132" s="27" t="s">
        <v>142</v>
      </c>
    </row>
    <row r="133" spans="1:17" x14ac:dyDescent="0.2">
      <c r="A133" s="39"/>
      <c r="B133" s="29"/>
      <c r="C133" s="29" t="s">
        <v>167</v>
      </c>
      <c r="D133" s="29"/>
      <c r="E133" s="39"/>
      <c r="F133" s="31">
        <v>-135.68364456</v>
      </c>
      <c r="G133" s="32">
        <v>-6.6016000000000002E-4</v>
      </c>
      <c r="H133" s="27" t="s">
        <v>142</v>
      </c>
    </row>
    <row r="134" spans="1:17" x14ac:dyDescent="0.2">
      <c r="A134" s="35"/>
      <c r="B134" s="35"/>
      <c r="C134" s="26" t="s">
        <v>168</v>
      </c>
      <c r="D134" s="36"/>
      <c r="E134" s="36"/>
      <c r="F134" s="33">
        <v>205532.53299804899</v>
      </c>
      <c r="G134" s="40">
        <v>1.00000008</v>
      </c>
      <c r="H134" s="27" t="s">
        <v>142</v>
      </c>
    </row>
    <row r="135" spans="1:17" x14ac:dyDescent="0.2">
      <c r="A135" s="41"/>
      <c r="B135" s="41"/>
      <c r="C135" s="41"/>
      <c r="D135" s="42"/>
      <c r="E135" s="42"/>
      <c r="F135" s="42"/>
      <c r="G135" s="42"/>
    </row>
    <row r="136" spans="1:17" x14ac:dyDescent="0.2">
      <c r="A136" s="43"/>
      <c r="B136" s="210" t="s">
        <v>879</v>
      </c>
      <c r="C136" s="210"/>
      <c r="D136" s="210"/>
      <c r="E136" s="210"/>
      <c r="F136" s="210"/>
      <c r="G136" s="210"/>
      <c r="H136" s="210"/>
      <c r="J136" s="45"/>
    </row>
    <row r="137" spans="1:17" x14ac:dyDescent="0.2">
      <c r="A137" s="43"/>
      <c r="B137" s="210" t="s">
        <v>880</v>
      </c>
      <c r="C137" s="210"/>
      <c r="D137" s="210"/>
      <c r="E137" s="210"/>
      <c r="F137" s="210"/>
      <c r="G137" s="210"/>
      <c r="H137" s="210"/>
      <c r="J137" s="45"/>
    </row>
    <row r="138" spans="1:17" x14ac:dyDescent="0.2">
      <c r="A138" s="43"/>
      <c r="B138" s="210" t="s">
        <v>881</v>
      </c>
      <c r="C138" s="210"/>
      <c r="D138" s="210"/>
      <c r="E138" s="210"/>
      <c r="F138" s="210"/>
      <c r="G138" s="210"/>
      <c r="H138" s="210"/>
      <c r="J138" s="45"/>
    </row>
    <row r="139" spans="1:17" s="47" customFormat="1" ht="66.75" customHeight="1" x14ac:dyDescent="0.25">
      <c r="A139" s="46"/>
      <c r="B139" s="211" t="s">
        <v>882</v>
      </c>
      <c r="C139" s="211"/>
      <c r="D139" s="211"/>
      <c r="E139" s="211"/>
      <c r="F139" s="211"/>
      <c r="G139" s="211"/>
      <c r="H139" s="211"/>
      <c r="I139"/>
      <c r="J139" s="45"/>
      <c r="K139"/>
      <c r="L139"/>
      <c r="M139"/>
      <c r="N139"/>
      <c r="O139"/>
      <c r="P139"/>
      <c r="Q139"/>
    </row>
    <row r="140" spans="1:17" x14ac:dyDescent="0.2">
      <c r="A140" s="43"/>
      <c r="B140" s="210" t="s">
        <v>883</v>
      </c>
      <c r="C140" s="210"/>
      <c r="D140" s="210"/>
      <c r="E140" s="210"/>
      <c r="F140" s="210"/>
      <c r="G140" s="210"/>
      <c r="H140" s="210"/>
      <c r="J140" s="45"/>
    </row>
    <row r="141" spans="1:17" x14ac:dyDescent="0.2">
      <c r="A141" s="48"/>
      <c r="B141" s="48"/>
      <c r="C141" s="48"/>
      <c r="D141" s="49"/>
      <c r="E141" s="49"/>
      <c r="F141" s="49"/>
      <c r="G141" s="49"/>
    </row>
    <row r="142" spans="1:17" x14ac:dyDescent="0.2">
      <c r="A142" s="48"/>
      <c r="B142" s="212" t="s">
        <v>169</v>
      </c>
      <c r="C142" s="213"/>
      <c r="D142" s="214"/>
      <c r="E142" s="50"/>
      <c r="F142" s="49"/>
      <c r="G142" s="49"/>
    </row>
    <row r="143" spans="1:17" ht="27.75" customHeight="1" x14ac:dyDescent="0.2">
      <c r="A143" s="48"/>
      <c r="B143" s="215" t="s">
        <v>170</v>
      </c>
      <c r="C143" s="216"/>
      <c r="D143" s="26" t="s">
        <v>171</v>
      </c>
      <c r="E143" s="50"/>
      <c r="F143" s="49"/>
      <c r="G143" s="49"/>
    </row>
    <row r="144" spans="1:17" ht="12.75" customHeight="1" x14ac:dyDescent="0.2">
      <c r="A144" s="43"/>
      <c r="B144" s="217" t="s">
        <v>884</v>
      </c>
      <c r="C144" s="218"/>
      <c r="D144" s="26" t="s">
        <v>171</v>
      </c>
      <c r="E144" s="52"/>
      <c r="F144" s="53"/>
      <c r="G144" s="53"/>
    </row>
    <row r="145" spans="1:10" x14ac:dyDescent="0.2">
      <c r="A145" s="48"/>
      <c r="B145" s="215" t="s">
        <v>172</v>
      </c>
      <c r="C145" s="216"/>
      <c r="D145" s="36" t="s">
        <v>142</v>
      </c>
      <c r="E145" s="50"/>
      <c r="F145" s="49"/>
      <c r="G145" s="49"/>
    </row>
    <row r="146" spans="1:10" x14ac:dyDescent="0.2">
      <c r="A146" s="54"/>
      <c r="B146" s="55" t="s">
        <v>142</v>
      </c>
      <c r="C146" s="55" t="s">
        <v>885</v>
      </c>
      <c r="D146" s="55" t="s">
        <v>173</v>
      </c>
      <c r="E146" s="54"/>
      <c r="F146" s="54"/>
      <c r="G146" s="54"/>
      <c r="H146" s="54"/>
      <c r="J146" s="45"/>
    </row>
    <row r="147" spans="1:10" x14ac:dyDescent="0.2">
      <c r="A147" s="54"/>
      <c r="B147" s="56" t="s">
        <v>174</v>
      </c>
      <c r="C147" s="57">
        <v>45777</v>
      </c>
      <c r="D147" s="57">
        <v>45808</v>
      </c>
      <c r="E147" s="54"/>
      <c r="F147" s="54"/>
      <c r="G147" s="54"/>
      <c r="J147" s="45"/>
    </row>
    <row r="148" spans="1:10" x14ac:dyDescent="0.2">
      <c r="A148" s="58"/>
      <c r="B148" s="29" t="s">
        <v>175</v>
      </c>
      <c r="C148" s="59">
        <v>14.638</v>
      </c>
      <c r="D148" s="59">
        <v>15.089</v>
      </c>
      <c r="E148" s="58"/>
      <c r="F148" s="60"/>
      <c r="G148" s="61"/>
    </row>
    <row r="149" spans="1:10" x14ac:dyDescent="0.2">
      <c r="A149" s="58"/>
      <c r="B149" s="29" t="s">
        <v>1065</v>
      </c>
      <c r="C149" s="59">
        <v>13.884499999999999</v>
      </c>
      <c r="D149" s="59">
        <v>14.3124</v>
      </c>
      <c r="E149" s="58"/>
      <c r="F149" s="60"/>
      <c r="G149" s="61"/>
    </row>
    <row r="150" spans="1:10" x14ac:dyDescent="0.2">
      <c r="A150" s="58"/>
      <c r="B150" s="29" t="s">
        <v>177</v>
      </c>
      <c r="C150" s="59">
        <v>14.0357</v>
      </c>
      <c r="D150" s="59">
        <v>14.4511</v>
      </c>
      <c r="E150" s="58"/>
      <c r="F150" s="60"/>
      <c r="G150" s="61"/>
    </row>
    <row r="151" spans="1:10" x14ac:dyDescent="0.2">
      <c r="A151" s="58"/>
      <c r="B151" s="29" t="s">
        <v>1066</v>
      </c>
      <c r="C151" s="59">
        <v>13.313499999999999</v>
      </c>
      <c r="D151" s="59">
        <v>13.707599999999999</v>
      </c>
      <c r="E151" s="58"/>
      <c r="F151" s="60"/>
      <c r="G151" s="61"/>
    </row>
    <row r="152" spans="1:10" x14ac:dyDescent="0.2">
      <c r="A152" s="58"/>
      <c r="B152" s="58"/>
      <c r="C152" s="58"/>
      <c r="D152" s="58"/>
      <c r="E152" s="58"/>
      <c r="F152" s="58"/>
      <c r="G152" s="58"/>
    </row>
    <row r="153" spans="1:10" x14ac:dyDescent="0.2">
      <c r="A153" s="58"/>
      <c r="B153" s="215" t="s">
        <v>887</v>
      </c>
      <c r="C153" s="216"/>
      <c r="D153" s="26" t="s">
        <v>171</v>
      </c>
      <c r="E153" s="58"/>
      <c r="F153" s="58"/>
      <c r="G153" s="58"/>
    </row>
    <row r="154" spans="1:10" x14ac:dyDescent="0.2">
      <c r="A154" s="58"/>
      <c r="B154" s="70"/>
      <c r="C154" s="70"/>
      <c r="D154" s="70"/>
      <c r="E154" s="58"/>
      <c r="F154" s="58"/>
      <c r="G154" s="58"/>
    </row>
    <row r="155" spans="1:10" x14ac:dyDescent="0.2">
      <c r="A155" s="54"/>
      <c r="B155" s="217" t="s">
        <v>180</v>
      </c>
      <c r="C155" s="218"/>
      <c r="D155" s="51" t="s">
        <v>171</v>
      </c>
      <c r="E155" s="65"/>
      <c r="F155" s="54"/>
      <c r="G155" s="54"/>
    </row>
    <row r="156" spans="1:10" x14ac:dyDescent="0.2">
      <c r="A156" s="54"/>
      <c r="B156" s="217" t="s">
        <v>181</v>
      </c>
      <c r="C156" s="218"/>
      <c r="D156" s="51" t="s">
        <v>171</v>
      </c>
      <c r="E156" s="65"/>
      <c r="F156" s="54"/>
      <c r="G156" s="54"/>
    </row>
    <row r="157" spans="1:10" x14ac:dyDescent="0.2">
      <c r="A157" s="54"/>
      <c r="B157" s="217" t="s">
        <v>182</v>
      </c>
      <c r="C157" s="218"/>
      <c r="D157" s="51" t="s">
        <v>171</v>
      </c>
      <c r="E157" s="65"/>
      <c r="F157" s="54"/>
      <c r="G157" s="54"/>
    </row>
    <row r="158" spans="1:10" x14ac:dyDescent="0.2">
      <c r="A158" s="54"/>
      <c r="B158" s="217" t="s">
        <v>183</v>
      </c>
      <c r="C158" s="218"/>
      <c r="D158" s="66">
        <v>0.32460477027865886</v>
      </c>
      <c r="E158" s="54"/>
      <c r="F158" s="44"/>
      <c r="G158" s="64"/>
    </row>
    <row r="160" spans="1:10" x14ac:dyDescent="0.2">
      <c r="B160" s="219" t="s">
        <v>888</v>
      </c>
      <c r="C160" s="219"/>
    </row>
    <row r="162" spans="2:10" ht="153.75" customHeight="1" x14ac:dyDescent="0.2"/>
    <row r="165" spans="2:10" x14ac:dyDescent="0.2">
      <c r="B165" s="67" t="s">
        <v>889</v>
      </c>
      <c r="C165" s="68"/>
      <c r="D165" s="67"/>
    </row>
    <row r="166" spans="2:10" x14ac:dyDescent="0.2">
      <c r="B166" s="67" t="s">
        <v>1057</v>
      </c>
      <c r="D166" s="67"/>
    </row>
    <row r="167" spans="2:10" ht="165" customHeight="1" x14ac:dyDescent="0.2"/>
    <row r="169" spans="2:10" x14ac:dyDescent="0.2">
      <c r="J169" s="24"/>
    </row>
  </sheetData>
  <mergeCells count="18">
    <mergeCell ref="B144:C144"/>
    <mergeCell ref="B145:C145"/>
    <mergeCell ref="B160:C160"/>
    <mergeCell ref="B153:C153"/>
    <mergeCell ref="B157:C157"/>
    <mergeCell ref="B158:C158"/>
    <mergeCell ref="B155:C155"/>
    <mergeCell ref="B156:C156"/>
    <mergeCell ref="B138:H138"/>
    <mergeCell ref="B139:H139"/>
    <mergeCell ref="B140:H140"/>
    <mergeCell ref="B142:D142"/>
    <mergeCell ref="B143:C143"/>
    <mergeCell ref="A1:H1"/>
    <mergeCell ref="A2:H2"/>
    <mergeCell ref="A3:H3"/>
    <mergeCell ref="B136:H136"/>
    <mergeCell ref="B137:H137"/>
  </mergeCells>
  <hyperlinks>
    <hyperlink ref="I1" location="Index!B2" display="Index" xr:uid="{4BFBDF39-3CF7-4029-AEED-0F2159BF619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C15D-CD50-4A61-B54C-B416DCD99218}">
  <sheetPr>
    <outlinePr summaryBelow="0" summaryRight="0"/>
  </sheetPr>
  <dimension ref="A1:Q126"/>
  <sheetViews>
    <sheetView showGridLines="0" topLeftCell="A52" workbookViewId="0">
      <selection activeCell="D103" sqref="D103"/>
    </sheetView>
  </sheetViews>
  <sheetFormatPr defaultRowHeight="12.75" x14ac:dyDescent="0.2"/>
  <cols>
    <col min="1" max="1" width="5.85546875" bestFit="1" customWidth="1"/>
    <col min="2" max="2" width="21.5703125" customWidth="1"/>
    <col min="3" max="3" width="40.140625" customWidth="1"/>
    <col min="4" max="4" width="17.7109375" customWidth="1"/>
    <col min="5" max="5" width="9"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821</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1525703</v>
      </c>
      <c r="F7" s="31">
        <v>29673.397647000002</v>
      </c>
      <c r="G7" s="32">
        <v>0.19169601</v>
      </c>
      <c r="H7" s="27" t="s">
        <v>142</v>
      </c>
    </row>
    <row r="8" spans="1:9" x14ac:dyDescent="0.2">
      <c r="A8" s="28">
        <v>2</v>
      </c>
      <c r="B8" s="29" t="s">
        <v>26</v>
      </c>
      <c r="C8" s="29" t="s">
        <v>27</v>
      </c>
      <c r="D8" s="29" t="s">
        <v>28</v>
      </c>
      <c r="E8" s="30">
        <v>1339673</v>
      </c>
      <c r="F8" s="31">
        <v>19368.992234000001</v>
      </c>
      <c r="G8" s="32">
        <v>0.12512751</v>
      </c>
      <c r="H8" s="27" t="s">
        <v>142</v>
      </c>
    </row>
    <row r="9" spans="1:9" x14ac:dyDescent="0.2">
      <c r="A9" s="28">
        <v>3</v>
      </c>
      <c r="B9" s="29" t="s">
        <v>319</v>
      </c>
      <c r="C9" s="29" t="s">
        <v>320</v>
      </c>
      <c r="D9" s="29" t="s">
        <v>28</v>
      </c>
      <c r="E9" s="30">
        <v>1259449</v>
      </c>
      <c r="F9" s="31">
        <v>15015.150978</v>
      </c>
      <c r="G9" s="32">
        <v>9.7000840000000005E-2</v>
      </c>
      <c r="H9" s="27" t="s">
        <v>142</v>
      </c>
    </row>
    <row r="10" spans="1:9" x14ac:dyDescent="0.2">
      <c r="A10" s="28">
        <v>4</v>
      </c>
      <c r="B10" s="29" t="s">
        <v>46</v>
      </c>
      <c r="C10" s="29" t="s">
        <v>47</v>
      </c>
      <c r="D10" s="29" t="s">
        <v>28</v>
      </c>
      <c r="E10" s="30">
        <v>1003469</v>
      </c>
      <c r="F10" s="31">
        <v>8151.1786869999996</v>
      </c>
      <c r="G10" s="32">
        <v>5.2658219999999999E-2</v>
      </c>
      <c r="H10" s="27" t="s">
        <v>142</v>
      </c>
    </row>
    <row r="11" spans="1:9" x14ac:dyDescent="0.2">
      <c r="A11" s="28">
        <v>5</v>
      </c>
      <c r="B11" s="29" t="s">
        <v>395</v>
      </c>
      <c r="C11" s="29" t="s">
        <v>396</v>
      </c>
      <c r="D11" s="29" t="s">
        <v>132</v>
      </c>
      <c r="E11" s="30">
        <v>682976</v>
      </c>
      <c r="F11" s="31">
        <v>7136.4162239999996</v>
      </c>
      <c r="G11" s="32">
        <v>4.6102659999999997E-2</v>
      </c>
      <c r="H11" s="27" t="s">
        <v>142</v>
      </c>
    </row>
    <row r="12" spans="1:9" x14ac:dyDescent="0.2">
      <c r="A12" s="28">
        <v>6</v>
      </c>
      <c r="B12" s="29" t="s">
        <v>282</v>
      </c>
      <c r="C12" s="29" t="s">
        <v>283</v>
      </c>
      <c r="D12" s="29" t="s">
        <v>132</v>
      </c>
      <c r="E12" s="30">
        <v>1085825</v>
      </c>
      <c r="F12" s="31">
        <v>6942.2221374999999</v>
      </c>
      <c r="G12" s="32">
        <v>4.484813E-2</v>
      </c>
      <c r="H12" s="27" t="s">
        <v>142</v>
      </c>
    </row>
    <row r="13" spans="1:9" x14ac:dyDescent="0.2">
      <c r="A13" s="28">
        <v>7</v>
      </c>
      <c r="B13" s="29" t="s">
        <v>512</v>
      </c>
      <c r="C13" s="29" t="s">
        <v>513</v>
      </c>
      <c r="D13" s="29" t="s">
        <v>132</v>
      </c>
      <c r="E13" s="30">
        <v>317616</v>
      </c>
      <c r="F13" s="31">
        <v>6407.5851839999996</v>
      </c>
      <c r="G13" s="32">
        <v>4.1394269999999997E-2</v>
      </c>
      <c r="H13" s="27" t="s">
        <v>142</v>
      </c>
    </row>
    <row r="14" spans="1:9" x14ac:dyDescent="0.2">
      <c r="A14" s="28">
        <v>8</v>
      </c>
      <c r="B14" s="29" t="s">
        <v>367</v>
      </c>
      <c r="C14" s="29" t="s">
        <v>368</v>
      </c>
      <c r="D14" s="29" t="s">
        <v>28</v>
      </c>
      <c r="E14" s="30">
        <v>1644042</v>
      </c>
      <c r="F14" s="31">
        <v>5998.2872369999995</v>
      </c>
      <c r="G14" s="32">
        <v>3.8750119999999999E-2</v>
      </c>
      <c r="H14" s="27" t="s">
        <v>142</v>
      </c>
    </row>
    <row r="15" spans="1:9" x14ac:dyDescent="0.2">
      <c r="A15" s="28">
        <v>9</v>
      </c>
      <c r="B15" s="29" t="s">
        <v>456</v>
      </c>
      <c r="C15" s="29" t="s">
        <v>457</v>
      </c>
      <c r="D15" s="29" t="s">
        <v>28</v>
      </c>
      <c r="E15" s="30">
        <v>3891197</v>
      </c>
      <c r="F15" s="31">
        <v>5720.0595899999998</v>
      </c>
      <c r="G15" s="32">
        <v>3.695271E-2</v>
      </c>
      <c r="H15" s="27" t="s">
        <v>142</v>
      </c>
    </row>
    <row r="16" spans="1:9" x14ac:dyDescent="0.2">
      <c r="A16" s="28">
        <v>10</v>
      </c>
      <c r="B16" s="29" t="s">
        <v>436</v>
      </c>
      <c r="C16" s="29" t="s">
        <v>437</v>
      </c>
      <c r="D16" s="29" t="s">
        <v>28</v>
      </c>
      <c r="E16" s="30">
        <v>687933</v>
      </c>
      <c r="F16" s="31">
        <v>5620.0686434999998</v>
      </c>
      <c r="G16" s="32">
        <v>3.6306749999999999E-2</v>
      </c>
      <c r="H16" s="27" t="s">
        <v>142</v>
      </c>
    </row>
    <row r="17" spans="1:8" x14ac:dyDescent="0.2">
      <c r="A17" s="28">
        <v>11</v>
      </c>
      <c r="B17" s="29" t="s">
        <v>325</v>
      </c>
      <c r="C17" s="29" t="s">
        <v>326</v>
      </c>
      <c r="D17" s="29" t="s">
        <v>28</v>
      </c>
      <c r="E17" s="30">
        <v>2208626</v>
      </c>
      <c r="F17" s="31">
        <v>5511.6261830000003</v>
      </c>
      <c r="G17" s="32">
        <v>3.5606190000000003E-2</v>
      </c>
      <c r="H17" s="27" t="s">
        <v>142</v>
      </c>
    </row>
    <row r="18" spans="1:8" x14ac:dyDescent="0.2">
      <c r="A18" s="28">
        <v>12</v>
      </c>
      <c r="B18" s="29" t="s">
        <v>369</v>
      </c>
      <c r="C18" s="29" t="s">
        <v>370</v>
      </c>
      <c r="D18" s="29" t="s">
        <v>28</v>
      </c>
      <c r="E18" s="30">
        <v>11708687</v>
      </c>
      <c r="F18" s="31">
        <v>5038.2480161000003</v>
      </c>
      <c r="G18" s="32">
        <v>3.254808E-2</v>
      </c>
      <c r="H18" s="27" t="s">
        <v>142</v>
      </c>
    </row>
    <row r="19" spans="1:8" x14ac:dyDescent="0.2">
      <c r="A19" s="28">
        <v>13</v>
      </c>
      <c r="B19" s="29" t="s">
        <v>377</v>
      </c>
      <c r="C19" s="29" t="s">
        <v>378</v>
      </c>
      <c r="D19" s="29" t="s">
        <v>28</v>
      </c>
      <c r="E19" s="30">
        <v>7238410</v>
      </c>
      <c r="F19" s="31">
        <v>4604.3526009999996</v>
      </c>
      <c r="G19" s="32">
        <v>2.9745029999999999E-2</v>
      </c>
      <c r="H19" s="27" t="s">
        <v>142</v>
      </c>
    </row>
    <row r="20" spans="1:8" x14ac:dyDescent="0.2">
      <c r="A20" s="28">
        <v>14</v>
      </c>
      <c r="B20" s="29" t="s">
        <v>130</v>
      </c>
      <c r="C20" s="29" t="s">
        <v>131</v>
      </c>
      <c r="D20" s="29" t="s">
        <v>132</v>
      </c>
      <c r="E20" s="30">
        <v>1131406</v>
      </c>
      <c r="F20" s="31">
        <v>4551.6463379999996</v>
      </c>
      <c r="G20" s="32">
        <v>2.9404530000000002E-2</v>
      </c>
      <c r="H20" s="27" t="s">
        <v>142</v>
      </c>
    </row>
    <row r="21" spans="1:8" x14ac:dyDescent="0.2">
      <c r="A21" s="28">
        <v>15</v>
      </c>
      <c r="B21" s="29" t="s">
        <v>268</v>
      </c>
      <c r="C21" s="29" t="s">
        <v>269</v>
      </c>
      <c r="D21" s="29" t="s">
        <v>270</v>
      </c>
      <c r="E21" s="30">
        <v>636027</v>
      </c>
      <c r="F21" s="31">
        <v>4213.042848</v>
      </c>
      <c r="G21" s="32">
        <v>2.7217089999999999E-2</v>
      </c>
      <c r="H21" s="27" t="s">
        <v>142</v>
      </c>
    </row>
    <row r="22" spans="1:8" x14ac:dyDescent="0.2">
      <c r="A22" s="28">
        <v>16</v>
      </c>
      <c r="B22" s="29" t="s">
        <v>785</v>
      </c>
      <c r="C22" s="29" t="s">
        <v>786</v>
      </c>
      <c r="D22" s="29" t="s">
        <v>132</v>
      </c>
      <c r="E22" s="30">
        <v>575710</v>
      </c>
      <c r="F22" s="31">
        <v>2337.0947449999999</v>
      </c>
      <c r="G22" s="32">
        <v>1.509809E-2</v>
      </c>
      <c r="H22" s="27" t="s">
        <v>142</v>
      </c>
    </row>
    <row r="23" spans="1:8" x14ac:dyDescent="0.2">
      <c r="A23" s="28">
        <v>17</v>
      </c>
      <c r="B23" s="29" t="s">
        <v>371</v>
      </c>
      <c r="C23" s="29" t="s">
        <v>372</v>
      </c>
      <c r="D23" s="29" t="s">
        <v>212</v>
      </c>
      <c r="E23" s="30">
        <v>60606</v>
      </c>
      <c r="F23" s="31">
        <v>1839.7557360000001</v>
      </c>
      <c r="G23" s="32">
        <v>1.188519E-2</v>
      </c>
      <c r="H23" s="27" t="s">
        <v>142</v>
      </c>
    </row>
    <row r="24" spans="1:8" x14ac:dyDescent="0.2">
      <c r="A24" s="28">
        <v>18</v>
      </c>
      <c r="B24" s="29" t="s">
        <v>208</v>
      </c>
      <c r="C24" s="29" t="s">
        <v>209</v>
      </c>
      <c r="D24" s="29" t="s">
        <v>132</v>
      </c>
      <c r="E24" s="30">
        <v>678691</v>
      </c>
      <c r="F24" s="31">
        <v>1772.062201</v>
      </c>
      <c r="G24" s="32">
        <v>1.1447870000000001E-2</v>
      </c>
      <c r="H24" s="27" t="s">
        <v>142</v>
      </c>
    </row>
    <row r="25" spans="1:8" x14ac:dyDescent="0.2">
      <c r="A25" s="28">
        <v>19</v>
      </c>
      <c r="B25" s="29" t="s">
        <v>388</v>
      </c>
      <c r="C25" s="29" t="s">
        <v>389</v>
      </c>
      <c r="D25" s="29" t="s">
        <v>132</v>
      </c>
      <c r="E25" s="30">
        <v>91120</v>
      </c>
      <c r="F25" s="31">
        <v>1700.48144</v>
      </c>
      <c r="G25" s="32">
        <v>1.0985450000000001E-2</v>
      </c>
      <c r="H25" s="27" t="s">
        <v>142</v>
      </c>
    </row>
    <row r="26" spans="1:8" x14ac:dyDescent="0.2">
      <c r="A26" s="28">
        <v>20</v>
      </c>
      <c r="B26" s="29" t="s">
        <v>403</v>
      </c>
      <c r="C26" s="29" t="s">
        <v>404</v>
      </c>
      <c r="D26" s="29" t="s">
        <v>132</v>
      </c>
      <c r="E26" s="30">
        <v>139742</v>
      </c>
      <c r="F26" s="31">
        <v>1599.34719</v>
      </c>
      <c r="G26" s="32">
        <v>1.03321E-2</v>
      </c>
      <c r="H26" s="27" t="s">
        <v>142</v>
      </c>
    </row>
    <row r="27" spans="1:8" x14ac:dyDescent="0.2">
      <c r="A27" s="28">
        <v>21</v>
      </c>
      <c r="B27" s="29" t="s">
        <v>321</v>
      </c>
      <c r="C27" s="29" t="s">
        <v>322</v>
      </c>
      <c r="D27" s="29" t="s">
        <v>28</v>
      </c>
      <c r="E27" s="30">
        <v>56225</v>
      </c>
      <c r="F27" s="31">
        <v>1166.5000749999999</v>
      </c>
      <c r="G27" s="32">
        <v>7.5358200000000004E-3</v>
      </c>
      <c r="H27" s="27" t="s">
        <v>142</v>
      </c>
    </row>
    <row r="28" spans="1:8" x14ac:dyDescent="0.2">
      <c r="A28" s="28">
        <v>22</v>
      </c>
      <c r="B28" s="29" t="s">
        <v>469</v>
      </c>
      <c r="C28" s="29" t="s">
        <v>470</v>
      </c>
      <c r="D28" s="29" t="s">
        <v>212</v>
      </c>
      <c r="E28" s="30">
        <v>21121</v>
      </c>
      <c r="F28" s="31">
        <v>623.63976700000001</v>
      </c>
      <c r="G28" s="32">
        <v>4.0288399999999997E-3</v>
      </c>
      <c r="H28" s="27" t="s">
        <v>142</v>
      </c>
    </row>
    <row r="29" spans="1:8" x14ac:dyDescent="0.2">
      <c r="A29" s="25"/>
      <c r="B29" s="25"/>
      <c r="C29" s="26" t="s">
        <v>141</v>
      </c>
      <c r="D29" s="25"/>
      <c r="E29" s="25" t="s">
        <v>142</v>
      </c>
      <c r="F29" s="33">
        <v>144991.15570209999</v>
      </c>
      <c r="G29" s="34">
        <v>0.93667149999999999</v>
      </c>
      <c r="H29" s="27" t="s">
        <v>142</v>
      </c>
    </row>
    <row r="30" spans="1:8" x14ac:dyDescent="0.2">
      <c r="A30" s="25"/>
      <c r="B30" s="25"/>
      <c r="C30" s="35"/>
      <c r="D30" s="25"/>
      <c r="E30" s="25"/>
      <c r="F30" s="36"/>
      <c r="G30" s="36"/>
      <c r="H30" s="27" t="s">
        <v>142</v>
      </c>
    </row>
    <row r="31" spans="1:8" x14ac:dyDescent="0.2">
      <c r="A31" s="25"/>
      <c r="B31" s="25"/>
      <c r="C31" s="26" t="s">
        <v>143</v>
      </c>
      <c r="D31" s="25"/>
      <c r="E31" s="25"/>
      <c r="F31" s="25"/>
      <c r="G31" s="25"/>
      <c r="H31" s="27" t="s">
        <v>142</v>
      </c>
    </row>
    <row r="32" spans="1:8" x14ac:dyDescent="0.2">
      <c r="A32" s="25"/>
      <c r="B32" s="25"/>
      <c r="C32" s="26" t="s">
        <v>141</v>
      </c>
      <c r="D32" s="25"/>
      <c r="E32" s="25" t="s">
        <v>142</v>
      </c>
      <c r="F32" s="37" t="s">
        <v>144</v>
      </c>
      <c r="G32" s="34">
        <v>0</v>
      </c>
      <c r="H32" s="27" t="s">
        <v>142</v>
      </c>
    </row>
    <row r="33" spans="1:8" x14ac:dyDescent="0.2">
      <c r="A33" s="25"/>
      <c r="B33" s="25"/>
      <c r="C33" s="35"/>
      <c r="D33" s="25"/>
      <c r="E33" s="25"/>
      <c r="F33" s="36"/>
      <c r="G33" s="36"/>
      <c r="H33" s="27" t="s">
        <v>142</v>
      </c>
    </row>
    <row r="34" spans="1:8" x14ac:dyDescent="0.2">
      <c r="A34" s="25"/>
      <c r="B34" s="25"/>
      <c r="C34" s="26" t="s">
        <v>145</v>
      </c>
      <c r="D34" s="25"/>
      <c r="E34" s="25"/>
      <c r="F34" s="25"/>
      <c r="G34" s="25"/>
      <c r="H34" s="27" t="s">
        <v>142</v>
      </c>
    </row>
    <row r="35" spans="1:8" x14ac:dyDescent="0.2">
      <c r="A35" s="25"/>
      <c r="B35" s="25"/>
      <c r="C35" s="26" t="s">
        <v>141</v>
      </c>
      <c r="D35" s="25"/>
      <c r="E35" s="25" t="s">
        <v>142</v>
      </c>
      <c r="F35" s="37" t="s">
        <v>144</v>
      </c>
      <c r="G35" s="34">
        <v>0</v>
      </c>
      <c r="H35" s="27" t="s">
        <v>142</v>
      </c>
    </row>
    <row r="36" spans="1:8" x14ac:dyDescent="0.2">
      <c r="A36" s="25"/>
      <c r="B36" s="25"/>
      <c r="C36" s="35"/>
      <c r="D36" s="25"/>
      <c r="E36" s="25"/>
      <c r="F36" s="36"/>
      <c r="G36" s="36"/>
      <c r="H36" s="27" t="s">
        <v>142</v>
      </c>
    </row>
    <row r="37" spans="1:8" x14ac:dyDescent="0.2">
      <c r="A37" s="25"/>
      <c r="B37" s="25"/>
      <c r="C37" s="26" t="s">
        <v>146</v>
      </c>
      <c r="D37" s="25"/>
      <c r="E37" s="25"/>
      <c r="F37" s="25"/>
      <c r="G37" s="25"/>
      <c r="H37" s="27" t="s">
        <v>142</v>
      </c>
    </row>
    <row r="38" spans="1:8" x14ac:dyDescent="0.2">
      <c r="A38" s="28">
        <v>1</v>
      </c>
      <c r="B38" s="29" t="s">
        <v>314</v>
      </c>
      <c r="C38" s="29" t="s">
        <v>209</v>
      </c>
      <c r="D38" s="29" t="s">
        <v>132</v>
      </c>
      <c r="E38" s="30">
        <v>84836</v>
      </c>
      <c r="F38" s="31">
        <v>56.119014</v>
      </c>
      <c r="G38" s="32">
        <v>3.6254000000000001E-4</v>
      </c>
      <c r="H38" s="27" t="s">
        <v>142</v>
      </c>
    </row>
    <row r="39" spans="1:8" x14ac:dyDescent="0.2">
      <c r="A39" s="25"/>
      <c r="B39" s="25"/>
      <c r="C39" s="26" t="s">
        <v>141</v>
      </c>
      <c r="D39" s="25"/>
      <c r="E39" s="25" t="s">
        <v>142</v>
      </c>
      <c r="F39" s="33">
        <v>56.119014</v>
      </c>
      <c r="G39" s="34">
        <v>3.6254000000000001E-4</v>
      </c>
      <c r="H39" s="27" t="s">
        <v>142</v>
      </c>
    </row>
    <row r="40" spans="1:8" x14ac:dyDescent="0.2">
      <c r="A40" s="25"/>
      <c r="B40" s="25"/>
      <c r="C40" s="35"/>
      <c r="D40" s="25"/>
      <c r="E40" s="25"/>
      <c r="F40" s="36"/>
      <c r="G40" s="36"/>
      <c r="H40" s="27" t="s">
        <v>142</v>
      </c>
    </row>
    <row r="41" spans="1:8" x14ac:dyDescent="0.2">
      <c r="A41" s="25"/>
      <c r="B41" s="25"/>
      <c r="C41" s="26" t="s">
        <v>147</v>
      </c>
      <c r="D41" s="25"/>
      <c r="E41" s="25"/>
      <c r="F41" s="36"/>
      <c r="G41" s="36"/>
      <c r="H41" s="27" t="s">
        <v>142</v>
      </c>
    </row>
    <row r="42" spans="1:8" x14ac:dyDescent="0.2">
      <c r="A42" s="25"/>
      <c r="B42" s="25"/>
      <c r="C42" s="26" t="s">
        <v>141</v>
      </c>
      <c r="D42" s="25"/>
      <c r="E42" s="25" t="s">
        <v>142</v>
      </c>
      <c r="F42" s="37" t="s">
        <v>144</v>
      </c>
      <c r="G42" s="34">
        <v>0</v>
      </c>
      <c r="H42" s="27" t="s">
        <v>142</v>
      </c>
    </row>
    <row r="43" spans="1:8" x14ac:dyDescent="0.2">
      <c r="A43" s="25"/>
      <c r="B43" s="25"/>
      <c r="C43" s="35"/>
      <c r="D43" s="25"/>
      <c r="E43" s="25"/>
      <c r="F43" s="36"/>
      <c r="G43" s="36"/>
      <c r="H43" s="27" t="s">
        <v>142</v>
      </c>
    </row>
    <row r="44" spans="1:8" x14ac:dyDescent="0.2">
      <c r="A44" s="25"/>
      <c r="B44" s="25"/>
      <c r="C44" s="26" t="s">
        <v>148</v>
      </c>
      <c r="D44" s="25"/>
      <c r="E44" s="25"/>
      <c r="F44" s="36"/>
      <c r="G44" s="36"/>
      <c r="H44" s="27" t="s">
        <v>142</v>
      </c>
    </row>
    <row r="45" spans="1:8" x14ac:dyDescent="0.2">
      <c r="A45" s="25"/>
      <c r="B45" s="25"/>
      <c r="C45" s="26" t="s">
        <v>141</v>
      </c>
      <c r="D45" s="25"/>
      <c r="E45" s="25" t="s">
        <v>142</v>
      </c>
      <c r="F45" s="37" t="s">
        <v>144</v>
      </c>
      <c r="G45" s="34">
        <v>0</v>
      </c>
      <c r="H45" s="27" t="s">
        <v>142</v>
      </c>
    </row>
    <row r="46" spans="1:8" x14ac:dyDescent="0.2">
      <c r="A46" s="25"/>
      <c r="B46" s="25"/>
      <c r="C46" s="35"/>
      <c r="D46" s="25"/>
      <c r="E46" s="25"/>
      <c r="F46" s="36"/>
      <c r="G46" s="36"/>
      <c r="H46" s="27" t="s">
        <v>142</v>
      </c>
    </row>
    <row r="47" spans="1:8" x14ac:dyDescent="0.2">
      <c r="A47" s="25"/>
      <c r="B47" s="25"/>
      <c r="C47" s="26" t="s">
        <v>149</v>
      </c>
      <c r="D47" s="25"/>
      <c r="E47" s="25"/>
      <c r="F47" s="33">
        <v>145047.27471609999</v>
      </c>
      <c r="G47" s="34">
        <v>0.93703404000000001</v>
      </c>
      <c r="H47" s="27" t="s">
        <v>142</v>
      </c>
    </row>
    <row r="48" spans="1:8" x14ac:dyDescent="0.2">
      <c r="A48" s="25"/>
      <c r="B48" s="25"/>
      <c r="C48" s="35"/>
      <c r="D48" s="25"/>
      <c r="E48" s="25"/>
      <c r="F48" s="36"/>
      <c r="G48" s="36"/>
      <c r="H48" s="27" t="s">
        <v>142</v>
      </c>
    </row>
    <row r="49" spans="1:8" x14ac:dyDescent="0.2">
      <c r="A49" s="25"/>
      <c r="B49" s="25"/>
      <c r="C49" s="26" t="s">
        <v>150</v>
      </c>
      <c r="D49" s="25"/>
      <c r="E49" s="25"/>
      <c r="F49" s="36"/>
      <c r="G49" s="36"/>
      <c r="H49" s="27" t="s">
        <v>142</v>
      </c>
    </row>
    <row r="50" spans="1:8" x14ac:dyDescent="0.2">
      <c r="A50" s="25"/>
      <c r="B50" s="25"/>
      <c r="C50" s="26" t="s">
        <v>10</v>
      </c>
      <c r="D50" s="25"/>
      <c r="E50" s="25"/>
      <c r="F50" s="36"/>
      <c r="G50" s="36"/>
      <c r="H50" s="27" t="s">
        <v>142</v>
      </c>
    </row>
    <row r="51" spans="1:8" x14ac:dyDescent="0.2">
      <c r="A51" s="25"/>
      <c r="B51" s="25"/>
      <c r="C51" s="26" t="s">
        <v>141</v>
      </c>
      <c r="D51" s="25"/>
      <c r="E51" s="25" t="s">
        <v>142</v>
      </c>
      <c r="F51" s="37" t="s">
        <v>144</v>
      </c>
      <c r="G51" s="34">
        <v>0</v>
      </c>
      <c r="H51" s="27" t="s">
        <v>142</v>
      </c>
    </row>
    <row r="52" spans="1:8" x14ac:dyDescent="0.2">
      <c r="A52" s="25"/>
      <c r="B52" s="25"/>
      <c r="C52" s="35"/>
      <c r="D52" s="25"/>
      <c r="E52" s="25"/>
      <c r="F52" s="36"/>
      <c r="G52" s="36"/>
      <c r="H52" s="27" t="s">
        <v>142</v>
      </c>
    </row>
    <row r="53" spans="1:8" x14ac:dyDescent="0.2">
      <c r="A53" s="25"/>
      <c r="B53" s="25"/>
      <c r="C53" s="26" t="s">
        <v>151</v>
      </c>
      <c r="D53" s="25"/>
      <c r="E53" s="25"/>
      <c r="F53" s="25"/>
      <c r="G53" s="25"/>
      <c r="H53" s="27" t="s">
        <v>142</v>
      </c>
    </row>
    <row r="54" spans="1:8" x14ac:dyDescent="0.2">
      <c r="A54" s="25"/>
      <c r="B54" s="25"/>
      <c r="C54" s="26" t="s">
        <v>141</v>
      </c>
      <c r="D54" s="25"/>
      <c r="E54" s="25" t="s">
        <v>142</v>
      </c>
      <c r="F54" s="37" t="s">
        <v>144</v>
      </c>
      <c r="G54" s="34">
        <v>0</v>
      </c>
      <c r="H54" s="27" t="s">
        <v>142</v>
      </c>
    </row>
    <row r="55" spans="1:8" x14ac:dyDescent="0.2">
      <c r="A55" s="25"/>
      <c r="B55" s="25"/>
      <c r="C55" s="35"/>
      <c r="D55" s="25"/>
      <c r="E55" s="25"/>
      <c r="F55" s="36"/>
      <c r="G55" s="36"/>
      <c r="H55" s="27" t="s">
        <v>142</v>
      </c>
    </row>
    <row r="56" spans="1:8" x14ac:dyDescent="0.2">
      <c r="A56" s="25"/>
      <c r="B56" s="25"/>
      <c r="C56" s="26" t="s">
        <v>152</v>
      </c>
      <c r="D56" s="25"/>
      <c r="E56" s="25"/>
      <c r="F56" s="25"/>
      <c r="G56" s="25"/>
      <c r="H56" s="27" t="s">
        <v>142</v>
      </c>
    </row>
    <row r="57" spans="1:8" x14ac:dyDescent="0.2">
      <c r="A57" s="25"/>
      <c r="B57" s="25"/>
      <c r="C57" s="26" t="s">
        <v>141</v>
      </c>
      <c r="D57" s="25"/>
      <c r="E57" s="25" t="s">
        <v>142</v>
      </c>
      <c r="F57" s="37" t="s">
        <v>144</v>
      </c>
      <c r="G57" s="34">
        <v>0</v>
      </c>
      <c r="H57" s="27" t="s">
        <v>142</v>
      </c>
    </row>
    <row r="58" spans="1:8" x14ac:dyDescent="0.2">
      <c r="A58" s="25"/>
      <c r="B58" s="25"/>
      <c r="C58" s="35"/>
      <c r="D58" s="25"/>
      <c r="E58" s="25"/>
      <c r="F58" s="36"/>
      <c r="G58" s="36"/>
      <c r="H58" s="27" t="s">
        <v>142</v>
      </c>
    </row>
    <row r="59" spans="1:8" x14ac:dyDescent="0.2">
      <c r="A59" s="25"/>
      <c r="B59" s="25"/>
      <c r="C59" s="26" t="s">
        <v>153</v>
      </c>
      <c r="D59" s="25"/>
      <c r="E59" s="25"/>
      <c r="F59" s="36"/>
      <c r="G59" s="36"/>
      <c r="H59" s="27" t="s">
        <v>142</v>
      </c>
    </row>
    <row r="60" spans="1:8" x14ac:dyDescent="0.2">
      <c r="A60" s="25"/>
      <c r="B60" s="25"/>
      <c r="C60" s="26" t="s">
        <v>141</v>
      </c>
      <c r="D60" s="25"/>
      <c r="E60" s="25" t="s">
        <v>142</v>
      </c>
      <c r="F60" s="37" t="s">
        <v>144</v>
      </c>
      <c r="G60" s="34">
        <v>0</v>
      </c>
      <c r="H60" s="27" t="s">
        <v>142</v>
      </c>
    </row>
    <row r="61" spans="1:8" x14ac:dyDescent="0.2">
      <c r="A61" s="25"/>
      <c r="B61" s="25"/>
      <c r="C61" s="35"/>
      <c r="D61" s="25"/>
      <c r="E61" s="25"/>
      <c r="F61" s="36"/>
      <c r="G61" s="36"/>
      <c r="H61" s="27" t="s">
        <v>142</v>
      </c>
    </row>
    <row r="62" spans="1:8" x14ac:dyDescent="0.2">
      <c r="A62" s="25"/>
      <c r="B62" s="25"/>
      <c r="C62" s="26" t="s">
        <v>154</v>
      </c>
      <c r="D62" s="25"/>
      <c r="E62" s="25"/>
      <c r="F62" s="33">
        <v>0</v>
      </c>
      <c r="G62" s="34">
        <v>0</v>
      </c>
      <c r="H62" s="27" t="s">
        <v>142</v>
      </c>
    </row>
    <row r="63" spans="1:8" x14ac:dyDescent="0.2">
      <c r="A63" s="25"/>
      <c r="B63" s="25"/>
      <c r="C63" s="35"/>
      <c r="D63" s="25"/>
      <c r="E63" s="25"/>
      <c r="F63" s="36"/>
      <c r="G63" s="36"/>
      <c r="H63" s="27" t="s">
        <v>142</v>
      </c>
    </row>
    <row r="64" spans="1:8" x14ac:dyDescent="0.2">
      <c r="A64" s="25"/>
      <c r="B64" s="25"/>
      <c r="C64" s="26" t="s">
        <v>155</v>
      </c>
      <c r="D64" s="25"/>
      <c r="E64" s="25"/>
      <c r="F64" s="36"/>
      <c r="G64" s="36"/>
      <c r="H64" s="27" t="s">
        <v>142</v>
      </c>
    </row>
    <row r="65" spans="1:8" x14ac:dyDescent="0.2">
      <c r="A65" s="25"/>
      <c r="B65" s="25"/>
      <c r="C65" s="26" t="s">
        <v>156</v>
      </c>
      <c r="D65" s="25"/>
      <c r="E65" s="25"/>
      <c r="F65" s="36"/>
      <c r="G65" s="36"/>
      <c r="H65" s="27" t="s">
        <v>142</v>
      </c>
    </row>
    <row r="66" spans="1:8" x14ac:dyDescent="0.2">
      <c r="A66" s="25"/>
      <c r="B66" s="25"/>
      <c r="C66" s="26" t="s">
        <v>141</v>
      </c>
      <c r="D66" s="25"/>
      <c r="E66" s="25" t="s">
        <v>142</v>
      </c>
      <c r="F66" s="37" t="s">
        <v>144</v>
      </c>
      <c r="G66" s="34">
        <v>0</v>
      </c>
      <c r="H66" s="27" t="s">
        <v>142</v>
      </c>
    </row>
    <row r="67" spans="1:8" x14ac:dyDescent="0.2">
      <c r="A67" s="25"/>
      <c r="B67" s="25"/>
      <c r="C67" s="35"/>
      <c r="D67" s="25"/>
      <c r="E67" s="25"/>
      <c r="F67" s="36"/>
      <c r="G67" s="36"/>
      <c r="H67" s="27" t="s">
        <v>142</v>
      </c>
    </row>
    <row r="68" spans="1:8" x14ac:dyDescent="0.2">
      <c r="A68" s="25"/>
      <c r="B68" s="25"/>
      <c r="C68" s="26" t="s">
        <v>157</v>
      </c>
      <c r="D68" s="25"/>
      <c r="E68" s="25"/>
      <c r="F68" s="36"/>
      <c r="G68" s="36"/>
      <c r="H68" s="27" t="s">
        <v>142</v>
      </c>
    </row>
    <row r="69" spans="1:8" x14ac:dyDescent="0.2">
      <c r="A69" s="25"/>
      <c r="B69" s="25"/>
      <c r="C69" s="26" t="s">
        <v>141</v>
      </c>
      <c r="D69" s="25"/>
      <c r="E69" s="25" t="s">
        <v>142</v>
      </c>
      <c r="F69" s="37" t="s">
        <v>144</v>
      </c>
      <c r="G69" s="34">
        <v>0</v>
      </c>
      <c r="H69" s="27" t="s">
        <v>142</v>
      </c>
    </row>
    <row r="70" spans="1:8" x14ac:dyDescent="0.2">
      <c r="A70" s="25"/>
      <c r="B70" s="25"/>
      <c r="C70" s="35"/>
      <c r="D70" s="25"/>
      <c r="E70" s="25"/>
      <c r="F70" s="36"/>
      <c r="G70" s="36"/>
      <c r="H70" s="27" t="s">
        <v>142</v>
      </c>
    </row>
    <row r="71" spans="1:8" x14ac:dyDescent="0.2">
      <c r="A71" s="25"/>
      <c r="B71" s="25"/>
      <c r="C71" s="26" t="s">
        <v>158</v>
      </c>
      <c r="D71" s="25"/>
      <c r="E71" s="25"/>
      <c r="F71" s="36"/>
      <c r="G71" s="36"/>
      <c r="H71" s="27" t="s">
        <v>142</v>
      </c>
    </row>
    <row r="72" spans="1:8" x14ac:dyDescent="0.2">
      <c r="A72" s="28">
        <v>1</v>
      </c>
      <c r="B72" s="29" t="s">
        <v>645</v>
      </c>
      <c r="C72" s="29" t="s">
        <v>1079</v>
      </c>
      <c r="D72" s="29" t="s">
        <v>601</v>
      </c>
      <c r="E72" s="30">
        <v>1500000</v>
      </c>
      <c r="F72" s="31">
        <v>1476.8475000000001</v>
      </c>
      <c r="G72" s="32">
        <v>9.5407300000000007E-3</v>
      </c>
      <c r="H72" s="27">
        <v>5.61</v>
      </c>
    </row>
    <row r="73" spans="1:8" x14ac:dyDescent="0.2">
      <c r="A73" s="25"/>
      <c r="B73" s="25"/>
      <c r="C73" s="26" t="s">
        <v>141</v>
      </c>
      <c r="D73" s="25"/>
      <c r="E73" s="25" t="s">
        <v>142</v>
      </c>
      <c r="F73" s="33">
        <v>1476.8475000000001</v>
      </c>
      <c r="G73" s="34">
        <v>9.5407300000000007E-3</v>
      </c>
      <c r="H73" s="27" t="s">
        <v>142</v>
      </c>
    </row>
    <row r="74" spans="1:8" x14ac:dyDescent="0.2">
      <c r="A74" s="25"/>
      <c r="B74" s="25"/>
      <c r="C74" s="35"/>
      <c r="D74" s="25"/>
      <c r="E74" s="25"/>
      <c r="F74" s="36"/>
      <c r="G74" s="36"/>
      <c r="H74" s="27" t="s">
        <v>142</v>
      </c>
    </row>
    <row r="75" spans="1:8" x14ac:dyDescent="0.2">
      <c r="A75" s="25"/>
      <c r="B75" s="25"/>
      <c r="C75" s="26" t="s">
        <v>159</v>
      </c>
      <c r="D75" s="25"/>
      <c r="E75" s="25"/>
      <c r="F75" s="36"/>
      <c r="G75" s="36"/>
      <c r="H75" s="27" t="s">
        <v>142</v>
      </c>
    </row>
    <row r="76" spans="1:8" x14ac:dyDescent="0.2">
      <c r="A76" s="28">
        <v>1</v>
      </c>
      <c r="B76" s="29"/>
      <c r="C76" s="29" t="s">
        <v>160</v>
      </c>
      <c r="D76" s="29"/>
      <c r="E76" s="39"/>
      <c r="F76" s="31">
        <v>7861.3725556859999</v>
      </c>
      <c r="G76" s="32">
        <v>5.0786020000000001E-2</v>
      </c>
      <c r="H76" s="27">
        <v>5.76</v>
      </c>
    </row>
    <row r="77" spans="1:8" x14ac:dyDescent="0.2">
      <c r="A77" s="25"/>
      <c r="B77" s="25"/>
      <c r="C77" s="26" t="s">
        <v>141</v>
      </c>
      <c r="D77" s="25"/>
      <c r="E77" s="25" t="s">
        <v>142</v>
      </c>
      <c r="F77" s="33">
        <v>7861.3725556859999</v>
      </c>
      <c r="G77" s="34">
        <v>5.0786020000000001E-2</v>
      </c>
      <c r="H77" s="27" t="s">
        <v>142</v>
      </c>
    </row>
    <row r="78" spans="1:8" x14ac:dyDescent="0.2">
      <c r="A78" s="25"/>
      <c r="B78" s="25"/>
      <c r="C78" s="35"/>
      <c r="D78" s="25"/>
      <c r="E78" s="25"/>
      <c r="F78" s="36"/>
      <c r="G78" s="36"/>
      <c r="H78" s="27" t="s">
        <v>142</v>
      </c>
    </row>
    <row r="79" spans="1:8" x14ac:dyDescent="0.2">
      <c r="A79" s="25"/>
      <c r="B79" s="25"/>
      <c r="C79" s="26" t="s">
        <v>161</v>
      </c>
      <c r="D79" s="25"/>
      <c r="E79" s="25"/>
      <c r="F79" s="33">
        <v>9338.2200556860007</v>
      </c>
      <c r="G79" s="34">
        <v>6.0326749999999998E-2</v>
      </c>
      <c r="H79" s="27" t="s">
        <v>142</v>
      </c>
    </row>
    <row r="80" spans="1:8" x14ac:dyDescent="0.2">
      <c r="A80" s="25"/>
      <c r="B80" s="25"/>
      <c r="C80" s="36"/>
      <c r="D80" s="25"/>
      <c r="E80" s="25"/>
      <c r="F80" s="25"/>
      <c r="G80" s="25"/>
      <c r="H80" s="27" t="s">
        <v>142</v>
      </c>
    </row>
    <row r="81" spans="1:10" x14ac:dyDescent="0.2">
      <c r="A81" s="25"/>
      <c r="B81" s="25"/>
      <c r="C81" s="26" t="s">
        <v>162</v>
      </c>
      <c r="D81" s="25"/>
      <c r="E81" s="25"/>
      <c r="F81" s="25"/>
      <c r="G81" s="25"/>
      <c r="H81" s="27" t="s">
        <v>142</v>
      </c>
    </row>
    <row r="82" spans="1:10" x14ac:dyDescent="0.2">
      <c r="A82" s="25"/>
      <c r="B82" s="25"/>
      <c r="C82" s="26" t="s">
        <v>163</v>
      </c>
      <c r="D82" s="25"/>
      <c r="E82" s="25"/>
      <c r="F82" s="25"/>
      <c r="G82" s="25"/>
      <c r="H82" s="27" t="s">
        <v>142</v>
      </c>
    </row>
    <row r="83" spans="1:10" x14ac:dyDescent="0.2">
      <c r="A83" s="25"/>
      <c r="B83" s="25"/>
      <c r="C83" s="26" t="s">
        <v>141</v>
      </c>
      <c r="D83" s="25"/>
      <c r="E83" s="25" t="s">
        <v>142</v>
      </c>
      <c r="F83" s="37" t="s">
        <v>144</v>
      </c>
      <c r="G83" s="34">
        <v>0</v>
      </c>
      <c r="H83" s="27" t="s">
        <v>142</v>
      </c>
    </row>
    <row r="84" spans="1:10" x14ac:dyDescent="0.2">
      <c r="A84" s="25"/>
      <c r="B84" s="25"/>
      <c r="C84" s="35"/>
      <c r="D84" s="25"/>
      <c r="E84" s="25"/>
      <c r="F84" s="36"/>
      <c r="G84" s="36"/>
      <c r="H84" s="27" t="s">
        <v>142</v>
      </c>
    </row>
    <row r="85" spans="1:10" x14ac:dyDescent="0.2">
      <c r="A85" s="25"/>
      <c r="B85" s="25"/>
      <c r="C85" s="26" t="s">
        <v>164</v>
      </c>
      <c r="D85" s="25"/>
      <c r="E85" s="25"/>
      <c r="F85" s="25"/>
      <c r="G85" s="25"/>
      <c r="H85" s="27" t="s">
        <v>142</v>
      </c>
    </row>
    <row r="86" spans="1:10" x14ac:dyDescent="0.2">
      <c r="A86" s="25"/>
      <c r="B86" s="25"/>
      <c r="C86" s="26" t="s">
        <v>165</v>
      </c>
      <c r="D86" s="25"/>
      <c r="E86" s="25"/>
      <c r="F86" s="25"/>
      <c r="G86" s="25"/>
      <c r="H86" s="27" t="s">
        <v>142</v>
      </c>
    </row>
    <row r="87" spans="1:10" x14ac:dyDescent="0.2">
      <c r="A87" s="25"/>
      <c r="B87" s="25"/>
      <c r="C87" s="26" t="s">
        <v>141</v>
      </c>
      <c r="D87" s="25"/>
      <c r="E87" s="25" t="s">
        <v>142</v>
      </c>
      <c r="F87" s="37" t="s">
        <v>144</v>
      </c>
      <c r="G87" s="34">
        <v>0</v>
      </c>
      <c r="H87" s="27" t="s">
        <v>142</v>
      </c>
    </row>
    <row r="88" spans="1:10" x14ac:dyDescent="0.2">
      <c r="A88" s="25"/>
      <c r="B88" s="25"/>
      <c r="C88" s="35"/>
      <c r="D88" s="25"/>
      <c r="E88" s="25"/>
      <c r="F88" s="36"/>
      <c r="G88" s="36"/>
      <c r="H88" s="27" t="s">
        <v>142</v>
      </c>
    </row>
    <row r="89" spans="1:10" x14ac:dyDescent="0.2">
      <c r="A89" s="25"/>
      <c r="B89" s="25"/>
      <c r="C89" s="26" t="s">
        <v>166</v>
      </c>
      <c r="D89" s="25"/>
      <c r="E89" s="25"/>
      <c r="F89" s="36"/>
      <c r="G89" s="36"/>
      <c r="H89" s="27" t="s">
        <v>142</v>
      </c>
    </row>
    <row r="90" spans="1:10" x14ac:dyDescent="0.2">
      <c r="A90" s="25"/>
      <c r="B90" s="25"/>
      <c r="C90" s="26" t="s">
        <v>141</v>
      </c>
      <c r="D90" s="25"/>
      <c r="E90" s="25" t="s">
        <v>142</v>
      </c>
      <c r="F90" s="37" t="s">
        <v>144</v>
      </c>
      <c r="G90" s="34">
        <v>0</v>
      </c>
      <c r="H90" s="27" t="s">
        <v>142</v>
      </c>
    </row>
    <row r="91" spans="1:10" x14ac:dyDescent="0.2">
      <c r="A91" s="25"/>
      <c r="B91" s="25"/>
      <c r="C91" s="35"/>
      <c r="D91" s="25"/>
      <c r="E91" s="25"/>
      <c r="F91" s="36"/>
      <c r="G91" s="36"/>
      <c r="H91" s="27" t="s">
        <v>142</v>
      </c>
    </row>
    <row r="92" spans="1:10" x14ac:dyDescent="0.2">
      <c r="A92" s="39"/>
      <c r="B92" s="29"/>
      <c r="C92" s="38" t="s">
        <v>903</v>
      </c>
      <c r="D92" s="29"/>
      <c r="E92" s="39"/>
      <c r="F92" s="31">
        <f>408.537049-0.000016676025390625</f>
        <v>408.53703232397464</v>
      </c>
      <c r="G92" s="32">
        <v>2.6392299999999998E-3</v>
      </c>
      <c r="H92" s="27" t="s">
        <v>142</v>
      </c>
    </row>
    <row r="93" spans="1:10" x14ac:dyDescent="0.2">
      <c r="A93" s="35"/>
      <c r="B93" s="35"/>
      <c r="C93" s="26" t="s">
        <v>168</v>
      </c>
      <c r="D93" s="36"/>
      <c r="E93" s="36"/>
      <c r="F93" s="33">
        <f>154794.031820786-0.000016676025390625</f>
        <v>154794.03180410998</v>
      </c>
      <c r="G93" s="40">
        <v>1.0000000200000001</v>
      </c>
      <c r="H93" s="27" t="s">
        <v>142</v>
      </c>
    </row>
    <row r="94" spans="1:10" x14ac:dyDescent="0.2">
      <c r="A94" s="41"/>
      <c r="B94" s="41"/>
      <c r="C94" s="41"/>
      <c r="D94" s="42"/>
      <c r="E94" s="42"/>
      <c r="F94" s="42"/>
      <c r="G94" s="42"/>
    </row>
    <row r="95" spans="1:10" x14ac:dyDescent="0.2">
      <c r="A95" s="43"/>
      <c r="B95" s="210" t="s">
        <v>879</v>
      </c>
      <c r="C95" s="210"/>
      <c r="D95" s="210"/>
      <c r="E95" s="210"/>
      <c r="F95" s="210"/>
      <c r="G95" s="210"/>
      <c r="H95" s="210"/>
      <c r="J95" s="45"/>
    </row>
    <row r="96" spans="1:10" x14ac:dyDescent="0.2">
      <c r="A96" s="43"/>
      <c r="B96" s="210" t="s">
        <v>880</v>
      </c>
      <c r="C96" s="210"/>
      <c r="D96" s="210"/>
      <c r="E96" s="210"/>
      <c r="F96" s="210"/>
      <c r="G96" s="210"/>
      <c r="H96" s="210"/>
      <c r="J96" s="45"/>
    </row>
    <row r="97" spans="1:17" x14ac:dyDescent="0.2">
      <c r="A97" s="43"/>
      <c r="B97" s="210" t="s">
        <v>881</v>
      </c>
      <c r="C97" s="210"/>
      <c r="D97" s="210"/>
      <c r="E97" s="210"/>
      <c r="F97" s="210"/>
      <c r="G97" s="210"/>
      <c r="H97" s="210"/>
      <c r="J97" s="45"/>
    </row>
    <row r="98" spans="1:17" s="47" customFormat="1" ht="66.75" customHeight="1" x14ac:dyDescent="0.25">
      <c r="A98" s="46"/>
      <c r="B98" s="211" t="s">
        <v>882</v>
      </c>
      <c r="C98" s="211"/>
      <c r="D98" s="211"/>
      <c r="E98" s="211"/>
      <c r="F98" s="211"/>
      <c r="G98" s="211"/>
      <c r="H98" s="211"/>
      <c r="I98"/>
      <c r="J98" s="45"/>
      <c r="K98"/>
      <c r="L98"/>
      <c r="M98"/>
      <c r="N98"/>
      <c r="O98"/>
      <c r="P98"/>
      <c r="Q98"/>
    </row>
    <row r="99" spans="1:17" x14ac:dyDescent="0.2">
      <c r="A99" s="43"/>
      <c r="B99" s="210" t="s">
        <v>883</v>
      </c>
      <c r="C99" s="210"/>
      <c r="D99" s="210"/>
      <c r="E99" s="210"/>
      <c r="F99" s="210"/>
      <c r="G99" s="210"/>
      <c r="H99" s="210"/>
      <c r="J99" s="45"/>
    </row>
    <row r="100" spans="1:17" x14ac:dyDescent="0.2">
      <c r="A100" s="48"/>
      <c r="B100" s="48"/>
      <c r="C100" s="48"/>
      <c r="D100" s="49"/>
      <c r="E100" s="49"/>
      <c r="F100" s="49"/>
      <c r="G100" s="49"/>
    </row>
    <row r="101" spans="1:17" x14ac:dyDescent="0.2">
      <c r="A101" s="48"/>
      <c r="B101" s="212" t="s">
        <v>169</v>
      </c>
      <c r="C101" s="213"/>
      <c r="D101" s="214"/>
      <c r="E101" s="50"/>
      <c r="F101" s="49"/>
      <c r="G101" s="49"/>
    </row>
    <row r="102" spans="1:17" ht="27.75" customHeight="1" x14ac:dyDescent="0.2">
      <c r="A102" s="48"/>
      <c r="B102" s="215" t="s">
        <v>170</v>
      </c>
      <c r="C102" s="216"/>
      <c r="D102" s="26" t="s">
        <v>171</v>
      </c>
      <c r="E102" s="50"/>
      <c r="F102" s="49"/>
      <c r="G102" s="49"/>
    </row>
    <row r="103" spans="1:17" ht="12.75" customHeight="1" x14ac:dyDescent="0.2">
      <c r="A103" s="43"/>
      <c r="B103" s="217" t="s">
        <v>884</v>
      </c>
      <c r="C103" s="218"/>
      <c r="D103" s="26" t="s">
        <v>171</v>
      </c>
      <c r="E103" s="52"/>
      <c r="F103" s="53"/>
      <c r="G103" s="53"/>
    </row>
    <row r="104" spans="1:17" x14ac:dyDescent="0.2">
      <c r="A104" s="48"/>
      <c r="B104" s="215" t="s">
        <v>172</v>
      </c>
      <c r="C104" s="216"/>
      <c r="D104" s="36" t="s">
        <v>142</v>
      </c>
      <c r="E104" s="50"/>
      <c r="F104" s="49"/>
      <c r="G104" s="49"/>
    </row>
    <row r="105" spans="1:17" x14ac:dyDescent="0.2">
      <c r="A105" s="54"/>
      <c r="B105" s="55" t="s">
        <v>142</v>
      </c>
      <c r="C105" s="55" t="s">
        <v>885</v>
      </c>
      <c r="D105" s="55" t="s">
        <v>173</v>
      </c>
      <c r="E105" s="54"/>
      <c r="F105" s="54"/>
      <c r="G105" s="54"/>
      <c r="H105" s="45"/>
      <c r="J105" s="45"/>
    </row>
    <row r="106" spans="1:17" x14ac:dyDescent="0.2">
      <c r="A106" s="54"/>
      <c r="B106" s="56" t="s">
        <v>174</v>
      </c>
      <c r="C106" s="57">
        <v>45777</v>
      </c>
      <c r="D106" s="57">
        <v>45808</v>
      </c>
      <c r="E106" s="54"/>
      <c r="F106" s="54"/>
      <c r="G106" s="54"/>
      <c r="J106" s="45"/>
    </row>
    <row r="107" spans="1:17" x14ac:dyDescent="0.2">
      <c r="A107" s="58"/>
      <c r="B107" s="29" t="s">
        <v>175</v>
      </c>
      <c r="C107" s="59">
        <v>114.51049999999999</v>
      </c>
      <c r="D107" s="59">
        <v>116.8738</v>
      </c>
      <c r="E107" s="58"/>
      <c r="F107" s="60"/>
      <c r="G107" s="61"/>
    </row>
    <row r="108" spans="1:17" x14ac:dyDescent="0.2">
      <c r="A108" s="58"/>
      <c r="B108" s="29" t="s">
        <v>1065</v>
      </c>
      <c r="C108" s="59">
        <v>36.0884</v>
      </c>
      <c r="D108" s="59">
        <v>36.833199999999998</v>
      </c>
      <c r="E108" s="58"/>
      <c r="F108" s="60"/>
      <c r="G108" s="61"/>
    </row>
    <row r="109" spans="1:17" x14ac:dyDescent="0.2">
      <c r="A109" s="58"/>
      <c r="B109" s="29" t="s">
        <v>177</v>
      </c>
      <c r="C109" s="59">
        <v>101.7732</v>
      </c>
      <c r="D109" s="59">
        <v>103.7572</v>
      </c>
      <c r="E109" s="58"/>
      <c r="F109" s="60"/>
      <c r="G109" s="61"/>
    </row>
    <row r="110" spans="1:17" x14ac:dyDescent="0.2">
      <c r="A110" s="58"/>
      <c r="B110" s="29" t="s">
        <v>1066</v>
      </c>
      <c r="C110" s="59">
        <v>31.550899999999999</v>
      </c>
      <c r="D110" s="59">
        <v>32.165900000000001</v>
      </c>
      <c r="E110" s="58"/>
      <c r="F110" s="60"/>
      <c r="G110" s="61"/>
    </row>
    <row r="111" spans="1:17" x14ac:dyDescent="0.2">
      <c r="A111" s="58"/>
      <c r="B111" s="58"/>
      <c r="C111" s="58"/>
      <c r="D111" s="58"/>
      <c r="E111" s="58"/>
      <c r="F111" s="58"/>
      <c r="G111" s="58"/>
    </row>
    <row r="112" spans="1:17" x14ac:dyDescent="0.2">
      <c r="A112" s="54"/>
      <c r="B112" s="217" t="s">
        <v>887</v>
      </c>
      <c r="C112" s="218"/>
      <c r="D112" s="51" t="s">
        <v>171</v>
      </c>
      <c r="E112" s="54"/>
      <c r="F112" s="54"/>
      <c r="G112" s="54"/>
    </row>
    <row r="113" spans="1:7" x14ac:dyDescent="0.2">
      <c r="A113" s="54"/>
      <c r="B113" s="70"/>
      <c r="C113" s="70"/>
      <c r="D113" s="70"/>
      <c r="E113" s="54"/>
      <c r="F113" s="54"/>
      <c r="G113" s="54"/>
    </row>
    <row r="114" spans="1:7" ht="27" customHeight="1" x14ac:dyDescent="0.2">
      <c r="A114" s="54"/>
      <c r="B114" s="217" t="s">
        <v>180</v>
      </c>
      <c r="C114" s="218"/>
      <c r="D114" s="51" t="s">
        <v>171</v>
      </c>
      <c r="E114" s="65"/>
      <c r="F114" s="54"/>
      <c r="G114" s="54"/>
    </row>
    <row r="115" spans="1:7" ht="24.75" customHeight="1" x14ac:dyDescent="0.2">
      <c r="A115" s="54"/>
      <c r="B115" s="217" t="s">
        <v>181</v>
      </c>
      <c r="C115" s="218"/>
      <c r="D115" s="51" t="s">
        <v>171</v>
      </c>
      <c r="E115" s="65"/>
      <c r="F115" s="54"/>
      <c r="G115" s="54"/>
    </row>
    <row r="116" spans="1:7" x14ac:dyDescent="0.2">
      <c r="A116" s="54"/>
      <c r="B116" s="217" t="s">
        <v>182</v>
      </c>
      <c r="C116" s="218"/>
      <c r="D116" s="51" t="s">
        <v>171</v>
      </c>
      <c r="E116" s="65"/>
      <c r="F116" s="54"/>
      <c r="G116" s="54"/>
    </row>
    <row r="117" spans="1:7" x14ac:dyDescent="0.2">
      <c r="A117" s="54"/>
      <c r="B117" s="217" t="s">
        <v>183</v>
      </c>
      <c r="C117" s="218"/>
      <c r="D117" s="66">
        <v>0.9190354397103071</v>
      </c>
      <c r="E117" s="54"/>
      <c r="F117" s="44"/>
      <c r="G117" s="64"/>
    </row>
    <row r="119" spans="1:7" x14ac:dyDescent="0.2">
      <c r="B119" s="219" t="s">
        <v>888</v>
      </c>
      <c r="C119" s="219"/>
    </row>
    <row r="121" spans="1:7" ht="153.75" customHeight="1" x14ac:dyDescent="0.2"/>
    <row r="124" spans="1:7" x14ac:dyDescent="0.2">
      <c r="B124" s="67" t="s">
        <v>889</v>
      </c>
      <c r="C124" s="68"/>
      <c r="D124" s="67"/>
    </row>
    <row r="125" spans="1:7" x14ac:dyDescent="0.2">
      <c r="B125" s="67" t="s">
        <v>1058</v>
      </c>
      <c r="D125" s="67"/>
    </row>
    <row r="126" spans="1:7" ht="165" customHeight="1" x14ac:dyDescent="0.2"/>
  </sheetData>
  <mergeCells count="18">
    <mergeCell ref="B103:C103"/>
    <mergeCell ref="B104:C104"/>
    <mergeCell ref="B119:C119"/>
    <mergeCell ref="B112:C112"/>
    <mergeCell ref="B116:C116"/>
    <mergeCell ref="B117:C117"/>
    <mergeCell ref="B114:C114"/>
    <mergeCell ref="B115:C115"/>
    <mergeCell ref="B97:H97"/>
    <mergeCell ref="B98:H98"/>
    <mergeCell ref="B99:H99"/>
    <mergeCell ref="B101:D101"/>
    <mergeCell ref="B102:C102"/>
    <mergeCell ref="A1:H1"/>
    <mergeCell ref="A2:H2"/>
    <mergeCell ref="A3:H3"/>
    <mergeCell ref="B95:H95"/>
    <mergeCell ref="B96:H96"/>
  </mergeCells>
  <hyperlinks>
    <hyperlink ref="I1" location="Index!B2" display="Index" xr:uid="{AE5413D5-8F12-4D3E-8196-0C6F861F8E1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9B12-FBC1-4105-9CBD-55D011C6000C}">
  <sheetPr>
    <outlinePr summaryBelow="0" summaryRight="0"/>
  </sheetPr>
  <dimension ref="A1:Q217"/>
  <sheetViews>
    <sheetView showGridLines="0" workbookViewId="0">
      <selection activeCell="D180" sqref="D180"/>
    </sheetView>
  </sheetViews>
  <sheetFormatPr defaultRowHeight="12.75" x14ac:dyDescent="0.2"/>
  <cols>
    <col min="1" max="1" width="5.85546875" bestFit="1" customWidth="1"/>
    <col min="2" max="2" width="21.5703125" customWidth="1"/>
    <col min="3" max="3" width="44" customWidth="1"/>
    <col min="4" max="4" width="18.85546875" customWidth="1"/>
    <col min="5" max="5" width="13.5703125" bestFit="1" customWidth="1"/>
    <col min="6" max="6" width="10.140625" bestFit="1" customWidth="1"/>
    <col min="7" max="7" width="14" bestFit="1" customWidth="1"/>
    <col min="8" max="8" width="8.42578125" bestFit="1" customWidth="1"/>
  </cols>
  <sheetData>
    <row r="1" spans="1:9" ht="15" x14ac:dyDescent="0.2">
      <c r="A1" s="209" t="s">
        <v>0</v>
      </c>
      <c r="B1" s="209"/>
      <c r="C1" s="209"/>
      <c r="D1" s="209"/>
      <c r="E1" s="209"/>
      <c r="F1" s="209"/>
      <c r="G1" s="209"/>
      <c r="H1" s="209"/>
      <c r="I1" s="7" t="s">
        <v>878</v>
      </c>
    </row>
    <row r="2" spans="1:9" ht="15" x14ac:dyDescent="0.2">
      <c r="A2" s="209" t="s">
        <v>822</v>
      </c>
      <c r="B2" s="209"/>
      <c r="C2" s="209"/>
      <c r="D2" s="209"/>
      <c r="E2" s="209"/>
      <c r="F2" s="209"/>
      <c r="G2" s="209"/>
      <c r="H2" s="209"/>
    </row>
    <row r="3" spans="1:9" ht="15" x14ac:dyDescent="0.2">
      <c r="A3" s="209" t="s">
        <v>877</v>
      </c>
      <c r="B3" s="209"/>
      <c r="C3" s="209"/>
      <c r="D3" s="209"/>
      <c r="E3" s="209"/>
      <c r="F3" s="209"/>
      <c r="G3" s="209"/>
      <c r="H3" s="20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26</v>
      </c>
      <c r="C7" s="29" t="s">
        <v>27</v>
      </c>
      <c r="D7" s="29" t="s">
        <v>28</v>
      </c>
      <c r="E7" s="30">
        <v>854800</v>
      </c>
      <c r="F7" s="31">
        <v>12358.698399999999</v>
      </c>
      <c r="G7" s="32">
        <v>4.7076640000000003E-2</v>
      </c>
      <c r="H7" s="27" t="s">
        <v>142</v>
      </c>
    </row>
    <row r="8" spans="1:9" x14ac:dyDescent="0.2">
      <c r="A8" s="28">
        <v>2</v>
      </c>
      <c r="B8" s="29" t="s">
        <v>317</v>
      </c>
      <c r="C8" s="29" t="s">
        <v>318</v>
      </c>
      <c r="D8" s="29" t="s">
        <v>28</v>
      </c>
      <c r="E8" s="30">
        <v>634963</v>
      </c>
      <c r="F8" s="31">
        <v>12349.395387</v>
      </c>
      <c r="G8" s="32">
        <v>4.7041199999999998E-2</v>
      </c>
      <c r="H8" s="27" t="s">
        <v>142</v>
      </c>
    </row>
    <row r="9" spans="1:9" x14ac:dyDescent="0.2">
      <c r="A9" s="28">
        <v>3</v>
      </c>
      <c r="B9" s="29" t="s">
        <v>14</v>
      </c>
      <c r="C9" s="29" t="s">
        <v>15</v>
      </c>
      <c r="D9" s="29" t="s">
        <v>16</v>
      </c>
      <c r="E9" s="30">
        <v>810051</v>
      </c>
      <c r="F9" s="31">
        <v>11510.014659</v>
      </c>
      <c r="G9" s="32">
        <v>4.3843840000000002E-2</v>
      </c>
      <c r="H9" s="27" t="s">
        <v>142</v>
      </c>
    </row>
    <row r="10" spans="1:9" x14ac:dyDescent="0.2">
      <c r="A10" s="28">
        <v>4</v>
      </c>
      <c r="B10" s="29" t="s">
        <v>11</v>
      </c>
      <c r="C10" s="29" t="s">
        <v>12</v>
      </c>
      <c r="D10" s="29" t="s">
        <v>13</v>
      </c>
      <c r="E10" s="30">
        <v>486408</v>
      </c>
      <c r="F10" s="31">
        <v>9028.7052960000001</v>
      </c>
      <c r="G10" s="32">
        <v>3.4392060000000002E-2</v>
      </c>
      <c r="H10" s="27" t="s">
        <v>142</v>
      </c>
    </row>
    <row r="11" spans="1:9" x14ac:dyDescent="0.2">
      <c r="A11" s="28">
        <v>5</v>
      </c>
      <c r="B11" s="29" t="s">
        <v>323</v>
      </c>
      <c r="C11" s="29" t="s">
        <v>324</v>
      </c>
      <c r="D11" s="29" t="s">
        <v>200</v>
      </c>
      <c r="E11" s="30">
        <v>537703</v>
      </c>
      <c r="F11" s="31">
        <v>8402.6847809999999</v>
      </c>
      <c r="G11" s="32">
        <v>3.2007430000000003E-2</v>
      </c>
      <c r="H11" s="27" t="s">
        <v>142</v>
      </c>
    </row>
    <row r="12" spans="1:9" x14ac:dyDescent="0.2">
      <c r="A12" s="28">
        <v>6</v>
      </c>
      <c r="B12" s="29" t="s">
        <v>494</v>
      </c>
      <c r="C12" s="29" t="s">
        <v>495</v>
      </c>
      <c r="D12" s="29" t="s">
        <v>254</v>
      </c>
      <c r="E12" s="30">
        <v>280954</v>
      </c>
      <c r="F12" s="31">
        <v>8363.4386720000002</v>
      </c>
      <c r="G12" s="32">
        <v>3.185793E-2</v>
      </c>
      <c r="H12" s="27" t="s">
        <v>142</v>
      </c>
    </row>
    <row r="13" spans="1:9" x14ac:dyDescent="0.2">
      <c r="A13" s="28">
        <v>7</v>
      </c>
      <c r="B13" s="29" t="s">
        <v>319</v>
      </c>
      <c r="C13" s="29" t="s">
        <v>320</v>
      </c>
      <c r="D13" s="29" t="s">
        <v>28</v>
      </c>
      <c r="E13" s="30">
        <v>632690</v>
      </c>
      <c r="F13" s="31">
        <v>7542.9301800000003</v>
      </c>
      <c r="G13" s="32">
        <v>2.8732460000000001E-2</v>
      </c>
      <c r="H13" s="27" t="s">
        <v>142</v>
      </c>
    </row>
    <row r="14" spans="1:9" x14ac:dyDescent="0.2">
      <c r="A14" s="28">
        <v>8</v>
      </c>
      <c r="B14" s="29" t="s">
        <v>17</v>
      </c>
      <c r="C14" s="29" t="s">
        <v>18</v>
      </c>
      <c r="D14" s="29" t="s">
        <v>19</v>
      </c>
      <c r="E14" s="30">
        <v>185273</v>
      </c>
      <c r="F14" s="31">
        <v>6808.9680230000004</v>
      </c>
      <c r="G14" s="32">
        <v>2.593666E-2</v>
      </c>
      <c r="H14" s="27" t="s">
        <v>142</v>
      </c>
    </row>
    <row r="15" spans="1:9" x14ac:dyDescent="0.2">
      <c r="A15" s="28">
        <v>9</v>
      </c>
      <c r="B15" s="29" t="s">
        <v>46</v>
      </c>
      <c r="C15" s="29" t="s">
        <v>47</v>
      </c>
      <c r="D15" s="29" t="s">
        <v>28</v>
      </c>
      <c r="E15" s="30">
        <v>763700</v>
      </c>
      <c r="F15" s="31">
        <v>6203.5351000000001</v>
      </c>
      <c r="G15" s="32">
        <v>2.3630450000000001E-2</v>
      </c>
      <c r="H15" s="27" t="s">
        <v>142</v>
      </c>
    </row>
    <row r="16" spans="1:9" x14ac:dyDescent="0.2">
      <c r="A16" s="28">
        <v>10</v>
      </c>
      <c r="B16" s="29" t="s">
        <v>321</v>
      </c>
      <c r="C16" s="29" t="s">
        <v>322</v>
      </c>
      <c r="D16" s="29" t="s">
        <v>28</v>
      </c>
      <c r="E16" s="30">
        <v>214930</v>
      </c>
      <c r="F16" s="31">
        <v>4459.1527100000003</v>
      </c>
      <c r="G16" s="32">
        <v>1.6985759999999999E-2</v>
      </c>
      <c r="H16" s="27" t="s">
        <v>142</v>
      </c>
    </row>
    <row r="17" spans="1:8" x14ac:dyDescent="0.2">
      <c r="A17" s="28">
        <v>11</v>
      </c>
      <c r="B17" s="29" t="s">
        <v>78</v>
      </c>
      <c r="C17" s="29" t="s">
        <v>79</v>
      </c>
      <c r="D17" s="29" t="s">
        <v>13</v>
      </c>
      <c r="E17" s="30">
        <v>942804</v>
      </c>
      <c r="F17" s="31">
        <v>3621.7815660000001</v>
      </c>
      <c r="G17" s="32">
        <v>1.3796060000000001E-2</v>
      </c>
      <c r="H17" s="27" t="s">
        <v>142</v>
      </c>
    </row>
    <row r="18" spans="1:8" x14ac:dyDescent="0.2">
      <c r="A18" s="28">
        <v>12</v>
      </c>
      <c r="B18" s="29" t="s">
        <v>282</v>
      </c>
      <c r="C18" s="29" t="s">
        <v>283</v>
      </c>
      <c r="D18" s="29" t="s">
        <v>132</v>
      </c>
      <c r="E18" s="30">
        <v>503159</v>
      </c>
      <c r="F18" s="31">
        <v>3216.9470664999999</v>
      </c>
      <c r="G18" s="32">
        <v>1.2253969999999999E-2</v>
      </c>
      <c r="H18" s="27" t="s">
        <v>142</v>
      </c>
    </row>
    <row r="19" spans="1:8" x14ac:dyDescent="0.2">
      <c r="A19" s="28">
        <v>13</v>
      </c>
      <c r="B19" s="29" t="s">
        <v>421</v>
      </c>
      <c r="C19" s="29" t="s">
        <v>422</v>
      </c>
      <c r="D19" s="29" t="s">
        <v>200</v>
      </c>
      <c r="E19" s="30">
        <v>179778</v>
      </c>
      <c r="F19" s="31">
        <v>2942.246748</v>
      </c>
      <c r="G19" s="32">
        <v>1.120758E-2</v>
      </c>
      <c r="H19" s="27" t="s">
        <v>142</v>
      </c>
    </row>
    <row r="20" spans="1:8" x14ac:dyDescent="0.2">
      <c r="A20" s="28">
        <v>14</v>
      </c>
      <c r="B20" s="29" t="s">
        <v>59</v>
      </c>
      <c r="C20" s="29" t="s">
        <v>60</v>
      </c>
      <c r="D20" s="29" t="s">
        <v>61</v>
      </c>
      <c r="E20" s="30">
        <v>44700</v>
      </c>
      <c r="F20" s="31">
        <v>2901.7004999999999</v>
      </c>
      <c r="G20" s="32">
        <v>1.105313E-2</v>
      </c>
      <c r="H20" s="27" t="s">
        <v>142</v>
      </c>
    </row>
    <row r="21" spans="1:8" ht="25.5" x14ac:dyDescent="0.2">
      <c r="A21" s="28">
        <v>15</v>
      </c>
      <c r="B21" s="29" t="s">
        <v>23</v>
      </c>
      <c r="C21" s="29" t="s">
        <v>24</v>
      </c>
      <c r="D21" s="29" t="s">
        <v>25</v>
      </c>
      <c r="E21" s="30">
        <v>25132</v>
      </c>
      <c r="F21" s="31">
        <v>2817.2972</v>
      </c>
      <c r="G21" s="32">
        <v>1.0731620000000001E-2</v>
      </c>
      <c r="H21" s="27" t="s">
        <v>142</v>
      </c>
    </row>
    <row r="22" spans="1:8" x14ac:dyDescent="0.2">
      <c r="A22" s="28">
        <v>16</v>
      </c>
      <c r="B22" s="29" t="s">
        <v>37</v>
      </c>
      <c r="C22" s="29" t="s">
        <v>38</v>
      </c>
      <c r="D22" s="29" t="s">
        <v>16</v>
      </c>
      <c r="E22" s="30">
        <v>878140</v>
      </c>
      <c r="F22" s="31">
        <v>2795.9977600000002</v>
      </c>
      <c r="G22" s="32">
        <v>1.065049E-2</v>
      </c>
      <c r="H22" s="27" t="s">
        <v>142</v>
      </c>
    </row>
    <row r="23" spans="1:8" x14ac:dyDescent="0.2">
      <c r="A23" s="28">
        <v>17</v>
      </c>
      <c r="B23" s="29" t="s">
        <v>496</v>
      </c>
      <c r="C23" s="29" t="s">
        <v>497</v>
      </c>
      <c r="D23" s="29" t="s">
        <v>226</v>
      </c>
      <c r="E23" s="30">
        <v>183000</v>
      </c>
      <c r="F23" s="31">
        <v>2781.7829999999999</v>
      </c>
      <c r="G23" s="32">
        <v>1.0596339999999999E-2</v>
      </c>
      <c r="H23" s="27" t="s">
        <v>142</v>
      </c>
    </row>
    <row r="24" spans="1:8" ht="25.5" x14ac:dyDescent="0.2">
      <c r="A24" s="28">
        <v>18</v>
      </c>
      <c r="B24" s="29" t="s">
        <v>185</v>
      </c>
      <c r="C24" s="29" t="s">
        <v>186</v>
      </c>
      <c r="D24" s="29" t="s">
        <v>187</v>
      </c>
      <c r="E24" s="30">
        <v>121207</v>
      </c>
      <c r="F24" s="31">
        <v>2774.9130580000001</v>
      </c>
      <c r="G24" s="32">
        <v>1.057017E-2</v>
      </c>
      <c r="H24" s="27" t="s">
        <v>142</v>
      </c>
    </row>
    <row r="25" spans="1:8" x14ac:dyDescent="0.2">
      <c r="A25" s="28">
        <v>19</v>
      </c>
      <c r="B25" s="29" t="s">
        <v>327</v>
      </c>
      <c r="C25" s="29" t="s">
        <v>328</v>
      </c>
      <c r="D25" s="29" t="s">
        <v>132</v>
      </c>
      <c r="E25" s="30">
        <v>30120</v>
      </c>
      <c r="F25" s="31">
        <v>2765.1666</v>
      </c>
      <c r="G25" s="32">
        <v>1.053305E-2</v>
      </c>
      <c r="H25" s="27" t="s">
        <v>142</v>
      </c>
    </row>
    <row r="26" spans="1:8" x14ac:dyDescent="0.2">
      <c r="A26" s="28">
        <v>20</v>
      </c>
      <c r="B26" s="29" t="s">
        <v>358</v>
      </c>
      <c r="C26" s="29" t="s">
        <v>359</v>
      </c>
      <c r="D26" s="29" t="s">
        <v>200</v>
      </c>
      <c r="E26" s="30">
        <v>79199</v>
      </c>
      <c r="F26" s="31">
        <v>2742.9781659999999</v>
      </c>
      <c r="G26" s="32">
        <v>1.0448529999999999E-2</v>
      </c>
      <c r="H26" s="27" t="s">
        <v>142</v>
      </c>
    </row>
    <row r="27" spans="1:8" x14ac:dyDescent="0.2">
      <c r="A27" s="28">
        <v>21</v>
      </c>
      <c r="B27" s="29" t="s">
        <v>434</v>
      </c>
      <c r="C27" s="29" t="s">
        <v>435</v>
      </c>
      <c r="D27" s="29" t="s">
        <v>345</v>
      </c>
      <c r="E27" s="30">
        <v>111663</v>
      </c>
      <c r="F27" s="31">
        <v>2622.182229</v>
      </c>
      <c r="G27" s="32">
        <v>9.9883899999999998E-3</v>
      </c>
      <c r="H27" s="27" t="s">
        <v>142</v>
      </c>
    </row>
    <row r="28" spans="1:8" x14ac:dyDescent="0.2">
      <c r="A28" s="28">
        <v>22</v>
      </c>
      <c r="B28" s="29" t="s">
        <v>343</v>
      </c>
      <c r="C28" s="29" t="s">
        <v>344</v>
      </c>
      <c r="D28" s="29" t="s">
        <v>345</v>
      </c>
      <c r="E28" s="30">
        <v>614630</v>
      </c>
      <c r="F28" s="31">
        <v>2569.4607150000002</v>
      </c>
      <c r="G28" s="32">
        <v>9.7875700000000006E-3</v>
      </c>
      <c r="H28" s="27" t="s">
        <v>142</v>
      </c>
    </row>
    <row r="29" spans="1:8" ht="25.5" x14ac:dyDescent="0.2">
      <c r="A29" s="28">
        <v>23</v>
      </c>
      <c r="B29" s="29" t="s">
        <v>331</v>
      </c>
      <c r="C29" s="29" t="s">
        <v>332</v>
      </c>
      <c r="D29" s="29" t="s">
        <v>194</v>
      </c>
      <c r="E29" s="30">
        <v>151171</v>
      </c>
      <c r="F29" s="31">
        <v>2536.0446959999999</v>
      </c>
      <c r="G29" s="32">
        <v>9.6602800000000003E-3</v>
      </c>
      <c r="H29" s="27" t="s">
        <v>142</v>
      </c>
    </row>
    <row r="30" spans="1:8" ht="25.5" x14ac:dyDescent="0.2">
      <c r="A30" s="28">
        <v>24</v>
      </c>
      <c r="B30" s="29" t="s">
        <v>425</v>
      </c>
      <c r="C30" s="29" t="s">
        <v>426</v>
      </c>
      <c r="D30" s="29" t="s">
        <v>203</v>
      </c>
      <c r="E30" s="30">
        <v>221520</v>
      </c>
      <c r="F30" s="31">
        <v>2450.6757600000001</v>
      </c>
      <c r="G30" s="32">
        <v>9.3350900000000007E-3</v>
      </c>
      <c r="H30" s="27" t="s">
        <v>142</v>
      </c>
    </row>
    <row r="31" spans="1:8" x14ac:dyDescent="0.2">
      <c r="A31" s="28">
        <v>25</v>
      </c>
      <c r="B31" s="29" t="s">
        <v>498</v>
      </c>
      <c r="C31" s="29" t="s">
        <v>499</v>
      </c>
      <c r="D31" s="29" t="s">
        <v>254</v>
      </c>
      <c r="E31" s="30">
        <v>19600</v>
      </c>
      <c r="F31" s="31">
        <v>2414.5239999999999</v>
      </c>
      <c r="G31" s="32">
        <v>9.1973799999999998E-3</v>
      </c>
      <c r="H31" s="27" t="s">
        <v>142</v>
      </c>
    </row>
    <row r="32" spans="1:8" ht="25.5" x14ac:dyDescent="0.2">
      <c r="A32" s="28">
        <v>26</v>
      </c>
      <c r="B32" s="29" t="s">
        <v>220</v>
      </c>
      <c r="C32" s="29" t="s">
        <v>221</v>
      </c>
      <c r="D32" s="29" t="s">
        <v>194</v>
      </c>
      <c r="E32" s="30">
        <v>39723</v>
      </c>
      <c r="F32" s="31">
        <v>2025.277155</v>
      </c>
      <c r="G32" s="32">
        <v>7.7146699999999999E-3</v>
      </c>
      <c r="H32" s="27" t="s">
        <v>142</v>
      </c>
    </row>
    <row r="33" spans="1:8" x14ac:dyDescent="0.2">
      <c r="A33" s="28">
        <v>27</v>
      </c>
      <c r="B33" s="29" t="s">
        <v>673</v>
      </c>
      <c r="C33" s="29" t="s">
        <v>674</v>
      </c>
      <c r="D33" s="29" t="s">
        <v>61</v>
      </c>
      <c r="E33" s="30">
        <v>85780</v>
      </c>
      <c r="F33" s="31">
        <v>1937.85598</v>
      </c>
      <c r="G33" s="32">
        <v>7.38166E-3</v>
      </c>
      <c r="H33" s="27" t="s">
        <v>142</v>
      </c>
    </row>
    <row r="34" spans="1:8" x14ac:dyDescent="0.2">
      <c r="A34" s="28">
        <v>28</v>
      </c>
      <c r="B34" s="29" t="s">
        <v>354</v>
      </c>
      <c r="C34" s="29" t="s">
        <v>355</v>
      </c>
      <c r="D34" s="29" t="s">
        <v>61</v>
      </c>
      <c r="E34" s="30">
        <v>53729</v>
      </c>
      <c r="F34" s="31">
        <v>1910.0659499999999</v>
      </c>
      <c r="G34" s="32">
        <v>7.2758099999999997E-3</v>
      </c>
      <c r="H34" s="27" t="s">
        <v>142</v>
      </c>
    </row>
    <row r="35" spans="1:8" x14ac:dyDescent="0.2">
      <c r="A35" s="28">
        <v>29</v>
      </c>
      <c r="B35" s="29" t="s">
        <v>97</v>
      </c>
      <c r="C35" s="29" t="s">
        <v>98</v>
      </c>
      <c r="D35" s="29" t="s">
        <v>73</v>
      </c>
      <c r="E35" s="30">
        <v>58344</v>
      </c>
      <c r="F35" s="31">
        <v>1906.740264</v>
      </c>
      <c r="G35" s="32">
        <v>7.2631400000000004E-3</v>
      </c>
      <c r="H35" s="27" t="s">
        <v>142</v>
      </c>
    </row>
    <row r="36" spans="1:8" ht="25.5" x14ac:dyDescent="0.2">
      <c r="A36" s="28">
        <v>30</v>
      </c>
      <c r="B36" s="29" t="s">
        <v>339</v>
      </c>
      <c r="C36" s="29" t="s">
        <v>340</v>
      </c>
      <c r="D36" s="29" t="s">
        <v>25</v>
      </c>
      <c r="E36" s="30">
        <v>74000</v>
      </c>
      <c r="F36" s="31">
        <v>1883.8920000000001</v>
      </c>
      <c r="G36" s="32">
        <v>7.1761000000000004E-3</v>
      </c>
      <c r="H36" s="27" t="s">
        <v>142</v>
      </c>
    </row>
    <row r="37" spans="1:8" x14ac:dyDescent="0.2">
      <c r="A37" s="28">
        <v>31</v>
      </c>
      <c r="B37" s="29" t="s">
        <v>65</v>
      </c>
      <c r="C37" s="29" t="s">
        <v>66</v>
      </c>
      <c r="D37" s="29" t="s">
        <v>67</v>
      </c>
      <c r="E37" s="30">
        <v>34880</v>
      </c>
      <c r="F37" s="31">
        <v>1859.104</v>
      </c>
      <c r="G37" s="32">
        <v>7.0816799999999999E-3</v>
      </c>
      <c r="H37" s="27" t="s">
        <v>142</v>
      </c>
    </row>
    <row r="38" spans="1:8" x14ac:dyDescent="0.2">
      <c r="A38" s="28">
        <v>32</v>
      </c>
      <c r="B38" s="29" t="s">
        <v>252</v>
      </c>
      <c r="C38" s="29" t="s">
        <v>253</v>
      </c>
      <c r="D38" s="29" t="s">
        <v>254</v>
      </c>
      <c r="E38" s="30">
        <v>66850</v>
      </c>
      <c r="F38" s="31">
        <v>1858.9648</v>
      </c>
      <c r="G38" s="32">
        <v>7.0811499999999996E-3</v>
      </c>
      <c r="H38" s="27" t="s">
        <v>142</v>
      </c>
    </row>
    <row r="39" spans="1:8" x14ac:dyDescent="0.2">
      <c r="A39" s="28">
        <v>33</v>
      </c>
      <c r="B39" s="29" t="s">
        <v>41</v>
      </c>
      <c r="C39" s="29" t="s">
        <v>42</v>
      </c>
      <c r="D39" s="29" t="s">
        <v>22</v>
      </c>
      <c r="E39" s="30">
        <v>467000</v>
      </c>
      <c r="F39" s="31">
        <v>1834.376</v>
      </c>
      <c r="G39" s="32">
        <v>6.9874899999999998E-3</v>
      </c>
      <c r="H39" s="27" t="s">
        <v>142</v>
      </c>
    </row>
    <row r="40" spans="1:8" x14ac:dyDescent="0.2">
      <c r="A40" s="28">
        <v>34</v>
      </c>
      <c r="B40" s="29" t="s">
        <v>504</v>
      </c>
      <c r="C40" s="29" t="s">
        <v>505</v>
      </c>
      <c r="D40" s="29" t="s">
        <v>200</v>
      </c>
      <c r="E40" s="30">
        <v>114325</v>
      </c>
      <c r="F40" s="31">
        <v>1799.361175</v>
      </c>
      <c r="G40" s="32">
        <v>6.8541100000000001E-3</v>
      </c>
      <c r="H40" s="27" t="s">
        <v>142</v>
      </c>
    </row>
    <row r="41" spans="1:8" x14ac:dyDescent="0.2">
      <c r="A41" s="28">
        <v>35</v>
      </c>
      <c r="B41" s="29" t="s">
        <v>377</v>
      </c>
      <c r="C41" s="29" t="s">
        <v>378</v>
      </c>
      <c r="D41" s="29" t="s">
        <v>28</v>
      </c>
      <c r="E41" s="30">
        <v>2715000</v>
      </c>
      <c r="F41" s="31">
        <v>1727.0115000000001</v>
      </c>
      <c r="G41" s="32">
        <v>6.57852E-3</v>
      </c>
      <c r="H41" s="27" t="s">
        <v>142</v>
      </c>
    </row>
    <row r="42" spans="1:8" x14ac:dyDescent="0.2">
      <c r="A42" s="28">
        <v>36</v>
      </c>
      <c r="B42" s="29" t="s">
        <v>512</v>
      </c>
      <c r="C42" s="29" t="s">
        <v>513</v>
      </c>
      <c r="D42" s="29" t="s">
        <v>132</v>
      </c>
      <c r="E42" s="30">
        <v>85595</v>
      </c>
      <c r="F42" s="31">
        <v>1726.7935299999999</v>
      </c>
      <c r="G42" s="32">
        <v>6.5776899999999998E-3</v>
      </c>
      <c r="H42" s="27" t="s">
        <v>142</v>
      </c>
    </row>
    <row r="43" spans="1:8" x14ac:dyDescent="0.2">
      <c r="A43" s="28">
        <v>37</v>
      </c>
      <c r="B43" s="29" t="s">
        <v>500</v>
      </c>
      <c r="C43" s="29" t="s">
        <v>501</v>
      </c>
      <c r="D43" s="29" t="s">
        <v>132</v>
      </c>
      <c r="E43" s="30">
        <v>134200</v>
      </c>
      <c r="F43" s="31">
        <v>1710.7816</v>
      </c>
      <c r="G43" s="32">
        <v>6.5166900000000003E-3</v>
      </c>
      <c r="H43" s="27" t="s">
        <v>142</v>
      </c>
    </row>
    <row r="44" spans="1:8" x14ac:dyDescent="0.2">
      <c r="A44" s="28">
        <v>38</v>
      </c>
      <c r="B44" s="29" t="s">
        <v>227</v>
      </c>
      <c r="C44" s="29" t="s">
        <v>228</v>
      </c>
      <c r="D44" s="29" t="s">
        <v>229</v>
      </c>
      <c r="E44" s="30">
        <v>260000</v>
      </c>
      <c r="F44" s="31">
        <v>1704.43</v>
      </c>
      <c r="G44" s="32">
        <v>6.4925E-3</v>
      </c>
      <c r="H44" s="27" t="s">
        <v>142</v>
      </c>
    </row>
    <row r="45" spans="1:8" x14ac:dyDescent="0.2">
      <c r="A45" s="28">
        <v>39</v>
      </c>
      <c r="B45" s="29" t="s">
        <v>502</v>
      </c>
      <c r="C45" s="29" t="s">
        <v>503</v>
      </c>
      <c r="D45" s="29" t="s">
        <v>254</v>
      </c>
      <c r="E45" s="30">
        <v>19050</v>
      </c>
      <c r="F45" s="31">
        <v>1639.6334999999999</v>
      </c>
      <c r="G45" s="32">
        <v>6.24568E-3</v>
      </c>
      <c r="H45" s="27" t="s">
        <v>142</v>
      </c>
    </row>
    <row r="46" spans="1:8" ht="25.5" x14ac:dyDescent="0.2">
      <c r="A46" s="28">
        <v>40</v>
      </c>
      <c r="B46" s="29" t="s">
        <v>201</v>
      </c>
      <c r="C46" s="29" t="s">
        <v>202</v>
      </c>
      <c r="D46" s="29" t="s">
        <v>203</v>
      </c>
      <c r="E46" s="30">
        <v>224000</v>
      </c>
      <c r="F46" s="31">
        <v>1604.848</v>
      </c>
      <c r="G46" s="32">
        <v>6.1131700000000002E-3</v>
      </c>
      <c r="H46" s="27" t="s">
        <v>142</v>
      </c>
    </row>
    <row r="47" spans="1:8" x14ac:dyDescent="0.2">
      <c r="A47" s="28">
        <v>41</v>
      </c>
      <c r="B47" s="29" t="s">
        <v>280</v>
      </c>
      <c r="C47" s="29" t="s">
        <v>281</v>
      </c>
      <c r="D47" s="29" t="s">
        <v>64</v>
      </c>
      <c r="E47" s="30">
        <v>153000</v>
      </c>
      <c r="F47" s="31">
        <v>1540.1745000000001</v>
      </c>
      <c r="G47" s="32">
        <v>5.86682E-3</v>
      </c>
      <c r="H47" s="27" t="s">
        <v>142</v>
      </c>
    </row>
    <row r="48" spans="1:8" ht="25.5" x14ac:dyDescent="0.2">
      <c r="A48" s="28">
        <v>42</v>
      </c>
      <c r="B48" s="29" t="s">
        <v>284</v>
      </c>
      <c r="C48" s="29" t="s">
        <v>285</v>
      </c>
      <c r="D48" s="29" t="s">
        <v>194</v>
      </c>
      <c r="E48" s="30">
        <v>160000</v>
      </c>
      <c r="F48" s="31">
        <v>1488</v>
      </c>
      <c r="G48" s="32">
        <v>5.6680799999999998E-3</v>
      </c>
      <c r="H48" s="27" t="s">
        <v>142</v>
      </c>
    </row>
    <row r="49" spans="1:8" ht="25.5" x14ac:dyDescent="0.2">
      <c r="A49" s="28">
        <v>43</v>
      </c>
      <c r="B49" s="29" t="s">
        <v>276</v>
      </c>
      <c r="C49" s="29" t="s">
        <v>277</v>
      </c>
      <c r="D49" s="29" t="s">
        <v>194</v>
      </c>
      <c r="E49" s="30">
        <v>60000</v>
      </c>
      <c r="F49" s="31">
        <v>1480.62</v>
      </c>
      <c r="G49" s="32">
        <v>5.6399600000000003E-3</v>
      </c>
      <c r="H49" s="27" t="s">
        <v>142</v>
      </c>
    </row>
    <row r="50" spans="1:8" x14ac:dyDescent="0.2">
      <c r="A50" s="28">
        <v>44</v>
      </c>
      <c r="B50" s="29" t="s">
        <v>771</v>
      </c>
      <c r="C50" s="29" t="s">
        <v>772</v>
      </c>
      <c r="D50" s="29" t="s">
        <v>449</v>
      </c>
      <c r="E50" s="30">
        <v>60650</v>
      </c>
      <c r="F50" s="31">
        <v>1453.2953</v>
      </c>
      <c r="G50" s="32">
        <v>5.53588E-3</v>
      </c>
      <c r="H50" s="27" t="s">
        <v>142</v>
      </c>
    </row>
    <row r="51" spans="1:8" ht="25.5" x14ac:dyDescent="0.2">
      <c r="A51" s="28">
        <v>45</v>
      </c>
      <c r="B51" s="29" t="s">
        <v>192</v>
      </c>
      <c r="C51" s="29" t="s">
        <v>193</v>
      </c>
      <c r="D51" s="29" t="s">
        <v>194</v>
      </c>
      <c r="E51" s="30">
        <v>68182</v>
      </c>
      <c r="F51" s="31">
        <v>1334.7990139999999</v>
      </c>
      <c r="G51" s="32">
        <v>5.0844999999999996E-3</v>
      </c>
      <c r="H51" s="27" t="s">
        <v>142</v>
      </c>
    </row>
    <row r="52" spans="1:8" x14ac:dyDescent="0.2">
      <c r="A52" s="28">
        <v>46</v>
      </c>
      <c r="B52" s="29" t="s">
        <v>195</v>
      </c>
      <c r="C52" s="29" t="s">
        <v>196</v>
      </c>
      <c r="D52" s="29" t="s">
        <v>197</v>
      </c>
      <c r="E52" s="30">
        <v>181000</v>
      </c>
      <c r="F52" s="31">
        <v>1278.403</v>
      </c>
      <c r="G52" s="32">
        <v>4.8696800000000004E-3</v>
      </c>
      <c r="H52" s="27" t="s">
        <v>142</v>
      </c>
    </row>
    <row r="53" spans="1:8" ht="25.5" x14ac:dyDescent="0.2">
      <c r="A53" s="28">
        <v>47</v>
      </c>
      <c r="B53" s="29" t="s">
        <v>99</v>
      </c>
      <c r="C53" s="29" t="s">
        <v>100</v>
      </c>
      <c r="D53" s="29" t="s">
        <v>25</v>
      </c>
      <c r="E53" s="30">
        <v>225677</v>
      </c>
      <c r="F53" s="31">
        <v>1249.1221949999999</v>
      </c>
      <c r="G53" s="32">
        <v>4.7581500000000001E-3</v>
      </c>
      <c r="H53" s="27" t="s">
        <v>142</v>
      </c>
    </row>
    <row r="54" spans="1:8" x14ac:dyDescent="0.2">
      <c r="A54" s="28">
        <v>48</v>
      </c>
      <c r="B54" s="29" t="s">
        <v>350</v>
      </c>
      <c r="C54" s="29" t="s">
        <v>351</v>
      </c>
      <c r="D54" s="29" t="s">
        <v>226</v>
      </c>
      <c r="E54" s="30">
        <v>246000</v>
      </c>
      <c r="F54" s="31">
        <v>1170.837</v>
      </c>
      <c r="G54" s="32">
        <v>4.4599399999999999E-3</v>
      </c>
      <c r="H54" s="27" t="s">
        <v>142</v>
      </c>
    </row>
    <row r="55" spans="1:8" x14ac:dyDescent="0.2">
      <c r="A55" s="28">
        <v>49</v>
      </c>
      <c r="B55" s="29" t="s">
        <v>633</v>
      </c>
      <c r="C55" s="29" t="s">
        <v>634</v>
      </c>
      <c r="D55" s="29" t="s">
        <v>635</v>
      </c>
      <c r="E55" s="30">
        <v>277591</v>
      </c>
      <c r="F55" s="31">
        <v>1102.8690429999999</v>
      </c>
      <c r="G55" s="32">
        <v>4.2010399999999996E-3</v>
      </c>
      <c r="H55" s="27" t="s">
        <v>142</v>
      </c>
    </row>
    <row r="56" spans="1:8" x14ac:dyDescent="0.2">
      <c r="A56" s="28">
        <v>50</v>
      </c>
      <c r="B56" s="29" t="s">
        <v>506</v>
      </c>
      <c r="C56" s="29" t="s">
        <v>507</v>
      </c>
      <c r="D56" s="29" t="s">
        <v>64</v>
      </c>
      <c r="E56" s="30">
        <v>104000</v>
      </c>
      <c r="F56" s="31">
        <v>1071.98</v>
      </c>
      <c r="G56" s="32">
        <v>4.0833800000000002E-3</v>
      </c>
      <c r="H56" s="27" t="s">
        <v>142</v>
      </c>
    </row>
    <row r="57" spans="1:8" x14ac:dyDescent="0.2">
      <c r="A57" s="28">
        <v>51</v>
      </c>
      <c r="B57" s="29" t="s">
        <v>352</v>
      </c>
      <c r="C57" s="29" t="s">
        <v>353</v>
      </c>
      <c r="D57" s="29" t="s">
        <v>254</v>
      </c>
      <c r="E57" s="30">
        <v>148427</v>
      </c>
      <c r="F57" s="31">
        <v>1067.9322649999999</v>
      </c>
      <c r="G57" s="32">
        <v>4.0679599999999998E-3</v>
      </c>
      <c r="H57" s="27" t="s">
        <v>142</v>
      </c>
    </row>
    <row r="58" spans="1:8" ht="25.5" x14ac:dyDescent="0.2">
      <c r="A58" s="28">
        <v>52</v>
      </c>
      <c r="B58" s="29" t="s">
        <v>341</v>
      </c>
      <c r="C58" s="29" t="s">
        <v>342</v>
      </c>
      <c r="D58" s="29" t="s">
        <v>132</v>
      </c>
      <c r="E58" s="30">
        <v>53388</v>
      </c>
      <c r="F58" s="31">
        <v>854.74188000000004</v>
      </c>
      <c r="G58" s="32">
        <v>3.2558800000000001E-3</v>
      </c>
      <c r="H58" s="27" t="s">
        <v>142</v>
      </c>
    </row>
    <row r="59" spans="1:8" x14ac:dyDescent="0.2">
      <c r="A59" s="28">
        <v>53</v>
      </c>
      <c r="B59" s="29" t="s">
        <v>84</v>
      </c>
      <c r="C59" s="29" t="s">
        <v>85</v>
      </c>
      <c r="D59" s="29" t="s">
        <v>86</v>
      </c>
      <c r="E59" s="30">
        <v>447439</v>
      </c>
      <c r="F59" s="31">
        <v>849.23922200000004</v>
      </c>
      <c r="G59" s="32">
        <v>3.2349100000000001E-3</v>
      </c>
      <c r="H59" s="27" t="s">
        <v>142</v>
      </c>
    </row>
    <row r="60" spans="1:8" x14ac:dyDescent="0.2">
      <c r="A60" s="28">
        <v>54</v>
      </c>
      <c r="B60" s="29" t="s">
        <v>308</v>
      </c>
      <c r="C60" s="29" t="s">
        <v>309</v>
      </c>
      <c r="D60" s="29" t="s">
        <v>229</v>
      </c>
      <c r="E60" s="30">
        <v>109000</v>
      </c>
      <c r="F60" s="31">
        <v>839.13649999999996</v>
      </c>
      <c r="G60" s="32">
        <v>3.1964300000000001E-3</v>
      </c>
      <c r="H60" s="27" t="s">
        <v>142</v>
      </c>
    </row>
    <row r="61" spans="1:8" x14ac:dyDescent="0.2">
      <c r="A61" s="28">
        <v>55</v>
      </c>
      <c r="B61" s="29" t="s">
        <v>246</v>
      </c>
      <c r="C61" s="29" t="s">
        <v>247</v>
      </c>
      <c r="D61" s="29" t="s">
        <v>73</v>
      </c>
      <c r="E61" s="30">
        <v>13700</v>
      </c>
      <c r="F61" s="31">
        <v>820.76700000000005</v>
      </c>
      <c r="G61" s="32">
        <v>3.1264600000000002E-3</v>
      </c>
      <c r="H61" s="27" t="s">
        <v>142</v>
      </c>
    </row>
    <row r="62" spans="1:8" x14ac:dyDescent="0.2">
      <c r="A62" s="28">
        <v>56</v>
      </c>
      <c r="B62" s="29" t="s">
        <v>20</v>
      </c>
      <c r="C62" s="29" t="s">
        <v>21</v>
      </c>
      <c r="D62" s="29" t="s">
        <v>22</v>
      </c>
      <c r="E62" s="30">
        <v>204000</v>
      </c>
      <c r="F62" s="31">
        <v>681.15599999999995</v>
      </c>
      <c r="G62" s="32">
        <v>2.59465E-3</v>
      </c>
      <c r="H62" s="27" t="s">
        <v>142</v>
      </c>
    </row>
    <row r="63" spans="1:8" x14ac:dyDescent="0.2">
      <c r="A63" s="28">
        <v>57</v>
      </c>
      <c r="B63" s="29" t="s">
        <v>204</v>
      </c>
      <c r="C63" s="29" t="s">
        <v>205</v>
      </c>
      <c r="D63" s="29" t="s">
        <v>16</v>
      </c>
      <c r="E63" s="30">
        <v>148556</v>
      </c>
      <c r="F63" s="31">
        <v>610.63943800000004</v>
      </c>
      <c r="G63" s="32">
        <v>2.3260400000000001E-3</v>
      </c>
      <c r="H63" s="27" t="s">
        <v>142</v>
      </c>
    </row>
    <row r="64" spans="1:8" x14ac:dyDescent="0.2">
      <c r="A64" s="28">
        <v>58</v>
      </c>
      <c r="B64" s="29" t="s">
        <v>56</v>
      </c>
      <c r="C64" s="29" t="s">
        <v>57</v>
      </c>
      <c r="D64" s="29" t="s">
        <v>58</v>
      </c>
      <c r="E64" s="30">
        <v>39982</v>
      </c>
      <c r="F64" s="31">
        <v>437.56300800000002</v>
      </c>
      <c r="G64" s="32">
        <v>1.66676E-3</v>
      </c>
      <c r="H64" s="27" t="s">
        <v>142</v>
      </c>
    </row>
    <row r="65" spans="1:8" x14ac:dyDescent="0.2">
      <c r="A65" s="28">
        <v>59</v>
      </c>
      <c r="B65" s="29" t="s">
        <v>333</v>
      </c>
      <c r="C65" s="29" t="s">
        <v>334</v>
      </c>
      <c r="D65" s="29" t="s">
        <v>31</v>
      </c>
      <c r="E65" s="30">
        <v>5550</v>
      </c>
      <c r="F65" s="31">
        <v>276.06254999999999</v>
      </c>
      <c r="G65" s="32">
        <v>1.0515800000000001E-3</v>
      </c>
      <c r="H65" s="27" t="s">
        <v>142</v>
      </c>
    </row>
    <row r="66" spans="1:8" ht="25.5" x14ac:dyDescent="0.2">
      <c r="A66" s="28">
        <v>60</v>
      </c>
      <c r="B66" s="29" t="s">
        <v>622</v>
      </c>
      <c r="C66" s="29" t="s">
        <v>623</v>
      </c>
      <c r="D66" s="29" t="s">
        <v>624</v>
      </c>
      <c r="E66" s="30">
        <v>6900</v>
      </c>
      <c r="F66" s="31">
        <v>173.87309999999999</v>
      </c>
      <c r="G66" s="32">
        <v>6.6231999999999999E-4</v>
      </c>
      <c r="H66" s="27" t="s">
        <v>142</v>
      </c>
    </row>
    <row r="67" spans="1:8" x14ac:dyDescent="0.2">
      <c r="A67" s="28">
        <v>61</v>
      </c>
      <c r="B67" s="29" t="s">
        <v>777</v>
      </c>
      <c r="C67" s="29" t="s">
        <v>778</v>
      </c>
      <c r="D67" s="29" t="s">
        <v>254</v>
      </c>
      <c r="E67" s="30">
        <v>2275</v>
      </c>
      <c r="F67" s="31">
        <v>121.337125</v>
      </c>
      <c r="G67" s="32">
        <v>4.6220000000000001E-4</v>
      </c>
      <c r="H67" s="27" t="s">
        <v>142</v>
      </c>
    </row>
    <row r="68" spans="1:8" x14ac:dyDescent="0.2">
      <c r="A68" s="28">
        <v>62</v>
      </c>
      <c r="B68" s="29" t="s">
        <v>68</v>
      </c>
      <c r="C68" s="29" t="s">
        <v>69</v>
      </c>
      <c r="D68" s="29" t="s">
        <v>70</v>
      </c>
      <c r="E68" s="30">
        <v>25025</v>
      </c>
      <c r="F68" s="31">
        <v>59.909849999999999</v>
      </c>
      <c r="G68" s="32">
        <v>2.2821000000000001E-4</v>
      </c>
      <c r="H68" s="27" t="s">
        <v>142</v>
      </c>
    </row>
    <row r="69" spans="1:8" x14ac:dyDescent="0.2">
      <c r="A69" s="28">
        <v>63</v>
      </c>
      <c r="B69" s="29" t="s">
        <v>627</v>
      </c>
      <c r="C69" s="29" t="s">
        <v>628</v>
      </c>
      <c r="D69" s="29" t="s">
        <v>28</v>
      </c>
      <c r="E69" s="30">
        <v>40000</v>
      </c>
      <c r="F69" s="31">
        <v>42.328000000000003</v>
      </c>
      <c r="G69" s="32">
        <v>1.6123999999999999E-4</v>
      </c>
      <c r="H69" s="27" t="s">
        <v>142</v>
      </c>
    </row>
    <row r="70" spans="1:8" x14ac:dyDescent="0.2">
      <c r="A70" s="28">
        <v>64</v>
      </c>
      <c r="B70" s="29" t="s">
        <v>407</v>
      </c>
      <c r="C70" s="29" t="s">
        <v>408</v>
      </c>
      <c r="D70" s="29" t="s">
        <v>137</v>
      </c>
      <c r="E70" s="30">
        <v>11000</v>
      </c>
      <c r="F70" s="31">
        <v>17.712199999999999</v>
      </c>
      <c r="G70" s="32">
        <v>6.7470000000000003E-5</v>
      </c>
      <c r="H70" s="27" t="s">
        <v>142</v>
      </c>
    </row>
    <row r="71" spans="1:8" ht="25.5" x14ac:dyDescent="0.2">
      <c r="A71" s="28">
        <v>65</v>
      </c>
      <c r="B71" s="29" t="s">
        <v>430</v>
      </c>
      <c r="C71" s="29" t="s">
        <v>431</v>
      </c>
      <c r="D71" s="29" t="s">
        <v>194</v>
      </c>
      <c r="E71" s="30">
        <v>650</v>
      </c>
      <c r="F71" s="31">
        <v>9.5270499999999991</v>
      </c>
      <c r="G71" s="32" t="s">
        <v>140</v>
      </c>
      <c r="H71" s="27" t="s">
        <v>142</v>
      </c>
    </row>
    <row r="72" spans="1:8" x14ac:dyDescent="0.2">
      <c r="A72" s="28">
        <v>66</v>
      </c>
      <c r="B72" s="29" t="s">
        <v>514</v>
      </c>
      <c r="C72" s="29" t="s">
        <v>515</v>
      </c>
      <c r="D72" s="29" t="s">
        <v>270</v>
      </c>
      <c r="E72" s="30">
        <v>1100</v>
      </c>
      <c r="F72" s="31">
        <v>8.5453499999999991</v>
      </c>
      <c r="G72" s="32" t="s">
        <v>140</v>
      </c>
      <c r="H72" s="27" t="s">
        <v>142</v>
      </c>
    </row>
    <row r="73" spans="1:8" x14ac:dyDescent="0.2">
      <c r="A73" s="25"/>
      <c r="B73" s="25"/>
      <c r="C73" s="26" t="s">
        <v>141</v>
      </c>
      <c r="D73" s="25"/>
      <c r="E73" s="25" t="s">
        <v>142</v>
      </c>
      <c r="F73" s="33">
        <v>176150.92831650001</v>
      </c>
      <c r="G73" s="34">
        <v>0.67099251999999998</v>
      </c>
      <c r="H73" s="27" t="s">
        <v>142</v>
      </c>
    </row>
    <row r="74" spans="1:8" x14ac:dyDescent="0.2">
      <c r="A74" s="25"/>
      <c r="B74" s="25"/>
      <c r="C74" s="35"/>
      <c r="D74" s="25"/>
      <c r="E74" s="25"/>
      <c r="F74" s="36"/>
      <c r="G74" s="36"/>
      <c r="H74" s="27" t="s">
        <v>142</v>
      </c>
    </row>
    <row r="75" spans="1:8" x14ac:dyDescent="0.2">
      <c r="A75" s="25"/>
      <c r="B75" s="25"/>
      <c r="C75" s="26" t="s">
        <v>143</v>
      </c>
      <c r="D75" s="25"/>
      <c r="E75" s="25"/>
      <c r="F75" s="25"/>
      <c r="G75" s="25"/>
      <c r="H75" s="27" t="s">
        <v>142</v>
      </c>
    </row>
    <row r="76" spans="1:8" x14ac:dyDescent="0.2">
      <c r="A76" s="25"/>
      <c r="B76" s="25"/>
      <c r="C76" s="26" t="s">
        <v>141</v>
      </c>
      <c r="D76" s="25"/>
      <c r="E76" s="25" t="s">
        <v>142</v>
      </c>
      <c r="F76" s="37" t="s">
        <v>144</v>
      </c>
      <c r="G76" s="34">
        <v>0</v>
      </c>
      <c r="H76" s="27" t="s">
        <v>142</v>
      </c>
    </row>
    <row r="77" spans="1:8" x14ac:dyDescent="0.2">
      <c r="A77" s="25"/>
      <c r="B77" s="25"/>
      <c r="C77" s="35"/>
      <c r="D77" s="25"/>
      <c r="E77" s="25"/>
      <c r="F77" s="36"/>
      <c r="G77" s="36"/>
      <c r="H77" s="27" t="s">
        <v>142</v>
      </c>
    </row>
    <row r="78" spans="1:8" x14ac:dyDescent="0.2">
      <c r="A78" s="25"/>
      <c r="B78" s="25"/>
      <c r="C78" s="26" t="s">
        <v>145</v>
      </c>
      <c r="D78" s="25"/>
      <c r="E78" s="25"/>
      <c r="F78" s="25"/>
      <c r="G78" s="25"/>
      <c r="H78" s="27" t="s">
        <v>142</v>
      </c>
    </row>
    <row r="79" spans="1:8" x14ac:dyDescent="0.2">
      <c r="A79" s="25"/>
      <c r="B79" s="25"/>
      <c r="C79" s="26" t="s">
        <v>141</v>
      </c>
      <c r="D79" s="25"/>
      <c r="E79" s="25" t="s">
        <v>142</v>
      </c>
      <c r="F79" s="37" t="s">
        <v>144</v>
      </c>
      <c r="G79" s="34">
        <v>0</v>
      </c>
      <c r="H79" s="27" t="s">
        <v>142</v>
      </c>
    </row>
    <row r="80" spans="1:8" x14ac:dyDescent="0.2">
      <c r="A80" s="25"/>
      <c r="B80" s="25"/>
      <c r="C80" s="35"/>
      <c r="D80" s="25"/>
      <c r="E80" s="25"/>
      <c r="F80" s="36"/>
      <c r="G80" s="36"/>
      <c r="H80" s="27" t="s">
        <v>142</v>
      </c>
    </row>
    <row r="81" spans="1:8" x14ac:dyDescent="0.2">
      <c r="A81" s="25"/>
      <c r="B81" s="25"/>
      <c r="C81" s="26" t="s">
        <v>146</v>
      </c>
      <c r="D81" s="25"/>
      <c r="E81" s="25"/>
      <c r="F81" s="25"/>
      <c r="G81" s="25"/>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147</v>
      </c>
      <c r="D84" s="25"/>
      <c r="E84" s="25"/>
      <c r="F84" s="36"/>
      <c r="G84" s="36"/>
      <c r="H84" s="27" t="s">
        <v>142</v>
      </c>
    </row>
    <row r="85" spans="1:8" x14ac:dyDescent="0.2">
      <c r="A85" s="25"/>
      <c r="B85" s="25"/>
      <c r="C85" s="26" t="s">
        <v>141</v>
      </c>
      <c r="D85" s="25"/>
      <c r="E85" s="25" t="s">
        <v>142</v>
      </c>
      <c r="F85" s="37" t="s">
        <v>144</v>
      </c>
      <c r="G85" s="34">
        <v>0</v>
      </c>
      <c r="H85" s="27" t="s">
        <v>142</v>
      </c>
    </row>
    <row r="86" spans="1:8" x14ac:dyDescent="0.2">
      <c r="A86" s="25"/>
      <c r="B86" s="25"/>
      <c r="C86" s="35"/>
      <c r="D86" s="25"/>
      <c r="E86" s="25"/>
      <c r="F86" s="36"/>
      <c r="G86" s="36"/>
      <c r="H86" s="27" t="s">
        <v>142</v>
      </c>
    </row>
    <row r="87" spans="1:8" x14ac:dyDescent="0.2">
      <c r="A87" s="25"/>
      <c r="B87" s="25"/>
      <c r="C87" s="26" t="s">
        <v>148</v>
      </c>
      <c r="D87" s="25"/>
      <c r="E87" s="25"/>
      <c r="F87" s="36"/>
      <c r="G87" s="36"/>
      <c r="H87" s="27" t="s">
        <v>142</v>
      </c>
    </row>
    <row r="88" spans="1:8" x14ac:dyDescent="0.2">
      <c r="A88" s="28">
        <v>1</v>
      </c>
      <c r="B88" s="29"/>
      <c r="C88" s="29" t="s">
        <v>922</v>
      </c>
      <c r="D88" s="29" t="s">
        <v>523</v>
      </c>
      <c r="E88" s="30">
        <v>-1100</v>
      </c>
      <c r="F88" s="31">
        <v>-8.5755999999999997</v>
      </c>
      <c r="G88" s="32">
        <f>F88/$F$170</f>
        <v>-3.2666096687055703E-5</v>
      </c>
      <c r="H88" s="27" t="s">
        <v>142</v>
      </c>
    </row>
    <row r="89" spans="1:8" x14ac:dyDescent="0.2">
      <c r="A89" s="28">
        <v>2</v>
      </c>
      <c r="B89" s="29"/>
      <c r="C89" s="29" t="s">
        <v>987</v>
      </c>
      <c r="D89" s="29" t="s">
        <v>523</v>
      </c>
      <c r="E89" s="30">
        <v>-650</v>
      </c>
      <c r="F89" s="31">
        <v>-9.5823</v>
      </c>
      <c r="G89" s="32">
        <f t="shared" ref="G89:G109" si="0">F89/$F$170</f>
        <v>-3.6500809072761539E-5</v>
      </c>
      <c r="H89" s="27" t="s">
        <v>142</v>
      </c>
    </row>
    <row r="90" spans="1:8" x14ac:dyDescent="0.2">
      <c r="A90" s="28">
        <v>3</v>
      </c>
      <c r="B90" s="29"/>
      <c r="C90" s="29" t="s">
        <v>985</v>
      </c>
      <c r="D90" s="29" t="s">
        <v>523</v>
      </c>
      <c r="E90" s="30">
        <v>-11000</v>
      </c>
      <c r="F90" s="31">
        <v>-17.809000000000001</v>
      </c>
      <c r="G90" s="32">
        <f t="shared" si="0"/>
        <v>-6.7837879087151348E-5</v>
      </c>
      <c r="H90" s="27" t="s">
        <v>142</v>
      </c>
    </row>
    <row r="91" spans="1:8" x14ac:dyDescent="0.2">
      <c r="A91" s="28">
        <v>4</v>
      </c>
      <c r="B91" s="29"/>
      <c r="C91" s="29" t="s">
        <v>984</v>
      </c>
      <c r="D91" s="29" t="s">
        <v>523</v>
      </c>
      <c r="E91" s="30">
        <v>-40000</v>
      </c>
      <c r="F91" s="31">
        <v>-42.588000000000001</v>
      </c>
      <c r="G91" s="32">
        <f t="shared" si="0"/>
        <v>-1.6222581810116242E-4</v>
      </c>
      <c r="H91" s="27" t="s">
        <v>142</v>
      </c>
    </row>
    <row r="92" spans="1:8" x14ac:dyDescent="0.2">
      <c r="A92" s="28">
        <v>5</v>
      </c>
      <c r="B92" s="29"/>
      <c r="C92" s="29" t="s">
        <v>1006</v>
      </c>
      <c r="D92" s="29" t="s">
        <v>523</v>
      </c>
      <c r="E92" s="30">
        <v>-1400</v>
      </c>
      <c r="F92" s="31">
        <v>-49.994</v>
      </c>
      <c r="G92" s="32">
        <f t="shared" si="0"/>
        <v>-1.9043668522000359E-4</v>
      </c>
      <c r="H92" s="27" t="s">
        <v>142</v>
      </c>
    </row>
    <row r="93" spans="1:8" x14ac:dyDescent="0.2">
      <c r="A93" s="28">
        <v>6</v>
      </c>
      <c r="B93" s="29"/>
      <c r="C93" s="29" t="s">
        <v>1007</v>
      </c>
      <c r="D93" s="29" t="s">
        <v>523</v>
      </c>
      <c r="E93" s="30">
        <v>-30550</v>
      </c>
      <c r="F93" s="31">
        <v>-58.30162</v>
      </c>
      <c r="G93" s="32">
        <f t="shared" si="0"/>
        <v>-2.2208199495451987E-4</v>
      </c>
      <c r="H93" s="27" t="s">
        <v>142</v>
      </c>
    </row>
    <row r="94" spans="1:8" x14ac:dyDescent="0.2">
      <c r="A94" s="28">
        <v>7</v>
      </c>
      <c r="B94" s="29"/>
      <c r="C94" s="29" t="s">
        <v>1059</v>
      </c>
      <c r="D94" s="29" t="s">
        <v>523</v>
      </c>
      <c r="E94" s="30">
        <v>-25025</v>
      </c>
      <c r="F94" s="31">
        <v>-60.265205000000002</v>
      </c>
      <c r="G94" s="32">
        <f t="shared" si="0"/>
        <v>-2.2956166488586604E-4</v>
      </c>
      <c r="H94" s="27" t="s">
        <v>142</v>
      </c>
    </row>
    <row r="95" spans="1:8" x14ac:dyDescent="0.2">
      <c r="A95" s="28">
        <v>8</v>
      </c>
      <c r="B95" s="29"/>
      <c r="C95" s="29" t="s">
        <v>1060</v>
      </c>
      <c r="D95" s="29" t="s">
        <v>523</v>
      </c>
      <c r="E95" s="30">
        <v>-2275</v>
      </c>
      <c r="F95" s="31">
        <v>-122.14475</v>
      </c>
      <c r="G95" s="32">
        <f t="shared" si="0"/>
        <v>-4.6527265885958383E-4</v>
      </c>
      <c r="H95" s="27" t="s">
        <v>142</v>
      </c>
    </row>
    <row r="96" spans="1:8" x14ac:dyDescent="0.2">
      <c r="A96" s="28">
        <v>9</v>
      </c>
      <c r="B96" s="29"/>
      <c r="C96" s="29" t="s">
        <v>928</v>
      </c>
      <c r="D96" s="29" t="s">
        <v>523</v>
      </c>
      <c r="E96" s="30">
        <v>-6500</v>
      </c>
      <c r="F96" s="31">
        <v>-166.41300000000001</v>
      </c>
      <c r="G96" s="32">
        <f t="shared" si="0"/>
        <v>-6.3389886981470695E-4</v>
      </c>
      <c r="H96" s="27" t="s">
        <v>142</v>
      </c>
    </row>
    <row r="97" spans="1:8" x14ac:dyDescent="0.2">
      <c r="A97" s="28">
        <v>10</v>
      </c>
      <c r="B97" s="29"/>
      <c r="C97" s="29" t="s">
        <v>993</v>
      </c>
      <c r="D97" s="29" t="s">
        <v>523</v>
      </c>
      <c r="E97" s="30">
        <v>-6900</v>
      </c>
      <c r="F97" s="31">
        <v>-174.54929999999999</v>
      </c>
      <c r="G97" s="32">
        <f t="shared" si="0"/>
        <v>-6.6489158898011709E-4</v>
      </c>
      <c r="H97" s="27" t="s">
        <v>142</v>
      </c>
    </row>
    <row r="98" spans="1:8" x14ac:dyDescent="0.2">
      <c r="A98" s="28">
        <v>11</v>
      </c>
      <c r="B98" s="29"/>
      <c r="C98" s="29" t="s">
        <v>916</v>
      </c>
      <c r="D98" s="29" t="s">
        <v>523</v>
      </c>
      <c r="E98" s="30">
        <v>-5550</v>
      </c>
      <c r="F98" s="31">
        <v>-277.87184999999999</v>
      </c>
      <c r="G98" s="32">
        <f t="shared" si="0"/>
        <v>-1.0584668966265962E-3</v>
      </c>
      <c r="H98" s="27" t="s">
        <v>142</v>
      </c>
    </row>
    <row r="99" spans="1:8" x14ac:dyDescent="0.2">
      <c r="A99" s="28">
        <v>12</v>
      </c>
      <c r="B99" s="29"/>
      <c r="C99" s="29" t="s">
        <v>980</v>
      </c>
      <c r="D99" s="29" t="s">
        <v>523</v>
      </c>
      <c r="E99" s="30">
        <v>-78750</v>
      </c>
      <c r="F99" s="31">
        <v>-314.84249999999997</v>
      </c>
      <c r="G99" s="32">
        <f t="shared" si="0"/>
        <v>-1.1992951567463891E-3</v>
      </c>
      <c r="H99" s="27" t="s">
        <v>142</v>
      </c>
    </row>
    <row r="100" spans="1:8" x14ac:dyDescent="0.2">
      <c r="A100" s="28">
        <v>13</v>
      </c>
      <c r="B100" s="29"/>
      <c r="C100" s="29" t="s">
        <v>989</v>
      </c>
      <c r="D100" s="29" t="s">
        <v>523</v>
      </c>
      <c r="E100" s="30">
        <v>-55000</v>
      </c>
      <c r="F100" s="31">
        <v>-394.185</v>
      </c>
      <c r="G100" s="32">
        <f t="shared" si="0"/>
        <v>-1.5015258783743473E-3</v>
      </c>
      <c r="H100" s="27" t="s">
        <v>142</v>
      </c>
    </row>
    <row r="101" spans="1:8" x14ac:dyDescent="0.2">
      <c r="A101" s="28">
        <v>14</v>
      </c>
      <c r="B101" s="29"/>
      <c r="C101" s="29" t="s">
        <v>1061</v>
      </c>
      <c r="D101" s="29" t="s">
        <v>523</v>
      </c>
      <c r="E101" s="30">
        <v>-27000</v>
      </c>
      <c r="F101" s="31">
        <v>-427.78800000000001</v>
      </c>
      <c r="G101" s="32">
        <f t="shared" si="0"/>
        <v>-1.6295261170719466E-3</v>
      </c>
      <c r="H101" s="27" t="s">
        <v>142</v>
      </c>
    </row>
    <row r="102" spans="1:8" x14ac:dyDescent="0.2">
      <c r="A102" s="28">
        <v>15</v>
      </c>
      <c r="B102" s="29"/>
      <c r="C102" s="29" t="s">
        <v>1062</v>
      </c>
      <c r="D102" s="29" t="s">
        <v>523</v>
      </c>
      <c r="E102" s="30">
        <v>-143775</v>
      </c>
      <c r="F102" s="31">
        <v>-594.72528750000004</v>
      </c>
      <c r="G102" s="32">
        <f t="shared" si="0"/>
        <v>-2.2654220980120343E-3</v>
      </c>
      <c r="H102" s="27" t="s">
        <v>142</v>
      </c>
    </row>
    <row r="103" spans="1:8" x14ac:dyDescent="0.2">
      <c r="A103" s="28">
        <v>16</v>
      </c>
      <c r="B103" s="29"/>
      <c r="C103" s="29" t="s">
        <v>912</v>
      </c>
      <c r="D103" s="29" t="s">
        <v>523</v>
      </c>
      <c r="E103" s="30">
        <v>-8650</v>
      </c>
      <c r="F103" s="31">
        <v>-974.42250000000001</v>
      </c>
      <c r="G103" s="32">
        <f t="shared" si="0"/>
        <v>-3.7117612294233098E-3</v>
      </c>
      <c r="H103" s="27" t="s">
        <v>142</v>
      </c>
    </row>
    <row r="104" spans="1:8" x14ac:dyDescent="0.2">
      <c r="A104" s="28">
        <v>17</v>
      </c>
      <c r="B104" s="29"/>
      <c r="C104" s="29" t="s">
        <v>934</v>
      </c>
      <c r="D104" s="29" t="s">
        <v>523</v>
      </c>
      <c r="E104" s="30">
        <v>-83125</v>
      </c>
      <c r="F104" s="31">
        <v>-1553.190625</v>
      </c>
      <c r="G104" s="32">
        <f t="shared" si="0"/>
        <v>-5.9163994507298E-3</v>
      </c>
      <c r="H104" s="27" t="s">
        <v>142</v>
      </c>
    </row>
    <row r="105" spans="1:8" x14ac:dyDescent="0.2">
      <c r="A105" s="28">
        <v>18</v>
      </c>
      <c r="B105" s="29"/>
      <c r="C105" s="29" t="s">
        <v>1027</v>
      </c>
      <c r="D105" s="29" t="s">
        <v>523</v>
      </c>
      <c r="E105" s="30">
        <v>-66850</v>
      </c>
      <c r="F105" s="31">
        <v>-1869.32655</v>
      </c>
      <c r="G105" s="32">
        <f t="shared" si="0"/>
        <v>-7.1206215100961178E-3</v>
      </c>
      <c r="H105" s="27" t="s">
        <v>142</v>
      </c>
    </row>
    <row r="106" spans="1:8" x14ac:dyDescent="0.2">
      <c r="A106" s="28">
        <v>19</v>
      </c>
      <c r="B106" s="29"/>
      <c r="C106" s="29" t="s">
        <v>997</v>
      </c>
      <c r="D106" s="29" t="s">
        <v>523</v>
      </c>
      <c r="E106" s="30">
        <v>-201875</v>
      </c>
      <c r="F106" s="31">
        <v>-2422.7018750000002</v>
      </c>
      <c r="G106" s="32">
        <f t="shared" si="0"/>
        <v>-9.2285337110710793E-3</v>
      </c>
      <c r="H106" s="27" t="s">
        <v>142</v>
      </c>
    </row>
    <row r="107" spans="1:8" x14ac:dyDescent="0.2">
      <c r="A107" s="28">
        <v>20</v>
      </c>
      <c r="B107" s="29"/>
      <c r="C107" s="29" t="s">
        <v>925</v>
      </c>
      <c r="D107" s="29" t="s">
        <v>523</v>
      </c>
      <c r="E107" s="30">
        <v>-71550</v>
      </c>
      <c r="F107" s="31">
        <v>-2616.0111000000002</v>
      </c>
      <c r="G107" s="32">
        <f t="shared" si="0"/>
        <v>-9.9648854339067765E-3</v>
      </c>
      <c r="H107" s="27" t="s">
        <v>142</v>
      </c>
    </row>
    <row r="108" spans="1:8" x14ac:dyDescent="0.2">
      <c r="A108" s="28">
        <v>21</v>
      </c>
      <c r="B108" s="29"/>
      <c r="C108" s="29" t="s">
        <v>920</v>
      </c>
      <c r="D108" s="29" t="s">
        <v>523</v>
      </c>
      <c r="E108" s="30">
        <v>-122500</v>
      </c>
      <c r="F108" s="31">
        <v>-3661.5250000000001</v>
      </c>
      <c r="G108" s="32">
        <f t="shared" si="0"/>
        <v>-1.3947447370687956E-2</v>
      </c>
      <c r="H108" s="27" t="s">
        <v>142</v>
      </c>
    </row>
    <row r="109" spans="1:8" x14ac:dyDescent="0.2">
      <c r="A109" s="28">
        <v>22</v>
      </c>
      <c r="B109" s="29"/>
      <c r="C109" s="29" t="s">
        <v>936</v>
      </c>
      <c r="D109" s="29" t="s">
        <v>523</v>
      </c>
      <c r="E109" s="30">
        <v>-246800</v>
      </c>
      <c r="F109" s="31">
        <v>-3871.7984000000001</v>
      </c>
      <c r="G109" s="32">
        <f t="shared" si="0"/>
        <v>-1.4748418872987031E-2</v>
      </c>
      <c r="H109" s="27" t="s">
        <v>142</v>
      </c>
    </row>
    <row r="110" spans="1:8" x14ac:dyDescent="0.2">
      <c r="A110" s="25"/>
      <c r="B110" s="25"/>
      <c r="C110" s="26" t="s">
        <v>141</v>
      </c>
      <c r="D110" s="25"/>
      <c r="E110" s="25" t="s">
        <v>142</v>
      </c>
      <c r="F110" s="33">
        <f>SUM(F88:F109)</f>
        <v>-19688.611462500001</v>
      </c>
      <c r="G110" s="34">
        <f>SUM(G88:G109)</f>
        <v>-7.4997677791396308E-2</v>
      </c>
      <c r="H110" s="27" t="s">
        <v>142</v>
      </c>
    </row>
    <row r="111" spans="1:8" x14ac:dyDescent="0.2">
      <c r="A111" s="25"/>
      <c r="B111" s="25"/>
      <c r="C111" s="35"/>
      <c r="D111" s="25"/>
      <c r="E111" s="25"/>
      <c r="F111" s="36"/>
      <c r="G111" s="36"/>
      <c r="H111" s="27" t="s">
        <v>142</v>
      </c>
    </row>
    <row r="112" spans="1:8" x14ac:dyDescent="0.2">
      <c r="A112" s="25"/>
      <c r="B112" s="25"/>
      <c r="C112" s="26" t="s">
        <v>149</v>
      </c>
      <c r="D112" s="25"/>
      <c r="E112" s="25"/>
      <c r="F112" s="33">
        <f>F73</f>
        <v>176150.92831650001</v>
      </c>
      <c r="G112" s="34">
        <f>G73</f>
        <v>0.67099251999999998</v>
      </c>
      <c r="H112" s="27" t="s">
        <v>142</v>
      </c>
    </row>
    <row r="113" spans="1:8" x14ac:dyDescent="0.2">
      <c r="A113" s="25"/>
      <c r="B113" s="25"/>
      <c r="C113" s="35"/>
      <c r="D113" s="25"/>
      <c r="E113" s="25"/>
      <c r="F113" s="36"/>
      <c r="G113" s="36"/>
      <c r="H113" s="27" t="s">
        <v>142</v>
      </c>
    </row>
    <row r="114" spans="1:8" x14ac:dyDescent="0.2">
      <c r="A114" s="25"/>
      <c r="B114" s="25"/>
      <c r="C114" s="26" t="s">
        <v>150</v>
      </c>
      <c r="D114" s="25"/>
      <c r="E114" s="25"/>
      <c r="F114" s="36"/>
      <c r="G114" s="36"/>
      <c r="H114" s="27" t="s">
        <v>142</v>
      </c>
    </row>
    <row r="115" spans="1:8" x14ac:dyDescent="0.2">
      <c r="A115" s="25"/>
      <c r="B115" s="25"/>
      <c r="C115" s="26" t="s">
        <v>10</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151</v>
      </c>
      <c r="D118" s="25"/>
      <c r="E118" s="25"/>
      <c r="F118" s="25"/>
      <c r="G118" s="25"/>
      <c r="H118" s="27" t="s">
        <v>142</v>
      </c>
    </row>
    <row r="119" spans="1:8" x14ac:dyDescent="0.2">
      <c r="A119" s="25"/>
      <c r="B119" s="25"/>
      <c r="C119" s="26" t="s">
        <v>141</v>
      </c>
      <c r="D119" s="25"/>
      <c r="E119" s="25" t="s">
        <v>142</v>
      </c>
      <c r="F119" s="37" t="s">
        <v>144</v>
      </c>
      <c r="G119" s="34">
        <v>0</v>
      </c>
      <c r="H119" s="27" t="s">
        <v>142</v>
      </c>
    </row>
    <row r="120" spans="1:8" x14ac:dyDescent="0.2">
      <c r="A120" s="25"/>
      <c r="B120" s="25"/>
      <c r="C120" s="35"/>
      <c r="D120" s="25"/>
      <c r="E120" s="25"/>
      <c r="F120" s="36"/>
      <c r="G120" s="36"/>
      <c r="H120" s="27" t="s">
        <v>142</v>
      </c>
    </row>
    <row r="121" spans="1:8" x14ac:dyDescent="0.2">
      <c r="A121" s="25"/>
      <c r="B121" s="25"/>
      <c r="C121" s="26" t="s">
        <v>152</v>
      </c>
      <c r="D121" s="25"/>
      <c r="E121" s="25"/>
      <c r="F121" s="25"/>
      <c r="G121" s="25"/>
      <c r="H121" s="27" t="s">
        <v>142</v>
      </c>
    </row>
    <row r="122" spans="1:8" x14ac:dyDescent="0.2">
      <c r="A122" s="28">
        <v>1</v>
      </c>
      <c r="B122" s="29" t="s">
        <v>642</v>
      </c>
      <c r="C122" s="29" t="s">
        <v>1078</v>
      </c>
      <c r="D122" s="29" t="s">
        <v>601</v>
      </c>
      <c r="E122" s="30">
        <v>10500000</v>
      </c>
      <c r="F122" s="31">
        <v>10835.349</v>
      </c>
      <c r="G122" s="32">
        <v>4.1273909999999997E-2</v>
      </c>
      <c r="H122" s="27">
        <v>5.7880000000000003</v>
      </c>
    </row>
    <row r="123" spans="1:8" x14ac:dyDescent="0.2">
      <c r="A123" s="28">
        <v>2</v>
      </c>
      <c r="B123" s="29" t="s">
        <v>704</v>
      </c>
      <c r="C123" s="29" t="s">
        <v>1085</v>
      </c>
      <c r="D123" s="29" t="s">
        <v>601</v>
      </c>
      <c r="E123" s="30">
        <v>5000000</v>
      </c>
      <c r="F123" s="31">
        <v>5207.9750000000004</v>
      </c>
      <c r="G123" s="32">
        <v>1.9838169999999999E-2</v>
      </c>
      <c r="H123" s="27">
        <v>5.9455</v>
      </c>
    </row>
    <row r="124" spans="1:8" x14ac:dyDescent="0.2">
      <c r="A124" s="28">
        <v>3</v>
      </c>
      <c r="B124" s="29" t="s">
        <v>599</v>
      </c>
      <c r="C124" s="29" t="s">
        <v>600</v>
      </c>
      <c r="D124" s="29" t="s">
        <v>601</v>
      </c>
      <c r="E124" s="30">
        <v>4500000</v>
      </c>
      <c r="F124" s="31">
        <v>4743.8100000000004</v>
      </c>
      <c r="G124" s="32">
        <v>1.8070079999999999E-2</v>
      </c>
      <c r="H124" s="27">
        <v>6.3898000000000001</v>
      </c>
    </row>
    <row r="125" spans="1:8" x14ac:dyDescent="0.2">
      <c r="A125" s="28">
        <v>4</v>
      </c>
      <c r="B125" s="29" t="s">
        <v>654</v>
      </c>
      <c r="C125" s="29" t="s">
        <v>1082</v>
      </c>
      <c r="D125" s="29" t="s">
        <v>601</v>
      </c>
      <c r="E125" s="30">
        <v>3000000</v>
      </c>
      <c r="F125" s="31">
        <v>3189.9929999999999</v>
      </c>
      <c r="G125" s="32">
        <v>1.215129E-2</v>
      </c>
      <c r="H125" s="27">
        <v>6.0298999999999996</v>
      </c>
    </row>
    <row r="126" spans="1:8" x14ac:dyDescent="0.2">
      <c r="A126" s="28">
        <v>5</v>
      </c>
      <c r="B126" s="29" t="s">
        <v>823</v>
      </c>
      <c r="C126" s="29" t="s">
        <v>824</v>
      </c>
      <c r="D126" s="29" t="s">
        <v>601</v>
      </c>
      <c r="E126" s="30">
        <v>1000000</v>
      </c>
      <c r="F126" s="31">
        <v>1035.06</v>
      </c>
      <c r="G126" s="32">
        <v>3.9427400000000001E-3</v>
      </c>
      <c r="H126" s="27">
        <v>5.9474999999999998</v>
      </c>
    </row>
    <row r="127" spans="1:8" x14ac:dyDescent="0.2">
      <c r="A127" s="28">
        <v>6</v>
      </c>
      <c r="B127" s="29" t="s">
        <v>702</v>
      </c>
      <c r="C127" s="29" t="s">
        <v>703</v>
      </c>
      <c r="D127" s="29" t="s">
        <v>601</v>
      </c>
      <c r="E127" s="30">
        <v>500000</v>
      </c>
      <c r="F127" s="31">
        <v>524.62800000000004</v>
      </c>
      <c r="G127" s="32">
        <v>1.9984099999999999E-3</v>
      </c>
      <c r="H127" s="27">
        <v>5.8318000000000003</v>
      </c>
    </row>
    <row r="128" spans="1:8" x14ac:dyDescent="0.2">
      <c r="A128" s="25"/>
      <c r="B128" s="25"/>
      <c r="C128" s="26" t="s">
        <v>141</v>
      </c>
      <c r="D128" s="25"/>
      <c r="E128" s="25" t="s">
        <v>142</v>
      </c>
      <c r="F128" s="33">
        <v>25536.814999999999</v>
      </c>
      <c r="G128" s="34">
        <v>9.7274600000000003E-2</v>
      </c>
      <c r="H128" s="27" t="s">
        <v>142</v>
      </c>
    </row>
    <row r="129" spans="1:8" x14ac:dyDescent="0.2">
      <c r="A129" s="25"/>
      <c r="B129" s="25"/>
      <c r="C129" s="35"/>
      <c r="D129" s="25"/>
      <c r="E129" s="25"/>
      <c r="F129" s="36"/>
      <c r="G129" s="36"/>
      <c r="H129" s="27" t="s">
        <v>142</v>
      </c>
    </row>
    <row r="130" spans="1:8" x14ac:dyDescent="0.2">
      <c r="A130" s="25"/>
      <c r="B130" s="25"/>
      <c r="C130" s="26" t="s">
        <v>153</v>
      </c>
      <c r="D130" s="25"/>
      <c r="E130" s="25"/>
      <c r="F130" s="36"/>
      <c r="G130" s="36"/>
      <c r="H130" s="27" t="s">
        <v>142</v>
      </c>
    </row>
    <row r="131" spans="1:8" x14ac:dyDescent="0.2">
      <c r="A131" s="25"/>
      <c r="B131" s="25"/>
      <c r="C131" s="26" t="s">
        <v>141</v>
      </c>
      <c r="D131" s="25"/>
      <c r="E131" s="25" t="s">
        <v>142</v>
      </c>
      <c r="F131" s="37" t="s">
        <v>144</v>
      </c>
      <c r="G131" s="34">
        <v>0</v>
      </c>
      <c r="H131" s="27" t="s">
        <v>142</v>
      </c>
    </row>
    <row r="132" spans="1:8" x14ac:dyDescent="0.2">
      <c r="A132" s="25"/>
      <c r="B132" s="25"/>
      <c r="C132" s="35"/>
      <c r="D132" s="25"/>
      <c r="E132" s="25"/>
      <c r="F132" s="36"/>
      <c r="G132" s="36"/>
      <c r="H132" s="27" t="s">
        <v>142</v>
      </c>
    </row>
    <row r="133" spans="1:8" x14ac:dyDescent="0.2">
      <c r="A133" s="25"/>
      <c r="B133" s="25"/>
      <c r="C133" s="26" t="s">
        <v>154</v>
      </c>
      <c r="D133" s="25"/>
      <c r="E133" s="25"/>
      <c r="F133" s="33">
        <v>25536.814999999999</v>
      </c>
      <c r="G133" s="34">
        <v>9.7274600000000003E-2</v>
      </c>
      <c r="H133" s="27" t="s">
        <v>142</v>
      </c>
    </row>
    <row r="134" spans="1:8" x14ac:dyDescent="0.2">
      <c r="A134" s="25"/>
      <c r="B134" s="25"/>
      <c r="C134" s="35"/>
      <c r="D134" s="25"/>
      <c r="E134" s="25"/>
      <c r="F134" s="36"/>
      <c r="G134" s="36"/>
      <c r="H134" s="27" t="s">
        <v>142</v>
      </c>
    </row>
    <row r="135" spans="1:8" x14ac:dyDescent="0.2">
      <c r="A135" s="25"/>
      <c r="B135" s="25"/>
      <c r="C135" s="26" t="s">
        <v>155</v>
      </c>
      <c r="D135" s="25"/>
      <c r="E135" s="25"/>
      <c r="F135" s="36"/>
      <c r="G135" s="36"/>
      <c r="H135" s="27" t="s">
        <v>142</v>
      </c>
    </row>
    <row r="136" spans="1:8" x14ac:dyDescent="0.2">
      <c r="A136" s="25"/>
      <c r="B136" s="25"/>
      <c r="C136" s="26" t="s">
        <v>156</v>
      </c>
      <c r="D136" s="25"/>
      <c r="E136" s="25"/>
      <c r="F136" s="36"/>
      <c r="G136" s="36"/>
      <c r="H136" s="27" t="s">
        <v>142</v>
      </c>
    </row>
    <row r="137" spans="1:8" x14ac:dyDescent="0.2">
      <c r="A137" s="25"/>
      <c r="B137" s="25"/>
      <c r="C137" s="26" t="s">
        <v>141</v>
      </c>
      <c r="D137" s="25"/>
      <c r="E137" s="25" t="s">
        <v>142</v>
      </c>
      <c r="F137" s="37" t="s">
        <v>144</v>
      </c>
      <c r="G137" s="34">
        <v>0</v>
      </c>
      <c r="H137" s="27" t="s">
        <v>142</v>
      </c>
    </row>
    <row r="138" spans="1:8" x14ac:dyDescent="0.2">
      <c r="A138" s="25"/>
      <c r="B138" s="25"/>
      <c r="C138" s="35"/>
      <c r="D138" s="25"/>
      <c r="E138" s="25"/>
      <c r="F138" s="36"/>
      <c r="G138" s="36"/>
      <c r="H138" s="27" t="s">
        <v>142</v>
      </c>
    </row>
    <row r="139" spans="1:8" x14ac:dyDescent="0.2">
      <c r="A139" s="25"/>
      <c r="B139" s="25"/>
      <c r="C139" s="26" t="s">
        <v>157</v>
      </c>
      <c r="D139" s="25"/>
      <c r="E139" s="25"/>
      <c r="F139" s="36"/>
      <c r="G139" s="36"/>
      <c r="H139" s="27" t="s">
        <v>142</v>
      </c>
    </row>
    <row r="140" spans="1:8" x14ac:dyDescent="0.2">
      <c r="A140" s="25"/>
      <c r="B140" s="25"/>
      <c r="C140" s="26" t="s">
        <v>141</v>
      </c>
      <c r="D140" s="25"/>
      <c r="E140" s="25" t="s">
        <v>142</v>
      </c>
      <c r="F140" s="37" t="s">
        <v>144</v>
      </c>
      <c r="G140" s="34">
        <v>0</v>
      </c>
      <c r="H140" s="27" t="s">
        <v>142</v>
      </c>
    </row>
    <row r="141" spans="1:8" x14ac:dyDescent="0.2">
      <c r="A141" s="25"/>
      <c r="B141" s="25"/>
      <c r="C141" s="35"/>
      <c r="D141" s="25"/>
      <c r="E141" s="25"/>
      <c r="F141" s="36"/>
      <c r="G141" s="36"/>
      <c r="H141" s="27" t="s">
        <v>142</v>
      </c>
    </row>
    <row r="142" spans="1:8" x14ac:dyDescent="0.2">
      <c r="A142" s="25"/>
      <c r="B142" s="25"/>
      <c r="C142" s="26" t="s">
        <v>158</v>
      </c>
      <c r="D142" s="25"/>
      <c r="E142" s="25"/>
      <c r="F142" s="36"/>
      <c r="G142" s="36"/>
      <c r="H142" s="27" t="s">
        <v>142</v>
      </c>
    </row>
    <row r="143" spans="1:8" x14ac:dyDescent="0.2">
      <c r="A143" s="28">
        <v>1</v>
      </c>
      <c r="B143" s="29" t="s">
        <v>825</v>
      </c>
      <c r="C143" s="29" t="s">
        <v>826</v>
      </c>
      <c r="D143" s="29" t="s">
        <v>601</v>
      </c>
      <c r="E143" s="30">
        <v>1000000</v>
      </c>
      <c r="F143" s="31">
        <v>995.95600000000002</v>
      </c>
      <c r="G143" s="32">
        <v>3.79379E-3</v>
      </c>
      <c r="H143" s="27">
        <v>5.7</v>
      </c>
    </row>
    <row r="144" spans="1:8" x14ac:dyDescent="0.2">
      <c r="A144" s="25"/>
      <c r="B144" s="25"/>
      <c r="C144" s="26" t="s">
        <v>141</v>
      </c>
      <c r="D144" s="25"/>
      <c r="E144" s="25" t="s">
        <v>142</v>
      </c>
      <c r="F144" s="33">
        <v>995.95600000000002</v>
      </c>
      <c r="G144" s="34">
        <v>3.79379E-3</v>
      </c>
      <c r="H144" s="27" t="s">
        <v>142</v>
      </c>
    </row>
    <row r="145" spans="1:8" x14ac:dyDescent="0.2">
      <c r="A145" s="25"/>
      <c r="B145" s="25"/>
      <c r="C145" s="35"/>
      <c r="D145" s="25"/>
      <c r="E145" s="25"/>
      <c r="F145" s="36"/>
      <c r="G145" s="36"/>
      <c r="H145" s="27" t="s">
        <v>142</v>
      </c>
    </row>
    <row r="146" spans="1:8" x14ac:dyDescent="0.2">
      <c r="A146" s="25"/>
      <c r="B146" s="25"/>
      <c r="C146" s="26" t="s">
        <v>159</v>
      </c>
      <c r="D146" s="25"/>
      <c r="E146" s="25"/>
      <c r="F146" s="36"/>
      <c r="G146" s="36"/>
      <c r="H146" s="27" t="s">
        <v>142</v>
      </c>
    </row>
    <row r="147" spans="1:8" x14ac:dyDescent="0.2">
      <c r="A147" s="28">
        <v>1</v>
      </c>
      <c r="B147" s="29"/>
      <c r="C147" s="29" t="s">
        <v>160</v>
      </c>
      <c r="D147" s="29"/>
      <c r="E147" s="39"/>
      <c r="F147" s="31">
        <v>6539.2825517049996</v>
      </c>
      <c r="G147" s="32">
        <v>2.4909379999999998E-2</v>
      </c>
      <c r="H147" s="27">
        <v>5.76</v>
      </c>
    </row>
    <row r="148" spans="1:8" x14ac:dyDescent="0.2">
      <c r="A148" s="25"/>
      <c r="B148" s="25"/>
      <c r="C148" s="26" t="s">
        <v>141</v>
      </c>
      <c r="D148" s="25"/>
      <c r="E148" s="25" t="s">
        <v>142</v>
      </c>
      <c r="F148" s="33">
        <v>6539.2825517049996</v>
      </c>
      <c r="G148" s="34">
        <v>2.4909379999999998E-2</v>
      </c>
      <c r="H148" s="27" t="s">
        <v>142</v>
      </c>
    </row>
    <row r="149" spans="1:8" x14ac:dyDescent="0.2">
      <c r="A149" s="25"/>
      <c r="B149" s="25"/>
      <c r="C149" s="35"/>
      <c r="D149" s="25"/>
      <c r="E149" s="25"/>
      <c r="F149" s="36"/>
      <c r="G149" s="36"/>
      <c r="H149" s="27" t="s">
        <v>142</v>
      </c>
    </row>
    <row r="150" spans="1:8" x14ac:dyDescent="0.2">
      <c r="A150" s="25"/>
      <c r="B150" s="25"/>
      <c r="C150" s="26" t="s">
        <v>161</v>
      </c>
      <c r="D150" s="25"/>
      <c r="E150" s="25"/>
      <c r="F150" s="33">
        <v>7535.2385517049997</v>
      </c>
      <c r="G150" s="34">
        <v>2.870317E-2</v>
      </c>
      <c r="H150" s="27" t="s">
        <v>142</v>
      </c>
    </row>
    <row r="151" spans="1:8" x14ac:dyDescent="0.2">
      <c r="A151" s="25"/>
      <c r="B151" s="25"/>
      <c r="C151" s="36"/>
      <c r="D151" s="25"/>
      <c r="E151" s="25"/>
      <c r="F151" s="25"/>
      <c r="G151" s="25"/>
      <c r="H151" s="27" t="s">
        <v>142</v>
      </c>
    </row>
    <row r="152" spans="1:8" x14ac:dyDescent="0.2">
      <c r="A152" s="25"/>
      <c r="B152" s="25"/>
      <c r="C152" s="26" t="s">
        <v>162</v>
      </c>
      <c r="D152" s="25"/>
      <c r="E152" s="25"/>
      <c r="F152" s="25"/>
      <c r="G152" s="25"/>
      <c r="H152" s="27" t="s">
        <v>142</v>
      </c>
    </row>
    <row r="153" spans="1:8" x14ac:dyDescent="0.2">
      <c r="A153" s="25"/>
      <c r="B153" s="25"/>
      <c r="C153" s="26" t="s">
        <v>163</v>
      </c>
      <c r="D153" s="25"/>
      <c r="E153" s="25"/>
      <c r="F153" s="25"/>
      <c r="G153" s="25"/>
      <c r="H153" s="27" t="s">
        <v>142</v>
      </c>
    </row>
    <row r="154" spans="1:8" x14ac:dyDescent="0.2">
      <c r="A154" s="28">
        <v>1</v>
      </c>
      <c r="B154" s="29" t="s">
        <v>827</v>
      </c>
      <c r="C154" s="29" t="s">
        <v>828</v>
      </c>
      <c r="D154" s="29"/>
      <c r="E154" s="69">
        <v>19705094</v>
      </c>
      <c r="F154" s="31">
        <v>16162.1180988</v>
      </c>
      <c r="G154" s="32">
        <v>6.1564590000000002E-2</v>
      </c>
      <c r="H154" s="27" t="s">
        <v>142</v>
      </c>
    </row>
    <row r="155" spans="1:8" x14ac:dyDescent="0.2">
      <c r="A155" s="28">
        <v>2</v>
      </c>
      <c r="B155" s="29" t="s">
        <v>829</v>
      </c>
      <c r="C155" s="29" t="s">
        <v>830</v>
      </c>
      <c r="D155" s="29"/>
      <c r="E155" s="69">
        <v>20078588</v>
      </c>
      <c r="F155" s="31">
        <v>15960.4696012</v>
      </c>
      <c r="G155" s="32">
        <v>6.0796469999999998E-2</v>
      </c>
      <c r="H155" s="27" t="s">
        <v>142</v>
      </c>
    </row>
    <row r="156" spans="1:8" x14ac:dyDescent="0.2">
      <c r="A156" s="28">
        <v>3</v>
      </c>
      <c r="B156" s="29" t="s">
        <v>831</v>
      </c>
      <c r="C156" s="29" t="s">
        <v>832</v>
      </c>
      <c r="D156" s="29"/>
      <c r="E156" s="69">
        <v>13123120</v>
      </c>
      <c r="F156" s="31">
        <v>10531.3038</v>
      </c>
      <c r="G156" s="32">
        <v>4.0115749999999999E-2</v>
      </c>
      <c r="H156" s="27" t="s">
        <v>142</v>
      </c>
    </row>
    <row r="157" spans="1:8" x14ac:dyDescent="0.2">
      <c r="A157" s="28">
        <v>4</v>
      </c>
      <c r="B157" s="29" t="s">
        <v>833</v>
      </c>
      <c r="C157" s="29" t="s">
        <v>834</v>
      </c>
      <c r="D157" s="29"/>
      <c r="E157" s="69">
        <v>11312712</v>
      </c>
      <c r="F157" s="31">
        <v>9295.6554503999996</v>
      </c>
      <c r="G157" s="32">
        <v>3.5408929999999998E-2</v>
      </c>
      <c r="H157" s="27" t="s">
        <v>142</v>
      </c>
    </row>
    <row r="158" spans="1:8" x14ac:dyDescent="0.2">
      <c r="A158" s="28">
        <v>5</v>
      </c>
      <c r="B158" s="29" t="s">
        <v>835</v>
      </c>
      <c r="C158" s="29" t="s">
        <v>836</v>
      </c>
      <c r="D158" s="29"/>
      <c r="E158" s="69">
        <v>4448000</v>
      </c>
      <c r="F158" s="31">
        <v>4139.7536</v>
      </c>
      <c r="G158" s="32">
        <v>1.5769109999999999E-2</v>
      </c>
      <c r="H158" s="27" t="s">
        <v>142</v>
      </c>
    </row>
    <row r="159" spans="1:8" x14ac:dyDescent="0.2">
      <c r="A159" s="25"/>
      <c r="B159" s="25"/>
      <c r="C159" s="26" t="s">
        <v>141</v>
      </c>
      <c r="D159" s="25"/>
      <c r="E159" s="25" t="s">
        <v>142</v>
      </c>
      <c r="F159" s="33">
        <v>56089.300550400003</v>
      </c>
      <c r="G159" s="34">
        <v>0.21365485000000001</v>
      </c>
      <c r="H159" s="27" t="s">
        <v>142</v>
      </c>
    </row>
    <row r="160" spans="1:8" x14ac:dyDescent="0.2">
      <c r="A160" s="25"/>
      <c r="B160" s="25"/>
      <c r="C160" s="35"/>
      <c r="D160" s="25"/>
      <c r="E160" s="25"/>
      <c r="F160" s="36"/>
      <c r="G160" s="36"/>
      <c r="H160" s="27" t="s">
        <v>142</v>
      </c>
    </row>
    <row r="161" spans="1:17" x14ac:dyDescent="0.2">
      <c r="A161" s="25"/>
      <c r="B161" s="25"/>
      <c r="C161" s="26" t="s">
        <v>164</v>
      </c>
      <c r="D161" s="25"/>
      <c r="E161" s="25"/>
      <c r="F161" s="25"/>
      <c r="G161" s="25"/>
      <c r="H161" s="27" t="s">
        <v>142</v>
      </c>
    </row>
    <row r="162" spans="1:17" x14ac:dyDescent="0.2">
      <c r="A162" s="25"/>
      <c r="B162" s="25"/>
      <c r="C162" s="26" t="s">
        <v>165</v>
      </c>
      <c r="D162" s="25"/>
      <c r="E162" s="25"/>
      <c r="F162" s="25"/>
      <c r="G162" s="25"/>
      <c r="H162" s="27" t="s">
        <v>142</v>
      </c>
    </row>
    <row r="163" spans="1:17" x14ac:dyDescent="0.2">
      <c r="A163" s="25"/>
      <c r="B163" s="25"/>
      <c r="C163" s="26" t="s">
        <v>141</v>
      </c>
      <c r="D163" s="25"/>
      <c r="E163" s="25" t="s">
        <v>142</v>
      </c>
      <c r="F163" s="37" t="s">
        <v>144</v>
      </c>
      <c r="G163" s="34">
        <v>0</v>
      </c>
      <c r="H163" s="27" t="s">
        <v>142</v>
      </c>
    </row>
    <row r="164" spans="1:17" x14ac:dyDescent="0.2">
      <c r="A164" s="25"/>
      <c r="B164" s="25"/>
      <c r="C164" s="35"/>
      <c r="D164" s="25"/>
      <c r="E164" s="25"/>
      <c r="F164" s="36"/>
      <c r="G164" s="36"/>
      <c r="H164" s="27" t="s">
        <v>142</v>
      </c>
    </row>
    <row r="165" spans="1:17" x14ac:dyDescent="0.2">
      <c r="A165" s="25"/>
      <c r="B165" s="25"/>
      <c r="C165" s="26" t="s">
        <v>166</v>
      </c>
      <c r="D165" s="25"/>
      <c r="E165" s="25"/>
      <c r="F165" s="36"/>
      <c r="G165" s="36"/>
      <c r="H165" s="27" t="s">
        <v>142</v>
      </c>
    </row>
    <row r="166" spans="1:17" x14ac:dyDescent="0.2">
      <c r="A166" s="25"/>
      <c r="B166" s="25"/>
      <c r="C166" s="26" t="s">
        <v>141</v>
      </c>
      <c r="D166" s="25"/>
      <c r="E166" s="25" t="s">
        <v>142</v>
      </c>
      <c r="F166" s="37" t="s">
        <v>144</v>
      </c>
      <c r="G166" s="34">
        <v>0</v>
      </c>
      <c r="H166" s="27" t="s">
        <v>142</v>
      </c>
    </row>
    <row r="167" spans="1:17" x14ac:dyDescent="0.2">
      <c r="A167" s="25"/>
      <c r="B167" s="25"/>
      <c r="C167" s="35"/>
      <c r="D167" s="25"/>
      <c r="E167" s="25"/>
      <c r="F167" s="36"/>
      <c r="G167" s="36"/>
      <c r="H167" s="27" t="s">
        <v>142</v>
      </c>
    </row>
    <row r="168" spans="1:17" x14ac:dyDescent="0.2">
      <c r="A168" s="39"/>
      <c r="B168" s="29"/>
      <c r="C168" s="29" t="s">
        <v>618</v>
      </c>
      <c r="D168" s="29"/>
      <c r="E168" s="39"/>
      <c r="F168" s="31">
        <v>136.86347309999999</v>
      </c>
      <c r="G168" s="32">
        <v>5.2134000000000002E-4</v>
      </c>
      <c r="H168" s="27" t="s">
        <v>142</v>
      </c>
    </row>
    <row r="169" spans="1:17" x14ac:dyDescent="0.2">
      <c r="A169" s="39"/>
      <c r="B169" s="29"/>
      <c r="C169" s="38" t="s">
        <v>903</v>
      </c>
      <c r="D169" s="29"/>
      <c r="E169" s="39"/>
      <c r="F169" s="31">
        <f>16762.41351144+F110</f>
        <v>-2926.1979510599995</v>
      </c>
      <c r="G169" s="32">
        <f>F169/F170</f>
        <v>-1.1146446335508913E-2</v>
      </c>
      <c r="H169" s="27" t="s">
        <v>142</v>
      </c>
    </row>
    <row r="170" spans="1:17" x14ac:dyDescent="0.2">
      <c r="A170" s="35"/>
      <c r="B170" s="35"/>
      <c r="C170" s="26" t="s">
        <v>168</v>
      </c>
      <c r="D170" s="36"/>
      <c r="E170" s="36"/>
      <c r="F170" s="33">
        <v>262522.94794064498</v>
      </c>
      <c r="G170" s="40">
        <v>1.0000000099999999</v>
      </c>
      <c r="H170" s="27" t="s">
        <v>142</v>
      </c>
    </row>
    <row r="171" spans="1:17" x14ac:dyDescent="0.2">
      <c r="A171" s="41"/>
      <c r="B171" s="41"/>
      <c r="C171" s="41"/>
      <c r="D171" s="42"/>
      <c r="E171" s="42"/>
      <c r="F171" s="42"/>
      <c r="G171" s="42"/>
    </row>
    <row r="172" spans="1:17" x14ac:dyDescent="0.2">
      <c r="A172" s="43"/>
      <c r="B172" s="210" t="s">
        <v>879</v>
      </c>
      <c r="C172" s="210"/>
      <c r="D172" s="210"/>
      <c r="E172" s="210"/>
      <c r="F172" s="210"/>
      <c r="G172" s="210"/>
      <c r="H172" s="210"/>
      <c r="J172" s="45"/>
    </row>
    <row r="173" spans="1:17" x14ac:dyDescent="0.2">
      <c r="A173" s="43"/>
      <c r="B173" s="210" t="s">
        <v>880</v>
      </c>
      <c r="C173" s="210"/>
      <c r="D173" s="210"/>
      <c r="E173" s="210"/>
      <c r="F173" s="210"/>
      <c r="G173" s="210"/>
      <c r="H173" s="210"/>
      <c r="J173" s="45"/>
    </row>
    <row r="174" spans="1:17" x14ac:dyDescent="0.2">
      <c r="A174" s="43"/>
      <c r="B174" s="210" t="s">
        <v>881</v>
      </c>
      <c r="C174" s="210"/>
      <c r="D174" s="210"/>
      <c r="E174" s="210"/>
      <c r="F174" s="210"/>
      <c r="G174" s="210"/>
      <c r="H174" s="210"/>
      <c r="J174" s="45"/>
    </row>
    <row r="175" spans="1:17" s="47" customFormat="1" ht="66.75" customHeight="1" x14ac:dyDescent="0.25">
      <c r="A175" s="46"/>
      <c r="B175" s="211" t="s">
        <v>882</v>
      </c>
      <c r="C175" s="211"/>
      <c r="D175" s="211"/>
      <c r="E175" s="211"/>
      <c r="F175" s="211"/>
      <c r="G175" s="211"/>
      <c r="H175" s="211"/>
      <c r="I175"/>
      <c r="J175" s="45"/>
      <c r="K175"/>
      <c r="L175"/>
      <c r="M175"/>
      <c r="N175"/>
      <c r="O175"/>
      <c r="P175"/>
      <c r="Q175"/>
    </row>
    <row r="176" spans="1:17" x14ac:dyDescent="0.2">
      <c r="A176" s="43"/>
      <c r="B176" s="210" t="s">
        <v>883</v>
      </c>
      <c r="C176" s="210"/>
      <c r="D176" s="210"/>
      <c r="E176" s="210"/>
      <c r="F176" s="210"/>
      <c r="G176" s="210"/>
      <c r="H176" s="210"/>
      <c r="J176" s="45"/>
    </row>
    <row r="177" spans="1:10" x14ac:dyDescent="0.2">
      <c r="A177" s="48"/>
      <c r="B177" s="48"/>
      <c r="C177" s="48"/>
      <c r="D177" s="49"/>
      <c r="E177" s="49"/>
      <c r="F177" s="49"/>
      <c r="G177" s="49"/>
    </row>
    <row r="178" spans="1:10" x14ac:dyDescent="0.2">
      <c r="A178" s="48"/>
      <c r="B178" s="212" t="s">
        <v>169</v>
      </c>
      <c r="C178" s="213"/>
      <c r="D178" s="214"/>
      <c r="E178" s="50"/>
      <c r="F178" s="49"/>
      <c r="G178" s="49"/>
    </row>
    <row r="179" spans="1:10" ht="27.75" customHeight="1" x14ac:dyDescent="0.2">
      <c r="A179" s="48"/>
      <c r="B179" s="215" t="s">
        <v>170</v>
      </c>
      <c r="C179" s="216"/>
      <c r="D179" s="26" t="s">
        <v>171</v>
      </c>
      <c r="E179" s="50"/>
      <c r="F179" s="49"/>
      <c r="G179" s="49"/>
    </row>
    <row r="180" spans="1:10" ht="12.75" customHeight="1" x14ac:dyDescent="0.2">
      <c r="A180" s="43"/>
      <c r="B180" s="217" t="s">
        <v>884</v>
      </c>
      <c r="C180" s="218"/>
      <c r="D180" s="26" t="s">
        <v>171</v>
      </c>
      <c r="E180" s="52"/>
      <c r="F180" s="53"/>
      <c r="G180" s="53"/>
    </row>
    <row r="181" spans="1:10" x14ac:dyDescent="0.2">
      <c r="A181" s="48"/>
      <c r="B181" s="215" t="s">
        <v>172</v>
      </c>
      <c r="C181" s="216"/>
      <c r="D181" s="36" t="s">
        <v>142</v>
      </c>
      <c r="E181" s="50"/>
      <c r="F181" s="49"/>
      <c r="G181" s="49"/>
    </row>
    <row r="182" spans="1:10" x14ac:dyDescent="0.2">
      <c r="A182" s="54"/>
      <c r="B182" s="55" t="s">
        <v>142</v>
      </c>
      <c r="C182" s="55" t="s">
        <v>885</v>
      </c>
      <c r="D182" s="55" t="s">
        <v>173</v>
      </c>
      <c r="E182" s="54"/>
      <c r="F182" s="54"/>
      <c r="G182" s="54"/>
      <c r="H182" s="54"/>
      <c r="J182" s="45"/>
    </row>
    <row r="183" spans="1:10" x14ac:dyDescent="0.2">
      <c r="A183" s="54"/>
      <c r="B183" s="56" t="s">
        <v>174</v>
      </c>
      <c r="C183" s="57">
        <v>45777</v>
      </c>
      <c r="D183" s="57">
        <v>45808</v>
      </c>
      <c r="E183" s="54"/>
      <c r="F183" s="54"/>
      <c r="G183" s="54"/>
      <c r="J183" s="45"/>
    </row>
    <row r="184" spans="1:10" x14ac:dyDescent="0.2">
      <c r="A184" s="58"/>
      <c r="B184" s="29" t="s">
        <v>175</v>
      </c>
      <c r="C184" s="59">
        <v>12.1356</v>
      </c>
      <c r="D184" s="59">
        <v>12.297499999999999</v>
      </c>
      <c r="E184" s="58"/>
      <c r="F184" s="60"/>
      <c r="G184" s="61"/>
    </row>
    <row r="185" spans="1:10" x14ac:dyDescent="0.2">
      <c r="A185" s="58"/>
      <c r="B185" s="29" t="s">
        <v>1065</v>
      </c>
      <c r="C185" s="59">
        <v>12.1356</v>
      </c>
      <c r="D185" s="59">
        <v>12.297499999999999</v>
      </c>
      <c r="E185" s="58"/>
      <c r="F185" s="60"/>
      <c r="G185" s="61"/>
    </row>
    <row r="186" spans="1:10" x14ac:dyDescent="0.2">
      <c r="A186" s="58"/>
      <c r="B186" s="29" t="s">
        <v>177</v>
      </c>
      <c r="C186" s="59">
        <v>11.893599999999999</v>
      </c>
      <c r="D186" s="59">
        <v>12.0373</v>
      </c>
      <c r="E186" s="58"/>
      <c r="F186" s="60"/>
      <c r="G186" s="61"/>
    </row>
    <row r="187" spans="1:10" x14ac:dyDescent="0.2">
      <c r="A187" s="58"/>
      <c r="B187" s="29" t="s">
        <v>1066</v>
      </c>
      <c r="C187" s="59">
        <v>11.893599999999999</v>
      </c>
      <c r="D187" s="59">
        <v>12.0373</v>
      </c>
      <c r="E187" s="58"/>
      <c r="F187" s="60"/>
      <c r="G187" s="61"/>
    </row>
    <row r="188" spans="1:10" x14ac:dyDescent="0.2">
      <c r="A188" s="58"/>
      <c r="B188" s="58"/>
      <c r="C188" s="58"/>
      <c r="D188" s="58"/>
      <c r="E188" s="58"/>
      <c r="F188" s="58"/>
      <c r="G188" s="58"/>
    </row>
    <row r="189" spans="1:10" x14ac:dyDescent="0.2">
      <c r="A189" s="54"/>
      <c r="B189" s="217" t="s">
        <v>887</v>
      </c>
      <c r="C189" s="218"/>
      <c r="D189" s="51" t="s">
        <v>171</v>
      </c>
      <c r="E189" s="54"/>
      <c r="F189" s="54"/>
      <c r="G189" s="54"/>
    </row>
    <row r="190" spans="1:10" x14ac:dyDescent="0.2">
      <c r="A190" s="54"/>
      <c r="B190" s="70"/>
      <c r="C190" s="70"/>
      <c r="D190" s="70"/>
      <c r="E190" s="54"/>
      <c r="F190" s="54"/>
      <c r="G190" s="54"/>
    </row>
    <row r="191" spans="1:10" ht="29.1" customHeight="1" x14ac:dyDescent="0.2">
      <c r="A191" s="54"/>
      <c r="B191" s="217" t="s">
        <v>180</v>
      </c>
      <c r="C191" s="218"/>
      <c r="D191" s="51" t="s">
        <v>999</v>
      </c>
      <c r="E191" s="65"/>
      <c r="F191" s="54"/>
      <c r="G191" s="54"/>
    </row>
    <row r="192" spans="1:10" ht="29.1" customHeight="1" x14ac:dyDescent="0.2">
      <c r="A192" s="54"/>
      <c r="B192" s="217" t="s">
        <v>181</v>
      </c>
      <c r="C192" s="218"/>
      <c r="D192" s="51" t="s">
        <v>171</v>
      </c>
      <c r="E192" s="65"/>
      <c r="F192" s="54"/>
      <c r="G192" s="54"/>
    </row>
    <row r="193" spans="1:7" ht="17.100000000000001" customHeight="1" x14ac:dyDescent="0.2">
      <c r="A193" s="54"/>
      <c r="B193" s="217" t="s">
        <v>182</v>
      </c>
      <c r="C193" s="218"/>
      <c r="D193" s="51" t="s">
        <v>171</v>
      </c>
      <c r="E193" s="65"/>
      <c r="F193" s="54"/>
      <c r="G193" s="54"/>
    </row>
    <row r="194" spans="1:7" ht="17.100000000000001" customHeight="1" x14ac:dyDescent="0.2">
      <c r="A194" s="54"/>
      <c r="B194" s="217" t="s">
        <v>183</v>
      </c>
      <c r="C194" s="218"/>
      <c r="D194" s="66">
        <v>1.6095160618679081</v>
      </c>
      <c r="E194" s="54"/>
      <c r="F194" s="44"/>
      <c r="G194" s="64"/>
    </row>
    <row r="196" spans="1:7" x14ac:dyDescent="0.2">
      <c r="B196" s="245" t="s">
        <v>968</v>
      </c>
      <c r="C196" s="246"/>
      <c r="D196" s="247"/>
    </row>
    <row r="197" spans="1:7" ht="25.5" x14ac:dyDescent="0.2">
      <c r="B197" s="248" t="s">
        <v>969</v>
      </c>
      <c r="C197" s="248"/>
      <c r="D197" s="71" t="s">
        <v>822</v>
      </c>
    </row>
    <row r="198" spans="1:7" x14ac:dyDescent="0.2">
      <c r="B198" s="248" t="s">
        <v>970</v>
      </c>
      <c r="C198" s="248"/>
      <c r="D198" s="72"/>
    </row>
    <row r="199" spans="1:7" x14ac:dyDescent="0.2">
      <c r="B199" s="249"/>
      <c r="C199" s="250"/>
      <c r="D199" s="73"/>
    </row>
    <row r="200" spans="1:7" x14ac:dyDescent="0.2">
      <c r="B200" s="248" t="s">
        <v>971</v>
      </c>
      <c r="C200" s="248"/>
      <c r="D200" s="74">
        <v>5.9336631203756776</v>
      </c>
    </row>
    <row r="201" spans="1:7" x14ac:dyDescent="0.2">
      <c r="B201" s="249"/>
      <c r="C201" s="250"/>
      <c r="D201" s="73"/>
    </row>
    <row r="202" spans="1:7" x14ac:dyDescent="0.2">
      <c r="B202" s="248" t="s">
        <v>972</v>
      </c>
      <c r="C202" s="248"/>
      <c r="D202" s="74">
        <v>2.9156635392249357</v>
      </c>
    </row>
    <row r="203" spans="1:7" x14ac:dyDescent="0.2">
      <c r="B203" s="248" t="s">
        <v>973</v>
      </c>
      <c r="C203" s="248"/>
      <c r="D203" s="74">
        <v>3.5101106473903099</v>
      </c>
    </row>
    <row r="204" spans="1:7" x14ac:dyDescent="0.2">
      <c r="B204" s="249"/>
      <c r="C204" s="250"/>
      <c r="D204" s="73"/>
    </row>
    <row r="205" spans="1:7" x14ac:dyDescent="0.2">
      <c r="B205" s="248" t="s">
        <v>974</v>
      </c>
      <c r="C205" s="248"/>
      <c r="D205" s="75" t="s">
        <v>1091</v>
      </c>
    </row>
    <row r="206" spans="1:7" x14ac:dyDescent="0.2">
      <c r="B206" s="249" t="s">
        <v>975</v>
      </c>
      <c r="C206" s="251"/>
      <c r="D206" s="250"/>
    </row>
    <row r="208" spans="1:7" x14ac:dyDescent="0.2">
      <c r="B208" s="219" t="s">
        <v>888</v>
      </c>
      <c r="C208" s="219"/>
    </row>
    <row r="210" spans="2:10" ht="153.75" customHeight="1" x14ac:dyDescent="0.2"/>
    <row r="213" spans="2:10" x14ac:dyDescent="0.2">
      <c r="B213" s="67" t="s">
        <v>889</v>
      </c>
      <c r="C213" s="68"/>
      <c r="D213" s="67"/>
    </row>
    <row r="214" spans="2:10" x14ac:dyDescent="0.2">
      <c r="B214" s="67" t="s">
        <v>1063</v>
      </c>
      <c r="D214" s="67"/>
    </row>
    <row r="215" spans="2:10" ht="165" customHeight="1" x14ac:dyDescent="0.2"/>
    <row r="217" spans="2:10" x14ac:dyDescent="0.2">
      <c r="J217" s="24"/>
    </row>
  </sheetData>
  <mergeCells count="29">
    <mergeCell ref="B180:C180"/>
    <mergeCell ref="B181:C181"/>
    <mergeCell ref="B197:C197"/>
    <mergeCell ref="B189:C189"/>
    <mergeCell ref="B193:C193"/>
    <mergeCell ref="B194:C194"/>
    <mergeCell ref="B191:C191"/>
    <mergeCell ref="B192:C192"/>
    <mergeCell ref="B196:D196"/>
    <mergeCell ref="B174:H174"/>
    <mergeCell ref="B175:H175"/>
    <mergeCell ref="B176:H176"/>
    <mergeCell ref="B178:D178"/>
    <mergeCell ref="B179:C179"/>
    <mergeCell ref="A1:H1"/>
    <mergeCell ref="A2:H2"/>
    <mergeCell ref="A3:H3"/>
    <mergeCell ref="B172:H172"/>
    <mergeCell ref="B173:H173"/>
    <mergeCell ref="B198:C198"/>
    <mergeCell ref="B199:C199"/>
    <mergeCell ref="B200:C200"/>
    <mergeCell ref="B201:C201"/>
    <mergeCell ref="B202:C202"/>
    <mergeCell ref="B203:C203"/>
    <mergeCell ref="B204:C204"/>
    <mergeCell ref="B205:C205"/>
    <mergeCell ref="B206:D206"/>
    <mergeCell ref="B208:C208"/>
  </mergeCells>
  <hyperlinks>
    <hyperlink ref="I1" location="Index!B2" display="Index" xr:uid="{63D700AF-A8BC-4AEE-AA14-671BE17D685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3A75-63FF-4051-9E31-FDC16931FA28}">
  <sheetPr>
    <pageSetUpPr fitToPage="1"/>
  </sheetPr>
  <dimension ref="A1:K275"/>
  <sheetViews>
    <sheetView zoomScaleNormal="100" workbookViewId="0">
      <selection activeCell="B26" sqref="B26"/>
    </sheetView>
  </sheetViews>
  <sheetFormatPr defaultColWidth="9.140625" defaultRowHeight="13.5" x14ac:dyDescent="0.25"/>
  <cols>
    <col min="1" max="1" width="42" style="156" customWidth="1"/>
    <col min="2" max="2" width="54.7109375" style="156" customWidth="1"/>
    <col min="3" max="3" width="31" style="156" bestFit="1" customWidth="1"/>
    <col min="4" max="4" width="20.140625" style="156" bestFit="1" customWidth="1"/>
    <col min="5" max="5" width="16.5703125" style="156" customWidth="1"/>
    <col min="6" max="6" width="18.7109375" style="156" bestFit="1" customWidth="1"/>
    <col min="7" max="7" width="17.5703125" style="156" customWidth="1"/>
    <col min="8" max="8" width="15.5703125" style="156" bestFit="1" customWidth="1"/>
    <col min="9" max="9" width="13.5703125" style="156" customWidth="1"/>
    <col min="10" max="10" width="20.5703125" style="156" customWidth="1"/>
    <col min="11" max="11" width="12.42578125" style="156" bestFit="1" customWidth="1"/>
    <col min="12" max="16384" width="9.140625" style="156"/>
  </cols>
  <sheetData>
    <row r="1" spans="1:10" x14ac:dyDescent="0.25">
      <c r="F1" s="124" t="s">
        <v>999</v>
      </c>
    </row>
    <row r="2" spans="1:10" x14ac:dyDescent="0.25">
      <c r="A2" s="252" t="s">
        <v>1095</v>
      </c>
      <c r="B2" s="252"/>
      <c r="C2" s="252"/>
      <c r="D2" s="252"/>
      <c r="E2" s="252"/>
      <c r="F2" s="252"/>
    </row>
    <row r="3" spans="1:10" x14ac:dyDescent="0.25">
      <c r="A3" s="252" t="s">
        <v>1096</v>
      </c>
      <c r="B3" s="252"/>
      <c r="C3" s="252"/>
      <c r="D3" s="252"/>
      <c r="E3" s="252"/>
      <c r="F3" s="252"/>
    </row>
    <row r="4" spans="1:10" x14ac:dyDescent="0.25">
      <c r="A4" s="124"/>
      <c r="B4" s="124"/>
      <c r="C4" s="124"/>
      <c r="D4" s="124"/>
      <c r="E4" s="124"/>
      <c r="F4" s="124"/>
    </row>
    <row r="5" spans="1:10" x14ac:dyDescent="0.25">
      <c r="A5" s="252" t="s">
        <v>1097</v>
      </c>
      <c r="B5" s="252"/>
      <c r="C5" s="252"/>
      <c r="D5" s="252"/>
      <c r="E5" s="252"/>
      <c r="F5" s="252"/>
    </row>
    <row r="6" spans="1:10" x14ac:dyDescent="0.25">
      <c r="A6" s="124" t="s">
        <v>1098</v>
      </c>
    </row>
    <row r="8" spans="1:10" s="124" customFormat="1" ht="27" x14ac:dyDescent="0.25">
      <c r="A8" s="157" t="s">
        <v>1099</v>
      </c>
      <c r="B8" s="157" t="s">
        <v>1100</v>
      </c>
      <c r="C8" s="157" t="s">
        <v>1101</v>
      </c>
      <c r="D8" s="158" t="s">
        <v>1102</v>
      </c>
      <c r="E8" s="158" t="s">
        <v>1103</v>
      </c>
      <c r="F8" s="158" t="s">
        <v>1104</v>
      </c>
    </row>
    <row r="9" spans="1:10" x14ac:dyDescent="0.25">
      <c r="A9" s="159" t="s">
        <v>493</v>
      </c>
      <c r="B9" s="159" t="s">
        <v>1154</v>
      </c>
      <c r="C9" s="160" t="s">
        <v>1094</v>
      </c>
      <c r="D9" s="161">
        <v>411.1</v>
      </c>
      <c r="E9" s="162">
        <v>404.8</v>
      </c>
      <c r="F9" s="163">
        <v>1.1330849999999999</v>
      </c>
      <c r="J9" s="164"/>
    </row>
    <row r="10" spans="1:10" x14ac:dyDescent="0.25">
      <c r="A10" s="159" t="s">
        <v>493</v>
      </c>
      <c r="B10" s="159" t="s">
        <v>1155</v>
      </c>
      <c r="C10" s="160" t="s">
        <v>1094</v>
      </c>
      <c r="D10" s="161">
        <v>11685</v>
      </c>
      <c r="E10" s="162">
        <v>11265</v>
      </c>
      <c r="F10" s="163">
        <v>0.99985500000000005</v>
      </c>
    </row>
    <row r="11" spans="1:10" x14ac:dyDescent="0.25">
      <c r="A11" s="159" t="s">
        <v>493</v>
      </c>
      <c r="B11" s="159" t="s">
        <v>1156</v>
      </c>
      <c r="C11" s="160" t="s">
        <v>1094</v>
      </c>
      <c r="D11" s="161">
        <v>479.7</v>
      </c>
      <c r="E11" s="162">
        <v>485.65</v>
      </c>
      <c r="F11" s="163">
        <v>1.0694625</v>
      </c>
    </row>
    <row r="12" spans="1:10" x14ac:dyDescent="0.25">
      <c r="A12" s="159" t="s">
        <v>493</v>
      </c>
      <c r="B12" s="159" t="s">
        <v>1157</v>
      </c>
      <c r="C12" s="160" t="s">
        <v>1094</v>
      </c>
      <c r="D12" s="161">
        <v>6191</v>
      </c>
      <c r="E12" s="162">
        <v>6649.5</v>
      </c>
      <c r="F12" s="163">
        <v>1.2491924999999999</v>
      </c>
    </row>
    <row r="13" spans="1:10" x14ac:dyDescent="0.25">
      <c r="A13" s="159" t="s">
        <v>493</v>
      </c>
      <c r="B13" s="159" t="s">
        <v>1158</v>
      </c>
      <c r="C13" s="160" t="s">
        <v>1094</v>
      </c>
      <c r="D13" s="161">
        <v>1814.7</v>
      </c>
      <c r="E13" s="162">
        <v>1821.5</v>
      </c>
      <c r="F13" s="163">
        <v>1.2147825000000001</v>
      </c>
    </row>
    <row r="14" spans="1:10" x14ac:dyDescent="0.25">
      <c r="A14" s="159" t="s">
        <v>493</v>
      </c>
      <c r="B14" s="159" t="s">
        <v>1159</v>
      </c>
      <c r="C14" s="160" t="s">
        <v>1094</v>
      </c>
      <c r="D14" s="161">
        <v>4677.53</v>
      </c>
      <c r="E14" s="162">
        <v>5006.7</v>
      </c>
      <c r="F14" s="163">
        <v>7.3261951999999999</v>
      </c>
    </row>
    <row r="15" spans="1:10" x14ac:dyDescent="0.25">
      <c r="A15" s="159" t="s">
        <v>493</v>
      </c>
      <c r="B15" s="159" t="s">
        <v>1160</v>
      </c>
      <c r="C15" s="160" t="s">
        <v>1094</v>
      </c>
      <c r="D15" s="161">
        <v>335</v>
      </c>
      <c r="E15" s="162">
        <v>337.05</v>
      </c>
      <c r="F15" s="163">
        <v>7.7100752000000004</v>
      </c>
    </row>
    <row r="16" spans="1:10" x14ac:dyDescent="0.25">
      <c r="A16" s="159" t="s">
        <v>493</v>
      </c>
      <c r="B16" s="159" t="s">
        <v>1161</v>
      </c>
      <c r="C16" s="160" t="s">
        <v>1094</v>
      </c>
      <c r="D16" s="161">
        <v>1657.66</v>
      </c>
      <c r="E16" s="162">
        <v>1646.5</v>
      </c>
      <c r="F16" s="163">
        <v>7.27013</v>
      </c>
    </row>
    <row r="17" spans="1:6" x14ac:dyDescent="0.25">
      <c r="A17" s="159" t="s">
        <v>493</v>
      </c>
      <c r="B17" s="159" t="s">
        <v>1162</v>
      </c>
      <c r="C17" s="160" t="s">
        <v>1094</v>
      </c>
      <c r="D17" s="161">
        <v>904.39</v>
      </c>
      <c r="E17" s="162">
        <v>933.8</v>
      </c>
      <c r="F17" s="163">
        <v>7.5388839999999995</v>
      </c>
    </row>
    <row r="18" spans="1:6" x14ac:dyDescent="0.25">
      <c r="A18" s="159" t="s">
        <v>493</v>
      </c>
      <c r="B18" s="159" t="s">
        <v>1163</v>
      </c>
      <c r="C18" s="160" t="s">
        <v>1094</v>
      </c>
      <c r="D18" s="161">
        <v>3091.05</v>
      </c>
      <c r="E18" s="162">
        <v>2989</v>
      </c>
      <c r="F18" s="163">
        <v>10.529733</v>
      </c>
    </row>
    <row r="19" spans="1:6" x14ac:dyDescent="0.25">
      <c r="A19" s="159" t="s">
        <v>493</v>
      </c>
      <c r="B19" s="159" t="s">
        <v>1164</v>
      </c>
      <c r="C19" s="160" t="s">
        <v>1094</v>
      </c>
      <c r="D19" s="161">
        <v>306.14</v>
      </c>
      <c r="E19" s="162">
        <v>291.39999999999998</v>
      </c>
      <c r="F19" s="163">
        <v>9.7744049999999998</v>
      </c>
    </row>
    <row r="20" spans="1:6" x14ac:dyDescent="0.25">
      <c r="A20" s="159" t="s">
        <v>493</v>
      </c>
      <c r="B20" s="159" t="s">
        <v>1165</v>
      </c>
      <c r="C20" s="160" t="s">
        <v>1094</v>
      </c>
      <c r="D20" s="161">
        <v>776.77</v>
      </c>
      <c r="E20" s="162">
        <v>779.6</v>
      </c>
      <c r="F20" s="163">
        <v>10.670159499999999</v>
      </c>
    </row>
    <row r="21" spans="1:6" x14ac:dyDescent="0.25">
      <c r="A21" s="159" t="s">
        <v>493</v>
      </c>
      <c r="B21" s="159" t="s">
        <v>1166</v>
      </c>
      <c r="C21" s="160" t="s">
        <v>1094</v>
      </c>
      <c r="D21" s="161">
        <v>1455.47</v>
      </c>
      <c r="E21" s="162">
        <v>1455.3</v>
      </c>
      <c r="F21" s="163">
        <v>10.859477999999998</v>
      </c>
    </row>
    <row r="22" spans="1:6" x14ac:dyDescent="0.25">
      <c r="A22" s="159" t="s">
        <v>493</v>
      </c>
      <c r="B22" s="159" t="s">
        <v>1167</v>
      </c>
      <c r="C22" s="160" t="s">
        <v>1094</v>
      </c>
      <c r="D22" s="161">
        <v>2048.71</v>
      </c>
      <c r="E22" s="162">
        <v>2029.4</v>
      </c>
      <c r="F22" s="163">
        <v>16.0664175</v>
      </c>
    </row>
    <row r="23" spans="1:6" x14ac:dyDescent="0.25">
      <c r="A23" s="159" t="s">
        <v>493</v>
      </c>
      <c r="B23" s="159" t="s">
        <v>1168</v>
      </c>
      <c r="C23" s="160" t="s">
        <v>1094</v>
      </c>
      <c r="D23" s="161">
        <v>3615.64</v>
      </c>
      <c r="E23" s="162">
        <v>3656.2</v>
      </c>
      <c r="F23" s="163">
        <v>17.567807399999996</v>
      </c>
    </row>
    <row r="24" spans="1:6" x14ac:dyDescent="0.25">
      <c r="A24" s="159" t="s">
        <v>493</v>
      </c>
      <c r="B24" s="159" t="s">
        <v>1169</v>
      </c>
      <c r="C24" s="160" t="s">
        <v>1094</v>
      </c>
      <c r="D24" s="161">
        <v>1724.73</v>
      </c>
      <c r="E24" s="162">
        <v>1687.4</v>
      </c>
      <c r="F24" s="163">
        <v>27.453881000000003</v>
      </c>
    </row>
    <row r="25" spans="1:6" x14ac:dyDescent="0.25">
      <c r="A25" s="159" t="s">
        <v>493</v>
      </c>
      <c r="B25" s="159" t="s">
        <v>1170</v>
      </c>
      <c r="C25" s="160" t="s">
        <v>1094</v>
      </c>
      <c r="D25" s="161">
        <v>3504.08</v>
      </c>
      <c r="E25" s="162">
        <v>3454.5</v>
      </c>
      <c r="F25" s="163">
        <v>29.2886685</v>
      </c>
    </row>
    <row r="26" spans="1:6" x14ac:dyDescent="0.25">
      <c r="A26" s="159" t="s">
        <v>493</v>
      </c>
      <c r="B26" s="159" t="s">
        <v>1171</v>
      </c>
      <c r="C26" s="160" t="s">
        <v>1094</v>
      </c>
      <c r="D26" s="161">
        <v>2643.97</v>
      </c>
      <c r="E26" s="162">
        <v>2560.1999999999998</v>
      </c>
      <c r="F26" s="163">
        <v>30.837950100000004</v>
      </c>
    </row>
    <row r="27" spans="1:6" x14ac:dyDescent="0.25">
      <c r="A27" s="159" t="s">
        <v>493</v>
      </c>
      <c r="B27" s="159" t="s">
        <v>1172</v>
      </c>
      <c r="C27" s="160" t="s">
        <v>1094</v>
      </c>
      <c r="D27" s="161">
        <v>69.97</v>
      </c>
      <c r="E27" s="162">
        <v>68.42</v>
      </c>
      <c r="F27" s="163">
        <v>34.980134999999997</v>
      </c>
    </row>
    <row r="28" spans="1:6" x14ac:dyDescent="0.25">
      <c r="A28" s="159" t="s">
        <v>493</v>
      </c>
      <c r="B28" s="159" t="s">
        <v>1173</v>
      </c>
      <c r="C28" s="160" t="s">
        <v>1094</v>
      </c>
      <c r="D28" s="161">
        <v>340.09</v>
      </c>
      <c r="E28" s="162">
        <v>387.05</v>
      </c>
      <c r="F28" s="163">
        <v>45.166699799999996</v>
      </c>
    </row>
    <row r="29" spans="1:6" x14ac:dyDescent="0.25">
      <c r="A29" s="159" t="s">
        <v>493</v>
      </c>
      <c r="B29" s="159" t="s">
        <v>1174</v>
      </c>
      <c r="C29" s="160" t="s">
        <v>1094</v>
      </c>
      <c r="D29" s="161">
        <v>2358.02</v>
      </c>
      <c r="E29" s="162">
        <v>2338.6</v>
      </c>
      <c r="F29" s="163">
        <v>37.723950000000002</v>
      </c>
    </row>
    <row r="30" spans="1:6" x14ac:dyDescent="0.25">
      <c r="A30" s="159" t="s">
        <v>493</v>
      </c>
      <c r="B30" s="159" t="s">
        <v>1175</v>
      </c>
      <c r="C30" s="160" t="s">
        <v>1094</v>
      </c>
      <c r="D30" s="161">
        <v>341.94</v>
      </c>
      <c r="E30" s="162">
        <v>335.65</v>
      </c>
      <c r="F30" s="163">
        <v>55.222600399999997</v>
      </c>
    </row>
    <row r="31" spans="1:6" x14ac:dyDescent="0.25">
      <c r="A31" s="159" t="s">
        <v>493</v>
      </c>
      <c r="B31" s="159" t="s">
        <v>1176</v>
      </c>
      <c r="C31" s="160" t="s">
        <v>1094</v>
      </c>
      <c r="D31" s="161">
        <v>212.33</v>
      </c>
      <c r="E31" s="162">
        <v>214.68</v>
      </c>
      <c r="F31" s="163">
        <v>123.68022030000002</v>
      </c>
    </row>
    <row r="32" spans="1:6" x14ac:dyDescent="0.25">
      <c r="A32" s="159" t="s">
        <v>493</v>
      </c>
      <c r="B32" s="159" t="s">
        <v>1177</v>
      </c>
      <c r="C32" s="160" t="s">
        <v>1094</v>
      </c>
      <c r="D32" s="161">
        <v>1853.74</v>
      </c>
      <c r="E32" s="162">
        <v>1868.5</v>
      </c>
      <c r="F32" s="163">
        <v>153.96482080000001</v>
      </c>
    </row>
    <row r="33" spans="1:6" x14ac:dyDescent="0.25">
      <c r="A33" s="159" t="s">
        <v>493</v>
      </c>
      <c r="B33" s="159" t="s">
        <v>1178</v>
      </c>
      <c r="C33" s="160" t="s">
        <v>1094</v>
      </c>
      <c r="D33" s="161">
        <v>2119.48</v>
      </c>
      <c r="E33" s="162">
        <v>2088.3000000000002</v>
      </c>
      <c r="F33" s="163">
        <v>301.48548</v>
      </c>
    </row>
    <row r="34" spans="1:6" x14ac:dyDescent="0.25">
      <c r="A34" s="159" t="s">
        <v>493</v>
      </c>
      <c r="B34" s="159" t="s">
        <v>1179</v>
      </c>
      <c r="C34" s="160" t="s">
        <v>1094</v>
      </c>
      <c r="D34" s="161">
        <v>1560.93</v>
      </c>
      <c r="E34" s="162">
        <v>1568.8</v>
      </c>
      <c r="F34" s="163">
        <v>305.40758399999999</v>
      </c>
    </row>
    <row r="35" spans="1:6" x14ac:dyDescent="0.25">
      <c r="A35" s="159" t="s">
        <v>493</v>
      </c>
      <c r="B35" s="159" t="s">
        <v>1180</v>
      </c>
      <c r="C35" s="160" t="s">
        <v>1094</v>
      </c>
      <c r="D35" s="161">
        <v>805.26</v>
      </c>
      <c r="E35" s="162">
        <v>818.05</v>
      </c>
      <c r="F35" s="163">
        <v>484.01294640000003</v>
      </c>
    </row>
    <row r="36" spans="1:6" x14ac:dyDescent="0.25">
      <c r="A36" s="159" t="s">
        <v>493</v>
      </c>
      <c r="B36" s="159" t="s">
        <v>1181</v>
      </c>
      <c r="C36" s="160" t="s">
        <v>1094</v>
      </c>
      <c r="D36" s="161">
        <v>1435.42</v>
      </c>
      <c r="E36" s="162">
        <v>1429.5</v>
      </c>
      <c r="F36" s="163">
        <v>503.44499999999999</v>
      </c>
    </row>
    <row r="37" spans="1:6" x14ac:dyDescent="0.25">
      <c r="A37" s="159" t="s">
        <v>493</v>
      </c>
      <c r="B37" s="159" t="s">
        <v>1182</v>
      </c>
      <c r="C37" s="160" t="s">
        <v>1094</v>
      </c>
      <c r="D37" s="161">
        <v>1944.95</v>
      </c>
      <c r="E37" s="162">
        <v>1954.2</v>
      </c>
      <c r="F37" s="163">
        <v>1802.8121083999999</v>
      </c>
    </row>
    <row r="38" spans="1:6" x14ac:dyDescent="0.25">
      <c r="A38" s="159"/>
      <c r="B38" s="159"/>
      <c r="C38" s="160"/>
      <c r="D38" s="161"/>
      <c r="E38" s="162"/>
      <c r="F38" s="163"/>
    </row>
    <row r="39" spans="1:6" x14ac:dyDescent="0.25">
      <c r="A39" s="159" t="s">
        <v>621</v>
      </c>
      <c r="B39" s="159" t="s">
        <v>1183</v>
      </c>
      <c r="C39" s="160" t="s">
        <v>1094</v>
      </c>
      <c r="D39" s="161">
        <v>473.07</v>
      </c>
      <c r="E39" s="162">
        <v>470.85</v>
      </c>
      <c r="F39" s="163">
        <v>3.7453464000000003</v>
      </c>
    </row>
    <row r="40" spans="1:6" x14ac:dyDescent="0.25">
      <c r="A40" s="159" t="s">
        <v>621</v>
      </c>
      <c r="B40" s="159" t="s">
        <v>1184</v>
      </c>
      <c r="C40" s="160" t="s">
        <v>1094</v>
      </c>
      <c r="D40" s="161">
        <v>145.28</v>
      </c>
      <c r="E40" s="162">
        <v>142.82</v>
      </c>
      <c r="F40" s="163">
        <v>5.5598888000000004</v>
      </c>
    </row>
    <row r="41" spans="1:6" x14ac:dyDescent="0.25">
      <c r="A41" s="159" t="s">
        <v>621</v>
      </c>
      <c r="B41" s="159" t="s">
        <v>1175</v>
      </c>
      <c r="C41" s="160" t="s">
        <v>1094</v>
      </c>
      <c r="D41" s="161">
        <v>350.74</v>
      </c>
      <c r="E41" s="162">
        <v>335.65</v>
      </c>
      <c r="F41" s="163">
        <v>8.5690242000000012</v>
      </c>
    </row>
    <row r="42" spans="1:6" x14ac:dyDescent="0.25">
      <c r="A42" s="159" t="s">
        <v>621</v>
      </c>
      <c r="B42" s="159" t="s">
        <v>1185</v>
      </c>
      <c r="C42" s="160" t="s">
        <v>1094</v>
      </c>
      <c r="D42" s="161">
        <v>779.22</v>
      </c>
      <c r="E42" s="162">
        <v>801.7</v>
      </c>
      <c r="F42" s="163">
        <v>13.125024000000002</v>
      </c>
    </row>
    <row r="43" spans="1:6" x14ac:dyDescent="0.25">
      <c r="A43" s="159" t="s">
        <v>621</v>
      </c>
      <c r="B43" s="159" t="s">
        <v>1186</v>
      </c>
      <c r="C43" s="160" t="s">
        <v>1094</v>
      </c>
      <c r="D43" s="161">
        <v>405.89</v>
      </c>
      <c r="E43" s="162">
        <v>399.8</v>
      </c>
      <c r="F43" s="163">
        <v>11.8248645</v>
      </c>
    </row>
    <row r="44" spans="1:6" x14ac:dyDescent="0.25">
      <c r="A44" s="159" t="s">
        <v>621</v>
      </c>
      <c r="B44" s="159" t="s">
        <v>1167</v>
      </c>
      <c r="C44" s="160" t="s">
        <v>1094</v>
      </c>
      <c r="D44" s="161">
        <v>2053.7399999999998</v>
      </c>
      <c r="E44" s="162">
        <v>2029.4</v>
      </c>
      <c r="F44" s="163">
        <v>12.496102499999999</v>
      </c>
    </row>
    <row r="45" spans="1:6" x14ac:dyDescent="0.25">
      <c r="A45" s="159" t="s">
        <v>621</v>
      </c>
      <c r="B45" s="159" t="s">
        <v>1163</v>
      </c>
      <c r="C45" s="160" t="s">
        <v>1094</v>
      </c>
      <c r="D45" s="161">
        <v>3110.63</v>
      </c>
      <c r="E45" s="162">
        <v>2989</v>
      </c>
      <c r="F45" s="163">
        <v>23.165412600000003</v>
      </c>
    </row>
    <row r="46" spans="1:6" x14ac:dyDescent="0.25">
      <c r="A46" s="159" t="s">
        <v>621</v>
      </c>
      <c r="B46" s="159" t="s">
        <v>1187</v>
      </c>
      <c r="C46" s="160" t="s">
        <v>1094</v>
      </c>
      <c r="D46" s="161">
        <v>1168.0999999999999</v>
      </c>
      <c r="E46" s="162">
        <v>1155.2</v>
      </c>
      <c r="F46" s="163">
        <v>31.061515199999999</v>
      </c>
    </row>
    <row r="47" spans="1:6" x14ac:dyDescent="0.25">
      <c r="A47" s="159" t="s">
        <v>621</v>
      </c>
      <c r="B47" s="159" t="s">
        <v>1176</v>
      </c>
      <c r="C47" s="160" t="s">
        <v>1094</v>
      </c>
      <c r="D47" s="161">
        <v>210.2</v>
      </c>
      <c r="E47" s="162">
        <v>214.68</v>
      </c>
      <c r="F47" s="163">
        <v>50.3882379</v>
      </c>
    </row>
    <row r="48" spans="1:6" x14ac:dyDescent="0.25">
      <c r="A48" s="159" t="s">
        <v>621</v>
      </c>
      <c r="B48" s="159" t="s">
        <v>1188</v>
      </c>
      <c r="C48" s="160" t="s">
        <v>1094</v>
      </c>
      <c r="D48" s="161">
        <v>107.4</v>
      </c>
      <c r="E48" s="162">
        <v>115.33</v>
      </c>
      <c r="F48" s="163">
        <v>47.665295</v>
      </c>
    </row>
    <row r="49" spans="1:6" x14ac:dyDescent="0.25">
      <c r="A49" s="159" t="s">
        <v>621</v>
      </c>
      <c r="B49" s="159" t="s">
        <v>1189</v>
      </c>
      <c r="C49" s="160" t="s">
        <v>1094</v>
      </c>
      <c r="D49" s="161">
        <v>1137.0999999999999</v>
      </c>
      <c r="E49" s="162">
        <v>1113.2</v>
      </c>
      <c r="F49" s="163">
        <v>35.043282300000001</v>
      </c>
    </row>
    <row r="50" spans="1:6" x14ac:dyDescent="0.25">
      <c r="A50" s="159" t="s">
        <v>621</v>
      </c>
      <c r="B50" s="159" t="s">
        <v>1190</v>
      </c>
      <c r="C50" s="160" t="s">
        <v>1094</v>
      </c>
      <c r="D50" s="161">
        <v>101.14</v>
      </c>
      <c r="E50" s="162">
        <v>106.47</v>
      </c>
      <c r="F50" s="163">
        <v>50.233919999999998</v>
      </c>
    </row>
    <row r="51" spans="1:6" x14ac:dyDescent="0.25">
      <c r="A51" s="159" t="s">
        <v>621</v>
      </c>
      <c r="B51" s="159" t="s">
        <v>1191</v>
      </c>
      <c r="C51" s="160" t="s">
        <v>1094</v>
      </c>
      <c r="D51" s="161">
        <v>163.78</v>
      </c>
      <c r="E51" s="162">
        <v>161.9</v>
      </c>
      <c r="F51" s="163">
        <v>45.129150000000003</v>
      </c>
    </row>
    <row r="52" spans="1:6" x14ac:dyDescent="0.25">
      <c r="A52" s="159" t="s">
        <v>621</v>
      </c>
      <c r="B52" s="159" t="s">
        <v>1158</v>
      </c>
      <c r="C52" s="160" t="s">
        <v>1094</v>
      </c>
      <c r="D52" s="161">
        <v>1806.85</v>
      </c>
      <c r="E52" s="162">
        <v>1821.5</v>
      </c>
      <c r="F52" s="163">
        <v>40.087822500000001</v>
      </c>
    </row>
    <row r="53" spans="1:6" x14ac:dyDescent="0.25">
      <c r="A53" s="159" t="s">
        <v>621</v>
      </c>
      <c r="B53" s="159" t="s">
        <v>1192</v>
      </c>
      <c r="C53" s="160" t="s">
        <v>1094</v>
      </c>
      <c r="D53" s="161">
        <v>222.18</v>
      </c>
      <c r="E53" s="162">
        <v>223.4</v>
      </c>
      <c r="F53" s="163">
        <v>84.747858399999998</v>
      </c>
    </row>
    <row r="54" spans="1:6" x14ac:dyDescent="0.25">
      <c r="A54" s="159" t="s">
        <v>621</v>
      </c>
      <c r="B54" s="159" t="s">
        <v>1193</v>
      </c>
      <c r="C54" s="160" t="s">
        <v>1094</v>
      </c>
      <c r="D54" s="161">
        <v>1497.05</v>
      </c>
      <c r="E54" s="162">
        <v>1474.2</v>
      </c>
      <c r="F54" s="163">
        <v>42.594014999999999</v>
      </c>
    </row>
    <row r="55" spans="1:6" x14ac:dyDescent="0.25">
      <c r="A55" s="159" t="s">
        <v>621</v>
      </c>
      <c r="B55" s="159" t="s">
        <v>1194</v>
      </c>
      <c r="C55" s="160" t="s">
        <v>1094</v>
      </c>
      <c r="D55" s="161">
        <v>403.15</v>
      </c>
      <c r="E55" s="162">
        <v>392.05</v>
      </c>
      <c r="F55" s="163">
        <v>61.700077999999998</v>
      </c>
    </row>
    <row r="56" spans="1:6" x14ac:dyDescent="0.25">
      <c r="A56" s="159" t="s">
        <v>621</v>
      </c>
      <c r="B56" s="159" t="s">
        <v>1174</v>
      </c>
      <c r="C56" s="160" t="s">
        <v>1094</v>
      </c>
      <c r="D56" s="161">
        <v>2377.96</v>
      </c>
      <c r="E56" s="162">
        <v>2338.6</v>
      </c>
      <c r="F56" s="163">
        <v>52.81353</v>
      </c>
    </row>
    <row r="57" spans="1:6" x14ac:dyDescent="0.25">
      <c r="A57" s="159" t="s">
        <v>621</v>
      </c>
      <c r="B57" s="159" t="s">
        <v>1195</v>
      </c>
      <c r="C57" s="160" t="s">
        <v>1094</v>
      </c>
      <c r="D57" s="161">
        <v>716</v>
      </c>
      <c r="E57" s="162">
        <v>716.7</v>
      </c>
      <c r="F57" s="163">
        <v>79.166870400000008</v>
      </c>
    </row>
    <row r="58" spans="1:6" x14ac:dyDescent="0.25">
      <c r="A58" s="159" t="s">
        <v>621</v>
      </c>
      <c r="B58" s="159" t="s">
        <v>1196</v>
      </c>
      <c r="C58" s="160" t="s">
        <v>1094</v>
      </c>
      <c r="D58" s="161">
        <v>243.24</v>
      </c>
      <c r="E58" s="162">
        <v>251.41</v>
      </c>
      <c r="F58" s="163">
        <v>83.860234200000008</v>
      </c>
    </row>
    <row r="59" spans="1:6" x14ac:dyDescent="0.25">
      <c r="A59" s="159" t="s">
        <v>621</v>
      </c>
      <c r="B59" s="159" t="s">
        <v>1177</v>
      </c>
      <c r="C59" s="160" t="s">
        <v>1094</v>
      </c>
      <c r="D59" s="161">
        <v>1845.82</v>
      </c>
      <c r="E59" s="162">
        <v>1868.5</v>
      </c>
      <c r="F59" s="163">
        <v>75.411340800000005</v>
      </c>
    </row>
    <row r="60" spans="1:6" x14ac:dyDescent="0.25">
      <c r="A60" s="159" t="s">
        <v>621</v>
      </c>
      <c r="B60" s="159" t="s">
        <v>1197</v>
      </c>
      <c r="C60" s="160" t="s">
        <v>1094</v>
      </c>
      <c r="D60" s="161">
        <v>764.14</v>
      </c>
      <c r="E60" s="162">
        <v>773.85</v>
      </c>
      <c r="F60" s="163">
        <v>96.597695000000002</v>
      </c>
    </row>
    <row r="61" spans="1:6" x14ac:dyDescent="0.25">
      <c r="A61" s="159" t="s">
        <v>621</v>
      </c>
      <c r="B61" s="159" t="s">
        <v>1182</v>
      </c>
      <c r="C61" s="160" t="s">
        <v>1094</v>
      </c>
      <c r="D61" s="161">
        <v>1941.32</v>
      </c>
      <c r="E61" s="162">
        <v>1954.2</v>
      </c>
      <c r="F61" s="163">
        <v>82.801391199999998</v>
      </c>
    </row>
    <row r="62" spans="1:6" x14ac:dyDescent="0.25">
      <c r="A62" s="159" t="s">
        <v>621</v>
      </c>
      <c r="B62" s="159" t="s">
        <v>1198</v>
      </c>
      <c r="C62" s="160" t="s">
        <v>1094</v>
      </c>
      <c r="D62" s="161">
        <v>658.75</v>
      </c>
      <c r="E62" s="162">
        <v>637.5</v>
      </c>
      <c r="F62" s="163">
        <v>108.56094899999998</v>
      </c>
    </row>
    <row r="63" spans="1:6" x14ac:dyDescent="0.25">
      <c r="A63" s="159" t="s">
        <v>621</v>
      </c>
      <c r="B63" s="159" t="s">
        <v>1169</v>
      </c>
      <c r="C63" s="160" t="s">
        <v>1094</v>
      </c>
      <c r="D63" s="161">
        <v>1688.75</v>
      </c>
      <c r="E63" s="162">
        <v>1687.4</v>
      </c>
      <c r="F63" s="163">
        <v>99.256338999999997</v>
      </c>
    </row>
    <row r="64" spans="1:6" x14ac:dyDescent="0.25">
      <c r="A64" s="159" t="s">
        <v>621</v>
      </c>
      <c r="B64" s="159" t="s">
        <v>1178</v>
      </c>
      <c r="C64" s="160" t="s">
        <v>1094</v>
      </c>
      <c r="D64" s="161">
        <v>2120.1</v>
      </c>
      <c r="E64" s="162">
        <v>2088.3000000000002</v>
      </c>
      <c r="F64" s="163">
        <v>110.84025</v>
      </c>
    </row>
    <row r="65" spans="1:6" x14ac:dyDescent="0.25">
      <c r="A65" s="159" t="s">
        <v>621</v>
      </c>
      <c r="B65" s="159" t="s">
        <v>1168</v>
      </c>
      <c r="C65" s="160" t="s">
        <v>1094</v>
      </c>
      <c r="D65" s="161">
        <v>3613.17</v>
      </c>
      <c r="E65" s="162">
        <v>3656.2</v>
      </c>
      <c r="F65" s="163">
        <v>121.99866249999999</v>
      </c>
    </row>
    <row r="66" spans="1:6" x14ac:dyDescent="0.25">
      <c r="A66" s="159" t="s">
        <v>621</v>
      </c>
      <c r="B66" s="159" t="s">
        <v>1170</v>
      </c>
      <c r="C66" s="160" t="s">
        <v>1094</v>
      </c>
      <c r="D66" s="161">
        <v>3463.48</v>
      </c>
      <c r="E66" s="162">
        <v>3454.5</v>
      </c>
      <c r="F66" s="163">
        <v>123.663267</v>
      </c>
    </row>
    <row r="67" spans="1:6" x14ac:dyDescent="0.25">
      <c r="A67" s="159" t="s">
        <v>621</v>
      </c>
      <c r="B67" s="159" t="s">
        <v>1199</v>
      </c>
      <c r="C67" s="160" t="s">
        <v>1094</v>
      </c>
      <c r="D67" s="161">
        <v>2488.4299999999998</v>
      </c>
      <c r="E67" s="162">
        <v>2529.6999999999998</v>
      </c>
      <c r="F67" s="163">
        <v>206.06063400000002</v>
      </c>
    </row>
    <row r="68" spans="1:6" x14ac:dyDescent="0.25">
      <c r="A68" s="159" t="s">
        <v>621</v>
      </c>
      <c r="B68" s="159" t="s">
        <v>1200</v>
      </c>
      <c r="C68" s="160" t="s">
        <v>1094</v>
      </c>
      <c r="D68" s="161">
        <v>9209.92</v>
      </c>
      <c r="E68" s="162">
        <v>9221.5</v>
      </c>
      <c r="F68" s="163">
        <v>124.4640218</v>
      </c>
    </row>
    <row r="69" spans="1:6" x14ac:dyDescent="0.25">
      <c r="A69" s="159" t="s">
        <v>621</v>
      </c>
      <c r="B69" s="159" t="s">
        <v>1179</v>
      </c>
      <c r="C69" s="160" t="s">
        <v>1094</v>
      </c>
      <c r="D69" s="161">
        <v>1551.76</v>
      </c>
      <c r="E69" s="162">
        <v>1568.8</v>
      </c>
      <c r="F69" s="163">
        <v>131.37017399999999</v>
      </c>
    </row>
    <row r="70" spans="1:6" x14ac:dyDescent="0.25">
      <c r="A70" s="159" t="s">
        <v>621</v>
      </c>
      <c r="B70" s="159" t="s">
        <v>1201</v>
      </c>
      <c r="C70" s="160" t="s">
        <v>1094</v>
      </c>
      <c r="D70" s="161">
        <v>563.05999999999995</v>
      </c>
      <c r="E70" s="162">
        <v>554.29999999999995</v>
      </c>
      <c r="F70" s="163">
        <v>170.11224000000001</v>
      </c>
    </row>
    <row r="71" spans="1:6" x14ac:dyDescent="0.25">
      <c r="A71" s="159" t="s">
        <v>621</v>
      </c>
      <c r="B71" s="159" t="s">
        <v>1202</v>
      </c>
      <c r="C71" s="160" t="s">
        <v>1094</v>
      </c>
      <c r="D71" s="161">
        <v>391.43</v>
      </c>
      <c r="E71" s="162">
        <v>386.35</v>
      </c>
      <c r="F71" s="163">
        <v>258.96780000000001</v>
      </c>
    </row>
    <row r="72" spans="1:6" x14ac:dyDescent="0.25">
      <c r="A72" s="159" t="s">
        <v>621</v>
      </c>
      <c r="B72" s="159" t="s">
        <v>1203</v>
      </c>
      <c r="C72" s="160" t="s">
        <v>1094</v>
      </c>
      <c r="D72" s="161">
        <v>1208.01</v>
      </c>
      <c r="E72" s="162">
        <v>1200.0999999999999</v>
      </c>
      <c r="F72" s="163">
        <v>258.69475140000003</v>
      </c>
    </row>
    <row r="73" spans="1:6" x14ac:dyDescent="0.25">
      <c r="A73" s="159" t="s">
        <v>621</v>
      </c>
      <c r="B73" s="159" t="s">
        <v>1204</v>
      </c>
      <c r="C73" s="160" t="s">
        <v>1094</v>
      </c>
      <c r="D73" s="161">
        <v>428.27</v>
      </c>
      <c r="E73" s="162">
        <v>420.1</v>
      </c>
      <c r="F73" s="163">
        <v>347.189168</v>
      </c>
    </row>
    <row r="74" spans="1:6" x14ac:dyDescent="0.25">
      <c r="A74" s="159" t="s">
        <v>621</v>
      </c>
      <c r="B74" s="159" t="s">
        <v>1166</v>
      </c>
      <c r="C74" s="160" t="s">
        <v>1094</v>
      </c>
      <c r="D74" s="161">
        <v>1470.33</v>
      </c>
      <c r="E74" s="162">
        <v>1455.3</v>
      </c>
      <c r="F74" s="163">
        <v>401.80068599999993</v>
      </c>
    </row>
    <row r="75" spans="1:6" x14ac:dyDescent="0.25">
      <c r="A75" s="159" t="s">
        <v>621</v>
      </c>
      <c r="B75" s="159" t="s">
        <v>1181</v>
      </c>
      <c r="C75" s="160" t="s">
        <v>1094</v>
      </c>
      <c r="D75" s="161">
        <v>1437.56</v>
      </c>
      <c r="E75" s="162">
        <v>1429.5</v>
      </c>
      <c r="F75" s="163">
        <v>478.27274999999997</v>
      </c>
    </row>
    <row r="76" spans="1:6" x14ac:dyDescent="0.25">
      <c r="A76" s="159"/>
      <c r="B76" s="159"/>
      <c r="C76" s="160"/>
      <c r="D76" s="161"/>
      <c r="E76" s="162"/>
      <c r="F76" s="163"/>
    </row>
    <row r="77" spans="1:6" x14ac:dyDescent="0.25">
      <c r="A77" s="159" t="s">
        <v>647</v>
      </c>
      <c r="B77" s="159" t="s">
        <v>1203</v>
      </c>
      <c r="C77" s="160" t="s">
        <v>1094</v>
      </c>
      <c r="D77" s="161">
        <v>1228.3</v>
      </c>
      <c r="E77" s="162">
        <v>1200.0999999999999</v>
      </c>
      <c r="F77" s="163">
        <v>2.6669562</v>
      </c>
    </row>
    <row r="78" spans="1:6" x14ac:dyDescent="0.25">
      <c r="A78" s="159" t="s">
        <v>647</v>
      </c>
      <c r="B78" s="159" t="s">
        <v>1171</v>
      </c>
      <c r="C78" s="160" t="s">
        <v>1094</v>
      </c>
      <c r="D78" s="161">
        <v>2689.7</v>
      </c>
      <c r="E78" s="162">
        <v>2560.1999999999998</v>
      </c>
      <c r="F78" s="163">
        <v>4.5685852000000002</v>
      </c>
    </row>
    <row r="79" spans="1:6" x14ac:dyDescent="0.25">
      <c r="A79" s="159" t="s">
        <v>647</v>
      </c>
      <c r="B79" s="159" t="s">
        <v>1205</v>
      </c>
      <c r="C79" s="160" t="s">
        <v>1094</v>
      </c>
      <c r="D79" s="161">
        <v>1346.23</v>
      </c>
      <c r="E79" s="162">
        <v>1333</v>
      </c>
      <c r="F79" s="163">
        <v>14.706296000000002</v>
      </c>
    </row>
    <row r="80" spans="1:6" x14ac:dyDescent="0.25">
      <c r="A80" s="159" t="s">
        <v>647</v>
      </c>
      <c r="B80" s="159" t="s">
        <v>1206</v>
      </c>
      <c r="C80" s="160" t="s">
        <v>1094</v>
      </c>
      <c r="D80" s="161">
        <v>3617.11</v>
      </c>
      <c r="E80" s="162">
        <v>3571</v>
      </c>
      <c r="F80" s="163">
        <v>22.285462000000003</v>
      </c>
    </row>
    <row r="81" spans="1:6" x14ac:dyDescent="0.25">
      <c r="A81" s="159" t="s">
        <v>647</v>
      </c>
      <c r="B81" s="159" t="s">
        <v>1207</v>
      </c>
      <c r="C81" s="160" t="s">
        <v>1094</v>
      </c>
      <c r="D81" s="161">
        <v>194.05</v>
      </c>
      <c r="E81" s="162">
        <v>190.84</v>
      </c>
      <c r="F81" s="163">
        <v>30.003495000000001</v>
      </c>
    </row>
    <row r="82" spans="1:6" x14ac:dyDescent="0.25">
      <c r="A82" s="159" t="s">
        <v>647</v>
      </c>
      <c r="B82" s="159" t="s">
        <v>1204</v>
      </c>
      <c r="C82" s="160" t="s">
        <v>1094</v>
      </c>
      <c r="D82" s="161">
        <v>433.55</v>
      </c>
      <c r="E82" s="162">
        <v>420.1</v>
      </c>
      <c r="F82" s="163">
        <v>33.292111999999996</v>
      </c>
    </row>
    <row r="83" spans="1:6" x14ac:dyDescent="0.25">
      <c r="A83" s="159" t="s">
        <v>647</v>
      </c>
      <c r="B83" s="159" t="s">
        <v>1174</v>
      </c>
      <c r="C83" s="160" t="s">
        <v>1094</v>
      </c>
      <c r="D83" s="161">
        <v>2373.1999999999998</v>
      </c>
      <c r="E83" s="162">
        <v>2338.6</v>
      </c>
      <c r="F83" s="163">
        <v>47.783670000000001</v>
      </c>
    </row>
    <row r="84" spans="1:6" x14ac:dyDescent="0.25">
      <c r="A84" s="159" t="s">
        <v>647</v>
      </c>
      <c r="B84" s="159" t="s">
        <v>1170</v>
      </c>
      <c r="C84" s="160" t="s">
        <v>1094</v>
      </c>
      <c r="D84" s="161">
        <v>3528.67</v>
      </c>
      <c r="E84" s="162">
        <v>3454.5</v>
      </c>
      <c r="F84" s="163">
        <v>50.983978500000006</v>
      </c>
    </row>
    <row r="85" spans="1:6" x14ac:dyDescent="0.25">
      <c r="A85" s="159" t="s">
        <v>647</v>
      </c>
      <c r="B85" s="159" t="s">
        <v>1195</v>
      </c>
      <c r="C85" s="160" t="s">
        <v>1094</v>
      </c>
      <c r="D85" s="161">
        <v>731.93</v>
      </c>
      <c r="E85" s="162">
        <v>716.7</v>
      </c>
      <c r="F85" s="163">
        <v>94.010658600000014</v>
      </c>
    </row>
    <row r="86" spans="1:6" x14ac:dyDescent="0.25">
      <c r="A86" s="159" t="s">
        <v>647</v>
      </c>
      <c r="B86" s="159" t="s">
        <v>1182</v>
      </c>
      <c r="C86" s="160" t="s">
        <v>1094</v>
      </c>
      <c r="D86" s="161">
        <v>1950.1</v>
      </c>
      <c r="E86" s="162">
        <v>1954.2</v>
      </c>
      <c r="F86" s="163">
        <v>84.683240999999995</v>
      </c>
    </row>
    <row r="87" spans="1:6" x14ac:dyDescent="0.25">
      <c r="A87" s="159" t="s">
        <v>647</v>
      </c>
      <c r="B87" s="159" t="s">
        <v>1198</v>
      </c>
      <c r="C87" s="160" t="s">
        <v>1094</v>
      </c>
      <c r="D87" s="161">
        <v>668.27</v>
      </c>
      <c r="E87" s="162">
        <v>637.5</v>
      </c>
      <c r="F87" s="163">
        <v>131.02183500000001</v>
      </c>
    </row>
    <row r="88" spans="1:6" x14ac:dyDescent="0.25">
      <c r="A88" s="159" t="s">
        <v>647</v>
      </c>
      <c r="B88" s="159" t="s">
        <v>1179</v>
      </c>
      <c r="C88" s="160" t="s">
        <v>1094</v>
      </c>
      <c r="D88" s="161">
        <v>1566.81</v>
      </c>
      <c r="E88" s="162">
        <v>1568.8</v>
      </c>
      <c r="F88" s="163">
        <v>135.86146199999999</v>
      </c>
    </row>
    <row r="89" spans="1:6" x14ac:dyDescent="0.25">
      <c r="A89" s="159" t="s">
        <v>647</v>
      </c>
      <c r="B89" s="159" t="s">
        <v>1167</v>
      </c>
      <c r="C89" s="160" t="s">
        <v>1094</v>
      </c>
      <c r="D89" s="161">
        <v>2076.31</v>
      </c>
      <c r="E89" s="162">
        <v>2029.4</v>
      </c>
      <c r="F89" s="163">
        <v>271.34393999999998</v>
      </c>
    </row>
    <row r="90" spans="1:6" x14ac:dyDescent="0.25">
      <c r="A90" s="159" t="s">
        <v>647</v>
      </c>
      <c r="B90" s="159" t="s">
        <v>1166</v>
      </c>
      <c r="C90" s="160" t="s">
        <v>1094</v>
      </c>
      <c r="D90" s="161">
        <v>1473.7</v>
      </c>
      <c r="E90" s="162">
        <v>1455.3</v>
      </c>
      <c r="F90" s="163">
        <v>296.82573200000002</v>
      </c>
    </row>
    <row r="91" spans="1:6" x14ac:dyDescent="0.25">
      <c r="A91" s="159" t="s">
        <v>647</v>
      </c>
      <c r="B91" s="159" t="s">
        <v>1193</v>
      </c>
      <c r="C91" s="160" t="s">
        <v>1094</v>
      </c>
      <c r="D91" s="161">
        <v>1492.74</v>
      </c>
      <c r="E91" s="162">
        <v>1474.2</v>
      </c>
      <c r="F91" s="163">
        <v>337.34459880000003</v>
      </c>
    </row>
    <row r="92" spans="1:6" x14ac:dyDescent="0.25">
      <c r="A92" s="159" t="s">
        <v>647</v>
      </c>
      <c r="B92" s="159" t="s">
        <v>1188</v>
      </c>
      <c r="C92" s="160" t="s">
        <v>1094</v>
      </c>
      <c r="D92" s="161">
        <v>107.6</v>
      </c>
      <c r="E92" s="162">
        <v>115.33</v>
      </c>
      <c r="F92" s="163">
        <v>541.47775119999994</v>
      </c>
    </row>
    <row r="93" spans="1:6" x14ac:dyDescent="0.25">
      <c r="A93" s="159" t="s">
        <v>647</v>
      </c>
      <c r="B93" s="159" t="s">
        <v>1181</v>
      </c>
      <c r="C93" s="160" t="s">
        <v>1094</v>
      </c>
      <c r="D93" s="161">
        <v>1443.82</v>
      </c>
      <c r="E93" s="162">
        <v>1429.5</v>
      </c>
      <c r="F93" s="163">
        <v>405.27322500000002</v>
      </c>
    </row>
    <row r="94" spans="1:6" x14ac:dyDescent="0.25">
      <c r="A94" s="159" t="s">
        <v>647</v>
      </c>
      <c r="B94" s="159" t="s">
        <v>1196</v>
      </c>
      <c r="C94" s="160" t="s">
        <v>1094</v>
      </c>
      <c r="D94" s="161">
        <v>242.95</v>
      </c>
      <c r="E94" s="162">
        <v>251.41</v>
      </c>
      <c r="F94" s="163">
        <v>493.84360140000001</v>
      </c>
    </row>
    <row r="95" spans="1:6" x14ac:dyDescent="0.25">
      <c r="A95" s="159" t="s">
        <v>647</v>
      </c>
      <c r="B95" s="159" t="s">
        <v>1177</v>
      </c>
      <c r="C95" s="160" t="s">
        <v>1094</v>
      </c>
      <c r="D95" s="161">
        <v>1852.21</v>
      </c>
      <c r="E95" s="162">
        <v>1868.5</v>
      </c>
      <c r="F95" s="163">
        <v>417.90451359999997</v>
      </c>
    </row>
    <row r="96" spans="1:6" x14ac:dyDescent="0.25">
      <c r="A96" s="159" t="s">
        <v>647</v>
      </c>
      <c r="B96" s="159" t="s">
        <v>1178</v>
      </c>
      <c r="C96" s="160" t="s">
        <v>1094</v>
      </c>
      <c r="D96" s="161">
        <v>2098.39</v>
      </c>
      <c r="E96" s="162">
        <v>2088.3000000000002</v>
      </c>
      <c r="F96" s="163">
        <v>453.70609000000002</v>
      </c>
    </row>
    <row r="97" spans="1:6" x14ac:dyDescent="0.25">
      <c r="A97" s="159"/>
      <c r="B97" s="159"/>
      <c r="C97" s="160"/>
      <c r="D97" s="161"/>
      <c r="E97" s="162"/>
      <c r="F97" s="163"/>
    </row>
    <row r="98" spans="1:6" x14ac:dyDescent="0.25">
      <c r="A98" s="159" t="s">
        <v>679</v>
      </c>
      <c r="B98" s="159" t="s">
        <v>1206</v>
      </c>
      <c r="C98" s="160" t="s">
        <v>1094</v>
      </c>
      <c r="D98" s="161">
        <v>3615.4</v>
      </c>
      <c r="E98" s="162">
        <v>3571</v>
      </c>
      <c r="F98" s="163">
        <v>1.1142730999999999</v>
      </c>
    </row>
    <row r="99" spans="1:6" x14ac:dyDescent="0.25">
      <c r="A99" s="159" t="s">
        <v>679</v>
      </c>
      <c r="B99" s="159" t="s">
        <v>1202</v>
      </c>
      <c r="C99" s="160" t="s">
        <v>1094</v>
      </c>
      <c r="D99" s="161">
        <v>379.3</v>
      </c>
      <c r="E99" s="162">
        <v>386.35</v>
      </c>
      <c r="F99" s="163">
        <v>3.0829499999999999</v>
      </c>
    </row>
    <row r="100" spans="1:6" x14ac:dyDescent="0.25">
      <c r="A100" s="159" t="s">
        <v>679</v>
      </c>
      <c r="B100" s="159" t="s">
        <v>1201</v>
      </c>
      <c r="C100" s="160" t="s">
        <v>1094</v>
      </c>
      <c r="D100" s="161">
        <v>567.49</v>
      </c>
      <c r="E100" s="162">
        <v>554.29999999999995</v>
      </c>
      <c r="F100" s="163">
        <v>10.632015000000001</v>
      </c>
    </row>
    <row r="101" spans="1:6" x14ac:dyDescent="0.25">
      <c r="A101" s="159" t="s">
        <v>679</v>
      </c>
      <c r="B101" s="159" t="s">
        <v>1171</v>
      </c>
      <c r="C101" s="160" t="s">
        <v>1094</v>
      </c>
      <c r="D101" s="161">
        <v>2689.49</v>
      </c>
      <c r="E101" s="162">
        <v>2560.1999999999998</v>
      </c>
      <c r="F101" s="163">
        <v>9.1371704000000005</v>
      </c>
    </row>
    <row r="102" spans="1:6" x14ac:dyDescent="0.25">
      <c r="A102" s="159" t="s">
        <v>679</v>
      </c>
      <c r="B102" s="159" t="s">
        <v>1200</v>
      </c>
      <c r="C102" s="160" t="s">
        <v>1094</v>
      </c>
      <c r="D102" s="161">
        <v>9318.08</v>
      </c>
      <c r="E102" s="162">
        <v>9221.5</v>
      </c>
      <c r="F102" s="163">
        <v>12.2423628</v>
      </c>
    </row>
    <row r="103" spans="1:6" x14ac:dyDescent="0.25">
      <c r="A103" s="159" t="s">
        <v>679</v>
      </c>
      <c r="B103" s="159" t="s">
        <v>1167</v>
      </c>
      <c r="C103" s="160" t="s">
        <v>1094</v>
      </c>
      <c r="D103" s="161">
        <v>2074.9899999999998</v>
      </c>
      <c r="E103" s="162">
        <v>2029.4</v>
      </c>
      <c r="F103" s="163">
        <v>21.421890000000001</v>
      </c>
    </row>
    <row r="104" spans="1:6" x14ac:dyDescent="0.25">
      <c r="A104" s="159" t="s">
        <v>679</v>
      </c>
      <c r="B104" s="159" t="s">
        <v>1208</v>
      </c>
      <c r="C104" s="160" t="s">
        <v>1094</v>
      </c>
      <c r="D104" s="161">
        <v>1993.11</v>
      </c>
      <c r="E104" s="162">
        <v>1965</v>
      </c>
      <c r="F104" s="163">
        <v>29.116742399999996</v>
      </c>
    </row>
    <row r="105" spans="1:6" x14ac:dyDescent="0.25">
      <c r="A105" s="159" t="s">
        <v>679</v>
      </c>
      <c r="B105" s="159" t="s">
        <v>1170</v>
      </c>
      <c r="C105" s="160" t="s">
        <v>1094</v>
      </c>
      <c r="D105" s="161">
        <v>3518.14</v>
      </c>
      <c r="E105" s="162">
        <v>3454.5</v>
      </c>
      <c r="F105" s="163">
        <v>28.203903000000004</v>
      </c>
    </row>
    <row r="106" spans="1:6" x14ac:dyDescent="0.25">
      <c r="A106" s="159" t="s">
        <v>679</v>
      </c>
      <c r="B106" s="159" t="s">
        <v>1166</v>
      </c>
      <c r="C106" s="160" t="s">
        <v>1094</v>
      </c>
      <c r="D106" s="161">
        <v>1468.75</v>
      </c>
      <c r="E106" s="162">
        <v>1455.3</v>
      </c>
      <c r="F106" s="163">
        <v>28.958607999999998</v>
      </c>
    </row>
    <row r="107" spans="1:6" x14ac:dyDescent="0.25">
      <c r="A107" s="159" t="s">
        <v>679</v>
      </c>
      <c r="B107" s="159" t="s">
        <v>1195</v>
      </c>
      <c r="C107" s="160" t="s">
        <v>1094</v>
      </c>
      <c r="D107" s="161">
        <v>729.65</v>
      </c>
      <c r="E107" s="162">
        <v>716.7</v>
      </c>
      <c r="F107" s="163">
        <v>41.232745000000001</v>
      </c>
    </row>
    <row r="108" spans="1:6" x14ac:dyDescent="0.25">
      <c r="A108" s="159" t="s">
        <v>679</v>
      </c>
      <c r="B108" s="159" t="s">
        <v>1155</v>
      </c>
      <c r="C108" s="160" t="s">
        <v>1094</v>
      </c>
      <c r="D108" s="161">
        <v>11764.37</v>
      </c>
      <c r="E108" s="162">
        <v>11265</v>
      </c>
      <c r="F108" s="163">
        <v>34.994925000000002</v>
      </c>
    </row>
    <row r="109" spans="1:6" x14ac:dyDescent="0.25">
      <c r="A109" s="159" t="s">
        <v>679</v>
      </c>
      <c r="B109" s="159" t="s">
        <v>1163</v>
      </c>
      <c r="C109" s="160" t="s">
        <v>1094</v>
      </c>
      <c r="D109" s="161">
        <v>3096.27</v>
      </c>
      <c r="E109" s="162">
        <v>2989</v>
      </c>
      <c r="F109" s="163">
        <v>50.542718399999998</v>
      </c>
    </row>
    <row r="110" spans="1:6" x14ac:dyDescent="0.25">
      <c r="A110" s="159" t="s">
        <v>679</v>
      </c>
      <c r="B110" s="159" t="s">
        <v>1209</v>
      </c>
      <c r="C110" s="160" t="s">
        <v>1094</v>
      </c>
      <c r="D110" s="161">
        <v>1580.82</v>
      </c>
      <c r="E110" s="162">
        <v>1527.2</v>
      </c>
      <c r="F110" s="163">
        <v>49.208613999999997</v>
      </c>
    </row>
    <row r="111" spans="1:6" x14ac:dyDescent="0.25">
      <c r="A111" s="159" t="s">
        <v>679</v>
      </c>
      <c r="B111" s="159" t="s">
        <v>1185</v>
      </c>
      <c r="C111" s="160" t="s">
        <v>1094</v>
      </c>
      <c r="D111" s="161">
        <v>783.11</v>
      </c>
      <c r="E111" s="162">
        <v>801.7</v>
      </c>
      <c r="F111" s="163">
        <v>62.708447999999997</v>
      </c>
    </row>
    <row r="112" spans="1:6" x14ac:dyDescent="0.25">
      <c r="A112" s="159" t="s">
        <v>679</v>
      </c>
      <c r="B112" s="159" t="s">
        <v>1158</v>
      </c>
      <c r="C112" s="160" t="s">
        <v>1094</v>
      </c>
      <c r="D112" s="161">
        <v>1804.78</v>
      </c>
      <c r="E112" s="162">
        <v>1821.5</v>
      </c>
      <c r="F112" s="163">
        <v>51.020865000000001</v>
      </c>
    </row>
    <row r="113" spans="1:6" x14ac:dyDescent="0.25">
      <c r="A113" s="159" t="s">
        <v>679</v>
      </c>
      <c r="B113" s="159" t="s">
        <v>1199</v>
      </c>
      <c r="C113" s="160" t="s">
        <v>1094</v>
      </c>
      <c r="D113" s="161">
        <v>2564.3000000000002</v>
      </c>
      <c r="E113" s="162">
        <v>2529.6999999999998</v>
      </c>
      <c r="F113" s="163">
        <v>94.071159000000009</v>
      </c>
    </row>
    <row r="114" spans="1:6" x14ac:dyDescent="0.25">
      <c r="A114" s="159" t="s">
        <v>679</v>
      </c>
      <c r="B114" s="159" t="s">
        <v>1187</v>
      </c>
      <c r="C114" s="160" t="s">
        <v>1094</v>
      </c>
      <c r="D114" s="161">
        <v>1187.3599999999999</v>
      </c>
      <c r="E114" s="162">
        <v>1155.2</v>
      </c>
      <c r="F114" s="163">
        <v>103.53838400000001</v>
      </c>
    </row>
    <row r="115" spans="1:6" x14ac:dyDescent="0.25">
      <c r="A115" s="159" t="s">
        <v>679</v>
      </c>
      <c r="B115" s="159" t="s">
        <v>1175</v>
      </c>
      <c r="C115" s="160" t="s">
        <v>1094</v>
      </c>
      <c r="D115" s="161">
        <v>347.83</v>
      </c>
      <c r="E115" s="162">
        <v>335.65</v>
      </c>
      <c r="F115" s="163">
        <v>113.3015422</v>
      </c>
    </row>
    <row r="116" spans="1:6" x14ac:dyDescent="0.25">
      <c r="A116" s="159" t="s">
        <v>679</v>
      </c>
      <c r="B116" s="159" t="s">
        <v>1165</v>
      </c>
      <c r="C116" s="160" t="s">
        <v>1094</v>
      </c>
      <c r="D116" s="161">
        <v>785.75</v>
      </c>
      <c r="E116" s="162">
        <v>779.6</v>
      </c>
      <c r="F116" s="163">
        <v>108.2259035</v>
      </c>
    </row>
    <row r="117" spans="1:6" x14ac:dyDescent="0.25">
      <c r="A117" s="159" t="s">
        <v>679</v>
      </c>
      <c r="B117" s="159" t="s">
        <v>1178</v>
      </c>
      <c r="C117" s="160" t="s">
        <v>1094</v>
      </c>
      <c r="D117" s="161">
        <v>2110.4</v>
      </c>
      <c r="E117" s="162">
        <v>2088.3000000000002</v>
      </c>
      <c r="F117" s="163">
        <v>119.70747</v>
      </c>
    </row>
    <row r="118" spans="1:6" x14ac:dyDescent="0.25">
      <c r="A118" s="159" t="s">
        <v>679</v>
      </c>
      <c r="B118" s="159" t="s">
        <v>1174</v>
      </c>
      <c r="C118" s="160" t="s">
        <v>1094</v>
      </c>
      <c r="D118" s="161">
        <v>2377.4</v>
      </c>
      <c r="E118" s="162">
        <v>2338.6</v>
      </c>
      <c r="F118" s="163">
        <v>132.03382500000001</v>
      </c>
    </row>
    <row r="119" spans="1:6" x14ac:dyDescent="0.25">
      <c r="A119" s="159" t="s">
        <v>679</v>
      </c>
      <c r="B119" s="159" t="s">
        <v>1168</v>
      </c>
      <c r="C119" s="160" t="s">
        <v>1094</v>
      </c>
      <c r="D119" s="161">
        <v>3636.48</v>
      </c>
      <c r="E119" s="162">
        <v>3656.2</v>
      </c>
      <c r="F119" s="163">
        <v>141.51844850000001</v>
      </c>
    </row>
    <row r="120" spans="1:6" x14ac:dyDescent="0.25">
      <c r="A120" s="159" t="s">
        <v>679</v>
      </c>
      <c r="B120" s="159" t="s">
        <v>1210</v>
      </c>
      <c r="C120" s="160" t="s">
        <v>1094</v>
      </c>
      <c r="D120" s="161">
        <v>2807.57</v>
      </c>
      <c r="E120" s="162">
        <v>2796.3</v>
      </c>
      <c r="F120" s="163">
        <v>157.2647475</v>
      </c>
    </row>
    <row r="121" spans="1:6" x14ac:dyDescent="0.25">
      <c r="A121" s="159" t="s">
        <v>679</v>
      </c>
      <c r="B121" s="159" t="s">
        <v>1211</v>
      </c>
      <c r="C121" s="160" t="s">
        <v>1094</v>
      </c>
      <c r="D121" s="161">
        <v>5497.14</v>
      </c>
      <c r="E121" s="162">
        <v>5363.5</v>
      </c>
      <c r="F121" s="163">
        <v>163.1952</v>
      </c>
    </row>
    <row r="122" spans="1:6" x14ac:dyDescent="0.25">
      <c r="A122" s="159" t="s">
        <v>679</v>
      </c>
      <c r="B122" s="159" t="s">
        <v>1212</v>
      </c>
      <c r="C122" s="160" t="s">
        <v>1094</v>
      </c>
      <c r="D122" s="161">
        <v>1005.16</v>
      </c>
      <c r="E122" s="162">
        <v>999.1</v>
      </c>
      <c r="F122" s="163">
        <v>164.10884160000001</v>
      </c>
    </row>
    <row r="123" spans="1:6" x14ac:dyDescent="0.25">
      <c r="A123" s="159" t="s">
        <v>679</v>
      </c>
      <c r="B123" s="159" t="s">
        <v>1198</v>
      </c>
      <c r="C123" s="160" t="s">
        <v>1094</v>
      </c>
      <c r="D123" s="161">
        <v>663.94</v>
      </c>
      <c r="E123" s="162">
        <v>637.5</v>
      </c>
      <c r="F123" s="163">
        <v>200.27623349999999</v>
      </c>
    </row>
    <row r="124" spans="1:6" x14ac:dyDescent="0.25">
      <c r="A124" s="159" t="s">
        <v>679</v>
      </c>
      <c r="B124" s="159" t="s">
        <v>1196</v>
      </c>
      <c r="C124" s="160" t="s">
        <v>1094</v>
      </c>
      <c r="D124" s="161">
        <v>243.27</v>
      </c>
      <c r="E124" s="162">
        <v>251.41</v>
      </c>
      <c r="F124" s="163">
        <v>215.86245470000003</v>
      </c>
    </row>
    <row r="125" spans="1:6" x14ac:dyDescent="0.25">
      <c r="A125" s="159" t="s">
        <v>679</v>
      </c>
      <c r="B125" s="159" t="s">
        <v>1204</v>
      </c>
      <c r="C125" s="160" t="s">
        <v>1094</v>
      </c>
      <c r="D125" s="161">
        <v>435.03</v>
      </c>
      <c r="E125" s="162">
        <v>420.1</v>
      </c>
      <c r="F125" s="163">
        <v>238.98980399999999</v>
      </c>
    </row>
    <row r="126" spans="1:6" x14ac:dyDescent="0.25">
      <c r="A126" s="159" t="s">
        <v>679</v>
      </c>
      <c r="B126" s="159" t="s">
        <v>1203</v>
      </c>
      <c r="C126" s="160" t="s">
        <v>1094</v>
      </c>
      <c r="D126" s="161">
        <v>1224.77</v>
      </c>
      <c r="E126" s="162">
        <v>1200.0999999999999</v>
      </c>
      <c r="F126" s="163">
        <v>293.365182</v>
      </c>
    </row>
    <row r="127" spans="1:6" x14ac:dyDescent="0.25">
      <c r="A127" s="159" t="s">
        <v>679</v>
      </c>
      <c r="B127" s="159" t="s">
        <v>1179</v>
      </c>
      <c r="C127" s="160" t="s">
        <v>1094</v>
      </c>
      <c r="D127" s="161">
        <v>1564.88</v>
      </c>
      <c r="E127" s="162">
        <v>1568.8</v>
      </c>
      <c r="F127" s="163">
        <v>876.92398200000002</v>
      </c>
    </row>
    <row r="128" spans="1:6" x14ac:dyDescent="0.25">
      <c r="A128" s="159" t="s">
        <v>679</v>
      </c>
      <c r="B128" s="159" t="s">
        <v>1177</v>
      </c>
      <c r="C128" s="160" t="s">
        <v>1094</v>
      </c>
      <c r="D128" s="161">
        <v>1857.42</v>
      </c>
      <c r="E128" s="162">
        <v>1868.5</v>
      </c>
      <c r="F128" s="163">
        <v>1380.9701784000001</v>
      </c>
    </row>
    <row r="129" spans="1:6" x14ac:dyDescent="0.25">
      <c r="A129" s="159" t="s">
        <v>679</v>
      </c>
      <c r="B129" s="159" t="s">
        <v>1181</v>
      </c>
      <c r="C129" s="160" t="s">
        <v>1094</v>
      </c>
      <c r="D129" s="161">
        <v>1447.08</v>
      </c>
      <c r="E129" s="162">
        <v>1429.5</v>
      </c>
      <c r="F129" s="163">
        <v>1534.2486375000001</v>
      </c>
    </row>
    <row r="130" spans="1:6" x14ac:dyDescent="0.25">
      <c r="A130" s="159"/>
      <c r="B130" s="159"/>
      <c r="C130" s="160"/>
      <c r="D130" s="161"/>
      <c r="E130" s="162"/>
      <c r="F130" s="163"/>
    </row>
    <row r="131" spans="1:6" x14ac:dyDescent="0.25">
      <c r="A131" s="159" t="s">
        <v>822</v>
      </c>
      <c r="B131" s="159" t="s">
        <v>1165</v>
      </c>
      <c r="C131" s="160" t="s">
        <v>1094</v>
      </c>
      <c r="D131" s="161">
        <v>785.4</v>
      </c>
      <c r="E131" s="162">
        <v>779.6</v>
      </c>
      <c r="F131" s="163">
        <v>1.5243085000000001</v>
      </c>
    </row>
    <row r="132" spans="1:6" x14ac:dyDescent="0.25">
      <c r="A132" s="159" t="s">
        <v>822</v>
      </c>
      <c r="B132" s="159" t="s">
        <v>1193</v>
      </c>
      <c r="C132" s="160" t="s">
        <v>1094</v>
      </c>
      <c r="D132" s="161">
        <v>1491.8</v>
      </c>
      <c r="E132" s="162">
        <v>1474.2</v>
      </c>
      <c r="F132" s="163">
        <v>1.7037606000000001</v>
      </c>
    </row>
    <row r="133" spans="1:6" x14ac:dyDescent="0.25">
      <c r="A133" s="159" t="s">
        <v>822</v>
      </c>
      <c r="B133" s="159" t="s">
        <v>1191</v>
      </c>
      <c r="C133" s="160" t="s">
        <v>1094</v>
      </c>
      <c r="D133" s="161">
        <v>164.17</v>
      </c>
      <c r="E133" s="162">
        <v>161.9</v>
      </c>
      <c r="F133" s="163">
        <v>3.6103320000000001</v>
      </c>
    </row>
    <row r="134" spans="1:6" x14ac:dyDescent="0.25">
      <c r="A134" s="159" t="s">
        <v>822</v>
      </c>
      <c r="B134" s="159" t="s">
        <v>1190</v>
      </c>
      <c r="C134" s="160" t="s">
        <v>1094</v>
      </c>
      <c r="D134" s="161">
        <v>101.02</v>
      </c>
      <c r="E134" s="162">
        <v>106.47</v>
      </c>
      <c r="F134" s="163">
        <v>10.465400000000001</v>
      </c>
    </row>
    <row r="135" spans="1:6" x14ac:dyDescent="0.25">
      <c r="A135" s="159" t="s">
        <v>822</v>
      </c>
      <c r="B135" s="159" t="s">
        <v>1206</v>
      </c>
      <c r="C135" s="160" t="s">
        <v>1094</v>
      </c>
      <c r="D135" s="161">
        <v>3631.03</v>
      </c>
      <c r="E135" s="162">
        <v>3571</v>
      </c>
      <c r="F135" s="163">
        <v>8.9141847999999992</v>
      </c>
    </row>
    <row r="136" spans="1:6" x14ac:dyDescent="0.25">
      <c r="A136" s="159" t="s">
        <v>822</v>
      </c>
      <c r="B136" s="159" t="s">
        <v>1207</v>
      </c>
      <c r="C136" s="160" t="s">
        <v>1094</v>
      </c>
      <c r="D136" s="161">
        <v>194.12</v>
      </c>
      <c r="E136" s="162">
        <v>190.84</v>
      </c>
      <c r="F136" s="163">
        <v>13.001514499999999</v>
      </c>
    </row>
    <row r="137" spans="1:6" x14ac:dyDescent="0.25">
      <c r="A137" s="159" t="s">
        <v>822</v>
      </c>
      <c r="B137" s="159" t="s">
        <v>1213</v>
      </c>
      <c r="C137" s="160" t="s">
        <v>1094</v>
      </c>
      <c r="D137" s="161">
        <v>247.53</v>
      </c>
      <c r="E137" s="162">
        <v>240.82</v>
      </c>
      <c r="F137" s="163">
        <v>12.732570500000001</v>
      </c>
    </row>
    <row r="138" spans="1:6" x14ac:dyDescent="0.25">
      <c r="A138" s="159" t="s">
        <v>822</v>
      </c>
      <c r="B138" s="159" t="s">
        <v>1214</v>
      </c>
      <c r="C138" s="160" t="s">
        <v>1094</v>
      </c>
      <c r="D138" s="161">
        <v>5476.08</v>
      </c>
      <c r="E138" s="162">
        <v>5369</v>
      </c>
      <c r="F138" s="163">
        <v>21.717377500000001</v>
      </c>
    </row>
    <row r="139" spans="1:6" x14ac:dyDescent="0.25">
      <c r="A139" s="159" t="s">
        <v>822</v>
      </c>
      <c r="B139" s="159" t="s">
        <v>1171</v>
      </c>
      <c r="C139" s="160" t="s">
        <v>1094</v>
      </c>
      <c r="D139" s="161">
        <v>2679.1</v>
      </c>
      <c r="E139" s="162">
        <v>2560.1999999999998</v>
      </c>
      <c r="F139" s="163">
        <v>29.6958038</v>
      </c>
    </row>
    <row r="140" spans="1:6" x14ac:dyDescent="0.25">
      <c r="A140" s="159" t="s">
        <v>822</v>
      </c>
      <c r="B140" s="159" t="s">
        <v>1199</v>
      </c>
      <c r="C140" s="160" t="s">
        <v>1094</v>
      </c>
      <c r="D140" s="161">
        <v>2571.52</v>
      </c>
      <c r="E140" s="162">
        <v>2529.6999999999998</v>
      </c>
      <c r="F140" s="163">
        <v>51.515158500000005</v>
      </c>
    </row>
    <row r="141" spans="1:6" x14ac:dyDescent="0.25">
      <c r="A141" s="159" t="s">
        <v>822</v>
      </c>
      <c r="B141" s="159" t="s">
        <v>1159</v>
      </c>
      <c r="C141" s="160" t="s">
        <v>1094</v>
      </c>
      <c r="D141" s="161">
        <v>5013.8599999999997</v>
      </c>
      <c r="E141" s="162">
        <v>5006.7</v>
      </c>
      <c r="F141" s="163">
        <v>67.7673056</v>
      </c>
    </row>
    <row r="142" spans="1:6" x14ac:dyDescent="0.25">
      <c r="A142" s="159" t="s">
        <v>822</v>
      </c>
      <c r="B142" s="159" t="s">
        <v>1186</v>
      </c>
      <c r="C142" s="160" t="s">
        <v>1094</v>
      </c>
      <c r="D142" s="161">
        <v>405.94</v>
      </c>
      <c r="E142" s="162">
        <v>399.8</v>
      </c>
      <c r="F142" s="163">
        <v>59.124322499999991</v>
      </c>
    </row>
    <row r="143" spans="1:6" x14ac:dyDescent="0.25">
      <c r="A143" s="159" t="s">
        <v>822</v>
      </c>
      <c r="B143" s="159" t="s">
        <v>1195</v>
      </c>
      <c r="C143" s="160" t="s">
        <v>1094</v>
      </c>
      <c r="D143" s="161">
        <v>731.28</v>
      </c>
      <c r="E143" s="162">
        <v>716.7</v>
      </c>
      <c r="F143" s="163">
        <v>82.465490000000003</v>
      </c>
    </row>
    <row r="144" spans="1:6" x14ac:dyDescent="0.25">
      <c r="A144" s="159" t="s">
        <v>822</v>
      </c>
      <c r="B144" s="159" t="s">
        <v>1215</v>
      </c>
      <c r="C144" s="160" t="s">
        <v>1094</v>
      </c>
      <c r="D144" s="161">
        <v>1610.29</v>
      </c>
      <c r="E144" s="162">
        <v>1584.4</v>
      </c>
      <c r="F144" s="163">
        <v>78.231825000000001</v>
      </c>
    </row>
    <row r="145" spans="1:6" x14ac:dyDescent="0.25">
      <c r="A145" s="159" t="s">
        <v>822</v>
      </c>
      <c r="B145" s="159" t="s">
        <v>1216</v>
      </c>
      <c r="C145" s="160" t="s">
        <v>1094</v>
      </c>
      <c r="D145" s="161">
        <v>416.95</v>
      </c>
      <c r="E145" s="162">
        <v>413.65</v>
      </c>
      <c r="F145" s="163">
        <v>143.42095140000001</v>
      </c>
    </row>
    <row r="146" spans="1:6" x14ac:dyDescent="0.25">
      <c r="A146" s="159" t="s">
        <v>822</v>
      </c>
      <c r="B146" s="159" t="s">
        <v>1155</v>
      </c>
      <c r="C146" s="160" t="s">
        <v>1094</v>
      </c>
      <c r="D146" s="161">
        <v>11781.28</v>
      </c>
      <c r="E146" s="162">
        <v>11265</v>
      </c>
      <c r="F146" s="163">
        <v>172.97491500000001</v>
      </c>
    </row>
    <row r="147" spans="1:6" x14ac:dyDescent="0.25">
      <c r="A147" s="159" t="s">
        <v>822</v>
      </c>
      <c r="B147" s="159" t="s">
        <v>1177</v>
      </c>
      <c r="C147" s="160" t="s">
        <v>1094</v>
      </c>
      <c r="D147" s="161">
        <v>1857.15</v>
      </c>
      <c r="E147" s="162">
        <v>1868.5</v>
      </c>
      <c r="F147" s="163">
        <v>274.93718000000001</v>
      </c>
    </row>
    <row r="148" spans="1:6" x14ac:dyDescent="0.25">
      <c r="A148" s="159" t="s">
        <v>822</v>
      </c>
      <c r="B148" s="159" t="s">
        <v>1210</v>
      </c>
      <c r="C148" s="160" t="s">
        <v>1094</v>
      </c>
      <c r="D148" s="161">
        <v>2810.57</v>
      </c>
      <c r="E148" s="162">
        <v>2796.3</v>
      </c>
      <c r="F148" s="163">
        <v>353.38313850000003</v>
      </c>
    </row>
    <row r="149" spans="1:6" x14ac:dyDescent="0.25">
      <c r="A149" s="159" t="s">
        <v>822</v>
      </c>
      <c r="B149" s="159" t="s">
        <v>1203</v>
      </c>
      <c r="C149" s="160" t="s">
        <v>1094</v>
      </c>
      <c r="D149" s="161">
        <v>1218.6199999999999</v>
      </c>
      <c r="E149" s="162">
        <v>1200.0999999999999</v>
      </c>
      <c r="F149" s="163">
        <v>430.71342630000004</v>
      </c>
    </row>
    <row r="150" spans="1:6" x14ac:dyDescent="0.25">
      <c r="A150" s="159" t="s">
        <v>822</v>
      </c>
      <c r="B150" s="159" t="s">
        <v>1168</v>
      </c>
      <c r="C150" s="160" t="s">
        <v>1094</v>
      </c>
      <c r="D150" s="161">
        <v>3626.89</v>
      </c>
      <c r="E150" s="162">
        <v>3656.2</v>
      </c>
      <c r="F150" s="163">
        <v>465.54689609999997</v>
      </c>
    </row>
    <row r="151" spans="1:6" x14ac:dyDescent="0.25">
      <c r="A151" s="159" t="s">
        <v>822</v>
      </c>
      <c r="B151" s="159" t="s">
        <v>1163</v>
      </c>
      <c r="C151" s="160" t="s">
        <v>1094</v>
      </c>
      <c r="D151" s="161">
        <v>3091.78</v>
      </c>
      <c r="E151" s="162">
        <v>2989</v>
      </c>
      <c r="F151" s="163">
        <v>737.08131000000003</v>
      </c>
    </row>
    <row r="152" spans="1:6" x14ac:dyDescent="0.25">
      <c r="A152" s="159" t="s">
        <v>822</v>
      </c>
      <c r="B152" s="159" t="s">
        <v>1179</v>
      </c>
      <c r="C152" s="160" t="s">
        <v>1094</v>
      </c>
      <c r="D152" s="161">
        <v>1563.41</v>
      </c>
      <c r="E152" s="162">
        <v>1568.8</v>
      </c>
      <c r="F152" s="163">
        <v>692.78117399999996</v>
      </c>
    </row>
    <row r="153" spans="1:6" x14ac:dyDescent="0.25">
      <c r="A153" s="159"/>
      <c r="B153" s="159"/>
      <c r="C153" s="160"/>
      <c r="D153" s="161"/>
      <c r="E153" s="162"/>
      <c r="F153" s="163"/>
    </row>
    <row r="154" spans="1:6" x14ac:dyDescent="0.25">
      <c r="A154" s="159"/>
      <c r="B154" s="159"/>
      <c r="C154" s="160"/>
      <c r="D154" s="161"/>
      <c r="E154" s="162"/>
      <c r="F154" s="163"/>
    </row>
    <row r="155" spans="1:6" x14ac:dyDescent="0.25">
      <c r="F155" s="164"/>
    </row>
    <row r="156" spans="1:6" x14ac:dyDescent="0.25">
      <c r="A156" s="124" t="s">
        <v>1105</v>
      </c>
      <c r="D156" s="165"/>
      <c r="E156" s="165"/>
      <c r="F156" s="165"/>
    </row>
    <row r="158" spans="1:6" x14ac:dyDescent="0.25">
      <c r="A158" s="166" t="s">
        <v>1099</v>
      </c>
      <c r="B158" s="166" t="s">
        <v>1106</v>
      </c>
    </row>
    <row r="159" spans="1:6" x14ac:dyDescent="0.25">
      <c r="A159" s="159" t="s">
        <v>493</v>
      </c>
      <c r="B159" s="167">
        <v>3.681038</v>
      </c>
    </row>
    <row r="160" spans="1:6" x14ac:dyDescent="0.25">
      <c r="A160" s="159" t="s">
        <v>621</v>
      </c>
      <c r="B160" s="167">
        <v>68.354409000000004</v>
      </c>
    </row>
    <row r="161" spans="1:11" x14ac:dyDescent="0.25">
      <c r="A161" s="168" t="s">
        <v>647</v>
      </c>
      <c r="B161" s="167">
        <v>12.985452</v>
      </c>
    </row>
    <row r="162" spans="1:11" x14ac:dyDescent="0.25">
      <c r="A162" s="168" t="s">
        <v>679</v>
      </c>
      <c r="B162" s="167">
        <v>33.813830000000003</v>
      </c>
    </row>
    <row r="163" spans="1:11" x14ac:dyDescent="0.25">
      <c r="A163" s="168" t="s">
        <v>822</v>
      </c>
      <c r="B163" s="167">
        <v>7.4997699999999989</v>
      </c>
    </row>
    <row r="165" spans="1:11" x14ac:dyDescent="0.25">
      <c r="A165" s="124" t="s">
        <v>1107</v>
      </c>
    </row>
    <row r="166" spans="1:11" x14ac:dyDescent="0.25">
      <c r="A166" s="124"/>
    </row>
    <row r="167" spans="1:11" ht="67.5" x14ac:dyDescent="0.25">
      <c r="A167" s="157" t="s">
        <v>1099</v>
      </c>
      <c r="B167" s="158" t="s">
        <v>1108</v>
      </c>
      <c r="C167" s="158" t="s">
        <v>1109</v>
      </c>
      <c r="D167" s="158" t="s">
        <v>1110</v>
      </c>
      <c r="E167" s="158" t="s">
        <v>1111</v>
      </c>
      <c r="F167" s="158" t="s">
        <v>1112</v>
      </c>
    </row>
    <row r="168" spans="1:11" x14ac:dyDescent="0.25">
      <c r="A168" s="159" t="s">
        <v>184</v>
      </c>
      <c r="B168" s="147">
        <v>250</v>
      </c>
      <c r="C168" s="147">
        <v>250</v>
      </c>
      <c r="D168" s="169">
        <v>1143.21875</v>
      </c>
      <c r="E168" s="169">
        <v>997.01831249999998</v>
      </c>
      <c r="F168" s="170">
        <v>-146.20043750000002</v>
      </c>
      <c r="G168" s="148"/>
      <c r="H168" s="171"/>
      <c r="I168" s="172"/>
      <c r="J168" s="172"/>
      <c r="K168" s="172"/>
    </row>
    <row r="169" spans="1:11" x14ac:dyDescent="0.25">
      <c r="A169" s="159" t="s">
        <v>844</v>
      </c>
      <c r="B169" s="147">
        <v>1198</v>
      </c>
      <c r="C169" s="147">
        <v>1198</v>
      </c>
      <c r="D169" s="169">
        <v>7784.7146249999996</v>
      </c>
      <c r="E169" s="169">
        <v>6885.1239959000004</v>
      </c>
      <c r="F169" s="170">
        <v>-899.59062909999921</v>
      </c>
      <c r="G169" s="148"/>
      <c r="H169" s="171"/>
      <c r="I169" s="172"/>
      <c r="J169" s="172"/>
      <c r="K169" s="172"/>
    </row>
    <row r="170" spans="1:11" x14ac:dyDescent="0.25">
      <c r="A170" s="159" t="s">
        <v>621</v>
      </c>
      <c r="B170" s="147">
        <v>6027</v>
      </c>
      <c r="C170" s="147">
        <v>6027</v>
      </c>
      <c r="D170" s="169">
        <v>40161.827292799986</v>
      </c>
      <c r="E170" s="169">
        <v>39126.411662300001</v>
      </c>
      <c r="F170" s="170">
        <v>-1035.4156304999851</v>
      </c>
      <c r="G170" s="148"/>
      <c r="H170" s="171"/>
      <c r="I170" s="172"/>
      <c r="J170" s="172"/>
      <c r="K170" s="172"/>
    </row>
    <row r="171" spans="1:11" x14ac:dyDescent="0.25">
      <c r="A171" s="159" t="s">
        <v>647</v>
      </c>
      <c r="B171" s="147">
        <v>5754</v>
      </c>
      <c r="C171" s="147">
        <v>5754</v>
      </c>
      <c r="D171" s="169">
        <v>43204.437965199999</v>
      </c>
      <c r="E171" s="169">
        <v>42508.435983799995</v>
      </c>
      <c r="F171" s="170">
        <v>-696.0019814000043</v>
      </c>
      <c r="G171" s="148"/>
      <c r="H171" s="171"/>
      <c r="I171" s="172"/>
      <c r="J171" s="172"/>
      <c r="K171" s="172"/>
    </row>
    <row r="172" spans="1:11" x14ac:dyDescent="0.25">
      <c r="A172" s="159" t="s">
        <v>679</v>
      </c>
      <c r="B172" s="147">
        <v>10791.2</v>
      </c>
      <c r="C172" s="147">
        <v>10791.2</v>
      </c>
      <c r="D172" s="169">
        <v>75262.839866300012</v>
      </c>
      <c r="E172" s="169">
        <v>73532.265067300003</v>
      </c>
      <c r="F172" s="170">
        <v>-1730.5747990000091</v>
      </c>
      <c r="G172" s="148"/>
      <c r="H172" s="171"/>
      <c r="I172" s="172"/>
      <c r="J172" s="172"/>
      <c r="K172" s="172"/>
    </row>
    <row r="173" spans="1:11" x14ac:dyDescent="0.25">
      <c r="A173" s="159" t="s">
        <v>807</v>
      </c>
      <c r="B173" s="147">
        <v>100</v>
      </c>
      <c r="C173" s="147">
        <v>100</v>
      </c>
      <c r="D173" s="169">
        <v>493.85505000000001</v>
      </c>
      <c r="E173" s="169">
        <v>495.09</v>
      </c>
      <c r="F173" s="170">
        <v>1.2349499999999694</v>
      </c>
      <c r="G173" s="148"/>
      <c r="H173" s="171"/>
      <c r="I173" s="172"/>
      <c r="J173" s="172"/>
      <c r="K173" s="172"/>
    </row>
    <row r="174" spans="1:11" x14ac:dyDescent="0.25">
      <c r="A174" s="159" t="s">
        <v>822</v>
      </c>
      <c r="B174" s="147">
        <v>6965</v>
      </c>
      <c r="C174" s="147">
        <v>6965</v>
      </c>
      <c r="D174" s="169">
        <v>44541.438461799997</v>
      </c>
      <c r="E174" s="169">
        <v>42792.008823399992</v>
      </c>
      <c r="F174" s="170">
        <v>-1749.4296384000045</v>
      </c>
      <c r="G174" s="148"/>
      <c r="H174" s="171"/>
      <c r="I174" s="172"/>
      <c r="J174" s="172"/>
      <c r="K174" s="172"/>
    </row>
    <row r="175" spans="1:11" x14ac:dyDescent="0.25">
      <c r="A175" s="159"/>
      <c r="B175" s="147"/>
      <c r="C175" s="147"/>
      <c r="D175" s="169"/>
      <c r="E175" s="169"/>
      <c r="F175" s="170"/>
      <c r="G175" s="148"/>
      <c r="H175" s="171"/>
      <c r="I175" s="172"/>
      <c r="J175" s="172"/>
      <c r="K175" s="172"/>
    </row>
    <row r="176" spans="1:11" x14ac:dyDescent="0.25">
      <c r="B176" s="173"/>
      <c r="C176" s="173"/>
      <c r="D176" s="173"/>
      <c r="E176" s="173"/>
      <c r="F176" s="173"/>
      <c r="G176" s="173"/>
      <c r="H176" s="171"/>
      <c r="I176" s="172"/>
    </row>
    <row r="177" spans="1:11" x14ac:dyDescent="0.25">
      <c r="D177" s="172"/>
      <c r="E177" s="172"/>
      <c r="G177" s="148"/>
      <c r="H177" s="171"/>
      <c r="K177" s="148"/>
    </row>
    <row r="178" spans="1:11" x14ac:dyDescent="0.25">
      <c r="A178" s="124" t="s">
        <v>1217</v>
      </c>
      <c r="E178" s="172"/>
      <c r="F178" s="171"/>
      <c r="G178" s="174"/>
      <c r="K178" s="171"/>
    </row>
    <row r="180" spans="1:11" ht="27" hidden="1" x14ac:dyDescent="0.25">
      <c r="A180" s="157" t="s">
        <v>1099</v>
      </c>
      <c r="B180" s="157" t="s">
        <v>1100</v>
      </c>
      <c r="C180" s="157" t="s">
        <v>1101</v>
      </c>
      <c r="D180" s="158" t="s">
        <v>1102</v>
      </c>
      <c r="E180" s="158" t="s">
        <v>1103</v>
      </c>
      <c r="F180" s="158" t="s">
        <v>1113</v>
      </c>
    </row>
    <row r="181" spans="1:11" hidden="1" x14ac:dyDescent="0.25">
      <c r="A181" s="160" t="s">
        <v>657</v>
      </c>
      <c r="B181" s="160" t="s">
        <v>657</v>
      </c>
      <c r="C181" s="160" t="s">
        <v>1114</v>
      </c>
      <c r="D181" s="160" t="s">
        <v>657</v>
      </c>
      <c r="E181" s="160" t="s">
        <v>657</v>
      </c>
      <c r="F181" s="160" t="s">
        <v>657</v>
      </c>
    </row>
    <row r="182" spans="1:11" hidden="1" x14ac:dyDescent="0.25">
      <c r="A182" s="159"/>
      <c r="B182" s="175"/>
      <c r="C182" s="160" t="s">
        <v>1114</v>
      </c>
      <c r="D182" s="176"/>
      <c r="E182" s="177"/>
      <c r="F182" s="178"/>
    </row>
    <row r="183" spans="1:11" hidden="1" x14ac:dyDescent="0.25">
      <c r="A183" s="159"/>
      <c r="B183" s="175"/>
      <c r="C183" s="160" t="s">
        <v>1114</v>
      </c>
      <c r="D183" s="176"/>
      <c r="E183" s="177"/>
      <c r="F183" s="178"/>
    </row>
    <row r="184" spans="1:11" hidden="1" x14ac:dyDescent="0.25">
      <c r="A184" s="159"/>
      <c r="B184" s="175"/>
      <c r="C184" s="160" t="s">
        <v>1114</v>
      </c>
      <c r="D184" s="176"/>
      <c r="E184" s="177"/>
      <c r="F184" s="178"/>
    </row>
    <row r="185" spans="1:11" hidden="1" x14ac:dyDescent="0.25">
      <c r="A185" s="159"/>
      <c r="B185" s="159"/>
      <c r="C185" s="160"/>
      <c r="D185" s="161"/>
      <c r="E185" s="162"/>
      <c r="F185" s="163"/>
    </row>
    <row r="186" spans="1:11" hidden="1" x14ac:dyDescent="0.25">
      <c r="A186" s="159"/>
      <c r="B186" s="159"/>
      <c r="C186" s="160"/>
      <c r="D186" s="161"/>
      <c r="E186" s="162"/>
      <c r="F186" s="163"/>
    </row>
    <row r="187" spans="1:11" hidden="1" x14ac:dyDescent="0.25">
      <c r="A187" s="159"/>
      <c r="B187" s="159"/>
      <c r="C187" s="160"/>
      <c r="D187" s="161"/>
      <c r="E187" s="162"/>
      <c r="F187" s="163"/>
    </row>
    <row r="188" spans="1:11" hidden="1" x14ac:dyDescent="0.25">
      <c r="A188" s="159"/>
      <c r="B188" s="159"/>
      <c r="C188" s="160"/>
      <c r="D188" s="161"/>
      <c r="E188" s="162"/>
      <c r="F188" s="163"/>
    </row>
    <row r="189" spans="1:11" hidden="1" x14ac:dyDescent="0.25">
      <c r="B189" s="179"/>
      <c r="C189" s="180"/>
      <c r="D189" s="149"/>
      <c r="E189" s="181"/>
      <c r="F189" s="181"/>
      <c r="H189" s="171"/>
    </row>
    <row r="190" spans="1:11" hidden="1" x14ac:dyDescent="0.25">
      <c r="A190" s="124" t="s">
        <v>1115</v>
      </c>
      <c r="H190" s="171"/>
      <c r="K190" s="172"/>
    </row>
    <row r="191" spans="1:11" hidden="1" x14ac:dyDescent="0.25"/>
    <row r="192" spans="1:11" hidden="1" x14ac:dyDescent="0.25">
      <c r="A192" s="166" t="s">
        <v>1099</v>
      </c>
      <c r="B192" s="166" t="s">
        <v>1106</v>
      </c>
    </row>
    <row r="193" spans="1:8" hidden="1" x14ac:dyDescent="0.25">
      <c r="A193" s="159"/>
      <c r="B193" s="182"/>
    </row>
    <row r="194" spans="1:8" hidden="1" x14ac:dyDescent="0.25">
      <c r="A194" s="159"/>
      <c r="B194" s="182"/>
    </row>
    <row r="195" spans="1:8" hidden="1" x14ac:dyDescent="0.25">
      <c r="A195" s="159"/>
      <c r="B195" s="182"/>
    </row>
    <row r="196" spans="1:8" hidden="1" x14ac:dyDescent="0.25">
      <c r="A196" s="159"/>
      <c r="B196" s="182"/>
    </row>
    <row r="197" spans="1:8" x14ac:dyDescent="0.25">
      <c r="A197" s="183"/>
      <c r="B197" s="184"/>
    </row>
    <row r="198" spans="1:8" x14ac:dyDescent="0.25">
      <c r="A198" s="124" t="s">
        <v>1116</v>
      </c>
    </row>
    <row r="199" spans="1:8" x14ac:dyDescent="0.25">
      <c r="A199" s="124"/>
    </row>
    <row r="200" spans="1:8" ht="54" x14ac:dyDescent="0.25">
      <c r="A200" s="157" t="s">
        <v>1099</v>
      </c>
      <c r="B200" s="158" t="s">
        <v>1108</v>
      </c>
      <c r="C200" s="158" t="s">
        <v>1109</v>
      </c>
      <c r="D200" s="158" t="s">
        <v>1110</v>
      </c>
      <c r="E200" s="158" t="s">
        <v>1117</v>
      </c>
      <c r="F200" s="158" t="s">
        <v>1118</v>
      </c>
      <c r="G200" s="148"/>
      <c r="H200" s="171">
        <v>0</v>
      </c>
    </row>
    <row r="201" spans="1:8" x14ac:dyDescent="0.25">
      <c r="A201" s="185" t="s">
        <v>184</v>
      </c>
      <c r="B201" s="147">
        <v>7003</v>
      </c>
      <c r="C201" s="147">
        <v>7003</v>
      </c>
      <c r="D201" s="170">
        <v>37119.241984499997</v>
      </c>
      <c r="E201" s="170">
        <v>39222.828281300004</v>
      </c>
      <c r="F201" s="170">
        <v>2103.5862968000074</v>
      </c>
      <c r="G201" s="148"/>
      <c r="H201" s="171"/>
    </row>
    <row r="202" spans="1:8" x14ac:dyDescent="0.25">
      <c r="A202" s="185" t="s">
        <v>844</v>
      </c>
      <c r="B202" s="147">
        <v>1921</v>
      </c>
      <c r="C202" s="147">
        <v>1921</v>
      </c>
      <c r="D202" s="170">
        <v>13446.759134000002</v>
      </c>
      <c r="E202" s="170">
        <v>13887.404576500001</v>
      </c>
      <c r="F202" s="170">
        <v>440.64544249999926</v>
      </c>
      <c r="G202" s="148"/>
      <c r="H202" s="171"/>
    </row>
    <row r="203" spans="1:8" x14ac:dyDescent="0.25">
      <c r="A203" s="185" t="s">
        <v>446</v>
      </c>
      <c r="B203" s="147">
        <v>3419</v>
      </c>
      <c r="C203" s="147">
        <v>3419</v>
      </c>
      <c r="D203" s="170">
        <v>16166.659435</v>
      </c>
      <c r="E203" s="170">
        <v>17318.733829000001</v>
      </c>
      <c r="F203" s="170">
        <v>1152.0743940000011</v>
      </c>
      <c r="G203" s="148"/>
      <c r="H203" s="171"/>
    </row>
    <row r="204" spans="1:8" x14ac:dyDescent="0.25">
      <c r="A204" s="185" t="s">
        <v>493</v>
      </c>
      <c r="B204" s="147">
        <v>12089</v>
      </c>
      <c r="C204" s="147">
        <v>12089</v>
      </c>
      <c r="D204" s="170">
        <v>98915.7144348</v>
      </c>
      <c r="E204" s="170">
        <v>99073.594175799997</v>
      </c>
      <c r="F204" s="170">
        <v>157.87974099999701</v>
      </c>
      <c r="G204" s="148"/>
      <c r="H204" s="171"/>
    </row>
    <row r="205" spans="1:8" x14ac:dyDescent="0.25">
      <c r="A205" s="185" t="s">
        <v>647</v>
      </c>
      <c r="B205" s="147">
        <v>1572</v>
      </c>
      <c r="C205" s="147">
        <v>1572</v>
      </c>
      <c r="D205" s="170">
        <v>13352.7398242</v>
      </c>
      <c r="E205" s="170">
        <v>13229.821599999999</v>
      </c>
      <c r="F205" s="170">
        <v>-122.91822420000062</v>
      </c>
      <c r="G205" s="148"/>
      <c r="H205" s="171"/>
    </row>
    <row r="206" spans="1:8" x14ac:dyDescent="0.25">
      <c r="A206" s="185" t="s">
        <v>679</v>
      </c>
      <c r="B206" s="147">
        <v>64</v>
      </c>
      <c r="C206" s="147">
        <v>64</v>
      </c>
      <c r="D206" s="170">
        <v>437.63564000000002</v>
      </c>
      <c r="E206" s="170">
        <v>480.2</v>
      </c>
      <c r="F206" s="170">
        <v>42.564359999999965</v>
      </c>
      <c r="G206" s="148"/>
      <c r="H206" s="171"/>
    </row>
    <row r="207" spans="1:8" x14ac:dyDescent="0.25">
      <c r="A207" s="185" t="s">
        <v>803</v>
      </c>
      <c r="B207" s="147">
        <v>4565</v>
      </c>
      <c r="C207" s="147">
        <v>4565</v>
      </c>
      <c r="D207" s="170">
        <v>19905.209662199999</v>
      </c>
      <c r="E207" s="170">
        <v>21480.905519600001</v>
      </c>
      <c r="F207" s="170">
        <v>1575.6958574000018</v>
      </c>
      <c r="G207" s="148"/>
      <c r="H207" s="171"/>
    </row>
    <row r="208" spans="1:8" x14ac:dyDescent="0.25">
      <c r="A208" s="185" t="s">
        <v>807</v>
      </c>
      <c r="B208" s="147">
        <v>28</v>
      </c>
      <c r="C208" s="147">
        <v>28</v>
      </c>
      <c r="D208" s="170">
        <v>232.24879999999999</v>
      </c>
      <c r="E208" s="170">
        <v>233.13919999999999</v>
      </c>
      <c r="F208" s="170">
        <v>0.89039999999999964</v>
      </c>
      <c r="G208" s="148"/>
      <c r="H208" s="171"/>
    </row>
    <row r="209" spans="1:8" x14ac:dyDescent="0.25">
      <c r="A209" s="185" t="s">
        <v>821</v>
      </c>
      <c r="B209" s="147">
        <v>1965</v>
      </c>
      <c r="C209" s="147">
        <v>1965</v>
      </c>
      <c r="D209" s="170">
        <v>8258.2480498999994</v>
      </c>
      <c r="E209" s="170">
        <v>8293.5636680999996</v>
      </c>
      <c r="F209" s="170">
        <v>35.315618200000245</v>
      </c>
      <c r="G209" s="148"/>
      <c r="H209" s="171"/>
    </row>
    <row r="210" spans="1:8" x14ac:dyDescent="0.25">
      <c r="A210" s="185" t="s">
        <v>719</v>
      </c>
      <c r="B210" s="147">
        <v>744</v>
      </c>
      <c r="C210" s="147">
        <v>744</v>
      </c>
      <c r="D210" s="170">
        <v>4568.3620364999997</v>
      </c>
      <c r="E210" s="170">
        <v>4625.1836249999997</v>
      </c>
      <c r="F210" s="170">
        <v>56.821588499999962</v>
      </c>
      <c r="G210" s="148"/>
      <c r="H210" s="171"/>
    </row>
    <row r="211" spans="1:8" x14ac:dyDescent="0.25">
      <c r="A211" s="185"/>
      <c r="B211" s="147"/>
      <c r="C211" s="147"/>
      <c r="D211" s="170"/>
      <c r="E211" s="170"/>
      <c r="F211" s="170"/>
      <c r="G211" s="148"/>
      <c r="H211" s="171"/>
    </row>
    <row r="212" spans="1:8" x14ac:dyDescent="0.25">
      <c r="B212" s="173"/>
      <c r="C212" s="173"/>
      <c r="D212" s="186"/>
      <c r="E212" s="186"/>
      <c r="F212" s="186"/>
      <c r="G212" s="148"/>
      <c r="H212" s="171"/>
    </row>
    <row r="213" spans="1:8" x14ac:dyDescent="0.25">
      <c r="A213" s="187"/>
      <c r="B213" s="188"/>
      <c r="C213" s="188"/>
      <c r="D213" s="189"/>
      <c r="E213" s="189"/>
      <c r="F213" s="189"/>
      <c r="G213" s="171"/>
    </row>
    <row r="214" spans="1:8" x14ac:dyDescent="0.25">
      <c r="A214" s="124" t="s">
        <v>1218</v>
      </c>
      <c r="C214" s="190"/>
    </row>
    <row r="215" spans="1:8" hidden="1" x14ac:dyDescent="0.25"/>
    <row r="216" spans="1:8" ht="27" hidden="1" x14ac:dyDescent="0.25">
      <c r="A216" s="158" t="s">
        <v>1099</v>
      </c>
      <c r="B216" s="158" t="s">
        <v>1100</v>
      </c>
      <c r="C216" s="158" t="s">
        <v>1119</v>
      </c>
      <c r="D216" s="158" t="s">
        <v>1120</v>
      </c>
      <c r="E216" s="158" t="s">
        <v>1121</v>
      </c>
      <c r="F216" s="158" t="s">
        <v>1122</v>
      </c>
    </row>
    <row r="217" spans="1:8" hidden="1" x14ac:dyDescent="0.25">
      <c r="A217" s="191" t="s">
        <v>657</v>
      </c>
      <c r="B217" s="191" t="s">
        <v>657</v>
      </c>
      <c r="C217" s="191" t="s">
        <v>657</v>
      </c>
      <c r="D217" s="191" t="s">
        <v>657</v>
      </c>
      <c r="E217" s="191" t="s">
        <v>657</v>
      </c>
      <c r="F217" s="191" t="s">
        <v>657</v>
      </c>
    </row>
    <row r="218" spans="1:8" hidden="1" x14ac:dyDescent="0.25">
      <c r="C218" s="190"/>
      <c r="D218" s="190"/>
      <c r="E218" s="192"/>
      <c r="F218" s="192"/>
    </row>
    <row r="219" spans="1:8" hidden="1" x14ac:dyDescent="0.25">
      <c r="C219" s="190"/>
      <c r="D219" s="190"/>
      <c r="E219" s="192"/>
      <c r="F219" s="192"/>
    </row>
    <row r="220" spans="1:8" hidden="1" x14ac:dyDescent="0.25">
      <c r="A220" s="124" t="s">
        <v>1123</v>
      </c>
      <c r="F220" s="156" t="s">
        <v>1124</v>
      </c>
    </row>
    <row r="221" spans="1:8" hidden="1" x14ac:dyDescent="0.25">
      <c r="A221" s="124"/>
    </row>
    <row r="222" spans="1:8" hidden="1" x14ac:dyDescent="0.25">
      <c r="A222" s="166" t="s">
        <v>1099</v>
      </c>
      <c r="B222" s="166" t="s">
        <v>1106</v>
      </c>
    </row>
    <row r="223" spans="1:8" hidden="1" x14ac:dyDescent="0.25">
      <c r="A223" s="191" t="s">
        <v>657</v>
      </c>
      <c r="B223" s="191" t="s">
        <v>657</v>
      </c>
    </row>
    <row r="224" spans="1:8" hidden="1" x14ac:dyDescent="0.25">
      <c r="B224" s="193"/>
      <c r="C224" s="194"/>
    </row>
    <row r="225" spans="1:6" hidden="1" x14ac:dyDescent="0.25">
      <c r="A225" s="124" t="s">
        <v>1125</v>
      </c>
    </row>
    <row r="226" spans="1:6" hidden="1" x14ac:dyDescent="0.25"/>
    <row r="227" spans="1:6" ht="40.5" hidden="1" x14ac:dyDescent="0.25">
      <c r="A227" s="157" t="s">
        <v>1099</v>
      </c>
      <c r="B227" s="158" t="s">
        <v>1126</v>
      </c>
      <c r="C227" s="158" t="s">
        <v>1127</v>
      </c>
      <c r="D227" s="158" t="s">
        <v>1128</v>
      </c>
      <c r="E227" s="158" t="s">
        <v>1129</v>
      </c>
    </row>
    <row r="228" spans="1:6" hidden="1" x14ac:dyDescent="0.25">
      <c r="A228" s="195"/>
      <c r="B228" s="191"/>
      <c r="C228" s="163"/>
      <c r="D228" s="150"/>
      <c r="E228" s="150">
        <v>0</v>
      </c>
    </row>
    <row r="229" spans="1:6" hidden="1" x14ac:dyDescent="0.25">
      <c r="A229" s="196"/>
      <c r="B229" s="197"/>
      <c r="C229" s="198"/>
      <c r="D229" s="198"/>
      <c r="E229" s="151"/>
    </row>
    <row r="230" spans="1:6" hidden="1" x14ac:dyDescent="0.25">
      <c r="A230" s="196"/>
      <c r="B230" s="197"/>
      <c r="C230" s="198"/>
      <c r="D230" s="198"/>
      <c r="E230" s="151"/>
    </row>
    <row r="232" spans="1:6" x14ac:dyDescent="0.25">
      <c r="A232" s="124" t="s">
        <v>1219</v>
      </c>
    </row>
    <row r="233" spans="1:6" hidden="1" x14ac:dyDescent="0.25"/>
    <row r="234" spans="1:6" ht="27" hidden="1" x14ac:dyDescent="0.25">
      <c r="A234" s="158" t="s">
        <v>1099</v>
      </c>
      <c r="B234" s="158" t="s">
        <v>1100</v>
      </c>
      <c r="C234" s="158" t="s">
        <v>1119</v>
      </c>
      <c r="D234" s="158" t="s">
        <v>1120</v>
      </c>
      <c r="E234" s="158" t="s">
        <v>1121</v>
      </c>
      <c r="F234" s="158" t="s">
        <v>1122</v>
      </c>
    </row>
    <row r="235" spans="1:6" hidden="1" x14ac:dyDescent="0.25">
      <c r="A235" s="159" t="s">
        <v>657</v>
      </c>
      <c r="B235" s="159" t="s">
        <v>657</v>
      </c>
      <c r="C235" s="159" t="s">
        <v>657</v>
      </c>
      <c r="D235" s="159" t="s">
        <v>657</v>
      </c>
      <c r="E235" s="159" t="s">
        <v>657</v>
      </c>
      <c r="F235" s="159" t="s">
        <v>657</v>
      </c>
    </row>
    <row r="236" spans="1:6" hidden="1" x14ac:dyDescent="0.25">
      <c r="B236" s="179"/>
      <c r="C236" s="199"/>
      <c r="D236" s="152"/>
      <c r="E236" s="192"/>
      <c r="F236" s="192"/>
    </row>
    <row r="237" spans="1:6" hidden="1" x14ac:dyDescent="0.25">
      <c r="A237" s="124" t="s">
        <v>1130</v>
      </c>
    </row>
    <row r="238" spans="1:6" hidden="1" x14ac:dyDescent="0.25">
      <c r="A238" s="124"/>
    </row>
    <row r="239" spans="1:6" hidden="1" x14ac:dyDescent="0.25">
      <c r="A239" s="166" t="s">
        <v>1099</v>
      </c>
      <c r="B239" s="166" t="s">
        <v>1106</v>
      </c>
    </row>
    <row r="240" spans="1:6" hidden="1" x14ac:dyDescent="0.25">
      <c r="A240" s="159" t="s">
        <v>657</v>
      </c>
      <c r="B240" s="159" t="s">
        <v>657</v>
      </c>
    </row>
    <row r="241" spans="1:7" hidden="1" x14ac:dyDescent="0.25">
      <c r="A241" s="183"/>
      <c r="B241" s="194"/>
    </row>
    <row r="242" spans="1:7" hidden="1" x14ac:dyDescent="0.25">
      <c r="A242" s="124" t="s">
        <v>1220</v>
      </c>
    </row>
    <row r="243" spans="1:7" hidden="1" x14ac:dyDescent="0.25"/>
    <row r="244" spans="1:7" ht="40.5" hidden="1" x14ac:dyDescent="0.25">
      <c r="A244" s="157" t="s">
        <v>1099</v>
      </c>
      <c r="B244" s="158" t="s">
        <v>1126</v>
      </c>
      <c r="C244" s="158" t="s">
        <v>1131</v>
      </c>
      <c r="D244" s="158" t="s">
        <v>1132</v>
      </c>
      <c r="E244" s="158" t="s">
        <v>1129</v>
      </c>
    </row>
    <row r="245" spans="1:7" hidden="1" x14ac:dyDescent="0.25">
      <c r="A245" s="159"/>
      <c r="B245" s="191"/>
      <c r="C245" s="163"/>
      <c r="D245" s="191"/>
      <c r="E245" s="191"/>
    </row>
    <row r="246" spans="1:7" hidden="1" x14ac:dyDescent="0.25">
      <c r="F246" s="164"/>
    </row>
    <row r="247" spans="1:7" x14ac:dyDescent="0.25">
      <c r="E247" s="153"/>
      <c r="F247" s="172"/>
    </row>
    <row r="248" spans="1:7" x14ac:dyDescent="0.25">
      <c r="A248" s="124" t="s">
        <v>1133</v>
      </c>
    </row>
    <row r="249" spans="1:7" ht="26.25" x14ac:dyDescent="0.25">
      <c r="A249" s="200" t="s">
        <v>1134</v>
      </c>
      <c r="B249" s="201" t="s">
        <v>1135</v>
      </c>
      <c r="C249" s="201" t="s">
        <v>1136</v>
      </c>
      <c r="D249" s="202" t="s">
        <v>1137</v>
      </c>
      <c r="E249" s="202" t="s">
        <v>1138</v>
      </c>
      <c r="F249" s="201" t="s">
        <v>1221</v>
      </c>
      <c r="G249" s="201" t="s">
        <v>1139</v>
      </c>
    </row>
    <row r="250" spans="1:7" x14ac:dyDescent="0.25">
      <c r="A250" s="203" t="s">
        <v>1140</v>
      </c>
      <c r="B250" s="203" t="s">
        <v>1141</v>
      </c>
      <c r="C250" s="203" t="s">
        <v>1142</v>
      </c>
      <c r="D250" s="203" t="s">
        <v>1143</v>
      </c>
      <c r="E250" s="203" t="s">
        <v>1144</v>
      </c>
      <c r="F250" s="170">
        <v>2500</v>
      </c>
      <c r="G250" s="204">
        <v>46002</v>
      </c>
    </row>
    <row r="251" spans="1:7" x14ac:dyDescent="0.25">
      <c r="A251" s="203" t="s">
        <v>1140</v>
      </c>
      <c r="B251" s="203" t="s">
        <v>1141</v>
      </c>
      <c r="C251" s="203" t="s">
        <v>1145</v>
      </c>
      <c r="D251" s="203" t="s">
        <v>1143</v>
      </c>
      <c r="E251" s="203" t="s">
        <v>1144</v>
      </c>
      <c r="F251" s="170">
        <v>2500</v>
      </c>
      <c r="G251" s="204">
        <v>46087</v>
      </c>
    </row>
    <row r="252" spans="1:7" x14ac:dyDescent="0.25">
      <c r="A252" s="203" t="s">
        <v>1140</v>
      </c>
      <c r="B252" s="203" t="s">
        <v>1141</v>
      </c>
      <c r="C252" s="203" t="s">
        <v>1146</v>
      </c>
      <c r="D252" s="203" t="s">
        <v>1143</v>
      </c>
      <c r="E252" s="203" t="s">
        <v>1144</v>
      </c>
      <c r="F252" s="170">
        <v>2500</v>
      </c>
      <c r="G252" s="204">
        <v>46101</v>
      </c>
    </row>
    <row r="253" spans="1:7" x14ac:dyDescent="0.25">
      <c r="A253" s="203" t="s">
        <v>1140</v>
      </c>
      <c r="B253" s="203" t="s">
        <v>1141</v>
      </c>
      <c r="C253" s="203" t="s">
        <v>1146</v>
      </c>
      <c r="D253" s="203" t="s">
        <v>1143</v>
      </c>
      <c r="E253" s="203" t="s">
        <v>1144</v>
      </c>
      <c r="F253" s="170">
        <v>2500</v>
      </c>
      <c r="G253" s="204">
        <v>46168</v>
      </c>
    </row>
    <row r="254" spans="1:7" x14ac:dyDescent="0.25">
      <c r="D254" s="172"/>
    </row>
    <row r="255" spans="1:7" x14ac:dyDescent="0.25">
      <c r="A255" s="124" t="s">
        <v>1222</v>
      </c>
      <c r="D255" s="172"/>
    </row>
    <row r="256" spans="1:7" hidden="1" x14ac:dyDescent="0.25">
      <c r="D256" s="172"/>
    </row>
    <row r="257" spans="1:9" ht="27" hidden="1" x14ac:dyDescent="0.25">
      <c r="A257" s="157" t="s">
        <v>1099</v>
      </c>
      <c r="B257" s="158" t="s">
        <v>1100</v>
      </c>
      <c r="C257" s="158" t="s">
        <v>1101</v>
      </c>
      <c r="D257" s="158" t="s">
        <v>1147</v>
      </c>
      <c r="E257" s="158" t="s">
        <v>1148</v>
      </c>
      <c r="F257" s="158" t="s">
        <v>1149</v>
      </c>
    </row>
    <row r="258" spans="1:9" hidden="1" x14ac:dyDescent="0.25">
      <c r="A258" s="154" t="s">
        <v>657</v>
      </c>
      <c r="B258" s="154" t="s">
        <v>657</v>
      </c>
      <c r="C258" s="154" t="s">
        <v>657</v>
      </c>
      <c r="D258" s="154" t="s">
        <v>657</v>
      </c>
      <c r="E258" s="154" t="s">
        <v>657</v>
      </c>
      <c r="F258" s="154" t="s">
        <v>657</v>
      </c>
    </row>
    <row r="259" spans="1:9" hidden="1" x14ac:dyDescent="0.25">
      <c r="D259" s="172"/>
    </row>
    <row r="260" spans="1:9" hidden="1" x14ac:dyDescent="0.25">
      <c r="A260" s="124" t="s">
        <v>1150</v>
      </c>
      <c r="D260" s="172"/>
    </row>
    <row r="261" spans="1:9" hidden="1" x14ac:dyDescent="0.25">
      <c r="A261" s="124"/>
      <c r="D261" s="172"/>
    </row>
    <row r="262" spans="1:9" hidden="1" x14ac:dyDescent="0.25">
      <c r="A262" s="166" t="s">
        <v>1099</v>
      </c>
      <c r="B262" s="166" t="s">
        <v>1106</v>
      </c>
      <c r="D262" s="172"/>
    </row>
    <row r="263" spans="1:9" hidden="1" x14ac:dyDescent="0.25">
      <c r="A263" s="154" t="s">
        <v>657</v>
      </c>
      <c r="B263" s="154" t="s">
        <v>657</v>
      </c>
      <c r="D263" s="172"/>
    </row>
    <row r="264" spans="1:9" x14ac:dyDescent="0.25">
      <c r="D264" s="172"/>
    </row>
    <row r="265" spans="1:9" hidden="1" x14ac:dyDescent="0.25">
      <c r="A265" s="124" t="s">
        <v>1151</v>
      </c>
      <c r="D265" s="172"/>
    </row>
    <row r="266" spans="1:9" hidden="1" x14ac:dyDescent="0.25">
      <c r="D266" s="172"/>
    </row>
    <row r="267" spans="1:9" ht="67.5" hidden="1" x14ac:dyDescent="0.25">
      <c r="A267" s="157" t="s">
        <v>1099</v>
      </c>
      <c r="B267" s="158" t="s">
        <v>1108</v>
      </c>
      <c r="C267" s="158" t="s">
        <v>1109</v>
      </c>
      <c r="D267" s="158" t="s">
        <v>1110</v>
      </c>
      <c r="E267" s="158" t="s">
        <v>1111</v>
      </c>
      <c r="F267" s="158" t="s">
        <v>1112</v>
      </c>
    </row>
    <row r="268" spans="1:9" hidden="1" x14ac:dyDescent="0.25">
      <c r="A268" s="205"/>
      <c r="B268" s="205"/>
      <c r="C268" s="147"/>
      <c r="D268" s="206"/>
      <c r="E268" s="155"/>
      <c r="F268" s="207"/>
      <c r="H268" s="171"/>
      <c r="I268" s="172"/>
    </row>
    <row r="269" spans="1:9" hidden="1" x14ac:dyDescent="0.25">
      <c r="D269" s="172"/>
    </row>
    <row r="270" spans="1:9" hidden="1" x14ac:dyDescent="0.25">
      <c r="D270" s="172"/>
    </row>
    <row r="271" spans="1:9" hidden="1" x14ac:dyDescent="0.25">
      <c r="A271" s="124" t="s">
        <v>1152</v>
      </c>
      <c r="D271" s="172"/>
    </row>
    <row r="272" spans="1:9" hidden="1" x14ac:dyDescent="0.25">
      <c r="D272" s="172"/>
    </row>
    <row r="273" spans="1:6" ht="67.5" hidden="1" x14ac:dyDescent="0.25">
      <c r="A273" s="157" t="s">
        <v>1099</v>
      </c>
      <c r="B273" s="158" t="s">
        <v>1108</v>
      </c>
      <c r="C273" s="158" t="s">
        <v>1109</v>
      </c>
      <c r="D273" s="158" t="s">
        <v>1110</v>
      </c>
      <c r="E273" s="158" t="s">
        <v>1111</v>
      </c>
      <c r="F273" s="158" t="s">
        <v>1112</v>
      </c>
    </row>
    <row r="274" spans="1:6" hidden="1" x14ac:dyDescent="0.25">
      <c r="A274" s="160"/>
      <c r="B274" s="191"/>
      <c r="C274" s="191"/>
      <c r="D274" s="208"/>
      <c r="E274" s="208"/>
      <c r="F274" s="208"/>
    </row>
    <row r="275" spans="1:6" x14ac:dyDescent="0.25">
      <c r="A275" s="156" t="s">
        <v>1153</v>
      </c>
    </row>
  </sheetData>
  <mergeCells count="3">
    <mergeCell ref="A2:F2"/>
    <mergeCell ref="A3:F3"/>
    <mergeCell ref="A5:F5"/>
  </mergeCells>
  <conditionalFormatting sqref="B162:B174">
    <cfRule type="duplicateValues" dxfId="0" priority="1"/>
  </conditionalFormatting>
  <printOptions horizontalCentered="1"/>
  <pageMargins left="0.17" right="0.15748031496062992" top="0.43307086614173229" bottom="0.47244094488188981" header="0.31496062992125984" footer="0.31496062992125984"/>
  <pageSetup paperSize="9" scale="42"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2025-06-03T10:45:01Z</dcterms:created>
  <dcterms:modified xsi:type="dcterms:W3CDTF">2025-06-09T11:06:33Z</dcterms:modified>
</cp:coreProperties>
</file>