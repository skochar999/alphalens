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BCABB042-EF99-4D63-BCC3-917FFCA3BB33}" xr6:coauthVersionLast="47" xr6:coauthVersionMax="47" xr10:uidLastSave="{00000000-0000-0000-0000-000000000000}"/>
  <bookViews>
    <workbookView xWindow="-108" yWindow="-108" windowWidth="41496" windowHeight="16896" xr2:uid="{7E9DF72F-1F94-47B5-B139-0355EBFE8572}"/>
  </bookViews>
  <sheets>
    <sheet name="IDF020" sheetId="1" r:id="rId1"/>
  </sheets>
  <definedNames>
    <definedName name="JR_PAGE_ANCHOR_0_32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F71" i="1"/>
  <c r="G68" i="1"/>
  <c r="F68" i="1"/>
</calcChain>
</file>

<file path=xl/sharedStrings.xml><?xml version="1.0" encoding="utf-8"?>
<sst xmlns="http://schemas.openxmlformats.org/spreadsheetml/2006/main" count="290" uniqueCount="251">
  <si>
    <t>IDF020</t>
  </si>
  <si>
    <t>INDEX</t>
  </si>
  <si>
    <t>Portfolio Statement as on February 28,2025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</si>
  <si>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</si>
  <si>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</si>
  <si>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</si>
  <si>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</si>
  <si>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</si>
  <si>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</si>
  <si>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</si>
  <si>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</si>
  <si>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</si>
  <si>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</si>
  <si>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</si>
  <si>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</si>
  <si>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</si>
  <si>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</si>
  <si>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</si>
  <si>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</si>
  <si>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</si>
  <si>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</si>
  <si>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</si>
  <si>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</si>
  <si>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</si>
  <si>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</si>
  <si>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</si>
  <si>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</si>
  <si>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</si>
  <si>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</si>
  <si>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</si>
  <si>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</si>
  <si>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</si>
  <si>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</si>
  <si>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</si>
  <si>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</si>
  <si>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</si>
  <si>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</si>
  <si>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</si>
  <si>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IIBL01</t>
  </si>
  <si>
    <t>IndusInd Bank Limited</t>
  </si>
  <si>
    <t>INE095A01012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</si>
  <si>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</si>
  <si>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</si>
  <si>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</si>
  <si>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</si>
  <si>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</si>
  <si>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</si>
  <si>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</si>
  <si>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ITCL02</t>
  </si>
  <si>
    <t>ITC Limited</t>
  </si>
  <si>
    <t>INE154A01025</t>
  </si>
  <si>
    <t>Diversified FMCG</t>
  </si>
  <si>
    <t>AVAF03</t>
  </si>
  <si>
    <t>Avanti Feeds Limited</t>
  </si>
  <si>
    <t>INE871C01038</t>
  </si>
  <si>
    <t>Food Products</t>
  </si>
  <si>
    <t>HERO02</t>
  </si>
  <si>
    <t>Hero MotoCorp Limited</t>
  </si>
  <si>
    <t>INE158A01026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</si>
  <si>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</si>
  <si>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</si>
  <si>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</si>
  <si>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</si>
  <si>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</si>
  <si>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</si>
  <si>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</si>
  <si>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Insurance</t>
  </si>
  <si>
    <t>HDLI01</t>
  </si>
  <si>
    <t>HDFC Life Insurance Company Limited</t>
  </si>
  <si>
    <t>INE795G01014</t>
  </si>
  <si>
    <t>VMAR01</t>
  </si>
  <si>
    <t>V-Mart Retail Limited</t>
  </si>
  <si>
    <t>INE665J01013</t>
  </si>
  <si>
    <t>Retailing</t>
  </si>
  <si>
    <t>ASPA02</t>
  </si>
  <si>
    <t>Asian Paints Limited</t>
  </si>
  <si>
    <t>INE021A01026</t>
  </si>
  <si>
    <t>Consumer Durables</t>
  </si>
  <si>
    <t>NTPC01</t>
  </si>
  <si>
    <t>NTPC Limited</t>
  </si>
  <si>
    <t>INE733E01010</t>
  </si>
  <si>
    <t>Power</t>
  </si>
  <si>
    <t>WIPR02</t>
  </si>
  <si>
    <t>Wipro Limited</t>
  </si>
  <si>
    <t>INE075A01022</t>
  </si>
  <si>
    <t>MOTI02</t>
  </si>
  <si>
    <t>Bosch Limited</t>
  </si>
  <si>
    <t>INE323A01026</t>
  </si>
  <si>
    <t>Auto Components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</si>
  <si>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</si>
  <si>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</si>
  <si>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</si>
  <si>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</si>
  <si>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</si>
  <si>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</si>
  <si>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</si>
  <si>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LARS02</t>
  </si>
  <si>
    <t>Larsen &amp; Toubro Limited</t>
  </si>
  <si>
    <t>INE018A01030</t>
  </si>
  <si>
    <t>Construction</t>
  </si>
  <si>
    <t>ONGC02</t>
  </si>
  <si>
    <t>Oil &amp; Natural Gas Corporation Limited</t>
  </si>
  <si>
    <t>INE213A01029</t>
  </si>
  <si>
    <t>Oil</t>
  </si>
  <si>
    <t>SESA02</t>
  </si>
  <si>
    <t>Vedanta Limited</t>
  </si>
  <si>
    <t>INE205A01025</t>
  </si>
  <si>
    <t>Diversified Metals</t>
  </si>
  <si>
    <t>MAFS02</t>
  </si>
  <si>
    <t>Mahindra &amp; Mahindra Financial Services Limited</t>
  </si>
  <si>
    <t>INE774D01024</t>
  </si>
  <si>
    <t>Finance</t>
  </si>
  <si>
    <t>LUPL02</t>
  </si>
  <si>
    <t>Lupin Limited</t>
  </si>
  <si>
    <t>INE326A01037</t>
  </si>
  <si>
    <t>SLIF01</t>
  </si>
  <si>
    <t>SBI Life Insurance Company Limited</t>
  </si>
  <si>
    <t>INE123W01016</t>
  </si>
  <si>
    <t>GCPL02</t>
  </si>
  <si>
    <t>Godrej Consumer Products Limited</t>
  </si>
  <si>
    <t>INE102D01028</t>
  </si>
  <si>
    <t>Personal Products</t>
  </si>
  <si>
    <t>DRRL03</t>
  </si>
  <si>
    <t>Dr. Reddy's Laboratories Limited</t>
  </si>
  <si>
    <t>INE089A01031</t>
  </si>
  <si>
    <t>MALE02</t>
  </si>
  <si>
    <t>Poonawalla Fincorp Limited</t>
  </si>
  <si>
    <t>INE511C01022</t>
  </si>
  <si>
    <t>KEIN02</t>
  </si>
  <si>
    <t>KEC International Limited</t>
  </si>
  <si>
    <t>INE389H01022</t>
  </si>
  <si>
    <t>BAND01</t>
  </si>
  <si>
    <t>Bandhan Bank Limited</t>
  </si>
  <si>
    <t>INE545U01014</t>
  </si>
  <si>
    <t>PGCI01</t>
  </si>
  <si>
    <t>Power Grid Corporation of India Limited</t>
  </si>
  <si>
    <t>INE752E01010</t>
  </si>
  <si>
    <t>VRLO01</t>
  </si>
  <si>
    <t>VRL Logistics Limited</t>
  </si>
  <si>
    <t>INE366I01010</t>
  </si>
  <si>
    <t>Transport Services</t>
  </si>
  <si>
    <t>GRPA01</t>
  </si>
  <si>
    <t>Greenpanel Industries Limited</t>
  </si>
  <si>
    <t>INE08ZM01014</t>
  </si>
  <si>
    <t>SBAI02</t>
  </si>
  <si>
    <t>State Bank of India</t>
  </si>
  <si>
    <t>INE062A01020</t>
  </si>
  <si>
    <t>EASI02</t>
  </si>
  <si>
    <t>EIH Limited</t>
  </si>
  <si>
    <t>INE230A01023</t>
  </si>
  <si>
    <t>Leisure Services</t>
  </si>
  <si>
    <t>PREP01</t>
  </si>
  <si>
    <t>Prestige Estates Projects Limited</t>
  </si>
  <si>
    <t>INE811K01011</t>
  </si>
  <si>
    <t>Realty</t>
  </si>
  <si>
    <t>UBBL02</t>
  </si>
  <si>
    <t>United Breweries Limited</t>
  </si>
  <si>
    <t>INE686F01025</t>
  </si>
  <si>
    <t>Beverages</t>
  </si>
  <si>
    <t>MCSP02</t>
  </si>
  <si>
    <t>United Spirits Limited</t>
  </si>
  <si>
    <t>INE854D01024</t>
  </si>
  <si>
    <t>MCEL03</t>
  </si>
  <si>
    <t>The Ramco Cements Limited</t>
  </si>
  <si>
    <t>INE331A01037</t>
  </si>
  <si>
    <t>Cement &amp; Cement Products</t>
  </si>
  <si>
    <t>SODL01</t>
  </si>
  <si>
    <t>Sobha Limited</t>
  </si>
  <si>
    <t>INE671H01015</t>
  </si>
  <si>
    <t>SECH03</t>
  </si>
  <si>
    <t>UPL Limited</t>
  </si>
  <si>
    <t>INE628A01036</t>
  </si>
  <si>
    <t>Fertilizers &amp; Agrochemicals</t>
  </si>
  <si>
    <t>HYUN01</t>
  </si>
  <si>
    <t>Hyundai Motor India Ltd</t>
  </si>
  <si>
    <t>INE0V6F01027</t>
  </si>
  <si>
    <t>MFSL01</t>
  </si>
  <si>
    <t>Mas Financial Services Limited</t>
  </si>
  <si>
    <t>INE348L01012</t>
  </si>
  <si>
    <t>KIFE02</t>
  </si>
  <si>
    <t>Kirloskar Ferrous Industries Limited</t>
  </si>
  <si>
    <t>INE884B01025</t>
  </si>
  <si>
    <t>BATA02</t>
  </si>
  <si>
    <t>Bata India Limited</t>
  </si>
  <si>
    <t>INE176A01028</t>
  </si>
  <si>
    <t>MIIL02</t>
  </si>
  <si>
    <t>UNO Minda Limited</t>
  </si>
  <si>
    <t>INE405E01023</t>
  </si>
  <si>
    <t>CGCE01</t>
  </si>
  <si>
    <t>Crompton Greaves Consumer Electricals Limited</t>
  </si>
  <si>
    <t>INE299U01018</t>
  </si>
  <si>
    <t>UPDS01</t>
  </si>
  <si>
    <t>Updater Services Limited</t>
  </si>
  <si>
    <t>INE851I01011</t>
  </si>
  <si>
    <t>Commercial Services &amp; Supplies</t>
  </si>
  <si>
    <t>NMDC01</t>
  </si>
  <si>
    <t>NMDC Limited</t>
  </si>
  <si>
    <t>INE584A01023</t>
  </si>
  <si>
    <t>Minerals &amp; Mining</t>
  </si>
  <si>
    <t>CIPL03</t>
  </si>
  <si>
    <t>Cipla Limited</t>
  </si>
  <si>
    <t>INE059A01026</t>
  </si>
  <si>
    <t>QUES01</t>
  </si>
  <si>
    <t>Quess Corp Limited</t>
  </si>
  <si>
    <t>INE615P01015</t>
  </si>
  <si>
    <t>DENI02</t>
  </si>
  <si>
    <t>Deepak Nitrite Limited</t>
  </si>
  <si>
    <t>INE288B01029</t>
  </si>
  <si>
    <t>Chemicals &amp; Petrochemicals</t>
  </si>
  <si>
    <t>ODCL03</t>
  </si>
  <si>
    <t>Dalmia Bharat Limited</t>
  </si>
  <si>
    <t>INE00R701025</t>
  </si>
  <si>
    <t>SAWL01</t>
  </si>
  <si>
    <t>Sterling And Wilson Renewable Energy Limited</t>
  </si>
  <si>
    <t>INE00M201021</t>
  </si>
  <si>
    <t>NAGF02</t>
  </si>
  <si>
    <t>NCC Limited</t>
  </si>
  <si>
    <t>INE868B01028</t>
  </si>
  <si>
    <t>RAKH02</t>
  </si>
  <si>
    <t>Radico Khaitan Limited</t>
  </si>
  <si>
    <t>INE944F01028</t>
  </si>
  <si>
    <t>Subtotal</t>
  </si>
  <si>
    <t>(b) UNLISTED</t>
  </si>
  <si>
    <t>SECH04</t>
  </si>
  <si>
    <t>UPL Limited **</t>
  </si>
  <si>
    <t>IN9628A01018</t>
  </si>
  <si>
    <t>Total</t>
  </si>
  <si>
    <t>Derivatives</t>
  </si>
  <si>
    <t>Index / Stock Futures</t>
  </si>
  <si>
    <t>NIFTYFMAR25</t>
  </si>
  <si>
    <t>NIFTY March 2025 Future</t>
  </si>
  <si>
    <t xml:space="preserve"> </t>
  </si>
  <si>
    <t>BAFLMAR25</t>
  </si>
  <si>
    <t>Bajaj Finance Limited March 2025 Future</t>
  </si>
  <si>
    <t>BNIFYMAR25</t>
  </si>
  <si>
    <t>Bank Nifty Index March 2025 Future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</si>
  <si>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</si>
  <si>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</si>
  <si>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</si>
  <si>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</si>
  <si>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</si>
  <si>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</si>
  <si>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</si>
  <si>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</si>
  <si>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</si>
  <si>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</si>
  <si>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</si>
  <si>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UPL Limited Partly Paid Up security is unlisted as on 28th Feb 2025 due to 1st call notice.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</si>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</sst>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F172E-C7BB-4304-B347-FE30102640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419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571500</xdr:colOff>
      <xdr:row>107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98AD3-49E3-4C5E-91FB-16CFA650E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58419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211B-CB8D-469C-B1D8-F112792F0DF2}">
  <sheetPr codeName="Sheet32">
    <outlinePr summaryBelow="0"/>
  </sheetPr>
  <dimension ref="A1:H96"/>
  <sheetViews>
    <sheetView tabSelected="1" topLeftCell="A66" workbookViewId="0">
      <selection activeCell="C70" sqref="C70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4100000</v>
      </c>
      <c r="F8" s="18">
        <v>71028.399999999994</v>
      </c>
      <c r="G8" s="19">
        <v>7.9000000000000001E-2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5000000</v>
      </c>
      <c r="F9" s="18">
        <v>60005</v>
      </c>
      <c r="G9" s="19">
        <v>6.6699999999999995E-2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4500000</v>
      </c>
      <c r="F10" s="18">
        <v>45699.75</v>
      </c>
      <c r="G10" s="19">
        <v>5.0799999999999998E-2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2500000</v>
      </c>
      <c r="F11" s="18">
        <v>30102.5</v>
      </c>
      <c r="G11" s="19">
        <v>3.3500000000000002E-2</v>
      </c>
      <c r="H11" s="20"/>
    </row>
    <row r="12" spans="1:8" ht="12.9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795000</v>
      </c>
      <c r="F12" s="18">
        <v>27691.84</v>
      </c>
      <c r="G12" s="19">
        <v>3.0800000000000001E-2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1500000</v>
      </c>
      <c r="F13" s="18">
        <v>25315.5</v>
      </c>
      <c r="G13" s="19">
        <v>2.81E-2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2500000</v>
      </c>
      <c r="F14" s="18">
        <v>21403.75</v>
      </c>
      <c r="G14" s="19">
        <v>2.3800000000000002E-2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16</v>
      </c>
      <c r="E15" s="17">
        <v>2000000</v>
      </c>
      <c r="F15" s="18">
        <v>19802</v>
      </c>
      <c r="G15" s="19">
        <v>2.1999999999999999E-2</v>
      </c>
      <c r="H15" s="20"/>
    </row>
    <row r="16" spans="1:8" ht="12.9" customHeight="1">
      <c r="A16" s="15" t="s">
        <v>41</v>
      </c>
      <c r="B16" s="16" t="s">
        <v>42</v>
      </c>
      <c r="C16" s="12" t="s">
        <v>43</v>
      </c>
      <c r="D16" s="13" t="s">
        <v>16</v>
      </c>
      <c r="E16" s="17">
        <v>1000000</v>
      </c>
      <c r="F16" s="18">
        <v>19029.5</v>
      </c>
      <c r="G16" s="19">
        <v>2.12E-2</v>
      </c>
      <c r="H16" s="20"/>
    </row>
    <row r="17" spans="1:8" ht="12.9" customHeight="1">
      <c r="A17" s="15" t="s">
        <v>44</v>
      </c>
      <c r="B17" s="16" t="s">
        <v>45</v>
      </c>
      <c r="C17" s="12" t="s">
        <v>46</v>
      </c>
      <c r="D17" s="13" t="s">
        <v>47</v>
      </c>
      <c r="E17" s="17">
        <v>150000</v>
      </c>
      <c r="F17" s="18">
        <v>17918.78</v>
      </c>
      <c r="G17" s="19">
        <v>1.9900000000000001E-2</v>
      </c>
      <c r="H17" s="20"/>
    </row>
    <row r="18" spans="1:8" ht="12.9" customHeight="1">
      <c r="A18" s="15" t="s">
        <v>48</v>
      </c>
      <c r="B18" s="16" t="s">
        <v>49</v>
      </c>
      <c r="C18" s="12" t="s">
        <v>50</v>
      </c>
      <c r="D18" s="13" t="s">
        <v>51</v>
      </c>
      <c r="E18" s="17">
        <v>4500000</v>
      </c>
      <c r="F18" s="18">
        <v>17775</v>
      </c>
      <c r="G18" s="19">
        <v>1.9800000000000002E-2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2500000</v>
      </c>
      <c r="F19" s="18">
        <v>17316.25</v>
      </c>
      <c r="G19" s="19">
        <v>1.9199999999999998E-2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47</v>
      </c>
      <c r="E20" s="17">
        <v>470000</v>
      </c>
      <c r="F20" s="18">
        <v>17301.169999999998</v>
      </c>
      <c r="G20" s="19">
        <v>1.9199999999999998E-2</v>
      </c>
      <c r="H20" s="20"/>
    </row>
    <row r="21" spans="1:8" ht="12.9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3000000</v>
      </c>
      <c r="F21" s="18">
        <v>17178</v>
      </c>
      <c r="G21" s="19">
        <v>1.9099999999999999E-2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960000</v>
      </c>
      <c r="F22" s="18">
        <v>16233.12</v>
      </c>
      <c r="G22" s="19">
        <v>1.7999999999999999E-2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66</v>
      </c>
      <c r="E23" s="17">
        <v>2600000</v>
      </c>
      <c r="F23" s="18">
        <v>15821</v>
      </c>
      <c r="G23" s="19">
        <v>1.7600000000000001E-2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490000</v>
      </c>
      <c r="F24" s="18">
        <v>14656.64</v>
      </c>
      <c r="G24" s="19">
        <v>1.6299999999999999E-2</v>
      </c>
      <c r="H24" s="20"/>
    </row>
    <row r="25" spans="1:8" ht="12.9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650000</v>
      </c>
      <c r="F25" s="18">
        <v>14168.38</v>
      </c>
      <c r="G25" s="19">
        <v>1.5699999999999999E-2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4500000</v>
      </c>
      <c r="F26" s="18">
        <v>14015.25</v>
      </c>
      <c r="G26" s="19">
        <v>1.5599999999999999E-2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30</v>
      </c>
      <c r="E27" s="17">
        <v>5000000</v>
      </c>
      <c r="F27" s="18">
        <v>13882.5</v>
      </c>
      <c r="G27" s="19">
        <v>1.54E-2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52000</v>
      </c>
      <c r="F28" s="18">
        <v>13802.88</v>
      </c>
      <c r="G28" s="19">
        <v>1.5299999999999999E-2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850000</v>
      </c>
      <c r="F29" s="18">
        <v>13542.63</v>
      </c>
      <c r="G29" s="19">
        <v>1.5100000000000001E-2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92</v>
      </c>
      <c r="E30" s="17">
        <v>1200000</v>
      </c>
      <c r="F30" s="18">
        <v>12699.6</v>
      </c>
      <c r="G30" s="19">
        <v>1.41E-2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400000</v>
      </c>
      <c r="F31" s="18">
        <v>12655.4</v>
      </c>
      <c r="G31" s="19">
        <v>1.41E-2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5500000</v>
      </c>
      <c r="F32" s="18">
        <v>12388.75</v>
      </c>
      <c r="G32" s="19">
        <v>1.38E-2</v>
      </c>
      <c r="H32" s="20"/>
    </row>
    <row r="33" spans="1:8" ht="12.9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3000000</v>
      </c>
      <c r="F33" s="18">
        <v>11842.5</v>
      </c>
      <c r="G33" s="19">
        <v>1.32E-2</v>
      </c>
      <c r="H33" s="20"/>
    </row>
    <row r="34" spans="1:8" ht="12.9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4300000</v>
      </c>
      <c r="F34" s="18">
        <v>11635.8</v>
      </c>
      <c r="G34" s="19">
        <v>1.29E-2</v>
      </c>
      <c r="H34" s="20"/>
    </row>
    <row r="35" spans="1:8" ht="12.9" customHeight="1">
      <c r="A35" s="15" t="s">
        <v>112</v>
      </c>
      <c r="B35" s="16" t="s">
        <v>113</v>
      </c>
      <c r="C35" s="12" t="s">
        <v>114</v>
      </c>
      <c r="D35" s="13" t="s">
        <v>92</v>
      </c>
      <c r="E35" s="17">
        <v>575000</v>
      </c>
      <c r="F35" s="18">
        <v>10951.74</v>
      </c>
      <c r="G35" s="19">
        <v>1.2200000000000001E-2</v>
      </c>
      <c r="H35" s="20"/>
    </row>
    <row r="36" spans="1:8" ht="12.9" customHeight="1">
      <c r="A36" s="15" t="s">
        <v>115</v>
      </c>
      <c r="B36" s="16" t="s">
        <v>116</v>
      </c>
      <c r="C36" s="12" t="s">
        <v>117</v>
      </c>
      <c r="D36" s="13" t="s">
        <v>66</v>
      </c>
      <c r="E36" s="17">
        <v>750000</v>
      </c>
      <c r="F36" s="18">
        <v>10728.75</v>
      </c>
      <c r="G36" s="19">
        <v>1.1900000000000001E-2</v>
      </c>
      <c r="H36" s="20"/>
    </row>
    <row r="37" spans="1:8" ht="12.9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1000000</v>
      </c>
      <c r="F37" s="18">
        <v>10051.5</v>
      </c>
      <c r="G37" s="19">
        <v>1.12E-2</v>
      </c>
      <c r="H37" s="20"/>
    </row>
    <row r="38" spans="1:8" ht="12.9" customHeight="1">
      <c r="A38" s="15" t="s">
        <v>122</v>
      </c>
      <c r="B38" s="16" t="s">
        <v>123</v>
      </c>
      <c r="C38" s="12" t="s">
        <v>124</v>
      </c>
      <c r="D38" s="13" t="s">
        <v>92</v>
      </c>
      <c r="E38" s="17">
        <v>900000</v>
      </c>
      <c r="F38" s="18">
        <v>10048.5</v>
      </c>
      <c r="G38" s="19">
        <v>1.12E-2</v>
      </c>
      <c r="H38" s="20"/>
    </row>
    <row r="39" spans="1:8" ht="12.9" customHeight="1">
      <c r="A39" s="15" t="s">
        <v>125</v>
      </c>
      <c r="B39" s="16" t="s">
        <v>126</v>
      </c>
      <c r="C39" s="12" t="s">
        <v>127</v>
      </c>
      <c r="D39" s="13" t="s">
        <v>111</v>
      </c>
      <c r="E39" s="17">
        <v>3500000</v>
      </c>
      <c r="F39" s="18">
        <v>9845.5</v>
      </c>
      <c r="G39" s="19">
        <v>1.09E-2</v>
      </c>
      <c r="H39" s="20"/>
    </row>
    <row r="40" spans="1:8" ht="12.9" customHeight="1">
      <c r="A40" s="15" t="s">
        <v>128</v>
      </c>
      <c r="B40" s="16" t="s">
        <v>129</v>
      </c>
      <c r="C40" s="12" t="s">
        <v>130</v>
      </c>
      <c r="D40" s="13" t="s">
        <v>99</v>
      </c>
      <c r="E40" s="17">
        <v>1400000</v>
      </c>
      <c r="F40" s="18">
        <v>9610.2999999999993</v>
      </c>
      <c r="G40" s="19">
        <v>1.0699999999999999E-2</v>
      </c>
      <c r="H40" s="20"/>
    </row>
    <row r="41" spans="1:8" ht="12.9" customHeight="1">
      <c r="A41" s="15" t="s">
        <v>131</v>
      </c>
      <c r="B41" s="16" t="s">
        <v>132</v>
      </c>
      <c r="C41" s="12" t="s">
        <v>133</v>
      </c>
      <c r="D41" s="13" t="s">
        <v>16</v>
      </c>
      <c r="E41" s="17">
        <v>6500000</v>
      </c>
      <c r="F41" s="18">
        <v>9177.35</v>
      </c>
      <c r="G41" s="19">
        <v>1.0200000000000001E-2</v>
      </c>
      <c r="H41" s="20"/>
    </row>
    <row r="42" spans="1:8" ht="12.9" customHeight="1">
      <c r="A42" s="15" t="s">
        <v>134</v>
      </c>
      <c r="B42" s="16" t="s">
        <v>135</v>
      </c>
      <c r="C42" s="12" t="s">
        <v>136</v>
      </c>
      <c r="D42" s="13" t="s">
        <v>81</v>
      </c>
      <c r="E42" s="17">
        <v>3500000</v>
      </c>
      <c r="F42" s="18">
        <v>8779.75</v>
      </c>
      <c r="G42" s="19">
        <v>9.7999999999999997E-3</v>
      </c>
      <c r="H42" s="20"/>
    </row>
    <row r="43" spans="1:8" ht="12.9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1900000</v>
      </c>
      <c r="F43" s="18">
        <v>8574.7000000000007</v>
      </c>
      <c r="G43" s="19">
        <v>9.4999999999999998E-3</v>
      </c>
      <c r="H43" s="20"/>
    </row>
    <row r="44" spans="1:8" ht="12.9" customHeight="1">
      <c r="A44" s="15" t="s">
        <v>141</v>
      </c>
      <c r="B44" s="16" t="s">
        <v>142</v>
      </c>
      <c r="C44" s="12" t="s">
        <v>143</v>
      </c>
      <c r="D44" s="13" t="s">
        <v>77</v>
      </c>
      <c r="E44" s="17">
        <v>3100000</v>
      </c>
      <c r="F44" s="18">
        <v>8337.4500000000007</v>
      </c>
      <c r="G44" s="19">
        <v>9.2999999999999992E-3</v>
      </c>
      <c r="H44" s="20"/>
    </row>
    <row r="45" spans="1:8" ht="12.9" customHeight="1">
      <c r="A45" s="15" t="s">
        <v>144</v>
      </c>
      <c r="B45" s="16" t="s">
        <v>145</v>
      </c>
      <c r="C45" s="12" t="s">
        <v>146</v>
      </c>
      <c r="D45" s="13" t="s">
        <v>16</v>
      </c>
      <c r="E45" s="17">
        <v>1200000</v>
      </c>
      <c r="F45" s="18">
        <v>8265.6</v>
      </c>
      <c r="G45" s="19">
        <v>9.1999999999999998E-3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2475000</v>
      </c>
      <c r="F46" s="18">
        <v>7901.44</v>
      </c>
      <c r="G46" s="19">
        <v>8.8000000000000005E-3</v>
      </c>
      <c r="H46" s="20"/>
    </row>
    <row r="47" spans="1:8" ht="12.9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700000</v>
      </c>
      <c r="F47" s="18">
        <v>7886.2</v>
      </c>
      <c r="G47" s="19">
        <v>8.8000000000000005E-3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400000</v>
      </c>
      <c r="F48" s="18">
        <v>7784.6</v>
      </c>
      <c r="G48" s="19">
        <v>8.6999999999999994E-3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158</v>
      </c>
      <c r="E49" s="17">
        <v>600000</v>
      </c>
      <c r="F49" s="18">
        <v>7706.7</v>
      </c>
      <c r="G49" s="19">
        <v>8.6E-3</v>
      </c>
      <c r="H49" s="20"/>
    </row>
    <row r="50" spans="1:8" ht="12.9" customHeight="1">
      <c r="A50" s="15" t="s">
        <v>162</v>
      </c>
      <c r="B50" s="16" t="s">
        <v>163</v>
      </c>
      <c r="C50" s="12" t="s">
        <v>164</v>
      </c>
      <c r="D50" s="13" t="s">
        <v>165</v>
      </c>
      <c r="E50" s="17">
        <v>875000</v>
      </c>
      <c r="F50" s="18">
        <v>7253.75</v>
      </c>
      <c r="G50" s="19">
        <v>8.0999999999999996E-3</v>
      </c>
      <c r="H50" s="20"/>
    </row>
    <row r="51" spans="1:8" ht="12.9" customHeight="1">
      <c r="A51" s="15" t="s">
        <v>166</v>
      </c>
      <c r="B51" s="16" t="s">
        <v>167</v>
      </c>
      <c r="C51" s="12" t="s">
        <v>168</v>
      </c>
      <c r="D51" s="13" t="s">
        <v>154</v>
      </c>
      <c r="E51" s="17">
        <v>570225</v>
      </c>
      <c r="F51" s="18">
        <v>6846.12</v>
      </c>
      <c r="G51" s="19">
        <v>7.6E-3</v>
      </c>
      <c r="H51" s="20"/>
    </row>
    <row r="52" spans="1:8" ht="12.9" customHeight="1">
      <c r="A52" s="15" t="s">
        <v>169</v>
      </c>
      <c r="B52" s="16" t="s">
        <v>170</v>
      </c>
      <c r="C52" s="12" t="s">
        <v>171</v>
      </c>
      <c r="D52" s="13" t="s">
        <v>172</v>
      </c>
      <c r="E52" s="17">
        <v>1050000</v>
      </c>
      <c r="F52" s="18">
        <v>6645.98</v>
      </c>
      <c r="G52" s="19">
        <v>7.4000000000000003E-3</v>
      </c>
      <c r="H52" s="20"/>
    </row>
    <row r="53" spans="1:8" ht="12.9" customHeight="1">
      <c r="A53" s="15" t="s">
        <v>173</v>
      </c>
      <c r="B53" s="16" t="s">
        <v>174</v>
      </c>
      <c r="C53" s="12" t="s">
        <v>175</v>
      </c>
      <c r="D53" s="13" t="s">
        <v>47</v>
      </c>
      <c r="E53" s="17">
        <v>350000</v>
      </c>
      <c r="F53" s="18">
        <v>6054.65</v>
      </c>
      <c r="G53" s="19">
        <v>6.7000000000000002E-3</v>
      </c>
      <c r="H53" s="20"/>
    </row>
    <row r="54" spans="1:8" ht="12.9" customHeight="1">
      <c r="A54" s="15" t="s">
        <v>176</v>
      </c>
      <c r="B54" s="16" t="s">
        <v>177</v>
      </c>
      <c r="C54" s="12" t="s">
        <v>178</v>
      </c>
      <c r="D54" s="13" t="s">
        <v>111</v>
      </c>
      <c r="E54" s="17">
        <v>2550000</v>
      </c>
      <c r="F54" s="18">
        <v>5955.53</v>
      </c>
      <c r="G54" s="19">
        <v>6.6E-3</v>
      </c>
      <c r="H54" s="20"/>
    </row>
    <row r="55" spans="1:8" ht="12.9" customHeight="1">
      <c r="A55" s="15" t="s">
        <v>179</v>
      </c>
      <c r="B55" s="16" t="s">
        <v>180</v>
      </c>
      <c r="C55" s="12" t="s">
        <v>181</v>
      </c>
      <c r="D55" s="13" t="s">
        <v>37</v>
      </c>
      <c r="E55" s="17">
        <v>1295000</v>
      </c>
      <c r="F55" s="18">
        <v>5893.55</v>
      </c>
      <c r="G55" s="19">
        <v>6.6E-3</v>
      </c>
      <c r="H55" s="20"/>
    </row>
    <row r="56" spans="1:8" ht="12.9" customHeight="1">
      <c r="A56" s="15" t="s">
        <v>182</v>
      </c>
      <c r="B56" s="16" t="s">
        <v>183</v>
      </c>
      <c r="C56" s="12" t="s">
        <v>184</v>
      </c>
      <c r="D56" s="13" t="s">
        <v>77</v>
      </c>
      <c r="E56" s="17">
        <v>481000</v>
      </c>
      <c r="F56" s="18">
        <v>5873.49</v>
      </c>
      <c r="G56" s="19">
        <v>6.4999999999999997E-3</v>
      </c>
      <c r="H56" s="20"/>
    </row>
    <row r="57" spans="1:8" ht="12.9" customHeight="1">
      <c r="A57" s="15" t="s">
        <v>185</v>
      </c>
      <c r="B57" s="16" t="s">
        <v>186</v>
      </c>
      <c r="C57" s="12" t="s">
        <v>187</v>
      </c>
      <c r="D57" s="13" t="s">
        <v>88</v>
      </c>
      <c r="E57" s="17">
        <v>700000</v>
      </c>
      <c r="F57" s="18">
        <v>5781.3</v>
      </c>
      <c r="G57" s="19">
        <v>6.4000000000000003E-3</v>
      </c>
      <c r="H57" s="20"/>
    </row>
    <row r="58" spans="1:8" ht="12.9" customHeight="1">
      <c r="A58" s="15" t="s">
        <v>188</v>
      </c>
      <c r="B58" s="16" t="s">
        <v>189</v>
      </c>
      <c r="C58" s="12" t="s">
        <v>190</v>
      </c>
      <c r="D58" s="13" t="s">
        <v>77</v>
      </c>
      <c r="E58" s="17">
        <v>1571883</v>
      </c>
      <c r="F58" s="18">
        <v>5048.1000000000004</v>
      </c>
      <c r="G58" s="19">
        <v>5.5999999999999999E-3</v>
      </c>
      <c r="H58" s="20"/>
    </row>
    <row r="59" spans="1:8" ht="12.9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1600000</v>
      </c>
      <c r="F59" s="18">
        <v>4828</v>
      </c>
      <c r="G59" s="19">
        <v>5.4000000000000003E-3</v>
      </c>
      <c r="H59" s="20"/>
    </row>
    <row r="60" spans="1:8" ht="12.9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7500000</v>
      </c>
      <c r="F60" s="18">
        <v>4686</v>
      </c>
      <c r="G60" s="19">
        <v>5.1999999999999998E-3</v>
      </c>
      <c r="H60" s="20"/>
    </row>
    <row r="61" spans="1:8" ht="12.9" customHeight="1">
      <c r="A61" s="15" t="s">
        <v>199</v>
      </c>
      <c r="B61" s="16" t="s">
        <v>200</v>
      </c>
      <c r="C61" s="12" t="s">
        <v>201</v>
      </c>
      <c r="D61" s="13" t="s">
        <v>92</v>
      </c>
      <c r="E61" s="17">
        <v>300000</v>
      </c>
      <c r="F61" s="18">
        <v>4222.5</v>
      </c>
      <c r="G61" s="19">
        <v>4.7000000000000002E-3</v>
      </c>
      <c r="H61" s="20"/>
    </row>
    <row r="62" spans="1:8" ht="12.9" customHeight="1">
      <c r="A62" s="15" t="s">
        <v>202</v>
      </c>
      <c r="B62" s="16" t="s">
        <v>203</v>
      </c>
      <c r="C62" s="12" t="s">
        <v>204</v>
      </c>
      <c r="D62" s="13" t="s">
        <v>194</v>
      </c>
      <c r="E62" s="17">
        <v>700000</v>
      </c>
      <c r="F62" s="18">
        <v>4180.75</v>
      </c>
      <c r="G62" s="19">
        <v>4.5999999999999999E-3</v>
      </c>
      <c r="H62" s="20"/>
    </row>
    <row r="63" spans="1:8" ht="12.9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200000</v>
      </c>
      <c r="F63" s="18">
        <v>3702.6</v>
      </c>
      <c r="G63" s="19">
        <v>4.1000000000000003E-3</v>
      </c>
      <c r="H63" s="20"/>
    </row>
    <row r="64" spans="1:8" ht="12.9" customHeight="1">
      <c r="A64" s="15" t="s">
        <v>209</v>
      </c>
      <c r="B64" s="16" t="s">
        <v>210</v>
      </c>
      <c r="C64" s="12" t="s">
        <v>211</v>
      </c>
      <c r="D64" s="13" t="s">
        <v>165</v>
      </c>
      <c r="E64" s="17">
        <v>194393</v>
      </c>
      <c r="F64" s="18">
        <v>3284.56</v>
      </c>
      <c r="G64" s="19">
        <v>3.7000000000000002E-3</v>
      </c>
      <c r="H64" s="20"/>
    </row>
    <row r="65" spans="1:8" ht="12.9" customHeight="1">
      <c r="A65" s="15" t="s">
        <v>212</v>
      </c>
      <c r="B65" s="16" t="s">
        <v>213</v>
      </c>
      <c r="C65" s="12" t="s">
        <v>214</v>
      </c>
      <c r="D65" s="13" t="s">
        <v>99</v>
      </c>
      <c r="E65" s="17">
        <v>1200000</v>
      </c>
      <c r="F65" s="18">
        <v>3065.4</v>
      </c>
      <c r="G65" s="19">
        <v>3.3999999999999998E-3</v>
      </c>
      <c r="H65" s="20"/>
    </row>
    <row r="66" spans="1:8" ht="12.9" customHeight="1">
      <c r="A66" s="15" t="s">
        <v>215</v>
      </c>
      <c r="B66" s="16" t="s">
        <v>216</v>
      </c>
      <c r="C66" s="12" t="s">
        <v>217</v>
      </c>
      <c r="D66" s="13" t="s">
        <v>99</v>
      </c>
      <c r="E66" s="17">
        <v>1350000</v>
      </c>
      <c r="F66" s="18">
        <v>2362.5</v>
      </c>
      <c r="G66" s="19">
        <v>2.5999999999999999E-3</v>
      </c>
      <c r="H66" s="20"/>
    </row>
    <row r="67" spans="1:8" ht="12.9" customHeight="1">
      <c r="A67" s="15" t="s">
        <v>218</v>
      </c>
      <c r="B67" s="16" t="s">
        <v>219</v>
      </c>
      <c r="C67" s="12" t="s">
        <v>220</v>
      </c>
      <c r="D67" s="13" t="s">
        <v>158</v>
      </c>
      <c r="E67" s="17">
        <v>75000</v>
      </c>
      <c r="F67" s="18">
        <v>1554.79</v>
      </c>
      <c r="G67" s="19">
        <v>1.6999999999999999E-3</v>
      </c>
      <c r="H67" s="20"/>
    </row>
    <row r="68" spans="1:8" ht="12.9" customHeight="1">
      <c r="A68" s="4"/>
      <c r="B68" s="21" t="s">
        <v>221</v>
      </c>
      <c r="C68" s="22"/>
      <c r="D68" s="21"/>
      <c r="E68" s="21"/>
      <c r="F68" s="23">
        <f>SUM(F8:F67)</f>
        <v>807801.54</v>
      </c>
      <c r="G68" s="24">
        <f>SUM(G8:G67)</f>
        <v>0.89810000000000034</v>
      </c>
      <c r="H68" s="25"/>
    </row>
    <row r="69" spans="1:8" ht="12.9" customHeight="1">
      <c r="A69" s="4"/>
      <c r="B69" s="11" t="s">
        <v>222</v>
      </c>
      <c r="C69" s="26"/>
      <c r="D69" s="27"/>
      <c r="E69" s="27"/>
      <c r="F69" s="28"/>
      <c r="G69" s="28"/>
      <c r="H69" s="25"/>
    </row>
    <row r="70" spans="1:8" ht="12.9" customHeight="1">
      <c r="A70" s="15" t="s">
        <v>223</v>
      </c>
      <c r="B70" s="16" t="s">
        <v>224</v>
      </c>
      <c r="C70" s="12" t="s">
        <v>225</v>
      </c>
      <c r="D70" s="13" t="s">
        <v>172</v>
      </c>
      <c r="E70" s="17">
        <v>123154</v>
      </c>
      <c r="F70" s="18">
        <v>446.99</v>
      </c>
      <c r="G70" s="19">
        <v>5.0000000000000001E-4</v>
      </c>
      <c r="H70" s="20"/>
    </row>
    <row r="71" spans="1:8" ht="12.9" customHeight="1">
      <c r="A71" s="4"/>
      <c r="B71" s="21" t="s">
        <v>221</v>
      </c>
      <c r="C71" s="26"/>
      <c r="D71" s="27"/>
      <c r="E71" s="27"/>
      <c r="F71" s="23">
        <f>SUM(F70)</f>
        <v>446.99</v>
      </c>
      <c r="G71" s="24">
        <f>SUM(G70:G70)</f>
        <v>5.0000000000000001E-4</v>
      </c>
      <c r="H71" s="25"/>
    </row>
    <row r="72" spans="1:8" ht="12.9" customHeight="1">
      <c r="A72" s="4"/>
      <c r="B72" s="21" t="s">
        <v>226</v>
      </c>
      <c r="C72" s="26"/>
      <c r="D72" s="27"/>
      <c r="E72" s="29"/>
      <c r="F72" s="30">
        <v>808248.53</v>
      </c>
      <c r="G72" s="31">
        <v>0.89859999999999995</v>
      </c>
      <c r="H72" s="32"/>
    </row>
    <row r="73" spans="1:8" ht="12.9" customHeight="1">
      <c r="A73" s="4"/>
      <c r="B73" s="11" t="s">
        <v>227</v>
      </c>
      <c r="C73" s="12"/>
      <c r="D73" s="13"/>
      <c r="E73" s="13"/>
      <c r="F73" s="13"/>
      <c r="G73" s="13"/>
      <c r="H73" s="14"/>
    </row>
    <row r="74" spans="1:8" ht="12.9" customHeight="1">
      <c r="A74" s="4"/>
      <c r="B74" s="11" t="s">
        <v>228</v>
      </c>
      <c r="C74" s="12"/>
      <c r="D74" s="13"/>
      <c r="E74" s="13"/>
      <c r="F74" s="13"/>
      <c r="G74" s="13"/>
      <c r="H74" s="14"/>
    </row>
    <row r="75" spans="1:8" ht="12.9" customHeight="1">
      <c r="A75" s="15" t="s">
        <v>229</v>
      </c>
      <c r="B75" s="16" t="s">
        <v>230</v>
      </c>
      <c r="C75" s="12"/>
      <c r="D75" s="13" t="s">
        <v>231</v>
      </c>
      <c r="E75" s="17">
        <v>82500</v>
      </c>
      <c r="F75" s="18">
        <v>18381.04</v>
      </c>
      <c r="G75" s="19">
        <v>2.0400000000000001E-2</v>
      </c>
      <c r="H75" s="20"/>
    </row>
    <row r="76" spans="1:8" ht="12.9" customHeight="1">
      <c r="A76" s="15" t="s">
        <v>232</v>
      </c>
      <c r="B76" s="16" t="s">
        <v>233</v>
      </c>
      <c r="C76" s="12"/>
      <c r="D76" s="13" t="s">
        <v>231</v>
      </c>
      <c r="E76" s="17">
        <v>112500</v>
      </c>
      <c r="F76" s="18">
        <v>9649.18</v>
      </c>
      <c r="G76" s="19">
        <v>1.0699999999999999E-2</v>
      </c>
      <c r="H76" s="20"/>
    </row>
    <row r="77" spans="1:8" ht="12.9" customHeight="1">
      <c r="A77" s="15" t="s">
        <v>234</v>
      </c>
      <c r="B77" s="16" t="s">
        <v>235</v>
      </c>
      <c r="C77" s="12"/>
      <c r="D77" s="13" t="s">
        <v>231</v>
      </c>
      <c r="E77" s="17">
        <v>19200</v>
      </c>
      <c r="F77" s="18">
        <v>9336.6200000000008</v>
      </c>
      <c r="G77" s="19">
        <v>1.04E-2</v>
      </c>
      <c r="H77" s="20"/>
    </row>
    <row r="78" spans="1:8" ht="12.9" customHeight="1">
      <c r="A78" s="4"/>
      <c r="B78" s="21" t="s">
        <v>226</v>
      </c>
      <c r="C78" s="26"/>
      <c r="D78" s="27"/>
      <c r="E78" s="29"/>
      <c r="F78" s="30">
        <v>37366.839999999997</v>
      </c>
      <c r="G78" s="31">
        <v>4.1500000000000002E-2</v>
      </c>
      <c r="H78" s="32"/>
    </row>
    <row r="79" spans="1:8" ht="12.9" customHeight="1">
      <c r="A79" s="4"/>
      <c r="B79" s="11" t="s">
        <v>236</v>
      </c>
      <c r="C79" s="12"/>
      <c r="D79" s="13"/>
      <c r="E79" s="13"/>
      <c r="F79" s="13"/>
      <c r="G79" s="13"/>
      <c r="H79" s="14"/>
    </row>
    <row r="80" spans="1:8" ht="12.9" customHeight="1">
      <c r="A80" s="4"/>
      <c r="B80" s="33" t="s">
        <v>237</v>
      </c>
      <c r="C80" s="12"/>
      <c r="D80" s="13"/>
      <c r="E80" s="13"/>
      <c r="F80" s="13"/>
      <c r="G80" s="13"/>
      <c r="H80" s="14"/>
    </row>
    <row r="81" spans="1:8" ht="12.9" customHeight="1">
      <c r="A81" s="15" t="s">
        <v>238</v>
      </c>
      <c r="B81" s="16" t="s">
        <v>239</v>
      </c>
      <c r="C81" s="12"/>
      <c r="D81" s="13"/>
      <c r="E81" s="34"/>
      <c r="F81" s="18">
        <v>72587.649999999994</v>
      </c>
      <c r="G81" s="19">
        <v>8.0699999999999994E-2</v>
      </c>
      <c r="H81" s="20">
        <v>6.2618999999999994E-2</v>
      </c>
    </row>
    <row r="82" spans="1:8" ht="12.9" customHeight="1">
      <c r="A82" s="4"/>
      <c r="B82" s="21" t="s">
        <v>226</v>
      </c>
      <c r="C82" s="26"/>
      <c r="D82" s="27"/>
      <c r="E82" s="29"/>
      <c r="F82" s="30">
        <v>72587.649999999994</v>
      </c>
      <c r="G82" s="31">
        <v>8.0699999999999994E-2</v>
      </c>
      <c r="H82" s="32"/>
    </row>
    <row r="83" spans="1:8" ht="12.9" customHeight="1">
      <c r="A83" s="4"/>
      <c r="B83" s="33" t="s">
        <v>240</v>
      </c>
      <c r="C83" s="35"/>
      <c r="D83" s="36"/>
      <c r="E83" s="36"/>
      <c r="F83" s="36"/>
      <c r="G83" s="36"/>
      <c r="H83" s="37"/>
    </row>
    <row r="84" spans="1:8" ht="12.9" customHeight="1">
      <c r="A84" s="4"/>
      <c r="B84" s="27" t="s">
        <v>241</v>
      </c>
      <c r="C84" s="26"/>
      <c r="D84" s="27"/>
      <c r="E84" s="27"/>
      <c r="F84" s="23">
        <v>493.66</v>
      </c>
      <c r="G84" s="24">
        <v>5.0000000000000001E-4</v>
      </c>
      <c r="H84" s="37"/>
    </row>
    <row r="85" spans="1:8" ht="12.9" customHeight="1">
      <c r="A85" s="4"/>
      <c r="B85" s="21" t="s">
        <v>221</v>
      </c>
      <c r="C85" s="22"/>
      <c r="D85" s="21"/>
      <c r="E85" s="21"/>
      <c r="F85" s="23">
        <v>493.66</v>
      </c>
      <c r="G85" s="24">
        <v>5.0000000000000001E-4</v>
      </c>
      <c r="H85" s="37"/>
    </row>
    <row r="86" spans="1:8" ht="12.9" customHeight="1">
      <c r="A86" s="4"/>
      <c r="B86" s="27" t="s">
        <v>242</v>
      </c>
      <c r="C86" s="26"/>
      <c r="D86" s="27"/>
      <c r="E86" s="27"/>
      <c r="F86" s="23">
        <v>20200</v>
      </c>
      <c r="G86" s="24">
        <v>2.2499999999999999E-2</v>
      </c>
      <c r="H86" s="37"/>
    </row>
    <row r="87" spans="1:8" ht="12.9" customHeight="1">
      <c r="A87" s="4"/>
      <c r="B87" s="36" t="s">
        <v>243</v>
      </c>
      <c r="C87" s="35"/>
      <c r="D87" s="36"/>
      <c r="E87" s="36"/>
      <c r="F87" s="38">
        <v>435.37</v>
      </c>
      <c r="G87" s="39">
        <v>5.0000000000000001E-4</v>
      </c>
      <c r="H87" s="37"/>
    </row>
    <row r="88" spans="1:8" ht="12.9" customHeight="1">
      <c r="A88" s="4"/>
      <c r="B88" s="36" t="s">
        <v>244</v>
      </c>
      <c r="C88" s="35"/>
      <c r="D88" s="36"/>
      <c r="E88" s="36"/>
      <c r="F88" s="40">
        <v>-2385.0500000000002</v>
      </c>
      <c r="G88" s="39">
        <v>-2.8E-3</v>
      </c>
      <c r="H88" s="37"/>
    </row>
    <row r="89" spans="1:8" ht="12.9" customHeight="1">
      <c r="A89" s="4"/>
      <c r="B89" s="21" t="s">
        <v>245</v>
      </c>
      <c r="C89" s="26"/>
      <c r="D89" s="27"/>
      <c r="E89" s="27"/>
      <c r="F89" s="23">
        <v>18250.32</v>
      </c>
      <c r="G89" s="41">
        <v>2.0199999999999999E-2</v>
      </c>
      <c r="H89" s="37"/>
    </row>
    <row r="90" spans="1:8" ht="12.9" customHeight="1" thickBot="1">
      <c r="A90" s="4"/>
      <c r="B90" s="42" t="s">
        <v>246</v>
      </c>
      <c r="C90" s="43"/>
      <c r="D90" s="44"/>
      <c r="E90" s="44"/>
      <c r="F90" s="45">
        <v>899580.15800743573</v>
      </c>
      <c r="G90" s="46">
        <v>1</v>
      </c>
      <c r="H90" s="47"/>
    </row>
    <row r="91" spans="1:8" ht="12.9" customHeight="1">
      <c r="A91" s="4"/>
      <c r="B91" s="48"/>
      <c r="C91" s="4"/>
      <c r="D91" s="4"/>
      <c r="E91" s="4"/>
      <c r="F91" s="4"/>
      <c r="G91" s="4"/>
      <c r="H91" s="4"/>
    </row>
    <row r="92" spans="1:8" ht="12.9" customHeight="1">
      <c r="A92" s="4"/>
      <c r="B92" s="49" t="s">
        <v>247</v>
      </c>
      <c r="C92" s="4"/>
      <c r="D92" s="4"/>
      <c r="E92" s="4"/>
      <c r="F92" s="4"/>
      <c r="G92" s="4"/>
      <c r="H92" s="4"/>
    </row>
    <row r="93" spans="1:8" ht="12.9" customHeight="1">
      <c r="A93" s="4"/>
      <c r="B93" s="48"/>
      <c r="C93" s="4"/>
      <c r="D93" s="4"/>
      <c r="E93" s="4"/>
      <c r="F93" s="4"/>
      <c r="G93" s="4"/>
      <c r="H93" s="4"/>
    </row>
    <row r="94" spans="1:8" ht="12.9" customHeight="1">
      <c r="A94" s="4"/>
      <c r="B94" s="48"/>
      <c r="C94" s="4"/>
      <c r="D94" s="4"/>
      <c r="E94" s="4"/>
      <c r="F94" s="4"/>
      <c r="G94" s="4"/>
      <c r="H94" s="4"/>
    </row>
    <row r="95" spans="1:8">
      <c r="F95" s="50" t="s">
        <v>248</v>
      </c>
    </row>
    <row r="96" spans="1:8">
      <c r="B96" s="50" t="s">
        <v>249</v>
      </c>
      <c r="F96" s="50" t="s">
        <v>250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2025-03-06T13:12:59Z</dcterms:created>
  <dcterms:modified xsi:type="dcterms:W3CDTF">2025-03-06T13:12:59Z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b8984e45-b92a-4196-8d70-75d055916ff3</vt:lpwstr>
  </property>
  <property fmtid="{D5CDD505-2E9C-101B-9397-08002B2CF9AE}" pid="8" name="MSIP_Label_af1741f6-9e47-426e-a683-937c37d4ebc5_ContentBits">
    <vt:lpwstr>3</vt:lpwstr>
  </property>
</Properties>
</file>