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delweissmf-my.sharepoint.com/personal/jehzeel_master_edelweissmf_com1/Documents/FCMPL2/LAB/COMPLIANCE/Mutual Fund/compliance/Compliance/Reports/1 - SEBI/31_Monthly Portfolio Disclosure/2026/Janaury/EDEL_Portfolio Monthly Notes 31-Jan-2026/"/>
    </mc:Choice>
  </mc:AlternateContent>
  <xr:revisionPtr revIDLastSave="8" documentId="11_B54D366C33B118C8431CC995E07A6951CF6BF731" xr6:coauthVersionLast="47" xr6:coauthVersionMax="47" xr10:uidLastSave="{EE5AAC61-9ADE-4FE9-AA0F-AAEDE7C291CF}"/>
  <bookViews>
    <workbookView xWindow="-110" yWindow="-110" windowWidth="19420" windowHeight="11500" xr2:uid="{00000000-000D-0000-FFFF-FFFF00000000}"/>
  </bookViews>
  <sheets>
    <sheet name="Index" sheetId="1" r:id="rId1"/>
    <sheet name="EDACBF" sheetId="2" r:id="rId2"/>
    <sheet name="EDBE30" sheetId="3" r:id="rId3"/>
    <sheet name="EDBE31" sheetId="4" r:id="rId4"/>
    <sheet name="EDBE32" sheetId="5" r:id="rId5"/>
    <sheet name="EDBE33" sheetId="6" r:id="rId6"/>
    <sheet name="EDBPDF" sheetId="7" r:id="rId7"/>
    <sheet name="EDCF27" sheetId="8" r:id="rId8"/>
    <sheet name="EDCF28" sheetId="9" r:id="rId9"/>
    <sheet name="EDCG27" sheetId="10" r:id="rId10"/>
    <sheet name="EDCG28" sheetId="11" r:id="rId11"/>
    <sheet name="EDCG37" sheetId="12" r:id="rId12"/>
    <sheet name="EDCSDF" sheetId="13" r:id="rId13"/>
    <sheet name="EDFF30" sheetId="14" r:id="rId14"/>
    <sheet name="EDFF31" sheetId="15" r:id="rId15"/>
    <sheet name="EDFF32" sheetId="16" r:id="rId16"/>
    <sheet name="EDFF33" sheetId="17" r:id="rId17"/>
    <sheet name="EDGSEC" sheetId="18" r:id="rId18"/>
    <sheet name="EDLDUF" sheetId="19" r:id="rId19"/>
    <sheet name="EDN1LE" sheetId="20" r:id="rId20"/>
    <sheet name="EDNP27" sheetId="21" r:id="rId21"/>
    <sheet name="EDNPSF" sheetId="22" r:id="rId22"/>
    <sheet name="EDONTF" sheetId="23" r:id="rId23"/>
    <sheet name="EEALVF" sheetId="24" r:id="rId24"/>
    <sheet name="EEARBF" sheetId="25" r:id="rId25"/>
    <sheet name="EEARFD" sheetId="26" r:id="rId26"/>
    <sheet name="EEBCIE" sheetId="27" r:id="rId27"/>
    <sheet name="EEBCYF" sheetId="28" r:id="rId28"/>
    <sheet name="EEBIEF" sheetId="29" r:id="rId29"/>
    <sheet name="EECONF" sheetId="30" r:id="rId30"/>
    <sheet name="EEDGEF" sheetId="31" r:id="rId31"/>
    <sheet name="EEECRF" sheetId="32" r:id="rId32"/>
    <sheet name="EEELSS" sheetId="33" r:id="rId33"/>
    <sheet name="EEEQTF" sheetId="34" r:id="rId34"/>
    <sheet name="EEESCF" sheetId="35" r:id="rId35"/>
    <sheet name="EEESSF" sheetId="36" r:id="rId36"/>
    <sheet name="EEFOCF" sheetId="37" r:id="rId37"/>
    <sheet name="EEIAFF" sheetId="38" r:id="rId38"/>
    <sheet name="EEIF30" sheetId="39" r:id="rId39"/>
    <sheet name="EEIF50" sheetId="40" r:id="rId40"/>
    <sheet name="EELMFE" sheetId="41" r:id="rId41"/>
    <sheet name="EELMIF" sheetId="42" r:id="rId42"/>
    <sheet name="EEM150" sheetId="43" r:id="rId43"/>
    <sheet name="EEMAAF" sheetId="44" r:id="rId44"/>
    <sheet name="EEMCPF" sheetId="45" r:id="rId45"/>
    <sheet name="EEMMQE" sheetId="46" r:id="rId46"/>
    <sheet name="EEMMQI" sheetId="47" r:id="rId47"/>
    <sheet name="EEMOF1" sheetId="48" r:id="rId48"/>
    <sheet name="EEMOFF" sheetId="49" r:id="rId49"/>
    <sheet name="EEN50E" sheetId="50" r:id="rId50"/>
    <sheet name="EENBEF" sheetId="51" r:id="rId51"/>
    <sheet name="EENN50" sheetId="52" r:id="rId52"/>
    <sheet name="EEPRUA" sheetId="53" r:id="rId53"/>
    <sheet name="EES250" sheetId="54" r:id="rId54"/>
    <sheet name="EES30E" sheetId="55" r:id="rId55"/>
    <sheet name="EESMCF" sheetId="56" r:id="rId56"/>
    <sheet name="EETECF" sheetId="57" r:id="rId57"/>
    <sheet name="EGOLDE" sheetId="58" r:id="rId58"/>
    <sheet name="EGSFOF" sheetId="59" r:id="rId59"/>
    <sheet name="ELLIQF" sheetId="60" r:id="rId60"/>
    <sheet name="EOASEF" sheetId="61" r:id="rId61"/>
    <sheet name="EOCHIF" sheetId="62" r:id="rId62"/>
    <sheet name="EODWHF" sheetId="63" r:id="rId63"/>
    <sheet name="EOEDOF" sheetId="64" r:id="rId64"/>
    <sheet name="EOEMOP" sheetId="65" r:id="rId65"/>
    <sheet name="EOUSEF" sheetId="66" r:id="rId66"/>
    <sheet name="EOUSTF" sheetId="67" r:id="rId67"/>
    <sheet name="ESEFOF" sheetId="68" r:id="rId68"/>
    <sheet name="ESLVRE" sheetId="69" r:id="rId69"/>
  </sheets>
  <definedNames>
    <definedName name="_xlnm._FilterDatabase" localSheetId="0" hidden="1">Index!$A$3:$B$71</definedName>
    <definedName name="Hedging_Positions_through_Futures_AS_ON_MMMM_DD__YYYY___NIL" localSheetId="1">EDACBF!#REF!</definedName>
    <definedName name="Hedging_Positions_through_Futures_AS_ON_MMMM_DD__YYYY___NIL" localSheetId="2">EDBE30!#REF!</definedName>
    <definedName name="Hedging_Positions_through_Futures_AS_ON_MMMM_DD__YYYY___NIL" localSheetId="3">EDBE31!#REF!</definedName>
    <definedName name="Hedging_Positions_through_Futures_AS_ON_MMMM_DD__YYYY___NIL" localSheetId="4">EDBE32!#REF!</definedName>
    <definedName name="Hedging_Positions_through_Futures_AS_ON_MMMM_DD__YYYY___NIL" localSheetId="5">EDBE33!#REF!</definedName>
    <definedName name="Hedging_Positions_through_Futures_AS_ON_MMMM_DD__YYYY___NIL" localSheetId="6">EDBPDF!#REF!</definedName>
    <definedName name="Hedging_Positions_through_Futures_AS_ON_MMMM_DD__YYYY___NIL" localSheetId="7">EDCF27!#REF!</definedName>
    <definedName name="Hedging_Positions_through_Futures_AS_ON_MMMM_DD__YYYY___NIL" localSheetId="8">EDCF28!#REF!</definedName>
    <definedName name="Hedging_Positions_through_Futures_AS_ON_MMMM_DD__YYYY___NIL" localSheetId="9">EDCG27!#REF!</definedName>
    <definedName name="Hedging_Positions_through_Futures_AS_ON_MMMM_DD__YYYY___NIL" localSheetId="10">EDCG28!#REF!</definedName>
    <definedName name="Hedging_Positions_through_Futures_AS_ON_MMMM_DD__YYYY___NIL" localSheetId="11">EDCG37!#REF!</definedName>
    <definedName name="Hedging_Positions_through_Futures_AS_ON_MMMM_DD__YYYY___NIL" localSheetId="12">EDCSDF!#REF!</definedName>
    <definedName name="Hedging_Positions_through_Futures_AS_ON_MMMM_DD__YYYY___NIL" localSheetId="13">EDFF30!#REF!</definedName>
    <definedName name="Hedging_Positions_through_Futures_AS_ON_MMMM_DD__YYYY___NIL" localSheetId="14">EDFF31!#REF!</definedName>
    <definedName name="Hedging_Positions_through_Futures_AS_ON_MMMM_DD__YYYY___NIL" localSheetId="15">EDFF32!#REF!</definedName>
    <definedName name="Hedging_Positions_through_Futures_AS_ON_MMMM_DD__YYYY___NIL" localSheetId="16">EDFF33!#REF!</definedName>
    <definedName name="Hedging_Positions_through_Futures_AS_ON_MMMM_DD__YYYY___NIL" localSheetId="17">EDGSEC!#REF!</definedName>
    <definedName name="Hedging_Positions_through_Futures_AS_ON_MMMM_DD__YYYY___NIL" localSheetId="18">EDLDUF!#REF!</definedName>
    <definedName name="Hedging_Positions_through_Futures_AS_ON_MMMM_DD__YYYY___NIL" localSheetId="19">EDN1LE!#REF!</definedName>
    <definedName name="Hedging_Positions_through_Futures_AS_ON_MMMM_DD__YYYY___NIL" localSheetId="20">EDNP27!#REF!</definedName>
    <definedName name="Hedging_Positions_through_Futures_AS_ON_MMMM_DD__YYYY___NIL" localSheetId="21">EDNPSF!#REF!</definedName>
    <definedName name="Hedging_Positions_through_Futures_AS_ON_MMMM_DD__YYYY___NIL" localSheetId="22">EDONTF!#REF!</definedName>
    <definedName name="Hedging_Positions_through_Futures_AS_ON_MMMM_DD__YYYY___NIL" localSheetId="23">EEALVF!#REF!</definedName>
    <definedName name="Hedging_Positions_through_Futures_AS_ON_MMMM_DD__YYYY___NIL" localSheetId="24">EEARBF!#REF!</definedName>
    <definedName name="Hedging_Positions_through_Futures_AS_ON_MMMM_DD__YYYY___NIL" localSheetId="25">EEARFD!#REF!</definedName>
    <definedName name="Hedging_Positions_through_Futures_AS_ON_MMMM_DD__YYYY___NIL" localSheetId="26">EEBCIE!#REF!</definedName>
    <definedName name="Hedging_Positions_through_Futures_AS_ON_MMMM_DD__YYYY___NIL" localSheetId="27">EEBCYF!#REF!</definedName>
    <definedName name="Hedging_Positions_through_Futures_AS_ON_MMMM_DD__YYYY___NIL" localSheetId="28">EEBIEF!#REF!</definedName>
    <definedName name="Hedging_Positions_through_Futures_AS_ON_MMMM_DD__YYYY___NIL" localSheetId="29">EECONF!#REF!</definedName>
    <definedName name="Hedging_Positions_through_Futures_AS_ON_MMMM_DD__YYYY___NIL" localSheetId="30">EEDGEF!#REF!</definedName>
    <definedName name="Hedging_Positions_through_Futures_AS_ON_MMMM_DD__YYYY___NIL" localSheetId="31">EEECRF!#REF!</definedName>
    <definedName name="Hedging_Positions_through_Futures_AS_ON_MMMM_DD__YYYY___NIL" localSheetId="32">EEELSS!#REF!</definedName>
    <definedName name="Hedging_Positions_through_Futures_AS_ON_MMMM_DD__YYYY___NIL" localSheetId="33">EEEQTF!#REF!</definedName>
    <definedName name="Hedging_Positions_through_Futures_AS_ON_MMMM_DD__YYYY___NIL" localSheetId="34">EEESCF!#REF!</definedName>
    <definedName name="Hedging_Positions_through_Futures_AS_ON_MMMM_DD__YYYY___NIL" localSheetId="35">EEESSF!#REF!</definedName>
    <definedName name="Hedging_Positions_through_Futures_AS_ON_MMMM_DD__YYYY___NIL" localSheetId="36">EEFOCF!#REF!</definedName>
    <definedName name="Hedging_Positions_through_Futures_AS_ON_MMMM_DD__YYYY___NIL" localSheetId="37">EEIAFF!#REF!</definedName>
    <definedName name="Hedging_Positions_through_Futures_AS_ON_MMMM_DD__YYYY___NIL" localSheetId="38">EEIF30!#REF!</definedName>
    <definedName name="Hedging_Positions_through_Futures_AS_ON_MMMM_DD__YYYY___NIL" localSheetId="39">EEIF50!#REF!</definedName>
    <definedName name="Hedging_Positions_through_Futures_AS_ON_MMMM_DD__YYYY___NIL" localSheetId="40">EELMFE!#REF!</definedName>
    <definedName name="Hedging_Positions_through_Futures_AS_ON_MMMM_DD__YYYY___NIL" localSheetId="41">EELMIF!#REF!</definedName>
    <definedName name="Hedging_Positions_through_Futures_AS_ON_MMMM_DD__YYYY___NIL" localSheetId="42">'EEM150'!#REF!</definedName>
    <definedName name="Hedging_Positions_through_Futures_AS_ON_MMMM_DD__YYYY___NIL" localSheetId="43">EEMAAF!#REF!</definedName>
    <definedName name="Hedging_Positions_through_Futures_AS_ON_MMMM_DD__YYYY___NIL" localSheetId="44">EEMCPF!#REF!</definedName>
    <definedName name="Hedging_Positions_through_Futures_AS_ON_MMMM_DD__YYYY___NIL" localSheetId="45">EEMMQE!#REF!</definedName>
    <definedName name="Hedging_Positions_through_Futures_AS_ON_MMMM_DD__YYYY___NIL" localSheetId="46">EEMMQI!#REF!</definedName>
    <definedName name="Hedging_Positions_through_Futures_AS_ON_MMMM_DD__YYYY___NIL" localSheetId="47">EEMOF1!#REF!</definedName>
    <definedName name="Hedging_Positions_through_Futures_AS_ON_MMMM_DD__YYYY___NIL" localSheetId="48">EEMOFF!#REF!</definedName>
    <definedName name="Hedging_Positions_through_Futures_AS_ON_MMMM_DD__YYYY___NIL" localSheetId="49">EEN50E!#REF!</definedName>
    <definedName name="Hedging_Positions_through_Futures_AS_ON_MMMM_DD__YYYY___NIL" localSheetId="50">EENBEF!#REF!</definedName>
    <definedName name="Hedging_Positions_through_Futures_AS_ON_MMMM_DD__YYYY___NIL" localSheetId="51">EENN50!#REF!</definedName>
    <definedName name="Hedging_Positions_through_Futures_AS_ON_MMMM_DD__YYYY___NIL" localSheetId="52">EEPRUA!#REF!</definedName>
    <definedName name="Hedging_Positions_through_Futures_AS_ON_MMMM_DD__YYYY___NIL" localSheetId="53">'EES250'!#REF!</definedName>
    <definedName name="Hedging_Positions_through_Futures_AS_ON_MMMM_DD__YYYY___NIL" localSheetId="54">EES30E!#REF!</definedName>
    <definedName name="Hedging_Positions_through_Futures_AS_ON_MMMM_DD__YYYY___NIL" localSheetId="55">EESMCF!#REF!</definedName>
    <definedName name="Hedging_Positions_through_Futures_AS_ON_MMMM_DD__YYYY___NIL" localSheetId="56">EETECF!#REF!</definedName>
    <definedName name="Hedging_Positions_through_Futures_AS_ON_MMMM_DD__YYYY___NIL" localSheetId="57">EGOLDE!#REF!</definedName>
    <definedName name="Hedging_Positions_through_Futures_AS_ON_MMMM_DD__YYYY___NIL" localSheetId="58">EGSFOF!#REF!</definedName>
    <definedName name="Hedging_Positions_through_Futures_AS_ON_MMMM_DD__YYYY___NIL" localSheetId="59">ELLIQF!#REF!</definedName>
    <definedName name="Hedging_Positions_through_Futures_AS_ON_MMMM_DD__YYYY___NIL" localSheetId="60">EOASEF!#REF!</definedName>
    <definedName name="Hedging_Positions_through_Futures_AS_ON_MMMM_DD__YYYY___NIL" localSheetId="61">EOCHIF!#REF!</definedName>
    <definedName name="Hedging_Positions_through_Futures_AS_ON_MMMM_DD__YYYY___NIL" localSheetId="62">EODWHF!#REF!</definedName>
    <definedName name="Hedging_Positions_through_Futures_AS_ON_MMMM_DD__YYYY___NIL" localSheetId="63">EOEDOF!#REF!</definedName>
    <definedName name="Hedging_Positions_through_Futures_AS_ON_MMMM_DD__YYYY___NIL" localSheetId="64">EOEMOP!#REF!</definedName>
    <definedName name="Hedging_Positions_through_Futures_AS_ON_MMMM_DD__YYYY___NIL" localSheetId="65">EOUSEF!#REF!</definedName>
    <definedName name="Hedging_Positions_through_Futures_AS_ON_MMMM_DD__YYYY___NIL" localSheetId="66">EOUSTF!#REF!</definedName>
    <definedName name="Hedging_Positions_through_Futures_AS_ON_MMMM_DD__YYYY___NIL" localSheetId="67">ESEFOF!#REF!</definedName>
    <definedName name="Hedging_Positions_through_Futures_AS_ON_MMMM_DD__YYYY___NIL" localSheetId="68">ESLVRE!#REF!</definedName>
    <definedName name="Hedging_Positions_through_Futures_AS_ON_MMMM_DD__YYYY___NIL">#REF!</definedName>
    <definedName name="JPM_Footer_disp" localSheetId="1">EDACBF!#REF!</definedName>
    <definedName name="JPM_Footer_disp" localSheetId="2">EDBE30!#REF!</definedName>
    <definedName name="JPM_Footer_disp" localSheetId="3">EDBE31!#REF!</definedName>
    <definedName name="JPM_Footer_disp" localSheetId="4">EDBE32!#REF!</definedName>
    <definedName name="JPM_Footer_disp" localSheetId="5">EDBE33!#REF!</definedName>
    <definedName name="JPM_Footer_disp" localSheetId="6">EDBPDF!#REF!</definedName>
    <definedName name="JPM_Footer_disp" localSheetId="7">EDCF27!#REF!</definedName>
    <definedName name="JPM_Footer_disp" localSheetId="8">EDCF28!#REF!</definedName>
    <definedName name="JPM_Footer_disp" localSheetId="9">EDCG27!#REF!</definedName>
    <definedName name="JPM_Footer_disp" localSheetId="10">EDCG28!#REF!</definedName>
    <definedName name="JPM_Footer_disp" localSheetId="11">EDCG37!#REF!</definedName>
    <definedName name="JPM_Footer_disp" localSheetId="12">EDCSDF!#REF!</definedName>
    <definedName name="JPM_Footer_disp" localSheetId="13">EDFF30!#REF!</definedName>
    <definedName name="JPM_Footer_disp" localSheetId="14">EDFF31!#REF!</definedName>
    <definedName name="JPM_Footer_disp" localSheetId="15">EDFF32!#REF!</definedName>
    <definedName name="JPM_Footer_disp" localSheetId="16">EDFF33!#REF!</definedName>
    <definedName name="JPM_Footer_disp" localSheetId="17">EDGSEC!#REF!</definedName>
    <definedName name="JPM_Footer_disp" localSheetId="18">EDLDUF!#REF!</definedName>
    <definedName name="JPM_Footer_disp" localSheetId="19">EDN1LE!#REF!</definedName>
    <definedName name="JPM_Footer_disp" localSheetId="20">EDNP27!#REF!</definedName>
    <definedName name="JPM_Footer_disp" localSheetId="21">EDNPSF!#REF!</definedName>
    <definedName name="JPM_Footer_disp" localSheetId="22">EDONTF!#REF!</definedName>
    <definedName name="JPM_Footer_disp" localSheetId="23">EEALVF!#REF!</definedName>
    <definedName name="JPM_Footer_disp" localSheetId="24">EEARBF!#REF!</definedName>
    <definedName name="JPM_Footer_disp" localSheetId="25">EEARFD!#REF!</definedName>
    <definedName name="JPM_Footer_disp" localSheetId="26">EEBCIE!#REF!</definedName>
    <definedName name="JPM_Footer_disp" localSheetId="27">EEBCYF!#REF!</definedName>
    <definedName name="JPM_Footer_disp" localSheetId="28">EEBIEF!#REF!</definedName>
    <definedName name="JPM_Footer_disp" localSheetId="29">EECONF!#REF!</definedName>
    <definedName name="JPM_Footer_disp" localSheetId="30">EEDGEF!#REF!</definedName>
    <definedName name="JPM_Footer_disp" localSheetId="31">EEECRF!#REF!</definedName>
    <definedName name="JPM_Footer_disp" localSheetId="32">EEELSS!#REF!</definedName>
    <definedName name="JPM_Footer_disp" localSheetId="33">EEEQTF!#REF!</definedName>
    <definedName name="JPM_Footer_disp" localSheetId="34">EEESCF!#REF!</definedName>
    <definedName name="JPM_Footer_disp" localSheetId="35">EEESSF!#REF!</definedName>
    <definedName name="JPM_Footer_disp" localSheetId="36">EEFOCF!#REF!</definedName>
    <definedName name="JPM_Footer_disp" localSheetId="37">EEIAFF!#REF!</definedName>
    <definedName name="JPM_Footer_disp" localSheetId="38">EEIF30!#REF!</definedName>
    <definedName name="JPM_Footer_disp" localSheetId="39">EEIF50!#REF!</definedName>
    <definedName name="JPM_Footer_disp" localSheetId="40">EELMFE!#REF!</definedName>
    <definedName name="JPM_Footer_disp" localSheetId="41">EELMIF!#REF!</definedName>
    <definedName name="JPM_Footer_disp" localSheetId="42">'EEM150'!#REF!</definedName>
    <definedName name="JPM_Footer_disp" localSheetId="43">EEMAAF!#REF!</definedName>
    <definedName name="JPM_Footer_disp" localSheetId="44">EEMCPF!#REF!</definedName>
    <definedName name="JPM_Footer_disp" localSheetId="45">EEMMQE!#REF!</definedName>
    <definedName name="JPM_Footer_disp" localSheetId="46">EEMMQI!#REF!</definedName>
    <definedName name="JPM_Footer_disp" localSheetId="47">EEMOF1!#REF!</definedName>
    <definedName name="JPM_Footer_disp" localSheetId="48">EEMOFF!#REF!</definedName>
    <definedName name="JPM_Footer_disp" localSheetId="49">EEN50E!#REF!</definedName>
    <definedName name="JPM_Footer_disp" localSheetId="50">EENBEF!#REF!</definedName>
    <definedName name="JPM_Footer_disp" localSheetId="51">EENN50!#REF!</definedName>
    <definedName name="JPM_Footer_disp" localSheetId="52">EEPRUA!#REF!</definedName>
    <definedName name="JPM_Footer_disp" localSheetId="53">'EES250'!#REF!</definedName>
    <definedName name="JPM_Footer_disp" localSheetId="54">EES30E!#REF!</definedName>
    <definedName name="JPM_Footer_disp" localSheetId="55">EESMCF!#REF!</definedName>
    <definedName name="JPM_Footer_disp" localSheetId="56">EETECF!#REF!</definedName>
    <definedName name="JPM_Footer_disp" localSheetId="57">EGOLDE!#REF!</definedName>
    <definedName name="JPM_Footer_disp" localSheetId="58">EGSFOF!#REF!</definedName>
    <definedName name="JPM_Footer_disp" localSheetId="59">ELLIQF!#REF!</definedName>
    <definedName name="JPM_Footer_disp" localSheetId="60">EOASEF!#REF!</definedName>
    <definedName name="JPM_Footer_disp" localSheetId="61">EOCHIF!#REF!</definedName>
    <definedName name="JPM_Footer_disp" localSheetId="62">EODWHF!#REF!</definedName>
    <definedName name="JPM_Footer_disp" localSheetId="63">EOEDOF!#REF!</definedName>
    <definedName name="JPM_Footer_disp" localSheetId="64">EOEMOP!#REF!</definedName>
    <definedName name="JPM_Footer_disp" localSheetId="65">EOUSEF!#REF!</definedName>
    <definedName name="JPM_Footer_disp" localSheetId="66">EOUSTF!#REF!</definedName>
    <definedName name="JPM_Footer_disp" localSheetId="67">ESEFOF!#REF!</definedName>
    <definedName name="JPM_Footer_disp" localSheetId="68">ESLVRE!#REF!</definedName>
    <definedName name="JPM_Footer_disp">#REF!</definedName>
    <definedName name="JPM_Footer_disp12" localSheetId="1">EDACBF!#REF!</definedName>
    <definedName name="JPM_Footer_disp12" localSheetId="2">EDBE30!#REF!</definedName>
    <definedName name="JPM_Footer_disp12" localSheetId="3">EDBE31!#REF!</definedName>
    <definedName name="JPM_Footer_disp12" localSheetId="4">EDBE32!#REF!</definedName>
    <definedName name="JPM_Footer_disp12" localSheetId="5">EDBE33!#REF!</definedName>
    <definedName name="JPM_Footer_disp12" localSheetId="6">EDBPDF!#REF!</definedName>
    <definedName name="JPM_Footer_disp12" localSheetId="7">EDCF27!#REF!</definedName>
    <definedName name="JPM_Footer_disp12" localSheetId="8">EDCF28!#REF!</definedName>
    <definedName name="JPM_Footer_disp12" localSheetId="9">EDCG27!#REF!</definedName>
    <definedName name="JPM_Footer_disp12" localSheetId="10">EDCG28!#REF!</definedName>
    <definedName name="JPM_Footer_disp12" localSheetId="11">EDCG37!#REF!</definedName>
    <definedName name="JPM_Footer_disp12" localSheetId="12">EDCSDF!#REF!</definedName>
    <definedName name="JPM_Footer_disp12" localSheetId="13">EDFF30!#REF!</definedName>
    <definedName name="JPM_Footer_disp12" localSheetId="14">EDFF31!#REF!</definedName>
    <definedName name="JPM_Footer_disp12" localSheetId="15">EDFF32!#REF!</definedName>
    <definedName name="JPM_Footer_disp12" localSheetId="16">EDFF33!#REF!</definedName>
    <definedName name="JPM_Footer_disp12" localSheetId="17">EDGSEC!#REF!</definedName>
    <definedName name="JPM_Footer_disp12" localSheetId="18">EDLDUF!#REF!</definedName>
    <definedName name="JPM_Footer_disp12" localSheetId="19">EDN1LE!#REF!</definedName>
    <definedName name="JPM_Footer_disp12" localSheetId="20">EDNP27!#REF!</definedName>
    <definedName name="JPM_Footer_disp12" localSheetId="21">EDNPSF!#REF!</definedName>
    <definedName name="JPM_Footer_disp12" localSheetId="22">EDONTF!#REF!</definedName>
    <definedName name="JPM_Footer_disp12" localSheetId="23">EEALVF!#REF!</definedName>
    <definedName name="JPM_Footer_disp12" localSheetId="24">EEARBF!#REF!</definedName>
    <definedName name="JPM_Footer_disp12" localSheetId="25">EEARFD!#REF!</definedName>
    <definedName name="JPM_Footer_disp12" localSheetId="26">EEBCIE!#REF!</definedName>
    <definedName name="JPM_Footer_disp12" localSheetId="27">EEBCYF!#REF!</definedName>
    <definedName name="JPM_Footer_disp12" localSheetId="28">EEBIEF!#REF!</definedName>
    <definedName name="JPM_Footer_disp12" localSheetId="29">EECONF!#REF!</definedName>
    <definedName name="JPM_Footer_disp12" localSheetId="30">EEDGEF!#REF!</definedName>
    <definedName name="JPM_Footer_disp12" localSheetId="31">EEECRF!#REF!</definedName>
    <definedName name="JPM_Footer_disp12" localSheetId="32">EEELSS!#REF!</definedName>
    <definedName name="JPM_Footer_disp12" localSheetId="33">EEEQTF!#REF!</definedName>
    <definedName name="JPM_Footer_disp12" localSheetId="34">EEESCF!#REF!</definedName>
    <definedName name="JPM_Footer_disp12" localSheetId="35">EEESSF!#REF!</definedName>
    <definedName name="JPM_Footer_disp12" localSheetId="36">EEFOCF!#REF!</definedName>
    <definedName name="JPM_Footer_disp12" localSheetId="37">EEIAFF!#REF!</definedName>
    <definedName name="JPM_Footer_disp12" localSheetId="38">EEIF30!#REF!</definedName>
    <definedName name="JPM_Footer_disp12" localSheetId="39">EEIF50!#REF!</definedName>
    <definedName name="JPM_Footer_disp12" localSheetId="40">EELMFE!#REF!</definedName>
    <definedName name="JPM_Footer_disp12" localSheetId="41">EELMIF!#REF!</definedName>
    <definedName name="JPM_Footer_disp12" localSheetId="42">'EEM150'!#REF!</definedName>
    <definedName name="JPM_Footer_disp12" localSheetId="43">EEMAAF!#REF!</definedName>
    <definedName name="JPM_Footer_disp12" localSheetId="44">EEMCPF!#REF!</definedName>
    <definedName name="JPM_Footer_disp12" localSheetId="45">EEMMQE!#REF!</definedName>
    <definedName name="JPM_Footer_disp12" localSheetId="46">EEMMQI!#REF!</definedName>
    <definedName name="JPM_Footer_disp12" localSheetId="47">EEMOF1!#REF!</definedName>
    <definedName name="JPM_Footer_disp12" localSheetId="48">EEMOFF!#REF!</definedName>
    <definedName name="JPM_Footer_disp12" localSheetId="49">EEN50E!#REF!</definedName>
    <definedName name="JPM_Footer_disp12" localSheetId="50">EENBEF!#REF!</definedName>
    <definedName name="JPM_Footer_disp12" localSheetId="51">EENN50!#REF!</definedName>
    <definedName name="JPM_Footer_disp12" localSheetId="52">EEPRUA!#REF!</definedName>
    <definedName name="JPM_Footer_disp12" localSheetId="53">'EES250'!#REF!</definedName>
    <definedName name="JPM_Footer_disp12" localSheetId="54">EES30E!#REF!</definedName>
    <definedName name="JPM_Footer_disp12" localSheetId="55">EESMCF!#REF!</definedName>
    <definedName name="JPM_Footer_disp12" localSheetId="56">EETECF!#REF!</definedName>
    <definedName name="JPM_Footer_disp12" localSheetId="57">EGOLDE!#REF!</definedName>
    <definedName name="JPM_Footer_disp12" localSheetId="58">EGSFOF!#REF!</definedName>
    <definedName name="JPM_Footer_disp12" localSheetId="59">ELLIQF!#REF!</definedName>
    <definedName name="JPM_Footer_disp12" localSheetId="60">EOASEF!#REF!</definedName>
    <definedName name="JPM_Footer_disp12" localSheetId="61">EOCHIF!#REF!</definedName>
    <definedName name="JPM_Footer_disp12" localSheetId="62">EODWHF!#REF!</definedName>
    <definedName name="JPM_Footer_disp12" localSheetId="63">EOEDOF!#REF!</definedName>
    <definedName name="JPM_Footer_disp12" localSheetId="64">EOEMOP!#REF!</definedName>
    <definedName name="JPM_Footer_disp12" localSheetId="65">EOUSEF!#REF!</definedName>
    <definedName name="JPM_Footer_disp12" localSheetId="66">EOUSTF!#REF!</definedName>
    <definedName name="JPM_Footer_disp12" localSheetId="67">ESEFOF!#REF!</definedName>
    <definedName name="JPM_Footer_disp12" localSheetId="68">ESLVRE!#REF!</definedName>
    <definedName name="JPM_Footer_disp12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69" l="1"/>
  <c r="E12" i="69"/>
  <c r="F11" i="69"/>
  <c r="B168" i="60"/>
  <c r="F11" i="58"/>
  <c r="E11" i="58"/>
  <c r="F10" i="58"/>
  <c r="F101" i="56"/>
  <c r="E101" i="56"/>
  <c r="F39" i="55"/>
  <c r="E39" i="55"/>
  <c r="F103" i="53"/>
  <c r="E103" i="53"/>
  <c r="F66" i="52"/>
  <c r="E66" i="52"/>
  <c r="F59" i="50"/>
  <c r="E59" i="50"/>
  <c r="F123" i="45"/>
  <c r="E123" i="45"/>
  <c r="F115" i="45"/>
  <c r="E115" i="45"/>
  <c r="B205" i="44"/>
  <c r="F187" i="44"/>
  <c r="F186" i="44"/>
  <c r="F170" i="44"/>
  <c r="F168" i="44"/>
  <c r="F116" i="44"/>
  <c r="E116" i="44"/>
  <c r="F52" i="44"/>
  <c r="E52" i="44"/>
  <c r="F268" i="42"/>
  <c r="E268" i="42"/>
  <c r="F259" i="42"/>
  <c r="E259" i="42"/>
  <c r="F259" i="41"/>
  <c r="E259" i="41"/>
  <c r="F59" i="40"/>
  <c r="E59" i="40"/>
  <c r="F39" i="39"/>
  <c r="E39" i="39"/>
  <c r="F46" i="37"/>
  <c r="E46" i="37"/>
  <c r="F150" i="36"/>
  <c r="E150" i="36"/>
  <c r="F142" i="36"/>
  <c r="E142" i="36"/>
  <c r="F109" i="34"/>
  <c r="E109" i="34"/>
  <c r="F112" i="33"/>
  <c r="E112" i="33"/>
  <c r="F103" i="33"/>
  <c r="E103" i="33"/>
  <c r="F98" i="32"/>
  <c r="E98" i="32"/>
  <c r="F89" i="32"/>
  <c r="E89" i="32"/>
  <c r="F89" i="31"/>
  <c r="E89" i="31"/>
  <c r="F81" i="31"/>
  <c r="E81" i="31"/>
  <c r="F59" i="30"/>
  <c r="E59" i="30"/>
  <c r="F82" i="28"/>
  <c r="E82" i="28"/>
  <c r="F145" i="26"/>
  <c r="E145" i="26"/>
  <c r="F117" i="26"/>
  <c r="E117" i="26"/>
  <c r="F108" i="26"/>
  <c r="E108" i="26"/>
  <c r="F187" i="25"/>
  <c r="E187" i="25"/>
  <c r="F179" i="25"/>
  <c r="E179" i="25"/>
  <c r="F46" i="24"/>
  <c r="E46" i="24"/>
  <c r="B61" i="23"/>
  <c r="B112" i="22"/>
  <c r="B82" i="21"/>
  <c r="B33" i="20"/>
  <c r="B89" i="19"/>
  <c r="B87" i="18"/>
  <c r="B40" i="17"/>
  <c r="B40" i="16"/>
  <c r="B40" i="15"/>
  <c r="B40" i="14"/>
  <c r="B66" i="13"/>
  <c r="B70" i="12"/>
  <c r="B59" i="11"/>
  <c r="B61" i="10"/>
  <c r="B62" i="9"/>
  <c r="B62" i="8"/>
  <c r="B109" i="7"/>
  <c r="B73" i="6"/>
  <c r="B78" i="5"/>
  <c r="B94" i="4"/>
  <c r="B126" i="3"/>
  <c r="B123" i="2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<sst xmlns="http://schemas.openxmlformats.org/spreadsheetml/2006/main" count="15552" uniqueCount="3193">
  <si>
    <t>EDELWEISS MUTUAL FUND</t>
  </si>
  <si>
    <t>Fund Id</t>
  </si>
  <si>
    <t>Fund Desc</t>
  </si>
  <si>
    <t>Scheme Risk- O - Meter</t>
  </si>
  <si>
    <t>Benchmark of the Scheme</t>
  </si>
  <si>
    <t>Benchmark Risk-o-meter</t>
  </si>
  <si>
    <t>EDACBF</t>
  </si>
  <si>
    <t>CRISIL Money Market A-I Index (Tier I Benchmark)</t>
  </si>
  <si>
    <t>NIFTY Money Market Index A-I (Tier II Scheme Benchmark)</t>
  </si>
  <si>
    <t>EDBE30</t>
  </si>
  <si>
    <t>NIFTY BHARAT Bond Index - April 2030</t>
  </si>
  <si>
    <t>-</t>
  </si>
  <si>
    <t>EDBE31</t>
  </si>
  <si>
    <t>NIFTY BHARAT Bond Index - April 2031</t>
  </si>
  <si>
    <t>EDBE32</t>
  </si>
  <si>
    <t>Nifty BHARAT Bond Index - April 2032</t>
  </si>
  <si>
    <t>EDBE33</t>
  </si>
  <si>
    <t>Nifty BHARAT Bond Index - April 2033</t>
  </si>
  <si>
    <t>EDBPDF</t>
  </si>
  <si>
    <t>CRISIL Banking and PSU Debt A-II (Tier I Benchmark)</t>
  </si>
  <si>
    <t>Nifty Banking &amp; PSU Debt Index - A-III (Tier II Scheme Benchmark)</t>
  </si>
  <si>
    <t>EDCF27</t>
  </si>
  <si>
    <t>CRISIL-IBX AAA NBFC-HFC - Jun 2027</t>
  </si>
  <si>
    <t>EDCF28</t>
  </si>
  <si>
    <t>CRISIL IBX AAA Financial Services - Jan 2028</t>
  </si>
  <si>
    <t>EDCG27</t>
  </si>
  <si>
    <t>CRISIL IBX 50:50 Gilt Plus SDL - June 2027</t>
  </si>
  <si>
    <t>EDCG28</t>
  </si>
  <si>
    <t>CRISIL IBX 50:50 Gilt Plus SDL Index - Sep 2028</t>
  </si>
  <si>
    <t>EDCG37</t>
  </si>
  <si>
    <t>CRISIL IBX 50:50 Gilt Plus SDL Index – April 2037</t>
  </si>
  <si>
    <t>EDCSDF</t>
  </si>
  <si>
    <t>CRISIL IBX 50:50 Gilt Plus SDL Short Duration Index</t>
  </si>
  <si>
    <t>EDFF30</t>
  </si>
  <si>
    <t>EDFF31</t>
  </si>
  <si>
    <t>EDFF32</t>
  </si>
  <si>
    <t>EDFF33</t>
  </si>
  <si>
    <t>EDGSEC</t>
  </si>
  <si>
    <t>CRISIL Dynamic Gilt Index (Tier I Benchmark)</t>
  </si>
  <si>
    <t>NIFTY G-Sec Index - A-III (Tier II Scheme Benchmark)</t>
  </si>
  <si>
    <t>EDLDUF</t>
  </si>
  <si>
    <t>CRISIL Low Duration Debt A-I Index (Tier I Benchmark)</t>
  </si>
  <si>
    <t>EDN1LE</t>
  </si>
  <si>
    <t>Nifty 1D Rate Index</t>
  </si>
  <si>
    <t>EDNP27</t>
  </si>
  <si>
    <t>Nifty PSU Bond Plus SDL Apr 2027 50:50 Index</t>
  </si>
  <si>
    <t>EDNPSF</t>
  </si>
  <si>
    <t>Nifty PSU Bond Plus SDL Apr 2026 50:50 Index</t>
  </si>
  <si>
    <t>EDONTF</t>
  </si>
  <si>
    <t>CRISIL Liquid Overnight Index (Tier I Benchmark)</t>
  </si>
  <si>
    <t>EEALVF</t>
  </si>
  <si>
    <t>Nifty Alpha Low Volatility 30 Index</t>
  </si>
  <si>
    <t>EEARBF</t>
  </si>
  <si>
    <t>Nifty 50 Arbitrage Index</t>
  </si>
  <si>
    <t>EEARFD</t>
  </si>
  <si>
    <t>NIFTY 50 Hybrid Composite debt 50:50 Index</t>
  </si>
  <si>
    <t>EEBCIE</t>
  </si>
  <si>
    <t>BSE Capital Markets &amp; Insurance TRI</t>
  </si>
  <si>
    <t>EEBCYF</t>
  </si>
  <si>
    <t>NIFTY 500 TRI</t>
  </si>
  <si>
    <t>EEBIEF</t>
  </si>
  <si>
    <t>BSE Internet Economy TRI</t>
  </si>
  <si>
    <t>EECONF</t>
  </si>
  <si>
    <t>NIFTY INDIA CONSUMPTION TRI</t>
  </si>
  <si>
    <t>EEDGEF</t>
  </si>
  <si>
    <t>NIFTY 100 TRI</t>
  </si>
  <si>
    <t>EEECRF</t>
  </si>
  <si>
    <t>EEELSS</t>
  </si>
  <si>
    <t>EEEQTF</t>
  </si>
  <si>
    <t>Nifty LargeMidcap 250 Index - TRI</t>
  </si>
  <si>
    <t>EEESCF</t>
  </si>
  <si>
    <t>Nifty Smallcap 250 - TRI</t>
  </si>
  <si>
    <t>EEESSF</t>
  </si>
  <si>
    <t>NIFTY 50 Equity Savings Index</t>
  </si>
  <si>
    <t>EEFOCF</t>
  </si>
  <si>
    <t>EEIAFF</t>
  </si>
  <si>
    <t>60% Nifty Short Duration Debt Index + 40% Nifty 50 Arbitrage TRI</t>
  </si>
  <si>
    <t>EEIF30</t>
  </si>
  <si>
    <t>Nifty 100 Quality 30 Index - TRI</t>
  </si>
  <si>
    <t>EEIF50</t>
  </si>
  <si>
    <t>NIFTY 50 - TRI</t>
  </si>
  <si>
    <t>EELMFE</t>
  </si>
  <si>
    <t>Nifty LargeMidcap 250 Total Return Index</t>
  </si>
  <si>
    <t>EELMIF</t>
  </si>
  <si>
    <t>EEM150</t>
  </si>
  <si>
    <t>NIFTY Midcap 150 Moment 50 TRI</t>
  </si>
  <si>
    <t>EEMAAF</t>
  </si>
  <si>
    <t>Nifty 500 TRI (40%) +CRISIL Short Term Bond Index + Domestic Gold Prices (5%)  + Domestic Silver Prices (5%)</t>
  </si>
  <si>
    <t>EEMCPF</t>
  </si>
  <si>
    <t xml:space="preserve">Nifty 500 MultiCap 50:25:25 TRI </t>
  </si>
  <si>
    <t>EEMMQE</t>
  </si>
  <si>
    <t>Nifty500 Multicap Momentum Quality 50 TRI</t>
  </si>
  <si>
    <t>EEMMQI</t>
  </si>
  <si>
    <t>EEMOF1</t>
  </si>
  <si>
    <t>Nifty IPO Index</t>
  </si>
  <si>
    <t>EEMOFF</t>
  </si>
  <si>
    <t>65% Nifty500 TRI + 15% Crisil Composite Bond Index + 10% Domestic Gold Price + 10% Domestic Silver Price</t>
  </si>
  <si>
    <t>EEN50E</t>
  </si>
  <si>
    <t>Nifty 50 TRI</t>
  </si>
  <si>
    <t>EENBEF</t>
  </si>
  <si>
    <t>NIFTY Bank TRI</t>
  </si>
  <si>
    <t>EENN50</t>
  </si>
  <si>
    <t xml:space="preserve">Nifty Next 50 Index </t>
  </si>
  <si>
    <t>EEPRUA</t>
  </si>
  <si>
    <t>CRISIL Hybrid 35+65 - Aggressive Index</t>
  </si>
  <si>
    <t>EES250</t>
  </si>
  <si>
    <t>EES30E</t>
  </si>
  <si>
    <t xml:space="preserve"> BSE Sensex TRI</t>
  </si>
  <si>
    <t>EESMCF</t>
  </si>
  <si>
    <t>NIFTY Midcap 150 TRI</t>
  </si>
  <si>
    <t>EETECF</t>
  </si>
  <si>
    <t>BSE Teck TRI</t>
  </si>
  <si>
    <t>EGOLDE</t>
  </si>
  <si>
    <t>Domestic prices of Gold</t>
  </si>
  <si>
    <t>EGSFOF</t>
  </si>
  <si>
    <t>Domestic Gold and Silver Prices</t>
  </si>
  <si>
    <t>ELLIQF</t>
  </si>
  <si>
    <t>CRISIL Liquid Debt A-I (Tier I Benchmark)</t>
  </si>
  <si>
    <t>NIFTY Liquid Index A-I (Tier II Scheme Benchmark)</t>
  </si>
  <si>
    <t>EOASEF</t>
  </si>
  <si>
    <t>MSCI AC Asean 10/40 Total Return Index</t>
  </si>
  <si>
    <t>EOCHIF</t>
  </si>
  <si>
    <t>MSCI Golden Dragon Index (Total Return Net)</t>
  </si>
  <si>
    <t>EODWHF</t>
  </si>
  <si>
    <t>MSCI India Domestic &amp; World Healthcare 45 Index</t>
  </si>
  <si>
    <t>EOEDOF</t>
  </si>
  <si>
    <t>MSCI Europe Index (Total Return Net)</t>
  </si>
  <si>
    <t>EOEMOP</t>
  </si>
  <si>
    <t>MSCI Emerging Market Index</t>
  </si>
  <si>
    <t>EOUSEF</t>
  </si>
  <si>
    <t>Russell 1000 Value Index</t>
  </si>
  <si>
    <t>EOUSTF</t>
  </si>
  <si>
    <t>Russell 1000 Equal Weighted Technology Index</t>
  </si>
  <si>
    <t>ESEFOF</t>
  </si>
  <si>
    <t>ESLVRE</t>
  </si>
  <si>
    <t>Domestic prices of Silver</t>
  </si>
  <si>
    <t>PORTFOLIO STATEMENT OF EDELWEISS MONEY MARKET FUND AS ON JANUARY 31, 2026</t>
  </si>
  <si>
    <t>(An open-ended debt scheme investing in money market securities. A relatively low interest rate risk and moderate credit risk.)</t>
  </si>
  <si>
    <t>Name of the Instrument</t>
  </si>
  <si>
    <t>ISIN</t>
  </si>
  <si>
    <t>Rating/Industry</t>
  </si>
  <si>
    <t>Quantity</t>
  </si>
  <si>
    <t>Market/Fair Value(Rs. In Lacs)</t>
  </si>
  <si>
    <t>% to Net Assets</t>
  </si>
  <si>
    <t>YIELD</t>
  </si>
  <si>
    <t>Equity &amp; Equity related</t>
  </si>
  <si>
    <t>NIL</t>
  </si>
  <si>
    <t>Debt Instruments</t>
  </si>
  <si>
    <t>(a) Listed / Awaiting listing on Stock Exchanges</t>
  </si>
  <si>
    <t>Sub Total</t>
  </si>
  <si>
    <t>State Development Loan</t>
  </si>
  <si>
    <t>8.54% BIHAR SDL RED 10-02-2026</t>
  </si>
  <si>
    <t>IN1320150031</t>
  </si>
  <si>
    <t>SOVEREIGN</t>
  </si>
  <si>
    <t>8.53% UTTAR PRADESH SDL 10-02-2026</t>
  </si>
  <si>
    <t>IN3320150375</t>
  </si>
  <si>
    <t>8.51% HARYANA SDL RED 10-02-2026</t>
  </si>
  <si>
    <t>IN1620150137</t>
  </si>
  <si>
    <t>(b)Privately Placed/Unlisted</t>
  </si>
  <si>
    <t>(c)Securitised Debt Instruments</t>
  </si>
  <si>
    <t>TOTAL</t>
  </si>
  <si>
    <t>Money Market Instruments</t>
  </si>
  <si>
    <t>Treasury bills</t>
  </si>
  <si>
    <t>182 DAYS TBILL RED 18-06-2026</t>
  </si>
  <si>
    <t>IN002025Y388</t>
  </si>
  <si>
    <t>364 DAYS TBILL RED 26-03-2026</t>
  </si>
  <si>
    <t>IN002024Z503</t>
  </si>
  <si>
    <t>364 DAYS TBILL RED 23-07-2026</t>
  </si>
  <si>
    <t>IN002025Z179</t>
  </si>
  <si>
    <t>364 DAYS TBILL RED 19-03-2026</t>
  </si>
  <si>
    <t>IN002024Z495</t>
  </si>
  <si>
    <t>364 DAYS TBILL RED 04-06-2026</t>
  </si>
  <si>
    <t>IN002025Z104</t>
  </si>
  <si>
    <t>Certificate of Deposit</t>
  </si>
  <si>
    <t>CANARA BANK CD RED 15-06-2026#**</t>
  </si>
  <si>
    <t>INE476A16F52</t>
  </si>
  <si>
    <t>CRISIL A1+</t>
  </si>
  <si>
    <t>AXIS BANK LTD CD RED 27-11-2026#**</t>
  </si>
  <si>
    <t>INE238AD6BP3</t>
  </si>
  <si>
    <t>SIDBI CD RED 11-03-2026#**</t>
  </si>
  <si>
    <t>INE556F16BD2</t>
  </si>
  <si>
    <t>UNION BANK OF INDIA CD RED 01-06-2026#**</t>
  </si>
  <si>
    <t>INE692A16KH8</t>
  </si>
  <si>
    <t>ICRA A1+</t>
  </si>
  <si>
    <t>EXIM BANK CD RED 11-06-2026#**</t>
  </si>
  <si>
    <t>INE514E16CM3</t>
  </si>
  <si>
    <t>FEDERAL BANK LTD CD 08-06-2026#**</t>
  </si>
  <si>
    <t>INE171A16NG9</t>
  </si>
  <si>
    <t>FITCH A1+</t>
  </si>
  <si>
    <t>BANK OF BARODA CD RED 16-09-2026#**</t>
  </si>
  <si>
    <t>INE028A16KC6</t>
  </si>
  <si>
    <t>PUNJAB NATIONAL BANK CD RED 25-03-2026#**</t>
  </si>
  <si>
    <t>INE160A16RP4</t>
  </si>
  <si>
    <t>CANARA BANK CD RED 29-05-2026#**</t>
  </si>
  <si>
    <t>INE476A16F03</t>
  </si>
  <si>
    <t>NABARD CD RED 13-03-2026#**</t>
  </si>
  <si>
    <t>INE261F16983</t>
  </si>
  <si>
    <t>EXIM BANK CD RED 20-03-2026#**</t>
  </si>
  <si>
    <t>INE514E16CK7</t>
  </si>
  <si>
    <t>AXIS BANK LTD CD RED 30-04-26#**</t>
  </si>
  <si>
    <t>INE238AD6BK4</t>
  </si>
  <si>
    <t>UNION BANK OF INDIA CD R 15-05-26#**</t>
  </si>
  <si>
    <t>INE692A16KC9</t>
  </si>
  <si>
    <t>UNION BANK OF INDIA CD RED 26-05-26#**</t>
  </si>
  <si>
    <t>INE692A16KG0</t>
  </si>
  <si>
    <t>BANK OF BARODA CD RED 03-06-26#**</t>
  </si>
  <si>
    <t>INE028A16KG7</t>
  </si>
  <si>
    <t>INDIAN BANK CD 05-06-26#**</t>
  </si>
  <si>
    <t>INE562A16PZ4</t>
  </si>
  <si>
    <t>AXIS BANK LTD CD RED 11-06-2026#**</t>
  </si>
  <si>
    <t>INE238AD6AT7</t>
  </si>
  <si>
    <t>SIDBI CD RED 06-11-2026#**</t>
  </si>
  <si>
    <t>INE556F16BQ4</t>
  </si>
  <si>
    <t>SIDBI CD RED 16-12-2026#**</t>
  </si>
  <si>
    <t>INE556F16BT8</t>
  </si>
  <si>
    <t>INDIAN BANK CD RED 12-01-2027#**</t>
  </si>
  <si>
    <t>INE562A16QE7</t>
  </si>
  <si>
    <t>NABARD CD RED 28-01-2027#**</t>
  </si>
  <si>
    <t>INE261F16AH2</t>
  </si>
  <si>
    <t>INDUSIND BANK LTD CD RED 22-01-2027#**</t>
  </si>
  <si>
    <t>INE095A168C9</t>
  </si>
  <si>
    <t>CANARA BANK CD RED 15-05-26#**</t>
  </si>
  <si>
    <t>INE476A16E79</t>
  </si>
  <si>
    <t>BANK OF BARODA CD RED 25-11-2026#**</t>
  </si>
  <si>
    <t>INE028A16KK9</t>
  </si>
  <si>
    <t>Commercial Paper</t>
  </si>
  <si>
    <t>HERO FINCORP LTD CP RED 06-02-2026**</t>
  </si>
  <si>
    <t>INE957N14JG7</t>
  </si>
  <si>
    <t>HDB FINANCIAL SERV CP RED 16-03-2026**</t>
  </si>
  <si>
    <t>INE756I14EZ4</t>
  </si>
  <si>
    <t>TATA CAPITAL HSNG CP 25-03-26**</t>
  </si>
  <si>
    <t>INE033L14OE6</t>
  </si>
  <si>
    <t>NUVAMA WEALTH MANAGEMENT CP RED 02-03-26**</t>
  </si>
  <si>
    <t>INE531F14FL4</t>
  </si>
  <si>
    <t>TATA CAPITAL LTD CP RED 13-03-2026**</t>
  </si>
  <si>
    <t>INE976I14PV3</t>
  </si>
  <si>
    <t>NUVAMA WEALTH FIN CP RED 10-03-26**</t>
  </si>
  <si>
    <t>INE918K14CO4</t>
  </si>
  <si>
    <t>L&amp;T FINANCE LTD CP RED 21-05-2026**</t>
  </si>
  <si>
    <t>INE498L14DY2</t>
  </si>
  <si>
    <t>REC LTD. CP RED 10-06-2026**</t>
  </si>
  <si>
    <t>INE020B14698</t>
  </si>
  <si>
    <t>MOTILAL OSWAL FIN SER CP RED 28-01-2027**</t>
  </si>
  <si>
    <t>INE338I14LQ5</t>
  </si>
  <si>
    <t>ICICI SECURITIES CP RED 06-03-2026**</t>
  </si>
  <si>
    <t>INE763G14XX9</t>
  </si>
  <si>
    <t>ADITYA BIRLA CAPITAL CP RED 18-03-2026**</t>
  </si>
  <si>
    <t>INE674K14974</t>
  </si>
  <si>
    <t>360 ONE PRIME LTD. CP 29-05-26**</t>
  </si>
  <si>
    <t>INE248U14SL7</t>
  </si>
  <si>
    <t>MUTHOOT FINANCE CP RED 20-01-2027**</t>
  </si>
  <si>
    <t>INE414G14VE3</t>
  </si>
  <si>
    <t>Investment in AIF</t>
  </si>
  <si>
    <t>SBI CDMDF--A2</t>
  </si>
  <si>
    <t>INF0RQ622028</t>
  </si>
  <si>
    <t>TREPS / Reverse Repo</t>
  </si>
  <si>
    <t>Reverse Repo</t>
  </si>
  <si>
    <t>Clearing Corporation of India Ltd.</t>
  </si>
  <si>
    <t>Accrued Interest</t>
  </si>
  <si>
    <t>Net Receivables/(Payables)</t>
  </si>
  <si>
    <t>GRAND TOTAL</t>
  </si>
  <si>
    <t>#  Unlisted Security</t>
  </si>
  <si>
    <t>**Non Traded Security</t>
  </si>
  <si>
    <t>Notes:</t>
  </si>
  <si>
    <t>1. Security in default beyond its maturiy date</t>
  </si>
  <si>
    <t>2. NAV at the beginning of the period (Rs. per unit)</t>
  </si>
  <si>
    <t>Plan /option (Face Value 10)</t>
  </si>
  <si>
    <t>As on</t>
  </si>
  <si>
    <t>Direct Plan Annual IDCW Option</t>
  </si>
  <si>
    <t>Direct Plan Bonus Option</t>
  </si>
  <si>
    <t xml:space="preserve">                              ^</t>
  </si>
  <si>
    <t xml:space="preserve">                                                  ^</t>
  </si>
  <si>
    <t>Direct Plan Growth Option</t>
  </si>
  <si>
    <t>Direct Plan IDCW Option</t>
  </si>
  <si>
    <t>Institutional Annual IDCW Option</t>
  </si>
  <si>
    <t>Institutional Growth Option</t>
  </si>
  <si>
    <t>Institutional IDCW Option</t>
  </si>
  <si>
    <t>Regular Plan - Annual IDCW Option</t>
  </si>
  <si>
    <t>Regular Plan - Bonus Option</t>
  </si>
  <si>
    <t>Regular Plan - Growth</t>
  </si>
  <si>
    <t>Regular Plan - IDCW Option</t>
  </si>
  <si>
    <t>Regular Plan Bonus Option</t>
  </si>
  <si>
    <t>^ There were no investors in this option.</t>
  </si>
  <si>
    <t xml:space="preserve">3. Total Dividend (Net) declared during the month </t>
  </si>
  <si>
    <t>4. Bonus was declared during the month</t>
  </si>
  <si>
    <t>5. Investment in Repo of Corporate Debt Securities during the month ended January 31, 2026</t>
  </si>
  <si>
    <t>6. Investment in foreign securities/ADRs/GDRs at the end of the month</t>
  </si>
  <si>
    <t>7. Average Portfolio Maturity</t>
  </si>
  <si>
    <t>8. Total gross exposure to derivative instruments (excluding reversed positions) at the end of the month (Rs. in Lakhs)</t>
  </si>
  <si>
    <t>9. Margin Deposits includes Margin money placed on derivatives other than margin money placed with bank</t>
  </si>
  <si>
    <t>10. Value of investment made by other schemes under same management (Rs. In Lakhs)</t>
  </si>
  <si>
    <t>11. Number of instance of deviation In valuation of securities</t>
  </si>
  <si>
    <t>12. Total value and percentage of illiquid equity shares / securities</t>
  </si>
  <si>
    <t>Portfolio Information</t>
  </si>
  <si>
    <t>.</t>
  </si>
  <si>
    <t>Scheme Name :</t>
  </si>
  <si>
    <t>Edelweiss Money Market Fund</t>
  </si>
  <si>
    <t>Description (if any)</t>
  </si>
  <si>
    <t>Money Market Fund</t>
  </si>
  <si>
    <t>Annualised Portfolio YTM* :</t>
  </si>
  <si>
    <t>Macaulay Duration</t>
  </si>
  <si>
    <t>Residual Maturity</t>
  </si>
  <si>
    <t>As on (Date) </t>
  </si>
  <si>
    <t>Scheme Name</t>
  </si>
  <si>
    <t>Risk- O - Meter</t>
  </si>
  <si>
    <t>PORTFOLIO STATEMENT OF BHARAT BOND ETF – APRIL 2030 AS ON JANUARY 31, 2026</t>
  </si>
  <si>
    <t>(An open ended Target Maturity Exchange Traded Bond Fund predominantly investing in constituents of Nifty BHARAT Bond Index - April 2030. A relatively high interest rate risk and relatively low credit risk.)</t>
  </si>
  <si>
    <t>(a)Listed / Awaiting listing on stock Exchanges</t>
  </si>
  <si>
    <t>7.39% SIDBI SR IX NCD RED 21-03-2030**</t>
  </si>
  <si>
    <t>INE556F08KY6</t>
  </si>
  <si>
    <t>CRISIL AAA</t>
  </si>
  <si>
    <t>7.89% REC LTD. NCD RED 30-03-2030**</t>
  </si>
  <si>
    <t>INE020B08CI2</t>
  </si>
  <si>
    <t>7.86% PFC LTD NCD RED 12-04-2030**</t>
  </si>
  <si>
    <t>INE134E08KK4</t>
  </si>
  <si>
    <t>7.64% NABARD NCD SR 25B RED 06-12-2029**</t>
  </si>
  <si>
    <t>INE261F08EJ7</t>
  </si>
  <si>
    <t>ICRA AAA</t>
  </si>
  <si>
    <t>7.03% HPCL NCD RED 12-04-2030**</t>
  </si>
  <si>
    <t>INE094A08069</t>
  </si>
  <si>
    <t>7.22% HPCL NCD RED 28-08-2029**</t>
  </si>
  <si>
    <t>INE094A08168</t>
  </si>
  <si>
    <t>7.41% POWER FIN CORP NCD RED 25-02-2030**</t>
  </si>
  <si>
    <t>INE134E08KL2</t>
  </si>
  <si>
    <t>7.34% NPCIL NCD RED 23-01-2030**</t>
  </si>
  <si>
    <t>INE206D08469</t>
  </si>
  <si>
    <t>7.55% IRFC NCD RED 12-04-2030**</t>
  </si>
  <si>
    <t>INE053F07BY5</t>
  </si>
  <si>
    <t>7.70% NHAI NCD RED 13-09-2029**</t>
  </si>
  <si>
    <t>INE906B07HH5</t>
  </si>
  <si>
    <t>7.54% NHAI NCD RED 25-01-2030**</t>
  </si>
  <si>
    <t>INE906B07HK9</t>
  </si>
  <si>
    <t>7.32% NTPC LTD NCD RED 17-07-2029**</t>
  </si>
  <si>
    <t>INE733E07KL3</t>
  </si>
  <si>
    <t>7.4% MANGALORE REF &amp; PET NCD 12-04-2030**</t>
  </si>
  <si>
    <t>INE103A08019</t>
  </si>
  <si>
    <t>7.08% IRFC NCD RED 28-02-2030**</t>
  </si>
  <si>
    <t>INE053F07CA3</t>
  </si>
  <si>
    <t>7.41% IOC NCD RED 22-10-2029**</t>
  </si>
  <si>
    <t>INE242A08437</t>
  </si>
  <si>
    <t>FITCH AAA</t>
  </si>
  <si>
    <t>7.50% REC LTD. NCD RED 28-02-2030**</t>
  </si>
  <si>
    <t>INE020B08CP7</t>
  </si>
  <si>
    <t>7.49% SIDBI SR VIII NCD RED 11-06-2029**</t>
  </si>
  <si>
    <t>INE556F08KX8</t>
  </si>
  <si>
    <t>7.49% NHAI NCD RED 01-08-2029**</t>
  </si>
  <si>
    <t>INE906B07HG7</t>
  </si>
  <si>
    <t>7.75% MANGALORE REF &amp; PET NCD 29-01-2030**</t>
  </si>
  <si>
    <t>INE103A08035</t>
  </si>
  <si>
    <t>7.38% POWER GRID CORP NCD RED 12-04-2030**</t>
  </si>
  <si>
    <t>INE752E08635</t>
  </si>
  <si>
    <t>7.55% IRFC NCD RED 06-11-29**</t>
  </si>
  <si>
    <t>INE053F07BX7</t>
  </si>
  <si>
    <t>7.47% SIDBI SR II NCD RED 05-09-2029**</t>
  </si>
  <si>
    <t>INE556F08KR0</t>
  </si>
  <si>
    <t>7.43% NABARD GOI SERV NCD RED 31-01-2030**</t>
  </si>
  <si>
    <t>INE261F08BX4</t>
  </si>
  <si>
    <t>7.48% IRFC NCD RED 13-08-2029**</t>
  </si>
  <si>
    <t>INE053F07BU3</t>
  </si>
  <si>
    <t>8.12% NHPC NCD GOI SERVICED 22-03-2029**</t>
  </si>
  <si>
    <t>INE848E08136</t>
  </si>
  <si>
    <t>CARE AAA</t>
  </si>
  <si>
    <t>7.68% NABARD NCD SR 24F RED 30-04-2029**</t>
  </si>
  <si>
    <t>INE261F08EG3</t>
  </si>
  <si>
    <t>7.82% PFC SR BS225 NCD RED 13-03-2030**</t>
  </si>
  <si>
    <t>INE134E08MF0</t>
  </si>
  <si>
    <t>7.5% IRFC NCD RED 07-09-2029**</t>
  </si>
  <si>
    <t>INE053F07BW9</t>
  </si>
  <si>
    <t>7.25% INDIAN OIL CORP SR XXVII 05-01-30**</t>
  </si>
  <si>
    <t>INE242A08569</t>
  </si>
  <si>
    <t>7.14% EXIM BOND SR AA01 NCD 13-12-2029**</t>
  </si>
  <si>
    <t>INE514E08GD0</t>
  </si>
  <si>
    <t>8.85% REC LTD. NCD RED 16-04-2029**</t>
  </si>
  <si>
    <t>INE020B08BQ7</t>
  </si>
  <si>
    <t>8.36% NHAI NCD RED 20-05-2029**</t>
  </si>
  <si>
    <t>INE906B07HD4</t>
  </si>
  <si>
    <t>7.64% FOOD CORP GOI GRNT NCD 12-12-2029**</t>
  </si>
  <si>
    <t>INE861G08050</t>
  </si>
  <si>
    <t>CRISIL AAA(CE)</t>
  </si>
  <si>
    <t>8.3% REC LTD NCD RED 25-06-2029**</t>
  </si>
  <si>
    <t>INE020B08BU9</t>
  </si>
  <si>
    <t>7.36% INDIAN OIL COR N SR XXVI 16-07-29**</t>
  </si>
  <si>
    <t>INE242A08551</t>
  </si>
  <si>
    <t>7.48% SIDBI SR VI NCD RED 24-05-2029**</t>
  </si>
  <si>
    <t>INE556F08KV2</t>
  </si>
  <si>
    <t>7.10% NABARD GOI SERV NCD RED 08-02-2030**</t>
  </si>
  <si>
    <t>INE261F08BY2</t>
  </si>
  <si>
    <t>8.25% REC GOI SERVICED NCD RED 26-03-30**</t>
  </si>
  <si>
    <t>INE020B08CR3</t>
  </si>
  <si>
    <t>7.93% PFC LTD NCD RED 31-12-2029**</t>
  </si>
  <si>
    <t>INE134E08KI8</t>
  </si>
  <si>
    <t>8.24% POWER GRID NCD GOI SERV 14-02-2029**</t>
  </si>
  <si>
    <t>INE752E08551</t>
  </si>
  <si>
    <t>8.09% NLC INDIA LTD NCD RED 29-05-2029**</t>
  </si>
  <si>
    <t>INE589A07037</t>
  </si>
  <si>
    <t>7.49% POWER GRID CORP NCD 25-10-2029**</t>
  </si>
  <si>
    <t>INE752E08601</t>
  </si>
  <si>
    <t>7.92% REC LTD. NCD RED 30-03-2030**</t>
  </si>
  <si>
    <t>INE020B08CJ0</t>
  </si>
  <si>
    <t>8.23% IRFC NCD RED 29-03-2029**</t>
  </si>
  <si>
    <t>INE053F07BE7</t>
  </si>
  <si>
    <t>8.27% NHAI NCD RED 28-03-2029**</t>
  </si>
  <si>
    <t>INE906B07GP0</t>
  </si>
  <si>
    <t>7.27% NABARD NCD RED 14-02-2030**</t>
  </si>
  <si>
    <t>INE261F08BZ9</t>
  </si>
  <si>
    <t>8.3% NTPC LTD NCD RED 15-01-2029**</t>
  </si>
  <si>
    <t>INE733E07KJ7</t>
  </si>
  <si>
    <t>8.85% POWER FIN CORP NCD RED 25-05-2029**</t>
  </si>
  <si>
    <t>INE134E08KC1</t>
  </si>
  <si>
    <t>7.5% NHPC NCD RED 06-10-2029**</t>
  </si>
  <si>
    <t>INE848E07AS5</t>
  </si>
  <si>
    <t>8.80% RECL NCD RED 14-05-2029**</t>
  </si>
  <si>
    <t>INE020B08BS3</t>
  </si>
  <si>
    <t>8.37% NHAI NCD RED 20-01-2029**</t>
  </si>
  <si>
    <t>INE906B07GN5</t>
  </si>
  <si>
    <t>7.25% NPCIL NCD RED 15-12-2029 XXXIII C**</t>
  </si>
  <si>
    <t>INE206D08436</t>
  </si>
  <si>
    <t>7.13% NHPC LTD NCD 11-02-2030**</t>
  </si>
  <si>
    <t>INE848E07BC7</t>
  </si>
  <si>
    <t>6.7% REC LTD SR 249B NCD 31-12-29**</t>
  </si>
  <si>
    <t>INE020B08FY2</t>
  </si>
  <si>
    <t>8.4% POWER GRID NCD RED 26-05-2029**</t>
  </si>
  <si>
    <t>INE752E07MV8</t>
  </si>
  <si>
    <t>7.38% NHPC LTD NCD 03-01-2030**</t>
  </si>
  <si>
    <t>INE848E07AX5</t>
  </si>
  <si>
    <t>8.15% POWER GRID CORP NCD RED 09-03-2030**</t>
  </si>
  <si>
    <t>INE752E07MK1</t>
  </si>
  <si>
    <t>7.34% POWER GRID CORP NCD 13-07-2029**</t>
  </si>
  <si>
    <t>INE752E08577</t>
  </si>
  <si>
    <t>8.14% NUCLEAR POWER NCD RED 25-03-2030**</t>
  </si>
  <si>
    <t>INE206D08303</t>
  </si>
  <si>
    <t>8.15% EXIM NCB 21-01-2030 R21 - 2030**</t>
  </si>
  <si>
    <t>INE514E08EJ2</t>
  </si>
  <si>
    <t>7.95% IRFC NCD RED 12-06-2029**</t>
  </si>
  <si>
    <t>INE053F07BR9</t>
  </si>
  <si>
    <t>9.3% POWER GRID CORP NCD RED 04-09-2029**</t>
  </si>
  <si>
    <t>INE752E07LR8</t>
  </si>
  <si>
    <t>8.13% NUCLEAR POWER CORP NCD 28-03-2030**</t>
  </si>
  <si>
    <t>INE206D08394</t>
  </si>
  <si>
    <t>7.44%POWER FIN COR SR247A NCD R 15-01-30**</t>
  </si>
  <si>
    <t>INE134E08NO0</t>
  </si>
  <si>
    <t>8.20% PGCIL NCD 23-01-2030 STRPPS D**</t>
  </si>
  <si>
    <t>INE752E07MH7</t>
  </si>
  <si>
    <t>7.41% NABARD NCD RED 18-07-2029**</t>
  </si>
  <si>
    <t>INE261F08BM7</t>
  </si>
  <si>
    <t>9.18% NUCLEAR POWER CORP NCD RD 23-01-29**</t>
  </si>
  <si>
    <t>INE206D08162</t>
  </si>
  <si>
    <t>8.87% EXIM BANK NCD RED 30-10-2029**</t>
  </si>
  <si>
    <t>INE514E08ED5</t>
  </si>
  <si>
    <t>8.40% NUCLEAR POW COR IN LTD NCD28-11-29**</t>
  </si>
  <si>
    <t>INE206D08253</t>
  </si>
  <si>
    <t>7.36% NLC INDIA LTD. NCD RED 25-01-2030**</t>
  </si>
  <si>
    <t>INE589A07045</t>
  </si>
  <si>
    <t>9.18% NUCLEAR POWER CORP NCD RD 23-01-28**</t>
  </si>
  <si>
    <t>INE206D08204</t>
  </si>
  <si>
    <t>8.70% POWER GRID CORP NCD RED 15-07-2028**</t>
  </si>
  <si>
    <t>INE752E07LC0</t>
  </si>
  <si>
    <t>8.13% PGCIL NCD 25-04-2029 LIII J**</t>
  </si>
  <si>
    <t>INE752E07NV6</t>
  </si>
  <si>
    <t>7.8% NHAI NCD RED 26-06-2029**</t>
  </si>
  <si>
    <t>INE906B07HF9</t>
  </si>
  <si>
    <t>8.83% EXIM BK OF INDIA NCD RED 03-11-29**</t>
  </si>
  <si>
    <t>INE514E08EE3</t>
  </si>
  <si>
    <t>Government Securities</t>
  </si>
  <si>
    <t>6.75% GOVT OF INDIA RED 23-12-2029</t>
  </si>
  <si>
    <t>IN0020240183</t>
  </si>
  <si>
    <t>7.10% GOVT OF INDIA RED 18-04-2029</t>
  </si>
  <si>
    <t>IN0020220011</t>
  </si>
  <si>
    <t>7.04% GOVT OF INDIA RED 03-06-2029</t>
  </si>
  <si>
    <t>IN0020240050</t>
  </si>
  <si>
    <t>In accordance with SEBI Circular no. SEBI/HO/IMD/PoD2/P/CIR/2024/183 dated December 13, 2024, Debt Index Replication Factor (DIRF) is 77.45%.</t>
  </si>
  <si>
    <t>Plan /option (Face Value 1000)</t>
  </si>
  <si>
    <t>Growth Option</t>
  </si>
  <si>
    <t>BHARAT Bond ETF - April 2030</t>
  </si>
  <si>
    <t>Debt ETFs</t>
  </si>
  <si>
    <t>PORTFOLIO STATEMENT OF BHARAT BOND ETF – APRIL 2031 AS ON JANUARY 31, 2026</t>
  </si>
  <si>
    <t>(An open ended Target Maturity Exchange Traded Bond Fund predominantly investing in constituents of Nifty BHARAT Bond Index - April 2031. A relatively high interest rate risk and relatively low credit risk.)</t>
  </si>
  <si>
    <t>6.41% IRFC NCD RED 11-04-2031**</t>
  </si>
  <si>
    <t>INE053F07CR7</t>
  </si>
  <si>
    <t>6.45% NABARD NCD RED 11-04-2031**</t>
  </si>
  <si>
    <t>INE261F08CJ1</t>
  </si>
  <si>
    <t>6.50% NHAI NCD RED 11-04-2031**</t>
  </si>
  <si>
    <t>INE906B07IE0</t>
  </si>
  <si>
    <t>6.80% NPCL NCD RED 21-03-2031**</t>
  </si>
  <si>
    <t>INE206D08477</t>
  </si>
  <si>
    <t>6.88% PFC LTD NCD RED 11-04-2031**</t>
  </si>
  <si>
    <t>INE134E08KY5</t>
  </si>
  <si>
    <t>6.90% REC LTD. NCD RED 31-03-2031**</t>
  </si>
  <si>
    <t>INE020B08DA7</t>
  </si>
  <si>
    <t>6.4% ONGC NCD RED 11-04-2031**</t>
  </si>
  <si>
    <t>INE213A08024</t>
  </si>
  <si>
    <t>6.63% HPCL NCD RED 11-04-2031**</t>
  </si>
  <si>
    <t>INE094A08093</t>
  </si>
  <si>
    <t>6.29% NTPC LTD NCD RED 11-04-2031**</t>
  </si>
  <si>
    <t>INE733E08155</t>
  </si>
  <si>
    <t>7.57% NHB NCD RED 09-01-2031**</t>
  </si>
  <si>
    <t>INE557F08FT4</t>
  </si>
  <si>
    <t>7.51% NATIONAL HOUSING BANK RED 04-04-31**</t>
  </si>
  <si>
    <t>INE557F08FX6</t>
  </si>
  <si>
    <t>6.65% FOOD CORP GOI GRNT NCD 23-10-2030**</t>
  </si>
  <si>
    <t>INE861G08076</t>
  </si>
  <si>
    <t>ICRA AAA(CE)</t>
  </si>
  <si>
    <t>6.28% POWER GRID CORP NCD 11-04-31**</t>
  </si>
  <si>
    <t>INE752E08650</t>
  </si>
  <si>
    <t>7.55% REC LTD. NCD RED 10-05-2030**</t>
  </si>
  <si>
    <t>INE020B08CU7</t>
  </si>
  <si>
    <t>7.05% PFC LTD NCD RED 09-08-2030**</t>
  </si>
  <si>
    <t>INE134E08KZ2</t>
  </si>
  <si>
    <t>7.82% PFC SR BS225 NCD RED 13-03-2031**</t>
  </si>
  <si>
    <t>INE134E08MG8</t>
  </si>
  <si>
    <t>6.80% REC LTD NCD RED 20-12-2030**</t>
  </si>
  <si>
    <t>INE020B08DE9</t>
  </si>
  <si>
    <t>7.35% NHAI NCD RED 26-04-2030**</t>
  </si>
  <si>
    <t>INE906B07HP8</t>
  </si>
  <si>
    <t>7.04% PFC LTD NCD RED 16-12-2030**</t>
  </si>
  <si>
    <t>INE134E08LC9</t>
  </si>
  <si>
    <t>6.90% REC LTD. NCD RED 31-01-2031**</t>
  </si>
  <si>
    <t>INE020B08DG4</t>
  </si>
  <si>
    <t>7.75% PFC LTD NCD RED 11-06-2030**</t>
  </si>
  <si>
    <t>INE134E08KV1</t>
  </si>
  <si>
    <t>7.79% REC LTD. NCD RED 21-05-2030**</t>
  </si>
  <si>
    <t>INE020B08CW3</t>
  </si>
  <si>
    <t>8.32% POWER GRID CORP NCD RED 23-12-2030**</t>
  </si>
  <si>
    <t>INE752E07NL7</t>
  </si>
  <si>
    <t>6.43% NTPC LTD NCD RED 27-01-2031**</t>
  </si>
  <si>
    <t>INE733E08171</t>
  </si>
  <si>
    <t>8.13% NUCLEAR POWER CORP NCD 28-03-2031**</t>
  </si>
  <si>
    <t>INE206D08402</t>
  </si>
  <si>
    <t>6.65% IRFC SR 190 NCD RED 20-05-2030**</t>
  </si>
  <si>
    <t>INE053F08502</t>
  </si>
  <si>
    <t>8.13% PGCIL NCD 25-04-2030 LIII K**</t>
  </si>
  <si>
    <t>INE752E07NW4</t>
  </si>
  <si>
    <t>9.35% POWER GRID CORP NCD RED 29-08-2029**</t>
  </si>
  <si>
    <t>INE752E07IZ7</t>
  </si>
  <si>
    <t>8.4% POWER GRID CORP NCD RED 27-05-2030**</t>
  </si>
  <si>
    <t>INE752E07MW6</t>
  </si>
  <si>
    <t>8.13% NUCLEAR POWER CORP NCD 28-03-2029**</t>
  </si>
  <si>
    <t>INE206D08386</t>
  </si>
  <si>
    <t>7.25% NPCIL NCD RED 15-12-2030 XXXIII D**</t>
  </si>
  <si>
    <t>INE206D08444</t>
  </si>
  <si>
    <t>7% POWER FIN CORP NCD RED 22-01-2031**</t>
  </si>
  <si>
    <t>INE134E07AN1</t>
  </si>
  <si>
    <t>9.35% POWER GRID NCD RED 29-08-2030**</t>
  </si>
  <si>
    <t>INE752E07JA8</t>
  </si>
  <si>
    <t>8.5% NHPC LTD NCD RED 14-07-2030**</t>
  </si>
  <si>
    <t>INE848E07906</t>
  </si>
  <si>
    <t>8.37% HUDCO NCD RED 23-03-2029**</t>
  </si>
  <si>
    <t>INE031A08707</t>
  </si>
  <si>
    <t>8.13% NPCIL NCD 28-03-2028 XXXII B**</t>
  </si>
  <si>
    <t>INE206D08378</t>
  </si>
  <si>
    <t>6.8% NHPC SR AB STRPP E NCD 24-04-2030**</t>
  </si>
  <si>
    <t>INE848E07BN4</t>
  </si>
  <si>
    <t>6.75% HUDCO NCD RED 29-05-2030**</t>
  </si>
  <si>
    <t>INE031A08806</t>
  </si>
  <si>
    <t>7.32% GOVT OF INDIA RED 13-11-2030</t>
  </si>
  <si>
    <t>IN0020230135</t>
  </si>
  <si>
    <t>In accordance with SEBI Circular no. SEBI/HO/IMD/PoD2/P/CIR/2024/183 dated December 13, 2024, Debt Index Replication Factor (DIRF) is 68.04%.</t>
  </si>
  <si>
    <t>BHARAT Bond ETF - April 2031</t>
  </si>
  <si>
    <t>PORTFOLIO STATEMENT OF BHARAT BOND ETF – APRIL 2032 AS ON JANUARY 31, 2026</t>
  </si>
  <si>
    <t>(An open ended Target Maturity Exchange Traded Bond Fund predominantly investing in constituents of Nifty BHARAT Bond Index - April 2032)</t>
  </si>
  <si>
    <t>6.92% REC LTD NCD RED 20-03-2032**</t>
  </si>
  <si>
    <t>INE020B08DV3</t>
  </si>
  <si>
    <t>6.92% POWER FINANCE NCD 14-04-32**</t>
  </si>
  <si>
    <t>INE134E08LN6</t>
  </si>
  <si>
    <t>6.74% NTPC LTD RED 14-04-2032**</t>
  </si>
  <si>
    <t>INE733E08205</t>
  </si>
  <si>
    <t>7.48% MANGALORE REF&amp;PET 14-04-2032**</t>
  </si>
  <si>
    <t>INE103A08050</t>
  </si>
  <si>
    <t>6.87% NHAI NCD RED 14-04-2032**</t>
  </si>
  <si>
    <t>INE906B07JA6</t>
  </si>
  <si>
    <t>6.87% IRFC NCD RED 14-04-2032**</t>
  </si>
  <si>
    <t>INE053F08163</t>
  </si>
  <si>
    <t>7.79% IOC NCD RED 12-04-2032**</t>
  </si>
  <si>
    <t>INE242A08528</t>
  </si>
  <si>
    <t>6.85% NABARD NCD RED 14-04-2032**</t>
  </si>
  <si>
    <t>INE261F08DL5</t>
  </si>
  <si>
    <t>7.81% HPCL NCD RED 13-04-2032**</t>
  </si>
  <si>
    <t>INE094A08119</t>
  </si>
  <si>
    <t>6.92% IRFC NCD SR 161 RED 29-08-2031**</t>
  </si>
  <si>
    <t>INE053F08122</t>
  </si>
  <si>
    <t>6.85% NLC INDIA RED 13-04-2032**</t>
  </si>
  <si>
    <t>INE589A08043</t>
  </si>
  <si>
    <t>7.2% NAT HSG BANK NCD RED 03-10-2031**</t>
  </si>
  <si>
    <t>INE557F08GB0</t>
  </si>
  <si>
    <t>7.82% PFC SR BS225 NCD RED 12-03-2032**</t>
  </si>
  <si>
    <t>INE134E08ME3</t>
  </si>
  <si>
    <t>7.35% NHB NCD RED 02-01-2032**</t>
  </si>
  <si>
    <t>INE557F08GD6</t>
  </si>
  <si>
    <t>6.89% IRFC NCD RED 18-07-2031**</t>
  </si>
  <si>
    <t>INE053F08106</t>
  </si>
  <si>
    <t>6.69% NTPC LTD NCD RED 12-09-2031**</t>
  </si>
  <si>
    <t>INE733E08197</t>
  </si>
  <si>
    <t>7.38% NABARD NCD RED 20-10-2031**</t>
  </si>
  <si>
    <t>INE261F08683</t>
  </si>
  <si>
    <t>8.12% EXIM BANK SR T02 NCD 25-04-2031**</t>
  </si>
  <si>
    <t>INE514E08FC4</t>
  </si>
  <si>
    <t>7.55% PGC SERIES LV NCD RED 21-09-2031**</t>
  </si>
  <si>
    <t>INE752E07OB6</t>
  </si>
  <si>
    <t>8.25% EXIM BANK SR T04 NCD 23-06-2031**</t>
  </si>
  <si>
    <t>INE514E08FE0</t>
  </si>
  <si>
    <t>8.13% PGCIL NCD 25-04-2031 LIII L**</t>
  </si>
  <si>
    <t>INE752E07NX2</t>
  </si>
  <si>
    <t>8.1% NTPC NCD RED 27-05-2031**</t>
  </si>
  <si>
    <t>INE733E07KD0</t>
  </si>
  <si>
    <t>8.11% EXIM BANK SR T05 NCD R 11-07-2031**</t>
  </si>
  <si>
    <t>INE514E08FF7</t>
  </si>
  <si>
    <t>7.30% NABARD NCD RED 26-12-2031**</t>
  </si>
  <si>
    <t>INE261F08717</t>
  </si>
  <si>
    <t>7.02% EXIM BANK NCD RED SR T 25-11-2031**</t>
  </si>
  <si>
    <t>INE514E08FH3</t>
  </si>
  <si>
    <t>8.17% NHPC LTD SR U-1 NCD 27-06-2031**</t>
  </si>
  <si>
    <t>INE848E07922</t>
  </si>
  <si>
    <t>8.24% NHPC LTD SER U NCD RED 27-06-2031**</t>
  </si>
  <si>
    <t>INE848E07914</t>
  </si>
  <si>
    <t>7.49% NTPC LTD NCD RED 07-11-2031**</t>
  </si>
  <si>
    <t>INE733E07KG3</t>
  </si>
  <si>
    <t>7.25% NPCIL NCD RED 15-12-2031 XXXIII E**</t>
  </si>
  <si>
    <t>INE206D08451</t>
  </si>
  <si>
    <t>6.54% GOVT OF INDIA RED 17-01-2032</t>
  </si>
  <si>
    <t>IN0020210244</t>
  </si>
  <si>
    <t>In accordance with SEBI Circular no. SEBI/HO/IMD/PoD2/P/CIR/2024/183 dated December 13, 2024, Debt Index Replication Factor (DIRF) is 66.23%.</t>
  </si>
  <si>
    <t>BHARAT Bond ETF - April 2032</t>
  </si>
  <si>
    <t>PORTFOLIO STATEMENT OF BHARAT BOND ETF – APRIL 2033 AS ON JANUARY 31, 2026</t>
  </si>
  <si>
    <t>(An open-ended Target Maturity Exchange Traded Bond Fund investing in constituents of Nifty BHARAT Bond Index - April 2033. A relatively high interest rate risk and relatively low credit risk.)</t>
  </si>
  <si>
    <t>7.55% NPCL NCD RED 23-12-2032**</t>
  </si>
  <si>
    <t>INE206D08493</t>
  </si>
  <si>
    <t>6.90% HUDCO NCD RED 23-04-2032**</t>
  </si>
  <si>
    <t>INE031A08962</t>
  </si>
  <si>
    <t>7.54% HPCL NCD RED 15-04-2033**</t>
  </si>
  <si>
    <t>INE094A08143</t>
  </si>
  <si>
    <t>7.47% IRFC SR166 NCD RED 15-04-2033**</t>
  </si>
  <si>
    <t>INE053F08213</t>
  </si>
  <si>
    <t>7.58% POWER FIN NCD RED 15-04-2033**</t>
  </si>
  <si>
    <t>INE134E08LW7</t>
  </si>
  <si>
    <t>7.54% NABARD NCD RED 15-04-2033**</t>
  </si>
  <si>
    <t>INE261F08DU6</t>
  </si>
  <si>
    <t>7.44% NTPC LTD. SR 79 NCD RED 15-04-2033**</t>
  </si>
  <si>
    <t>INE733E08239</t>
  </si>
  <si>
    <t>7.53% RECL SR 217 NCD RED 31-03-2033**</t>
  </si>
  <si>
    <t>INE020B08EC1</t>
  </si>
  <si>
    <t>7.52% HUDCO SERIES B NCD RED 15-04-2033**</t>
  </si>
  <si>
    <t>INE031A08863</t>
  </si>
  <si>
    <t>7.75% IRFC NCD RED 15-04-2033**</t>
  </si>
  <si>
    <t>INE053F08270</t>
  </si>
  <si>
    <t>7.70% PFC SR BS226 B NCD RED 15-04-2033**</t>
  </si>
  <si>
    <t>INE134E08MI4</t>
  </si>
  <si>
    <t>7.88% EXIM BANK SR U05 NCD 11-01-2033**</t>
  </si>
  <si>
    <t>INE514E08FQ4</t>
  </si>
  <si>
    <t>8.5% EXIM BANK NCD RED 14-03-2033**</t>
  </si>
  <si>
    <t>INE514E08FS0</t>
  </si>
  <si>
    <t>7.69% RECL SR 218 NCD RED 31-01-2033**</t>
  </si>
  <si>
    <t>INE020B08EE7</t>
  </si>
  <si>
    <t>7.82% PFC SR BS225 NCD RED 11-03-2033**</t>
  </si>
  <si>
    <t>INE134E08MD5</t>
  </si>
  <si>
    <t>7.44% NTPC LTD. SR 78 NCD RED 25-08-2032**</t>
  </si>
  <si>
    <t>INE733E08221</t>
  </si>
  <si>
    <t>7.65% IRFC NCD SR167 RED 30-12-2032**</t>
  </si>
  <si>
    <t>INE053F08221</t>
  </si>
  <si>
    <t>7.5% REC LTD 214B NCD RED 28-02-2033**</t>
  </si>
  <si>
    <t>INE020B08DX9</t>
  </si>
  <si>
    <t>7.65% IRFC SR 168B NCD RED 18-04-2033**</t>
  </si>
  <si>
    <t>INE053F08247</t>
  </si>
  <si>
    <t>7.40% EXIM BANK NCD SR Z02 RED 14-03-29**</t>
  </si>
  <si>
    <t>INE514E08GC2</t>
  </si>
  <si>
    <t>7.69% NABARD NCD SR LTIF 1E 31-03-2032**</t>
  </si>
  <si>
    <t>INE261F08832</t>
  </si>
  <si>
    <t>7.26% GOVT OF INDIA RED 06-02-2033</t>
  </si>
  <si>
    <t>IN0020220151</t>
  </si>
  <si>
    <t>In accordance with SEBI Circular no. SEBI/HO/IMD/PoD2/P/CIR/2024/183 dated December 13, 2024, Debt Index Replication Factor (DIRF) is 68.39%.</t>
  </si>
  <si>
    <t>BHARAT Bond ETF - April 2033</t>
  </si>
  <si>
    <t>BHARAT Bond ETF – April 2033</t>
  </si>
  <si>
    <t>PORTFOLIO STATEMENT OF EDELWEISS  BANKING AND PSU DEBT FUND AS ON JANUARY 31, 2026</t>
  </si>
  <si>
    <t>(An open ended debt scheme predominantly investing in Debt Instruments of Banks, Public Sector Undertakings, Public Financial Institutions and Municipal Bonds. A relatively high interest rate risk and relatively low credit risk.)</t>
  </si>
  <si>
    <t>7.74% PFC SR 172 NCD RED 29-01-2028**</t>
  </si>
  <si>
    <t>INE134E08JI0</t>
  </si>
  <si>
    <t>7.59%NATIONAL HOUSING BANK R 14-07-2027**</t>
  </si>
  <si>
    <t>INE557F08FY4</t>
  </si>
  <si>
    <t>7.7% NABARD NCD SR 25A RED 30-09-2027**</t>
  </si>
  <si>
    <t>INE261F08EI9</t>
  </si>
  <si>
    <t>7.3274%HDB FIN SERV S234 04-08-28**</t>
  </si>
  <si>
    <t>INE756I07FJ9</t>
  </si>
  <si>
    <t>7.35%BHARTI TELECO SRXXV 15-10-27**</t>
  </si>
  <si>
    <t>INE403D08272</t>
  </si>
  <si>
    <t>6.52% HUDCO NCD SR C RED 06-06-2028**</t>
  </si>
  <si>
    <t>INE031A08988</t>
  </si>
  <si>
    <t>7.75% SIDBI SR VII NCD RED 10-06-27**</t>
  </si>
  <si>
    <t>INE556F08KN9</t>
  </si>
  <si>
    <t>8.41% HUDCO NCD GOI SERVICED 15-03-2029**</t>
  </si>
  <si>
    <t>INE031A08699</t>
  </si>
  <si>
    <t>8.79% INDIAN RAIL FIN NCD RED 04-05-2030**</t>
  </si>
  <si>
    <t>INE053F09GX2</t>
  </si>
  <si>
    <t>8.7% LIC HOUS FIN NCD RED 23-03-2029**</t>
  </si>
  <si>
    <t>INE115A07OB4</t>
  </si>
  <si>
    <t>7.18% GOVT OF INDIA RED 14-08-2033</t>
  </si>
  <si>
    <t>IN0020230085</t>
  </si>
  <si>
    <t>6.33% GOVT OF INDIA RED 05-05-2035</t>
  </si>
  <si>
    <t>IN0020250026</t>
  </si>
  <si>
    <t>6.58% KARNATAKA SDL RED 03-06-2030</t>
  </si>
  <si>
    <t>IN1920200053</t>
  </si>
  <si>
    <t>UNION BANK OF INDIA CD RED 10-03-2026#**</t>
  </si>
  <si>
    <t>INE692A16KL0</t>
  </si>
  <si>
    <t>HDFC BANK CD RED 12-03-2026#**</t>
  </si>
  <si>
    <t>INE040A16GN6</t>
  </si>
  <si>
    <t>CARE A1+</t>
  </si>
  <si>
    <t>Direct Plan Fortnightly IDCW Option</t>
  </si>
  <si>
    <t>Direct Plan Monthly IDCW Option</t>
  </si>
  <si>
    <t>Direct Plan Weekly IDCW Option</t>
  </si>
  <si>
    <t>Regular Plan Fortnightly IDCW Option</t>
  </si>
  <si>
    <t>Regular Plan Growth Option</t>
  </si>
  <si>
    <t>Regular Plan IDCW Option</t>
  </si>
  <si>
    <t>Regular Plan Monthly IDCW Option</t>
  </si>
  <si>
    <t>Regular Plan Weekly IDCW Option</t>
  </si>
  <si>
    <t>3. Total Dividend (Net) declared during the month</t>
  </si>
  <si>
    <t>Plan/Option Name</t>
  </si>
  <si>
    <t/>
  </si>
  <si>
    <t>individual &amp; HUF</t>
  </si>
  <si>
    <t>others</t>
  </si>
  <si>
    <t>Direct Plan Fortnightly IDCW</t>
  </si>
  <si>
    <t>Regular Plan Fortnightly IDCW</t>
  </si>
  <si>
    <t>Edelweiss Banking and PSU Debt Fund</t>
  </si>
  <si>
    <t>Banking and PSU Fund</t>
  </si>
  <si>
    <t>PORTFOLIO STATEMENT OF EDELWEISS CRISIL-IBX AAA BOND NBFC-HFC - JUN 2027 INDEX FUND AS ON JANUARY 31, 2026</t>
  </si>
  <si>
    <t>(An open-ended Target Maturity Debt Index Fund predominantly investing in the constituents of CRISIL-IBX AAA NBFC- HFC Index – Jun 2027. A moderate interest rate risk and relatively low credit risk)</t>
  </si>
  <si>
    <t>8.33% ADITYA BIRLA CAP SR L1 NCD19-05-27**</t>
  </si>
  <si>
    <t>INE860H07IY4</t>
  </si>
  <si>
    <t>7.8989% ADITYA BIRLA HSG SR K2 08-06-27**</t>
  </si>
  <si>
    <t>INE831R07557</t>
  </si>
  <si>
    <t>8.3774% KOTAK MAHINDRA INV NCD 21-06-27**</t>
  </si>
  <si>
    <t>INE975F07IR8</t>
  </si>
  <si>
    <t>8.35% AXIS FIN SR 14 NCD OP B 07-05-27**</t>
  </si>
  <si>
    <t>INE891K07952</t>
  </si>
  <si>
    <t>8.24% L&amp;T FIN LTD SR J NCD RED 16-06-27**</t>
  </si>
  <si>
    <t>INE498L07038</t>
  </si>
  <si>
    <t>8.285% TATA CAPITAL LTD NCD 10-05-2027**</t>
  </si>
  <si>
    <t>INE976I07CT9</t>
  </si>
  <si>
    <t>8.25% MAH &amp; MAH FIN SR RED 25-03-2027**</t>
  </si>
  <si>
    <t>INE774D07VE1</t>
  </si>
  <si>
    <t>8.2378% HDB FIN SER SR 207 R 06-04-27**</t>
  </si>
  <si>
    <t>INE756I07EX3</t>
  </si>
  <si>
    <t>7.90% LIC HSG FIN TR421 NCD R 23-06-2027**</t>
  </si>
  <si>
    <t>INE115A07PV9</t>
  </si>
  <si>
    <t>8.30% SMFG IND CRD SR109 OP I R 30-06-27**</t>
  </si>
  <si>
    <t>INE535H07CJ6</t>
  </si>
  <si>
    <t>8.12% KOTAK MAH PRIME TR GID01 R21-06-27**</t>
  </si>
  <si>
    <t>INE916DA7SU4</t>
  </si>
  <si>
    <t>7.75% TATA CAP HSG FIN SR A 18-05-2027**</t>
  </si>
  <si>
    <t>INE033L07HQ8</t>
  </si>
  <si>
    <t>7.7% BAJAJ HOUSING FIN NCD RED 21-05-27**</t>
  </si>
  <si>
    <t>INE377Y07300</t>
  </si>
  <si>
    <t>7.70% BAJAJ FIN LTD OP I NCD R 07-06-27**</t>
  </si>
  <si>
    <t>INE296A07RZ4</t>
  </si>
  <si>
    <t>In accordance with SEBI Circular no. SEBI/HO/IMD/PoD2/P/CIR/2024/183 dated December 13, 2024, Debt Index Replication Factor (DIRF) is 71.5%.</t>
  </si>
  <si>
    <t>Direct Plan  Growth Option</t>
  </si>
  <si>
    <t>Regular Plan  Growth Option</t>
  </si>
  <si>
    <t>Edelweiss CRISIL-IBX AAA Bond NBFC-HFC - Jun 2027 Index Fund</t>
  </si>
  <si>
    <t>CRISIL-IBX AAA NBFC-HFC
Index – Jun 2027</t>
  </si>
  <si>
    <t>PORTFOLIO STATEMENT OF EDELWEISS CRISIL IBX AAA FINANCIAL SERVICES BOND – JAN 2028 INDEX FUND AS ON JANUARY 31, 2026</t>
  </si>
  <si>
    <t>(An open-ended target maturity debt Index Fund predominantly investing in the constituents of CRISIL IBX AAA Financial
Services – Jan 2028 Index. A relatively high-interest rate risk and relatively low credit risk.)</t>
  </si>
  <si>
    <t>8.29% AXIS FIN SR 01 NCD R 19-08-27**</t>
  </si>
  <si>
    <t>INE891K07978</t>
  </si>
  <si>
    <t>8.3721% KOTAK MAH INVEST NCD R 20-08-27**</t>
  </si>
  <si>
    <t>INE975F07IS6</t>
  </si>
  <si>
    <t>8.01% MAH &amp; MAH FIN SR RED 24-12-2027**</t>
  </si>
  <si>
    <t>INE774D07VG6</t>
  </si>
  <si>
    <t>7.92% ADITYA BIRLA CAP NCD RED 27-12-27**</t>
  </si>
  <si>
    <t>INE860H07IG1</t>
  </si>
  <si>
    <t>7.712% TATA CAP HSG FIN SR D 14-01-2028**</t>
  </si>
  <si>
    <t>INE033L07IK9</t>
  </si>
  <si>
    <t>7.7951% BAJAJ FIN LTD NCD RED 10-12-2027**</t>
  </si>
  <si>
    <t>INE296A07TF2</t>
  </si>
  <si>
    <t>7.98% BAJAJ HOUSING FIN NCD RED 18-11-27**</t>
  </si>
  <si>
    <t>INE377Y07383</t>
  </si>
  <si>
    <t>7.70% RECL NCD SR156 RED 10-12-2027**</t>
  </si>
  <si>
    <t>INE020B08AQ9</t>
  </si>
  <si>
    <t>7.59%NATIONAL HOUSING BANK NCD 08-09-27**</t>
  </si>
  <si>
    <t>INE557F08FZ1</t>
  </si>
  <si>
    <t>7.62% NABARD NCD SR 23I RED 31-01-2028**</t>
  </si>
  <si>
    <t>INE261F08DV4</t>
  </si>
  <si>
    <t>7.68% TATA CAPITAL LTD NCD 07-09-2027**</t>
  </si>
  <si>
    <t>INE306N07NA6</t>
  </si>
  <si>
    <t>7.65% HDB FIN SERV NCD 10-09-27**</t>
  </si>
  <si>
    <t>INE756I07EJ2</t>
  </si>
  <si>
    <t>7.74% LIC HSG TR448 NCD 22-10-27**</t>
  </si>
  <si>
    <t>INE115A07QZ8</t>
  </si>
  <si>
    <t>In accordance with SEBI Circular no. SEBI/HO/IMD/PoD2/P/CIR/2024/183 dated December 13, 2024, Debt Index Replication Factor (DIRF) is 66.81%.</t>
  </si>
  <si>
    <t>EDELWEISS CRISIL IBX AAA FINANCIAL SERVICES BOND – JAN 2028 INDEX FUND</t>
  </si>
  <si>
    <t>CRISIL IBX AAA Financial Services Bond – Jan 2028 Index</t>
  </si>
  <si>
    <t>Edelweiss CRISIL-IBX AAA Financial Services Bond– Jan 2028 Index Fund</t>
  </si>
  <si>
    <t>PORTFOLIO STATEMENT OF EDELWEISS CRISIL IBX 50:50 GILT PLUS SDL JUNE 2027 INDEX FUND AS ON JANUARY 31, 2026</t>
  </si>
  <si>
    <t>(An open-ended target maturity Index Fund investing in the constituents of CRISIL IBX 50:50 Gilt Plus SDL Index – June 2027. A relatively high interest rate risk and relatively low credit risk)</t>
  </si>
  <si>
    <t>7.38% GOVT OF INDIA RED 20-06-2027</t>
  </si>
  <si>
    <t>IN0020220037</t>
  </si>
  <si>
    <t>7.16% TAMILNADU SDL RED 11-01-2027</t>
  </si>
  <si>
    <t>IN3120160178</t>
  </si>
  <si>
    <t>7.71% GUJARAT SDL RED 01-03-2027</t>
  </si>
  <si>
    <t>IN1520160202</t>
  </si>
  <si>
    <t>7.52% TAMIL NADU SDL RED 24-05-2027</t>
  </si>
  <si>
    <t>IN3120170037</t>
  </si>
  <si>
    <t>7.51% MAHARASHTRA SDL RED 24-05-2027</t>
  </si>
  <si>
    <t>IN2220170020</t>
  </si>
  <si>
    <t>7.52% UTTAR PRADESH SDL 24-05-2027</t>
  </si>
  <si>
    <t>IN3320170043</t>
  </si>
  <si>
    <t>7.67% UTTAR PRADESH SDL 12-04-2027</t>
  </si>
  <si>
    <t>IN3320170019</t>
  </si>
  <si>
    <t>In accordance with SEBI Circular no. SEBI/HO/IMD/PoD2/P/CIR/2024/183 dated December 13, 2024, Debt Index Replication Factor (DIRF) is 96.01%.</t>
  </si>
  <si>
    <t xml:space="preserve">EDELWEISS CRISIL IBX 50:50 GILT PLUS SDL JUNE 2027 INDEX FUND </t>
  </si>
  <si>
    <t>CRISIL Gilt Plus SDL 5050 Jun 2027 Index Fund</t>
  </si>
  <si>
    <t>Edelweiss CRISIL IBX 50-50 Gilt Plus SDL June 2027 Index Fund</t>
  </si>
  <si>
    <t>PORTFOLIO STATEMENT OF EDELWEISS CRISIL IBX 50:50 GILT PLUS SDL SEP 2028 INDEX FUND AS ON JANUARY 31, 2026</t>
  </si>
  <si>
    <t>(An open-ended target maturity Index Fund investing in the constituents of CRISIL IBX 50:50 Gilt Plus SDL Index – Sep 2028. A relatively high interest rate risk and relatively low credit risk)</t>
  </si>
  <si>
    <t>7.06% GOVT OF INDIA RED 10-04-2028</t>
  </si>
  <si>
    <t>IN0020230010</t>
  </si>
  <si>
    <t>6.13% GOVT OF INDIA RED 04-06-2028</t>
  </si>
  <si>
    <t>IN0020030022</t>
  </si>
  <si>
    <t>8.47% GUJARAT SDL RED 21-08-2028</t>
  </si>
  <si>
    <t>IN1520180077</t>
  </si>
  <si>
    <t>8.15% TAMIL NADU SDL RED 09-05-2028</t>
  </si>
  <si>
    <t>IN3120180036</t>
  </si>
  <si>
    <t>8.79% GUJARAT SDL RED 12-09-2028</t>
  </si>
  <si>
    <t>IN1520180101</t>
  </si>
  <si>
    <t>In accordance with SEBI Circular no. SEBI/HO/IMD/PoD2/P/CIR/2024/183 dated December 13, 2024, Debt Index Replication Factor (DIRF) is 95.58%.</t>
  </si>
  <si>
    <t xml:space="preserve">EDELWEISS CRISIL IBX 50:50 GILT PLUS SDL SEP 2028 INDEX FUND </t>
  </si>
  <si>
    <t>CRISIL Gilt Plus SDL 5050 Sep 2028 Index Fund</t>
  </si>
  <si>
    <t>Edelweiss CRISIL IBX 50-50 Gilt Plus SDL Sep 2028 Index Fund</t>
  </si>
  <si>
    <t>PORTFOLIO STATEMENT OF EDELWEISS CRISIL IBX 50:50 GILT PLUS SDL APRIL 2037 INDEX FUND AS ON JANUARY 31, 2026</t>
  </si>
  <si>
    <t>(An open-ended target maturity Index Fund investing in the constituents of CRISIL IBX 50:50 Gilt Plus SDL Index – April 2037. A relatively high interest rate risk and relatively low credit risk)</t>
  </si>
  <si>
    <t>7.41% GOVT OF INDIA RED 19-12-2036</t>
  </si>
  <si>
    <t>IN0020220102</t>
  </si>
  <si>
    <t>7.54% GOVT OF INDIA RED 23-05-2036</t>
  </si>
  <si>
    <t>IN0020220029</t>
  </si>
  <si>
    <t>7.84% TELANGANA SDL RED 03-08-2036</t>
  </si>
  <si>
    <t>IN4520220109</t>
  </si>
  <si>
    <t>7.74% UTTAR PRADESH SDL 15-03-2037</t>
  </si>
  <si>
    <t>IN3320220152</t>
  </si>
  <si>
    <t>8.03% ANDHRA PRADESH SDL RED 20-07-2036</t>
  </si>
  <si>
    <t>IN1020220332</t>
  </si>
  <si>
    <t>7.89% TELANGANA SDL RED 27-10-2036</t>
  </si>
  <si>
    <t>IN4520220224</t>
  </si>
  <si>
    <t>7.75% RAJASTHAN SDL RED 08-11-2036</t>
  </si>
  <si>
    <t>IN2920230306</t>
  </si>
  <si>
    <t>7.72% ANDHRA PRADESH SDL RED 25-10-2036</t>
  </si>
  <si>
    <t>IN1020230539</t>
  </si>
  <si>
    <t>7.83% TELANGANA SDL RED 04-10-2036</t>
  </si>
  <si>
    <t>IN4520220216</t>
  </si>
  <si>
    <t>7.47% ANDHRA PRADESH SDL RED 26-04-2037</t>
  </si>
  <si>
    <t>IN1020230067</t>
  </si>
  <si>
    <t>7.24% KARNATAKA SDL RED 10-03-2037</t>
  </si>
  <si>
    <t>IN1920200657</t>
  </si>
  <si>
    <t>7.94% TELANGANA SDL RED 29-06-2036</t>
  </si>
  <si>
    <t>IN4520220042</t>
  </si>
  <si>
    <t>7.97% ANDHRA PRADESH SDL RED 10-08-2036</t>
  </si>
  <si>
    <t>IN1020220407</t>
  </si>
  <si>
    <t>7.72% KARNATAKA SDL RED 10-01-2037</t>
  </si>
  <si>
    <t>IN1920230191</t>
  </si>
  <si>
    <t>7.45% MAHARASHTRA SDL RED 20-03-2037</t>
  </si>
  <si>
    <t>IN2220230295</t>
  </si>
  <si>
    <t>7.45% KARNATAKA SDL RED 20-03-2037</t>
  </si>
  <si>
    <t>IN1920230357</t>
  </si>
  <si>
    <t>In accordance with SEBI Circular no. SEBI/HO/IMD/PoD2/P/CIR/2024/183 dated December 13, 2024, Debt Index Replication Factor (DIRF) is 98.41%.</t>
  </si>
  <si>
    <t xml:space="preserve">EDELWEISS CRISIL IBX 50:50 GILT PLUS SDL APRIL 2037 INDEX FUND </t>
  </si>
  <si>
    <t>CRISIL Gilt Plus SDL 5050 Apr 2037 Index Fund</t>
  </si>
  <si>
    <t>Edelweiss Crisil IBX 50-50 Gilt Plus SDL Apr 2037 Index Fund</t>
  </si>
  <si>
    <t>PORTFOLIO STATEMENT OF EDELWEISS CRISIL IBX 50:50 GILT PLUS SDL SHORT DURATION INDEX FUND AS ON JANUARY 31, 2026</t>
  </si>
  <si>
    <t>(An open-ended debt Index Fund investing in the constituents of CRISIL IBX 50:50 Gilt Plus SDL Short Duration Index. A relatively high interest rate risk and relatively low credit risk.)</t>
  </si>
  <si>
    <t>7.17% GOVT OF INDIA RED 17-04-2030</t>
  </si>
  <si>
    <t>IN0020230036</t>
  </si>
  <si>
    <t>7.59% KARNATAKA SDL 15-02-2027</t>
  </si>
  <si>
    <t>IN1920160091</t>
  </si>
  <si>
    <t>7.59% GUJARAT SDL RED 15-02-2027</t>
  </si>
  <si>
    <t>IN1520160194</t>
  </si>
  <si>
    <t>7.17% GUJARAT SDL RED 08-01-2030</t>
  </si>
  <si>
    <t>IN1520190183</t>
  </si>
  <si>
    <t>8.28% GUJARAT SDL RED 13-02-2029</t>
  </si>
  <si>
    <t>IN1520180283</t>
  </si>
  <si>
    <t>7.76% KARNATAKA SDL RED 13-12-2027</t>
  </si>
  <si>
    <t>IN1920170116</t>
  </si>
  <si>
    <t>7.2% GUJARAT SDL RED 14-06-2027</t>
  </si>
  <si>
    <t>IN1520170052</t>
  </si>
  <si>
    <t>In accordance with SEBI Circular no. SEBI/HO/IMD/PoD2/P/CIR/2024/183 dated December 13, 2024, Debt Index Replication Factor (DIRF) is 96.56%.</t>
  </si>
  <si>
    <t>EDELWEISS CRISIL IBX 50:50 GILT PLUS SDL SHORT DURATION INDEX FUND</t>
  </si>
  <si>
    <t>CRISIL IBX 50:50 GPS SHORT DURATION INDEX FUND</t>
  </si>
  <si>
    <t>Edelweiss CRISIL IBX 50-50 Gilt Plus SDL Short Duration Index Fund</t>
  </si>
  <si>
    <t>PORTFOLIO STATEMENT OF BHARAT BOND FOF – APRIL 2030 AS ON JANUARY 31, 2026</t>
  </si>
  <si>
    <t>(An open-ended Target Maturity fund of funds scheme investing in units of BHARAT Bond ETF – April 2030)</t>
  </si>
  <si>
    <t>Investment in Mutual fund</t>
  </si>
  <si>
    <t>BHARAT BOND ETF-APRIL 2030-GROWTH</t>
  </si>
  <si>
    <t>INF754K01KO2</t>
  </si>
  <si>
    <t>7. Total gross exposure to derivative instruments (excluding reversed positions) at the end of the month (Rs. in Lakhs)</t>
  </si>
  <si>
    <t>8. Margin Deposits includes Margin money placed on derivatives other than margin money placed with bank</t>
  </si>
  <si>
    <t>9. Value of investment made by other schemes under same management (Rs. In Lakhs)</t>
  </si>
  <si>
    <t>10. Number of instance of deviation In valuation of securities</t>
  </si>
  <si>
    <t>11. Total value and percentage of illiquid equity shares / securities</t>
  </si>
  <si>
    <t>BHARAT Bond FOF - April 2030</t>
  </si>
  <si>
    <t>Fund of funds scheme (Domestic)</t>
  </si>
  <si>
    <t>PORTFOLIO STATEMENT OF BHARAT BOND FOF – APRIL 2031 AS ON JANUARY 31, 2026</t>
  </si>
  <si>
    <t>(An open-ended Target Maturity fund of funds scheme investing in units of BHARAT Bond ETF – April 2031)</t>
  </si>
  <si>
    <t>BHARAT BOND ETF-APRIL 2031-GROWTH</t>
  </si>
  <si>
    <t>INF754K01LE1</t>
  </si>
  <si>
    <t>BHARAT Bond FOF - April 2031</t>
  </si>
  <si>
    <t>PORTFOLIO STATEMENT OF BHARAT BOND FOF – APRIL 2032 AS ON JANUARY 31, 2026</t>
  </si>
  <si>
    <t>(An open-ended Target Maturity fund of funds scheme investing in units of BHARAT Bond ETF – April 2032)</t>
  </si>
  <si>
    <t>BHARAT BOND ETF–APRIL 2032-GROWTH</t>
  </si>
  <si>
    <t>INF754K01OB1</t>
  </si>
  <si>
    <t>BHARAT Bond FOF - April 2032</t>
  </si>
  <si>
    <t>Bharat Bond ETF FOF – April 2032</t>
  </si>
  <si>
    <t>PORTFOLIO STATEMENT OF BHARAT BOND FOF – APRIL 2033 AS ON JANUARY 31, 2026</t>
  </si>
  <si>
    <t>(An open-ended Target Maturity fund of funds scheme investing in units of BHARAT Bond ETF – April 2033)</t>
  </si>
  <si>
    <t>BHARAT BOND ETF - APRIL 2033</t>
  </si>
  <si>
    <t>INF754K01QX0</t>
  </si>
  <si>
    <t>BHARAT Bond FOF - April 2033</t>
  </si>
  <si>
    <t>BHARAT Bond ETF FOF – April 2033</t>
  </si>
  <si>
    <t>PORTFOLIO STATEMENT OF EDELWEISS  GOVERNMENT SECURITIES FUND AS ON JANUARY 31, 2026</t>
  </si>
  <si>
    <t>(An open ended debt scheme investing in government securities across maturity. A relatively high interest rate risk and relatively low credit risk.)</t>
  </si>
  <si>
    <t>7.34% GOVT OF INDIA RED 22-04-2064</t>
  </si>
  <si>
    <t>IN0020240035</t>
  </si>
  <si>
    <t>6.9% GOVT OF INDIA RED 15-04-2065</t>
  </si>
  <si>
    <t>IN0020250018</t>
  </si>
  <si>
    <t>6.48% GOVT OF INDIA RED 06-10-2035</t>
  </si>
  <si>
    <t>IN0020250091</t>
  </si>
  <si>
    <t>6.68% GOVT OF INDIA RED 07-07-2040</t>
  </si>
  <si>
    <t>IN0020250042</t>
  </si>
  <si>
    <t>7.47% GUJARAT SDL RED 28-01-2036</t>
  </si>
  <si>
    <t>IN1520250268</t>
  </si>
  <si>
    <t>8.38% GUJARAT SDL RED 27-02-2029</t>
  </si>
  <si>
    <t>IN1520180309</t>
  </si>
  <si>
    <t>364 DAYS TBILL RED 05-02-2026</t>
  </si>
  <si>
    <t>IN002024Z438</t>
  </si>
  <si>
    <t>364 DAYS TBILL RED 12-02-2026</t>
  </si>
  <si>
    <t>IN002024Z446</t>
  </si>
  <si>
    <t>182 DAYS TBILL RED 12-02-2026</t>
  </si>
  <si>
    <t>IN002025Y206</t>
  </si>
  <si>
    <t>Direct Plan weekly IDCW</t>
  </si>
  <si>
    <t>Edelweiss Government Securities Fund</t>
  </si>
  <si>
    <t>Gilt Fund</t>
  </si>
  <si>
    <t>PORTFOLIO STATEMENT OF EDELWEISS LOW DURATION FUND AS ON JANUARY 31, 2026</t>
  </si>
  <si>
    <t>(An open-ended low duration debt scheme investing in debt and money market instruments such that the Macaulay duration of the portfolio is between 6 - 12 months. A relatively high interest rate risk and moderate credit risk.</t>
  </si>
  <si>
    <t>7.80% NABARD NCD SR 24E RED 15-03-2027**</t>
  </si>
  <si>
    <t>INE261F08EF5</t>
  </si>
  <si>
    <t>7.59% REC LTD 232A NCD RED 31-05-27**</t>
  </si>
  <si>
    <t>INE020B08FA2</t>
  </si>
  <si>
    <t>7.123% TATA CAP HSG FI SR B R 21-07-2027**</t>
  </si>
  <si>
    <t>INE033L07IO1</t>
  </si>
  <si>
    <t>7.1104% ADITYA BIRLA HSG SR D1 R30-07-27**</t>
  </si>
  <si>
    <t>INE831R07607</t>
  </si>
  <si>
    <t>6.6%REC LTD SR 250A NCD 30-06-27**</t>
  </si>
  <si>
    <t>INE020B08FZ9</t>
  </si>
  <si>
    <t>8.95% NUVAMA WEALTH FIN LTD NCD 19-05-28**</t>
  </si>
  <si>
    <t>INE918K07QF6</t>
  </si>
  <si>
    <t>CRISIL AA-</t>
  </si>
  <si>
    <t>8.05% MUTHOOT FIN SR 44A OP 1 25-11-27**</t>
  </si>
  <si>
    <t>INE414G07JQ6</t>
  </si>
  <si>
    <t>CRISIL AA+</t>
  </si>
  <si>
    <t>8.75% 360 ONEPRIME LTD R 07-10-27**</t>
  </si>
  <si>
    <t>INE248U07GC5</t>
  </si>
  <si>
    <t>ICRA AA</t>
  </si>
  <si>
    <t>8.08% MAHARASHTRA SDL RED 15-06-2026</t>
  </si>
  <si>
    <t>IN2220160013</t>
  </si>
  <si>
    <t>182 DAYS TBILL RED 09-04-2026</t>
  </si>
  <si>
    <t>IN002025Y289</t>
  </si>
  <si>
    <t>PUNJAB NATIONAL BANK CD 15-12-26#**</t>
  </si>
  <si>
    <t>INE160A16TZ9</t>
  </si>
  <si>
    <t>HDFC BANK CD RED 11-09-2026#**</t>
  </si>
  <si>
    <t>INE040A16HN4</t>
  </si>
  <si>
    <t>AXIS BANK LTD CD RED 12-06-2026#**</t>
  </si>
  <si>
    <t>INE238AD6AU5</t>
  </si>
  <si>
    <t>SIDBI CD RED 10-11-2026#**</t>
  </si>
  <si>
    <t>INE556F16BR2</t>
  </si>
  <si>
    <t>BANK OF BARODA CD RED 06-01-2027#**</t>
  </si>
  <si>
    <t>INE028A16KX2</t>
  </si>
  <si>
    <t>ICICI BANK CD RED 27-01-2027#**</t>
  </si>
  <si>
    <t>INE090AD6279</t>
  </si>
  <si>
    <t>BANK OF BARODA CD RED 04-12-26#**</t>
  </si>
  <si>
    <t>INE028A16KO1</t>
  </si>
  <si>
    <t>Edelweiss Low Duration Fund</t>
  </si>
  <si>
    <t>Low Duration Fund</t>
  </si>
  <si>
    <t>As on (Date)</t>
  </si>
  <si>
    <t>PORTFOLIO STATEMENT OF EDELWEISS NIFTY 1D RATE LIQUID ETF AS ON JANUARY 31, 2026</t>
  </si>
  <si>
    <t>(An open-ended exchange traded scheme replicating/tracking the Nifty 1D Rate Index. A relatively low interest rate risk and relatively low credit risk.)</t>
  </si>
  <si>
    <t>In accordance with SEBI Circular no. SEBI/HO/IMD/PoD2/P/CIR/2024/183 dated December 13, 2024, Debt Index Replication Factor (DIRF) is 99.36%.</t>
  </si>
  <si>
    <t xml:space="preserve"> EDELWEISS NIFTY 1D RATE LIQUID ETF</t>
  </si>
  <si>
    <t>Edelweiss Nifty 1D Rate Liquid ETF</t>
  </si>
  <si>
    <t>PORTFOLIO STATEMENT OF EDELWEISS NIFTY PSU BOND PLUS SDL APR 2027 50 50 INDEX AS ON JANUARY 31, 2026</t>
  </si>
  <si>
    <t>(An open-ended target maturity Index Fund predominantly investing in the constituents of Nifty PSU Bond Plus SDL Apr 2027 50:50 Index. A relatively high interest rate risk and relatively low credit risk.)</t>
  </si>
  <si>
    <t>6.14% IND OIL COR NCD 18-02-27**</t>
  </si>
  <si>
    <t>INE242A08502</t>
  </si>
  <si>
    <t>7.83% IRFC LTD NCD RED 19-03-2027**</t>
  </si>
  <si>
    <t>INE053F07983</t>
  </si>
  <si>
    <t>7.75% POWER FIN COR GOI SER NCD 22-03-27**</t>
  </si>
  <si>
    <t>INE134E08IX1</t>
  </si>
  <si>
    <t>7.89% POWER GRID CORP NCD RED 09-03-2027**</t>
  </si>
  <si>
    <t>INE752E07OE0</t>
  </si>
  <si>
    <t>7.79% SIDBI NCD SR IV NCD RED 19-04-2027**</t>
  </si>
  <si>
    <t>INE556F08KK5</t>
  </si>
  <si>
    <t>7.95% RECL SR 147 NCD RED 12-03-2027**</t>
  </si>
  <si>
    <t>INE020B08AH8</t>
  </si>
  <si>
    <t>7.25% EXIM BANK NCD RED 01-02-2027**</t>
  </si>
  <si>
    <t>INE514E08FJ9</t>
  </si>
  <si>
    <t>7.13% NHPC STRPP B NCD 11-02-2027**</t>
  </si>
  <si>
    <t>INE848E07AZ0</t>
  </si>
  <si>
    <t>8.14% NUCLEAR POWER CORP NCD 25-03-2027**</t>
  </si>
  <si>
    <t>INE206D08279</t>
  </si>
  <si>
    <t>8.85% POWER GRID CORP NCD KRED 19-10-26**</t>
  </si>
  <si>
    <t>INE752E07KL3</t>
  </si>
  <si>
    <t>9.25% POWER GRID CORP NCD  RED 09-03-27**</t>
  </si>
  <si>
    <t>INE752E07JN1</t>
  </si>
  <si>
    <t>7.5% NHPC NCD RED 07-10-2026**</t>
  </si>
  <si>
    <t>INE848E07AP1</t>
  </si>
  <si>
    <t>9% NTPC SRS XLII NCD RED 25-01-2027**</t>
  </si>
  <si>
    <t>INE733E07HC8</t>
  </si>
  <si>
    <t>6.09% HPCL NCD RED 26-02-2027**</t>
  </si>
  <si>
    <t>INE094A08101</t>
  </si>
  <si>
    <t>6.58% GUJARAT SDL RED 31-03-2027</t>
  </si>
  <si>
    <t>IN1520200347</t>
  </si>
  <si>
    <t>7.78% BIHAR SDL RED 01-03-2027</t>
  </si>
  <si>
    <t>IN1320160170</t>
  </si>
  <si>
    <t>7.86% KARNATAKA SDL RED 15-03-2027</t>
  </si>
  <si>
    <t>IN1920160117</t>
  </si>
  <si>
    <t>8.31% RAJASTHAN SDL RED 08-04-2027</t>
  </si>
  <si>
    <t>IN2920200036</t>
  </si>
  <si>
    <t>7.75% KARNATAKA SDL RED 01-03-2027</t>
  </si>
  <si>
    <t>IN1920160109</t>
  </si>
  <si>
    <t>7.92% WEST BENGAL SDL 15-03-2027</t>
  </si>
  <si>
    <t>IN3420160175</t>
  </si>
  <si>
    <t>7.78% WEST BENGAL SDL 01-03-2027</t>
  </si>
  <si>
    <t>IN3420160167</t>
  </si>
  <si>
    <t>7.74% TAMIL NADU SDL RED 01-03-2027</t>
  </si>
  <si>
    <t>IN3120161309</t>
  </si>
  <si>
    <t>7.64% HARYANA SDL RED 29-03-2027</t>
  </si>
  <si>
    <t>IN1620160292</t>
  </si>
  <si>
    <t>7.61% TAMIL NADU SDL RED 15-02-2027</t>
  </si>
  <si>
    <t>IN3120160194</t>
  </si>
  <si>
    <t>7.59% BIHAR SDL RED 15-02-2027</t>
  </si>
  <si>
    <t>IN1320160162</t>
  </si>
  <si>
    <t>7.62% UTTAR PRADESH SDL 15-02-2027</t>
  </si>
  <si>
    <t>IN3320160317</t>
  </si>
  <si>
    <t>7.85% TAMIL NADU SDL RED 15-03-2027</t>
  </si>
  <si>
    <t>IN3120161317</t>
  </si>
  <si>
    <t>7.59% Karnataka SDL RED 29-03-2027</t>
  </si>
  <si>
    <t>IN1920160125</t>
  </si>
  <si>
    <t>7.62% Tamil Nadu SDL RED 29-03-2027</t>
  </si>
  <si>
    <t>IN3120161424</t>
  </si>
  <si>
    <t>7.64% WEST BENGAL SDL RED 29-03-2027</t>
  </si>
  <si>
    <t>IN3420160183</t>
  </si>
  <si>
    <t>In accordance with SEBI Circular no. SEBI/HO/IMD/PoD2/P/CIR/2024/183 dated December 13, 2024, Debt Index Replication Factor (DIRF) is 76.36%.</t>
  </si>
  <si>
    <t>Edelweiss Nifty PSU Bond Plus SDL Apr2027 50 50 Index</t>
  </si>
  <si>
    <t>NY PSU BD PL SDL IDX Fund-2027</t>
  </si>
  <si>
    <t>Edelweiss NIFTY PSU Bond Plus SDL Apr 2027 50-50 Index Fund</t>
  </si>
  <si>
    <t>PORTFOLIO STATEMENT OF EDELWEISS NIFTY PSU BOND PLUS SDL APR 2026 50 50 INDEX FUND AS ON JANUARY 31, 2026</t>
  </si>
  <si>
    <t>(An open-ended target maturity Index Fund predominantly investing in the constituents of Nifty PSU Bond Plus SDL Apr 2026 50:50 Index. A relatively high interest rate risk and relatively low credit risk)</t>
  </si>
  <si>
    <t>7.10% EXIM NCD RED 18-03-2026**</t>
  </si>
  <si>
    <t>INE514E08GA6</t>
  </si>
  <si>
    <t>7.23% SIDBI NCD RED 09-03-2026**</t>
  </si>
  <si>
    <t>INE556F08KC2</t>
  </si>
  <si>
    <t>7.35% NTPC LTD. SR 80 NCD RED 17-04-2026**</t>
  </si>
  <si>
    <t>INE733E08247</t>
  </si>
  <si>
    <t>7.44% REC LTD SR 223A NCD RED 30-04-2026**</t>
  </si>
  <si>
    <t>INE020B08EL2</t>
  </si>
  <si>
    <t>7.51% IRFC NCD SR170A RED 15-04-2026**</t>
  </si>
  <si>
    <t>INE053F08288</t>
  </si>
  <si>
    <t>7.77%NATIONAL HOUSING BANK R 02-04-2026**</t>
  </si>
  <si>
    <t>INE557F08FP2</t>
  </si>
  <si>
    <t>7.57% NABARD NCD SR 23 G RED 19-03-2026**</t>
  </si>
  <si>
    <t>INE261F08DW2</t>
  </si>
  <si>
    <t>7.54% HUDCO NCD RED 11-02-2026**</t>
  </si>
  <si>
    <t>INE031A08855</t>
  </si>
  <si>
    <t>7.60% REC LTD. NCD SR 219 RED 27-02-2026**</t>
  </si>
  <si>
    <t>INE020B08EF4</t>
  </si>
  <si>
    <t>8.02% EXIM BANK NCD RED 20-04-2026**</t>
  </si>
  <si>
    <t>INE514E08FB6</t>
  </si>
  <si>
    <t>7.13% NHPC LTD AA STRPP A NCD 11-02-2026**</t>
  </si>
  <si>
    <t>INE848E07AY3</t>
  </si>
  <si>
    <t>9.09% INDIAN RAIL FIN NCD RED 29-03-2026**</t>
  </si>
  <si>
    <t>INE053F09HM3</t>
  </si>
  <si>
    <t>6.89% NHPC SR AA1 STRPP A NCD 11-03-2026**</t>
  </si>
  <si>
    <t>INE848E07BD5</t>
  </si>
  <si>
    <t>8.14% NUCLEAR POWER NCD RED 25-03-2026**</t>
  </si>
  <si>
    <t>INE206D08261</t>
  </si>
  <si>
    <t>9.09% IRFC NCD RED 31-03-2026**</t>
  </si>
  <si>
    <t>INE053F09HN1</t>
  </si>
  <si>
    <t>8.13% PGCIL NCD 24-04-2026 LIII G**</t>
  </si>
  <si>
    <t>INE752E07NS2</t>
  </si>
  <si>
    <t>6.05% NLC INDIA LTD NCD RED 12-02-2026**</t>
  </si>
  <si>
    <t>INE589A08035</t>
  </si>
  <si>
    <t>8.85% NHPC LTD NCD 11-02-2026**</t>
  </si>
  <si>
    <t>INE848E07377</t>
  </si>
  <si>
    <t>8.78% NHPC LTD NCD 11-02-2026**</t>
  </si>
  <si>
    <t>INE848E07468</t>
  </si>
  <si>
    <t>6.18% GUJARAT SDL RED 31-03-2026</t>
  </si>
  <si>
    <t>IN1520200339</t>
  </si>
  <si>
    <t>8.51% MAHARASHTRA SDL RED 09-03-2026</t>
  </si>
  <si>
    <t>IN2220150204</t>
  </si>
  <si>
    <t>8.28% KARNATAKA SDL RED 06-03-2026</t>
  </si>
  <si>
    <t>IN1920180198</t>
  </si>
  <si>
    <t>8.53% TAMIL NADU SDL RED 09-03-2026</t>
  </si>
  <si>
    <t>IN3120150211</t>
  </si>
  <si>
    <t>8.67% KARNATAKA SDL RED 24-02-2026</t>
  </si>
  <si>
    <t>IN1920150092</t>
  </si>
  <si>
    <t>8.76% MADHYA PRADESH SDL RED 24-02-2026</t>
  </si>
  <si>
    <t>IN2120150106</t>
  </si>
  <si>
    <t>8.57% ANDHRA PRADESH SDL RED 09-03-2026</t>
  </si>
  <si>
    <t>IN1020150141</t>
  </si>
  <si>
    <t>8.48% RAJASTHAN SDL RED 10-02-2026</t>
  </si>
  <si>
    <t>IN2920150249</t>
  </si>
  <si>
    <t>8.60% BIHAR SDL RED 09-03-2026</t>
  </si>
  <si>
    <t>IN1320150056</t>
  </si>
  <si>
    <t>8.88% WEST BENGAL SDL RED 24-02-2026</t>
  </si>
  <si>
    <t>IN3420150150</t>
  </si>
  <si>
    <t>8.49% TAMIL NADU SDL RED 10-02-2026</t>
  </si>
  <si>
    <t>IN3120150195</t>
  </si>
  <si>
    <t>8.67% MAHARASHTRA SDL RED 24-02-2026</t>
  </si>
  <si>
    <t>IN2220150196</t>
  </si>
  <si>
    <t>8.69% TAMIL NADU SDL RED 24-02-2026</t>
  </si>
  <si>
    <t>IN3120150203</t>
  </si>
  <si>
    <t>8.00% GUJARAT SDL RED 20-04-2026</t>
  </si>
  <si>
    <t>IN1520160012</t>
  </si>
  <si>
    <t>8.57% WEST BENGAL SDL RED 09-03-2026</t>
  </si>
  <si>
    <t>IN3420150168</t>
  </si>
  <si>
    <t>8.83% UTTAR PRADESH SDL 24-02-2026</t>
  </si>
  <si>
    <t>IN3320150383</t>
  </si>
  <si>
    <t>8.51% WEST BENGAL SDL RED 10-02-2026</t>
  </si>
  <si>
    <t>IN3420150143</t>
  </si>
  <si>
    <t>8.72% ANDHRA PRADESH SDL RED 24-02-2026</t>
  </si>
  <si>
    <t>IN1020150133</t>
  </si>
  <si>
    <t>8.82% BIHAR SDL RED 24-02-2026</t>
  </si>
  <si>
    <t>IN1320150049</t>
  </si>
  <si>
    <t>8.55% RAJASTHAN SDL RED 09-03-2026</t>
  </si>
  <si>
    <t>IN2920150264</t>
  </si>
  <si>
    <t>8.47% MAHARASHTRA SDL RED 10-02-2026</t>
  </si>
  <si>
    <t>IN2220150188</t>
  </si>
  <si>
    <t>7.90% RAJASTHAN SDL RED 08-04-2026</t>
  </si>
  <si>
    <t>IN2920200028</t>
  </si>
  <si>
    <t>8.46% GUJARAT SDL RED 10-02-2026</t>
  </si>
  <si>
    <t>IN1520150120</t>
  </si>
  <si>
    <t>7.96% TAMIL NADU SDL RED 27-04-2026</t>
  </si>
  <si>
    <t>IN3120160020</t>
  </si>
  <si>
    <t>7.96% GUJARAT SDL RED 27-04-2026</t>
  </si>
  <si>
    <t>IN1520160020</t>
  </si>
  <si>
    <t>8.09% RAJASTHAN SDL RED 23-03-2026</t>
  </si>
  <si>
    <t>IN2920150363</t>
  </si>
  <si>
    <t>8.09% ANDHRA PRADESH SDL RED 23-03-2026</t>
  </si>
  <si>
    <t>IN1020150158</t>
  </si>
  <si>
    <t>6.70% ANDHRA PRADESH SDL RED 22-04-2026</t>
  </si>
  <si>
    <t>IN1020200078</t>
  </si>
  <si>
    <t>SIDBI CD RED 27-02-2026#**</t>
  </si>
  <si>
    <t>INE556F16BB6</t>
  </si>
  <si>
    <t>NABARD CD RED 24-03-2026#**</t>
  </si>
  <si>
    <t>INE261F16991</t>
  </si>
  <si>
    <t>POWER FIN CORP CP RED 15-04-2026**</t>
  </si>
  <si>
    <t>INE134E14AX6</t>
  </si>
  <si>
    <t>In accordance with SEBI Circular no. SEBI/HO/IMD/PoD2/P/CIR/2024/183 dated December 13, 2024, Debt Index Replication Factor (DIRF) is 76.54%.</t>
  </si>
  <si>
    <t>Edelweiss Nifty PSU Bond Plus SDL Apr2026 50 50 Index Fund</t>
  </si>
  <si>
    <t>NY PSU BD PL SDL IDX Fund-2026</t>
  </si>
  <si>
    <t>Edelweiss NIFTY PSU Bond Plus SDL Apr 2026 50-50 Index Fund</t>
  </si>
  <si>
    <t>PORTFOLIO STATEMENT OF EDELWEISS OVERNIGHT FUND AS ON JANUARY 31, 2026</t>
  </si>
  <si>
    <t>(An open-ended debt scheme investing in overnight securities. A relatively low interest rate risk and relatively low credit risk.)</t>
  </si>
  <si>
    <t>Direct Plan Daily IDCW Option</t>
  </si>
  <si>
    <t>Regular Annual IDCW Option</t>
  </si>
  <si>
    <t>Regular Daily IDCW Option</t>
  </si>
  <si>
    <t>Unclaimed IDCW less than 3 yrs</t>
  </si>
  <si>
    <t>Unclaimed IDCW more than 3 yrs</t>
  </si>
  <si>
    <t>Unclaimed Redemption less than 3 yrs</t>
  </si>
  <si>
    <t>Unclaimed Redemption more than 3 yrs</t>
  </si>
  <si>
    <t>Direct Daily IDCW</t>
  </si>
  <si>
    <t>Direct Fortnightly IDCW</t>
  </si>
  <si>
    <t>Direct Monthly IDCW</t>
  </si>
  <si>
    <t>Direct Weekly IDCW</t>
  </si>
  <si>
    <t>Regular Daily IDCW</t>
  </si>
  <si>
    <t>Regular Fortnightly IDCW</t>
  </si>
  <si>
    <t>Regular Monthly IDCW</t>
  </si>
  <si>
    <t>Regular Weekly IDCW</t>
  </si>
  <si>
    <t>EDELWEISS OVERNIGHT FUND</t>
  </si>
  <si>
    <t>Overnight Fund</t>
  </si>
  <si>
    <t>Edelweiss Overnight Fund</t>
  </si>
  <si>
    <t>PORTFOLIO STATEMENT OF EDEL NIFTY ALPHA LOW VOLATILITY 30 INDEX FUND AS ON JANUARY 31, 2026</t>
  </si>
  <si>
    <t>(An Open-ended Scheme replicating Nifty Alpha Low Volatility 30 Index.)</t>
  </si>
  <si>
    <t>(a)Listed / Awaiting listing on Stock Exchanges</t>
  </si>
  <si>
    <t>State Bank of India</t>
  </si>
  <si>
    <t>INE062A01020</t>
  </si>
  <si>
    <t>Banks</t>
  </si>
  <si>
    <t>HDFC Bank Ltd.</t>
  </si>
  <si>
    <t>INE040A01034</t>
  </si>
  <si>
    <t>ICICI Bank Ltd.</t>
  </si>
  <si>
    <t>INE090A01021</t>
  </si>
  <si>
    <t>SBI Life Insurance Company Ltd.</t>
  </si>
  <si>
    <t>INE123W01016</t>
  </si>
  <si>
    <t>Insurance</t>
  </si>
  <si>
    <t>Maruti Suzuki India Ltd.</t>
  </si>
  <si>
    <t>INE585B01010</t>
  </si>
  <si>
    <t>Automobiles</t>
  </si>
  <si>
    <t>Nestle India Ltd.</t>
  </si>
  <si>
    <t>INE239A01024</t>
  </si>
  <si>
    <t>Food Products</t>
  </si>
  <si>
    <t>Britannia Industries Ltd.</t>
  </si>
  <si>
    <t>INE216A01030</t>
  </si>
  <si>
    <t>Eicher Motors Ltd.</t>
  </si>
  <si>
    <t>INE066A01021</t>
  </si>
  <si>
    <t>Bharti Airtel Ltd.</t>
  </si>
  <si>
    <t>INE397D01024</t>
  </si>
  <si>
    <t>Telecom - Services</t>
  </si>
  <si>
    <t>Titan Company Ltd.</t>
  </si>
  <si>
    <t>INE280A01028</t>
  </si>
  <si>
    <t>Consumer Durables</t>
  </si>
  <si>
    <t>The Federal Bank Ltd.</t>
  </si>
  <si>
    <t>INE171A01029</t>
  </si>
  <si>
    <t>Reliance Industries Ltd.</t>
  </si>
  <si>
    <t>INE002A01018</t>
  </si>
  <si>
    <t>Petroleum Products</t>
  </si>
  <si>
    <t>HDFC Life Insurance Company Ltd.</t>
  </si>
  <si>
    <t>INE795G01014</t>
  </si>
  <si>
    <t>Bajaj Finance Ltd.</t>
  </si>
  <si>
    <t>INE296A01032</t>
  </si>
  <si>
    <t>Finance</t>
  </si>
  <si>
    <t>TVS Motor Company Ltd.</t>
  </si>
  <si>
    <t>INE494B01023</t>
  </si>
  <si>
    <t>Tata Consumer Products Ltd.</t>
  </si>
  <si>
    <t>INE192A01025</t>
  </si>
  <si>
    <t>Agricultural Food &amp; other Products</t>
  </si>
  <si>
    <t>Asian Paints Ltd.</t>
  </si>
  <si>
    <t>INE021A01026</t>
  </si>
  <si>
    <t>Pidilite Industries Ltd.</t>
  </si>
  <si>
    <t>INE318A01026</t>
  </si>
  <si>
    <t>Chemicals &amp; Petrochemicals</t>
  </si>
  <si>
    <t>Ultratech Cement Ltd.</t>
  </si>
  <si>
    <t>INE481G01011</t>
  </si>
  <si>
    <t>Cement &amp; Cement Products</t>
  </si>
  <si>
    <t>Max Financial Services Ltd.</t>
  </si>
  <si>
    <t>INE180A01020</t>
  </si>
  <si>
    <t>Apollo Hospitals Enterprise Ltd.</t>
  </si>
  <si>
    <t>INE437A01024</t>
  </si>
  <si>
    <t>Healthcare Services</t>
  </si>
  <si>
    <t>Bajaj Finserv Ltd.</t>
  </si>
  <si>
    <t>INE918I01026</t>
  </si>
  <si>
    <t>Torrent Pharmaceuticals Ltd.</t>
  </si>
  <si>
    <t>INE685A01028</t>
  </si>
  <si>
    <t>Pharmaceuticals &amp; Biotechnology</t>
  </si>
  <si>
    <t>Kotak Mahindra Bank Ltd.</t>
  </si>
  <si>
    <t>INE237A01036</t>
  </si>
  <si>
    <t>Sun Pharmaceutical Industries Ltd.</t>
  </si>
  <si>
    <t>INE044A01036</t>
  </si>
  <si>
    <t>Dr. Reddy's Laboratories Ltd.</t>
  </si>
  <si>
    <t>INE089A01031</t>
  </si>
  <si>
    <t>Marico Ltd.</t>
  </si>
  <si>
    <t>INE196A01026</t>
  </si>
  <si>
    <t>Grasim Industries Ltd.</t>
  </si>
  <si>
    <t>INE047A01021</t>
  </si>
  <si>
    <t>Shree Cement Ltd.</t>
  </si>
  <si>
    <t>INE070A01015</t>
  </si>
  <si>
    <t>SBI Cards &amp; Payment Services Ltd.</t>
  </si>
  <si>
    <t>INE018E01016</t>
  </si>
  <si>
    <t>(a) Non-convertible Preference share</t>
  </si>
  <si>
    <t>Listed / Awaiting listing on Stock Exchanges</t>
  </si>
  <si>
    <t>6% TVS MOTOR CO LTD NCRPS 01-09-2026</t>
  </si>
  <si>
    <t>INE494B04019</t>
  </si>
  <si>
    <t>7. Portfolio Turnover Ratio</t>
  </si>
  <si>
    <t>Edelweiss Nifty Alpha Low Volatility 30 Index Fund</t>
  </si>
  <si>
    <t>PORTFOLIO STATEMENT OF EDELWEISS ARBITRAGE FUND AS ON JANUARY 31, 2026</t>
  </si>
  <si>
    <t>(An open ended scheme investing in arbitrage opportunities)</t>
  </si>
  <si>
    <t>Vodafone Idea Ltd.</t>
  </si>
  <si>
    <t>INE669E01016</t>
  </si>
  <si>
    <t>JSW Steel Ltd.</t>
  </si>
  <si>
    <t>INE019A01038</t>
  </si>
  <si>
    <t>Ferrous Metals</t>
  </si>
  <si>
    <t>Axis Bank Ltd.</t>
  </si>
  <si>
    <t>INE238A01034</t>
  </si>
  <si>
    <t>Eternal Ltd.</t>
  </si>
  <si>
    <t>INE758T01015</t>
  </si>
  <si>
    <t>Retailing</t>
  </si>
  <si>
    <t>Vedanta Ltd.</t>
  </si>
  <si>
    <t>INE205A01025</t>
  </si>
  <si>
    <t>Diversified Metals</t>
  </si>
  <si>
    <t>NMDC Ltd.</t>
  </si>
  <si>
    <t>INE584A01023</t>
  </si>
  <si>
    <t>Minerals &amp; Mining</t>
  </si>
  <si>
    <t>ITC Ltd.</t>
  </si>
  <si>
    <t>INE154A01025</t>
  </si>
  <si>
    <t>Diversified FMCG</t>
  </si>
  <si>
    <t>Steel Authority of India Ltd.</t>
  </si>
  <si>
    <t>INE114A01011</t>
  </si>
  <si>
    <t>Multi Commodity Exchange Of India Ltd.</t>
  </si>
  <si>
    <t>INE745G01043</t>
  </si>
  <si>
    <t>Capital Markets</t>
  </si>
  <si>
    <t>Glenmark Pharmaceuticals Ltd.</t>
  </si>
  <si>
    <t>INE935A01035</t>
  </si>
  <si>
    <t>Hindustan Aeronautics Ltd.</t>
  </si>
  <si>
    <t>INE066F01020</t>
  </si>
  <si>
    <t>Aerospace &amp; Defense</t>
  </si>
  <si>
    <t>Polycab India Ltd.</t>
  </si>
  <si>
    <t>INE455K01017</t>
  </si>
  <si>
    <t>Industrial Products</t>
  </si>
  <si>
    <t>Bharat Electronics Ltd.</t>
  </si>
  <si>
    <t>INE263A01024</t>
  </si>
  <si>
    <t>Hindustan Petroleum Corporation Ltd.</t>
  </si>
  <si>
    <t>INE094A01015</t>
  </si>
  <si>
    <t>Aurobindo Pharma Ltd.</t>
  </si>
  <si>
    <t>INE406A01037</t>
  </si>
  <si>
    <t>Mahindra &amp; Mahindra Ltd.</t>
  </si>
  <si>
    <t>INE101A01026</t>
  </si>
  <si>
    <t>Indus Towers Ltd.</t>
  </si>
  <si>
    <t>INE121J01017</t>
  </si>
  <si>
    <t>Oil &amp; Natural Gas Corporation Ltd.</t>
  </si>
  <si>
    <t>INE213A01029</t>
  </si>
  <si>
    <t>Oil</t>
  </si>
  <si>
    <t>IN9397D01014</t>
  </si>
  <si>
    <t>JSW Energy Ltd.</t>
  </si>
  <si>
    <t>INE121E01018</t>
  </si>
  <si>
    <t>Power</t>
  </si>
  <si>
    <t>Yes Bank Ltd.</t>
  </si>
  <si>
    <t>INE528G01035</t>
  </si>
  <si>
    <t>Jio Financial Services Ltd.</t>
  </si>
  <si>
    <t>INE758E01017</t>
  </si>
  <si>
    <t>Tata Steel Ltd.</t>
  </si>
  <si>
    <t>INE081A01020</t>
  </si>
  <si>
    <t>Adani Energy Solutions Ltd.</t>
  </si>
  <si>
    <t>INE931S01010</t>
  </si>
  <si>
    <t>Shriram Finance Ltd.</t>
  </si>
  <si>
    <t>INE721A01047</t>
  </si>
  <si>
    <t>Adani Green Energy Ltd.</t>
  </si>
  <si>
    <t>INE364U01010</t>
  </si>
  <si>
    <t>RBL Bank Ltd.</t>
  </si>
  <si>
    <t>INE976G01028</t>
  </si>
  <si>
    <t>REC Ltd.</t>
  </si>
  <si>
    <t>INE020B01018</t>
  </si>
  <si>
    <t>DLF Ltd.</t>
  </si>
  <si>
    <t>INE271C01023</t>
  </si>
  <si>
    <t>Realty</t>
  </si>
  <si>
    <t>Power Finance Corporation Ltd.</t>
  </si>
  <si>
    <t>INE134E01011</t>
  </si>
  <si>
    <t>Punjab National Bank</t>
  </si>
  <si>
    <t>INE160A01022</t>
  </si>
  <si>
    <t>Sammaan Capital Ltd.</t>
  </si>
  <si>
    <t>INE148I01020</t>
  </si>
  <si>
    <t>Inox Wind Ltd.</t>
  </si>
  <si>
    <t>INE066P01011</t>
  </si>
  <si>
    <t>Electrical Equipment</t>
  </si>
  <si>
    <t>Patanjali Foods Ltd.</t>
  </si>
  <si>
    <t>INE619A01035</t>
  </si>
  <si>
    <t>Aditya Birla Capital Ltd.</t>
  </si>
  <si>
    <t>INE674K01013</t>
  </si>
  <si>
    <t>Solar Industries India Ltd.</t>
  </si>
  <si>
    <t>INE343H01029</t>
  </si>
  <si>
    <t>Adani Enterprises Ltd.</t>
  </si>
  <si>
    <t>INDUMMY27015</t>
  </si>
  <si>
    <t>Metals &amp; Minerals Trading</t>
  </si>
  <si>
    <t>InterGlobe Aviation Ltd.</t>
  </si>
  <si>
    <t>INE646L01027</t>
  </si>
  <si>
    <t>Transport Services</t>
  </si>
  <si>
    <t>Bharat Heavy Electricals Ltd.</t>
  </si>
  <si>
    <t>INE257A01026</t>
  </si>
  <si>
    <t>UPL Ltd.</t>
  </si>
  <si>
    <t>INE628A01036</t>
  </si>
  <si>
    <t>Fertilizers &amp; Agrochemicals</t>
  </si>
  <si>
    <t>NTPC Ltd.</t>
  </si>
  <si>
    <t>INE733E01010</t>
  </si>
  <si>
    <t>GAIL (India) Ltd.</t>
  </si>
  <si>
    <t>INE129A01019</t>
  </si>
  <si>
    <t>Gas</t>
  </si>
  <si>
    <t>APL Apollo Tubes Ltd.</t>
  </si>
  <si>
    <t>INE702C01027</t>
  </si>
  <si>
    <t>VARUN BEVERAGES LIMITED</t>
  </si>
  <si>
    <t>INE200M01039</t>
  </si>
  <si>
    <t>Beverages</t>
  </si>
  <si>
    <t>Fortis Healthcare Ltd.</t>
  </si>
  <si>
    <t>INE061F01013</t>
  </si>
  <si>
    <t>Petronet LNG Ltd.</t>
  </si>
  <si>
    <t>INE347G01014</t>
  </si>
  <si>
    <t>Crompton Greaves Cons Electrical Ltd.</t>
  </si>
  <si>
    <t>INE299U01018</t>
  </si>
  <si>
    <t>Infosys Ltd.</t>
  </si>
  <si>
    <t>INE009A01021</t>
  </si>
  <si>
    <t>IT - Software</t>
  </si>
  <si>
    <t>Delhivery Ltd.</t>
  </si>
  <si>
    <t>INE148O01028</t>
  </si>
  <si>
    <t>Container Corporation Of India Ltd.</t>
  </si>
  <si>
    <t>INE111A01025</t>
  </si>
  <si>
    <t>Bank of Baroda</t>
  </si>
  <si>
    <t>INE028A01039</t>
  </si>
  <si>
    <t>BSE Ltd.</t>
  </si>
  <si>
    <t>INE118H01025</t>
  </si>
  <si>
    <t>PNB Housing Finance Ltd.</t>
  </si>
  <si>
    <t>INE572E01012</t>
  </si>
  <si>
    <t>Exide Industries Ltd.</t>
  </si>
  <si>
    <t>INE302A01020</t>
  </si>
  <si>
    <t>Auto Components</t>
  </si>
  <si>
    <t>Kalyan Jewellers India Ltd.</t>
  </si>
  <si>
    <t>INE303R01014</t>
  </si>
  <si>
    <t>Larsen &amp; Toubro Ltd.</t>
  </si>
  <si>
    <t>INE018A01030</t>
  </si>
  <si>
    <t>Construction</t>
  </si>
  <si>
    <t>Manappuram Finance Ltd.</t>
  </si>
  <si>
    <t>INE522D01027</t>
  </si>
  <si>
    <t>Godrej Properties Ltd.</t>
  </si>
  <si>
    <t>INE484J01027</t>
  </si>
  <si>
    <t>Mphasis Ltd.</t>
  </si>
  <si>
    <t>INE356A01018</t>
  </si>
  <si>
    <t>Tech Mahindra Ltd.</t>
  </si>
  <si>
    <t>INE669C01036</t>
  </si>
  <si>
    <t>Adani Ports &amp; Special Economic Zone Ltd.</t>
  </si>
  <si>
    <t>INE742F01042</t>
  </si>
  <si>
    <t>Transport Infrastructure</t>
  </si>
  <si>
    <t>IndusInd Bank Ltd.</t>
  </si>
  <si>
    <t>INE095A01012</t>
  </si>
  <si>
    <t>LIC Housing Finance Ltd.</t>
  </si>
  <si>
    <t>INE115A01026</t>
  </si>
  <si>
    <t>Divi's Laboratories Ltd.</t>
  </si>
  <si>
    <t>INE361B01024</t>
  </si>
  <si>
    <t>Bank of India</t>
  </si>
  <si>
    <t>INE084A01016</t>
  </si>
  <si>
    <t>Godrej Consumer Products Ltd.</t>
  </si>
  <si>
    <t>INE102D01028</t>
  </si>
  <si>
    <t>Personal Products</t>
  </si>
  <si>
    <t>The Indian Hotels Company Ltd.</t>
  </si>
  <si>
    <t>INE053A01029</t>
  </si>
  <si>
    <t>Leisure Services</t>
  </si>
  <si>
    <t>Bandhan Bank Ltd.</t>
  </si>
  <si>
    <t>INE545U01014</t>
  </si>
  <si>
    <t>GMR Airports Ltd.</t>
  </si>
  <si>
    <t>INE776C01039</t>
  </si>
  <si>
    <t>Hindustan Zinc Ltd.</t>
  </si>
  <si>
    <t>INE267A01025</t>
  </si>
  <si>
    <t>Non - Ferrous Metals</t>
  </si>
  <si>
    <t>Union Bank of India</t>
  </si>
  <si>
    <t>INE692A01016</t>
  </si>
  <si>
    <t>Housing &amp; Urban Development Corp Ltd.</t>
  </si>
  <si>
    <t>INE031A01017</t>
  </si>
  <si>
    <t>Amber Enterprises India Ltd.</t>
  </si>
  <si>
    <t>INE371P01015</t>
  </si>
  <si>
    <t>AU Small Finance Bank Ltd.</t>
  </si>
  <si>
    <t>INE949L01017</t>
  </si>
  <si>
    <t>Indian Oil Corporation Ltd.</t>
  </si>
  <si>
    <t>INE242A01010</t>
  </si>
  <si>
    <t>Havells India Ltd.</t>
  </si>
  <si>
    <t>INE176B01034</t>
  </si>
  <si>
    <t>National Buildings Construction Corporation Ltd.</t>
  </si>
  <si>
    <t>INE095N01031</t>
  </si>
  <si>
    <t>Mazagon Dock Shipbuilders Ltd.</t>
  </si>
  <si>
    <t>INE249Z01020</t>
  </si>
  <si>
    <t>Industrial Manufacturing</t>
  </si>
  <si>
    <t>ICICI Prudential Life Insurance Co Ltd.</t>
  </si>
  <si>
    <t>INE726G01019</t>
  </si>
  <si>
    <t>Suzlon Energy Ltd.</t>
  </si>
  <si>
    <t>INE040H01021</t>
  </si>
  <si>
    <t>HDFC Asset Management Company Ltd.</t>
  </si>
  <si>
    <t>INE127D01025</t>
  </si>
  <si>
    <t>IDFC First Bank Ltd.</t>
  </si>
  <si>
    <t>INE092T01019</t>
  </si>
  <si>
    <t>Lodha Developers Ltd.</t>
  </si>
  <si>
    <t>INE670K01029</t>
  </si>
  <si>
    <t>Bharat Dynamics Ltd.</t>
  </si>
  <si>
    <t>INE171Z01026</t>
  </si>
  <si>
    <t>Max Healthcare Institute Ltd.</t>
  </si>
  <si>
    <t>INE027H01010</t>
  </si>
  <si>
    <t>Ambuja Cements Ltd.</t>
  </si>
  <si>
    <t>INE079A01024</t>
  </si>
  <si>
    <t>Prestige Estates Projects Ltd.</t>
  </si>
  <si>
    <t>INE811K01011</t>
  </si>
  <si>
    <t>Laurus Labs Ltd.</t>
  </si>
  <si>
    <t>INE947Q01028</t>
  </si>
  <si>
    <t>Life Insurance Corporation of India</t>
  </si>
  <si>
    <t>INE0J1Y01017</t>
  </si>
  <si>
    <t>Trent Ltd.</t>
  </si>
  <si>
    <t>INE849A01020</t>
  </si>
  <si>
    <t>United Spirits Ltd.</t>
  </si>
  <si>
    <t>INE854D01024</t>
  </si>
  <si>
    <t>PB Fintech Ltd.</t>
  </si>
  <si>
    <t>INE417T01026</t>
  </si>
  <si>
    <t>Financial Technology (Fintech)</t>
  </si>
  <si>
    <t>Biocon Ltd.</t>
  </si>
  <si>
    <t>INE376G01013</t>
  </si>
  <si>
    <t>The Phoenix Mills Ltd.</t>
  </si>
  <si>
    <t>INE211B01039</t>
  </si>
  <si>
    <t>UNO Minda Ltd.</t>
  </si>
  <si>
    <t>INE405E01023</t>
  </si>
  <si>
    <t>Hindalco Industries Ltd.</t>
  </si>
  <si>
    <t>INE038A01020</t>
  </si>
  <si>
    <t>Nuvama Wealth Management Ltd.</t>
  </si>
  <si>
    <t>INE531F01023</t>
  </si>
  <si>
    <t>SRF Ltd.</t>
  </si>
  <si>
    <t>INE647A01010</t>
  </si>
  <si>
    <t>Tata Consultancy Services Ltd.</t>
  </si>
  <si>
    <t>INE467B01029</t>
  </si>
  <si>
    <t>Bharat Forge Ltd.</t>
  </si>
  <si>
    <t>INE465A01025</t>
  </si>
  <si>
    <t>Sona BLW Precision Forgings Ltd.</t>
  </si>
  <si>
    <t>INE073K01018</t>
  </si>
  <si>
    <t>Dixon Technologies (India) Ltd.</t>
  </si>
  <si>
    <t>INE935N01020</t>
  </si>
  <si>
    <t>One 97 Communications Ltd.</t>
  </si>
  <si>
    <t>INE982J01020</t>
  </si>
  <si>
    <t>Hindustan Unilever Ltd.</t>
  </si>
  <si>
    <t>INE030A01027</t>
  </si>
  <si>
    <t>Samvardhana Motherson International Ltd.</t>
  </si>
  <si>
    <t>INE775A01035</t>
  </si>
  <si>
    <t>Alkem Laboratories Ltd.</t>
  </si>
  <si>
    <t>INE540L01014</t>
  </si>
  <si>
    <t>Dalmia Bharat Ltd.</t>
  </si>
  <si>
    <t>INE00R701025</t>
  </si>
  <si>
    <t>Cholamandalam Investment &amp; Finance Company Ltd.</t>
  </si>
  <si>
    <t>INE121A01024</t>
  </si>
  <si>
    <t>CG Power and Industrial Solutions Ltd.</t>
  </si>
  <si>
    <t>INE067A01029</t>
  </si>
  <si>
    <t>KPIT Technologies Ltd.</t>
  </si>
  <si>
    <t>INE04I401011</t>
  </si>
  <si>
    <t>HCL Technologies Ltd.</t>
  </si>
  <si>
    <t>INE860A01027</t>
  </si>
  <si>
    <t>Tube Investments Of India Ltd.</t>
  </si>
  <si>
    <t>INE974X01010</t>
  </si>
  <si>
    <t>Lupin Ltd.</t>
  </si>
  <si>
    <t>INE326A01037</t>
  </si>
  <si>
    <t>Bajaj Auto Ltd.</t>
  </si>
  <si>
    <t>INE917I01010</t>
  </si>
  <si>
    <t>Jindal Steel Ltd.</t>
  </si>
  <si>
    <t>INE749A01030</t>
  </si>
  <si>
    <t>Hero MotoCorp Ltd.</t>
  </si>
  <si>
    <t>INE158A01026</t>
  </si>
  <si>
    <t>Hitachi Energy India Ltd.</t>
  </si>
  <si>
    <t>INE07Y701011</t>
  </si>
  <si>
    <t>Tata Motors Passenger Vehicles Ltd.</t>
  </si>
  <si>
    <t>INE155A01022</t>
  </si>
  <si>
    <t>Tata Power Company Ltd.</t>
  </si>
  <si>
    <t>INE245A01021</t>
  </si>
  <si>
    <t>Supreme Industries Ltd.</t>
  </si>
  <si>
    <t>INE195A01028</t>
  </si>
  <si>
    <t>Oberoi Realty Ltd.</t>
  </si>
  <si>
    <t>INE093I01010</t>
  </si>
  <si>
    <t>Tata Technologies Ltd.</t>
  </si>
  <si>
    <t>INE142M01025</t>
  </si>
  <si>
    <t>IT - Services</t>
  </si>
  <si>
    <t>Voltas Ltd.</t>
  </si>
  <si>
    <t>INE226A01021</t>
  </si>
  <si>
    <t>ICICI Lombard General Insurance Co. Ltd.</t>
  </si>
  <si>
    <t>INE765G01017</t>
  </si>
  <si>
    <t>Coforge Ltd.</t>
  </si>
  <si>
    <t>INE591G01025</t>
  </si>
  <si>
    <t>LTIMindtree Ltd.</t>
  </si>
  <si>
    <t>INE214T01019</t>
  </si>
  <si>
    <t>Computer Age Management Services Ltd.</t>
  </si>
  <si>
    <t>INE596I01020</t>
  </si>
  <si>
    <t>Oracle Financial Services Software Ltd.</t>
  </si>
  <si>
    <t>INE881D01027</t>
  </si>
  <si>
    <t>Bajaj Holdings &amp; Investment Ltd.</t>
  </si>
  <si>
    <t>INE118A01012</t>
  </si>
  <si>
    <t>Central Depository Services (I) Ltd.</t>
  </si>
  <si>
    <t>INE736A01011</t>
  </si>
  <si>
    <t>Bharat Petroleum Corporation Ltd.</t>
  </si>
  <si>
    <t>INE029A01011</t>
  </si>
  <si>
    <t>Kaynes Technology India Ltd.</t>
  </si>
  <si>
    <t>INE918Z01012</t>
  </si>
  <si>
    <t>Persistent Systems Ltd.</t>
  </si>
  <si>
    <t>INE262H01021</t>
  </si>
  <si>
    <t>Waaree Energies Ltd.</t>
  </si>
  <si>
    <t>INE377N01017</t>
  </si>
  <si>
    <t>Bosch Ltd.</t>
  </si>
  <si>
    <t>INE323A01026</t>
  </si>
  <si>
    <t>Muthoot Finance Ltd.</t>
  </si>
  <si>
    <t>INE414G01012</t>
  </si>
  <si>
    <t>Indian Bank</t>
  </si>
  <si>
    <t>INE562A01011</t>
  </si>
  <si>
    <t>Syngene International Ltd.</t>
  </si>
  <si>
    <t>INE398R01022</t>
  </si>
  <si>
    <t>L&amp;T Finance Ltd.</t>
  </si>
  <si>
    <t>INE498L01015</t>
  </si>
  <si>
    <t>Dabur India Ltd.</t>
  </si>
  <si>
    <t>INE016A01026</t>
  </si>
  <si>
    <t>Siemens Ltd.</t>
  </si>
  <si>
    <t>INE003A01024</t>
  </si>
  <si>
    <t>Info Edge (India) Ltd.</t>
  </si>
  <si>
    <t>INE663F01032</t>
  </si>
  <si>
    <t>FSN E-Commerce Ventures Ltd.</t>
  </si>
  <si>
    <t>INE388Y01029</t>
  </si>
  <si>
    <t>Blue Star Ltd.</t>
  </si>
  <si>
    <t>INE472A01039</t>
  </si>
  <si>
    <t>Derivatives</t>
  </si>
  <si>
    <t>(a) Index/Stock Future</t>
  </si>
  <si>
    <t>Blue Star Ltd.24/02/2026</t>
  </si>
  <si>
    <t>FSN E-Commerce Ventures Ltd.24/02/2026</t>
  </si>
  <si>
    <t>Info Edge (India) Ltd.24/02/2026</t>
  </si>
  <si>
    <t>Siemens Ltd.24/02/2026</t>
  </si>
  <si>
    <t>Dabur India Ltd.24/02/2026</t>
  </si>
  <si>
    <t>L&amp;T Finance Ltd.24/02/2026</t>
  </si>
  <si>
    <t>Syngene International Ltd.24/02/2026</t>
  </si>
  <si>
    <t>Indian Bank24/02/2026</t>
  </si>
  <si>
    <t>Muthoot Finance Ltd.24/02/2026</t>
  </si>
  <si>
    <t>Bosch Ltd.24/02/2026</t>
  </si>
  <si>
    <t>Waaree Energies Ltd.24/02/2026</t>
  </si>
  <si>
    <t>Persistent Systems Ltd.24/02/2026</t>
  </si>
  <si>
    <t>Kaynes Technology India Ltd.24/02/2026</t>
  </si>
  <si>
    <t>Bharat Petroleum Corporation Ltd.24/02/2026</t>
  </si>
  <si>
    <t>Central Depository Services (I) Ltd.24/02/2026</t>
  </si>
  <si>
    <t>Bajaj Holdings &amp; Investment Ltd.24/02/2026</t>
  </si>
  <si>
    <t>Oracle Financial Services Software Ltd.24/02/2026</t>
  </si>
  <si>
    <t>ICICI Bank Ltd.30/03/2026</t>
  </si>
  <si>
    <t>Computer Age Management Services Ltd.24/02/2026</t>
  </si>
  <si>
    <t>LTIMindtree Ltd.24/02/2026</t>
  </si>
  <si>
    <t>Coforge Ltd.24/02/2026</t>
  </si>
  <si>
    <t>ICICI Lombard General Insurance Co. Ltd.24/02/2026</t>
  </si>
  <si>
    <t>Voltas Ltd.24/02/2026</t>
  </si>
  <si>
    <t>NTPC Ltd.30/03/2026</t>
  </si>
  <si>
    <t>Axis Bank Ltd.30/03/2026</t>
  </si>
  <si>
    <t>Tata Technologies Ltd.24/02/2026</t>
  </si>
  <si>
    <t>Oberoi Realty Ltd.24/02/2026</t>
  </si>
  <si>
    <t>Supreme Industries Ltd.24/02/2026</t>
  </si>
  <si>
    <t>Tata Power Company Ltd.24/02/2026</t>
  </si>
  <si>
    <t>Tata Motors Passenger Vehicles Ltd.24/02/2026</t>
  </si>
  <si>
    <t>Hitachi Energy India Ltd.24/02/2026</t>
  </si>
  <si>
    <t>Asian Paints Ltd.24/02/2026</t>
  </si>
  <si>
    <t>Hero MotoCorp Ltd.24/02/2026</t>
  </si>
  <si>
    <t>Jindal Steel Ltd.24/02/2026</t>
  </si>
  <si>
    <t>HDFC Life Insurance Company Ltd.24/02/2026</t>
  </si>
  <si>
    <t>Bajaj Auto Ltd.24/02/2026</t>
  </si>
  <si>
    <t>Lupin Ltd.24/02/2026</t>
  </si>
  <si>
    <t>Tube Investments Of India Ltd.24/02/2026</t>
  </si>
  <si>
    <t>HCL Technologies Ltd.24/02/2026</t>
  </si>
  <si>
    <t>KPIT Technologies Ltd.24/02/2026</t>
  </si>
  <si>
    <t>CG Power and Industrial Solutions Ltd.24/02/2026</t>
  </si>
  <si>
    <t>Cholamandalam Investment &amp; Finance Company Ltd.24/02/2026</t>
  </si>
  <si>
    <t>Dalmia Bharat Ltd.24/02/2026</t>
  </si>
  <si>
    <t>Alkem Laboratories Ltd.24/02/2026</t>
  </si>
  <si>
    <t>SBI Life Insurance Company Ltd.24/02/2026</t>
  </si>
  <si>
    <t>Pidilite Industries Ltd.24/02/2026</t>
  </si>
  <si>
    <t>Dr. Reddy's Laboratories Ltd.24/02/2026</t>
  </si>
  <si>
    <t>Samvardhana Motherson International Ltd.24/02/2026</t>
  </si>
  <si>
    <t>Hindustan Unilever Ltd.24/02/2026</t>
  </si>
  <si>
    <t>One 97 Communications Ltd.24/02/2026</t>
  </si>
  <si>
    <t>Dixon Technologies (India) Ltd.24/02/2026</t>
  </si>
  <si>
    <t>Sona BLW Precision Forgings Ltd.24/02/2026</t>
  </si>
  <si>
    <t>Bharat Forge Ltd.24/02/2026</t>
  </si>
  <si>
    <t>Tata Consultancy Services Ltd.24/02/2026</t>
  </si>
  <si>
    <t>SRF Ltd.24/02/2026</t>
  </si>
  <si>
    <t>Nuvama Wealth Management Ltd.24/02/2026</t>
  </si>
  <si>
    <t>Hindalco Industries Ltd.24/02/2026</t>
  </si>
  <si>
    <t>UNO Minda Ltd.24/02/2026</t>
  </si>
  <si>
    <t>The Phoenix Mills Ltd.24/02/2026</t>
  </si>
  <si>
    <t>Biocon Ltd.24/02/2026</t>
  </si>
  <si>
    <t>PB Fintech Ltd.24/02/2026</t>
  </si>
  <si>
    <t>United Spirits Ltd.24/02/2026</t>
  </si>
  <si>
    <t>Trent Ltd.24/02/2026</t>
  </si>
  <si>
    <t>The Federal Bank Ltd.24/02/2026</t>
  </si>
  <si>
    <t>Life Insurance Corporation of India24/02/2026</t>
  </si>
  <si>
    <t>Laurus Labs Ltd.24/02/2026</t>
  </si>
  <si>
    <t>Eicher Motors Ltd.24/02/2026</t>
  </si>
  <si>
    <t>Prestige Estates Projects Ltd.24/02/2026</t>
  </si>
  <si>
    <t>Max Financial Services Ltd.24/02/2026</t>
  </si>
  <si>
    <t>Ambuja Cements Ltd.24/02/2026</t>
  </si>
  <si>
    <t>Max Healthcare Institute Ltd.24/02/2026</t>
  </si>
  <si>
    <t>Bharat Dynamics Ltd.24/02/2026</t>
  </si>
  <si>
    <t>Lodha Developers Ltd.24/02/2026</t>
  </si>
  <si>
    <t>IDFC First Bank Ltd.24/02/2026</t>
  </si>
  <si>
    <t>HDFC Asset Management Company Ltd.24/02/2026</t>
  </si>
  <si>
    <t>Suzlon Energy Ltd.24/02/2026</t>
  </si>
  <si>
    <t>ICICI Prudential Life Insurance Co Ltd.24/02/2026</t>
  </si>
  <si>
    <t>Mazagon Dock Shipbuilders Ltd.24/02/2026</t>
  </si>
  <si>
    <t>National Buildings Construction Corporation Ltd.24/02/2026</t>
  </si>
  <si>
    <t>Havells India Ltd.24/02/2026</t>
  </si>
  <si>
    <t>Indian Oil Corporation Ltd.24/02/2026</t>
  </si>
  <si>
    <t>Reliance Industries Ltd.30/03/2026</t>
  </si>
  <si>
    <t>State Bank of India24/02/2026</t>
  </si>
  <si>
    <t>Tata Consumer Products Ltd.24/02/2026</t>
  </si>
  <si>
    <t>AU Small Finance Bank Ltd.24/02/2026</t>
  </si>
  <si>
    <t>Amber Enterprises India Ltd.24/02/2026</t>
  </si>
  <si>
    <t>Housing &amp; Urban Development Corp Ltd.24/02/2026</t>
  </si>
  <si>
    <t>TVS Motor Company Ltd.24/02/2026</t>
  </si>
  <si>
    <t>Union Bank of India24/02/2026</t>
  </si>
  <si>
    <t>Hindustan Zinc Ltd.24/02/2026</t>
  </si>
  <si>
    <t>GMR Airports Ltd.24/02/2026</t>
  </si>
  <si>
    <t>Sun Pharmaceutical Industries Ltd.24/02/2026</t>
  </si>
  <si>
    <t>Bandhan Bank Ltd.24/02/2026</t>
  </si>
  <si>
    <t>The Indian Hotels Company Ltd.24/02/2026</t>
  </si>
  <si>
    <t>Godrej Consumer Products Ltd.24/02/2026</t>
  </si>
  <si>
    <t>Ultratech Cement Ltd.24/02/2026</t>
  </si>
  <si>
    <t>Bank of India24/02/2026</t>
  </si>
  <si>
    <t>Divi's Laboratories Ltd.24/02/2026</t>
  </si>
  <si>
    <t>LIC Housing Finance Ltd.24/02/2026</t>
  </si>
  <si>
    <t>Bajaj Finserv Ltd.24/02/2026</t>
  </si>
  <si>
    <t>IndusInd Bank Ltd.24/02/2026</t>
  </si>
  <si>
    <t>Adani Ports &amp; Special Economic Zone Ltd.24/02/2026</t>
  </si>
  <si>
    <t>Tech Mahindra Ltd.24/02/2026</t>
  </si>
  <si>
    <t>Mphasis Ltd.24/02/2026</t>
  </si>
  <si>
    <t>Godrej Properties Ltd.24/02/2026</t>
  </si>
  <si>
    <t>HDFC Bank Ltd.30/03/2026</t>
  </si>
  <si>
    <t>Manappuram Finance Ltd.24/02/2026</t>
  </si>
  <si>
    <t>Kalyan Jewellers India Ltd.24/02/2026</t>
  </si>
  <si>
    <t>Larsen &amp; Toubro Ltd.24/02/2026</t>
  </si>
  <si>
    <t>Titan Company Ltd.24/02/2026</t>
  </si>
  <si>
    <t>Exide Industries Ltd.24/02/2026</t>
  </si>
  <si>
    <t>BSE Ltd.24/02/2026</t>
  </si>
  <si>
    <t>PNB Housing Finance Ltd.24/02/2026</t>
  </si>
  <si>
    <t>Bank of Baroda24/02/2026</t>
  </si>
  <si>
    <t>Container Corporation Of India Ltd.24/02/2026</t>
  </si>
  <si>
    <t>Infosys Ltd.24/02/2026</t>
  </si>
  <si>
    <t>Delhivery Ltd.24/02/2026</t>
  </si>
  <si>
    <t>Apollo Hospitals Enterprise Ltd.24/02/2026</t>
  </si>
  <si>
    <t>Crompton Greaves Cons Electrical Ltd.24/02/2026</t>
  </si>
  <si>
    <t>Petronet LNG Ltd.24/02/2026</t>
  </si>
  <si>
    <t>Fortis Healthcare Ltd.24/02/2026</t>
  </si>
  <si>
    <t>NTPC Ltd.24/02/2026</t>
  </si>
  <si>
    <t>VARUN BEVERAGES LIMITED24/02/2026</t>
  </si>
  <si>
    <t>APL Apollo Tubes Ltd.24/02/2026</t>
  </si>
  <si>
    <t>GAIL (India) Ltd.24/02/2026</t>
  </si>
  <si>
    <t>UPL Ltd.24/02/2026</t>
  </si>
  <si>
    <t>Bharat Heavy Electricals Ltd.24/02/2026</t>
  </si>
  <si>
    <t>InterGlobe Aviation Ltd.24/02/2026</t>
  </si>
  <si>
    <t>Nestle India Ltd.24/02/2026</t>
  </si>
  <si>
    <t>Solar Industries India Ltd.24/02/2026</t>
  </si>
  <si>
    <t>Aditya Birla Capital Ltd.24/02/2026</t>
  </si>
  <si>
    <t>Patanjali Foods Ltd.24/02/2026</t>
  </si>
  <si>
    <t>Inox Wind Ltd.24/02/2026</t>
  </si>
  <si>
    <t>Sammaan Capital Ltd.24/02/2026</t>
  </si>
  <si>
    <t>Power Finance Corporation Ltd.24/02/2026</t>
  </si>
  <si>
    <t>Punjab National Bank24/02/2026</t>
  </si>
  <si>
    <t>DLF Ltd.24/02/2026</t>
  </si>
  <si>
    <t>REC Ltd.24/02/2026</t>
  </si>
  <si>
    <t>RBL Bank Ltd.24/02/2026</t>
  </si>
  <si>
    <t>Adani Enterprises Ltd.24/02/2026</t>
  </si>
  <si>
    <t>Adani Green Energy Ltd.24/02/2026</t>
  </si>
  <si>
    <t>Britannia Industries Ltd.24/02/2026</t>
  </si>
  <si>
    <t>Shriram Finance Ltd.24/02/2026</t>
  </si>
  <si>
    <t>Maruti Suzuki India Ltd.24/02/2026</t>
  </si>
  <si>
    <t>Adani Energy Solutions Ltd.24/02/2026</t>
  </si>
  <si>
    <t>Grasim Industries Ltd.24/02/2026</t>
  </si>
  <si>
    <t>Tata Steel Ltd.24/02/2026</t>
  </si>
  <si>
    <t>Kotak Mahindra Bank Ltd.24/02/2026</t>
  </si>
  <si>
    <t>Jio Financial Services Ltd.24/02/2026</t>
  </si>
  <si>
    <t>Yes Bank Ltd.24/02/2026</t>
  </si>
  <si>
    <t>JSW Energy Ltd.24/02/2026</t>
  </si>
  <si>
    <t>Oil &amp; Natural Gas Corporation Ltd.24/02/2026</t>
  </si>
  <si>
    <t>Indus Towers Ltd.24/02/2026</t>
  </si>
  <si>
    <t>Aurobindo Pharma Ltd.24/02/2026</t>
  </si>
  <si>
    <t>Mahindra &amp; Mahindra Ltd.24/02/2026</t>
  </si>
  <si>
    <t>Hindustan Petroleum Corporation Ltd.24/02/2026</t>
  </si>
  <si>
    <t>Marico Ltd.24/02/2026</t>
  </si>
  <si>
    <t>Bharat Electronics Ltd.24/02/2026</t>
  </si>
  <si>
    <t>Polycab India Ltd.24/02/2026</t>
  </si>
  <si>
    <t>Hindustan Aeronautics Ltd.24/02/2026</t>
  </si>
  <si>
    <t>Bajaj Finance Ltd.24/02/2026</t>
  </si>
  <si>
    <t>Bharti Airtel Ltd.24/02/2026</t>
  </si>
  <si>
    <t>Glenmark Pharmaceuticals Ltd.24/02/2026</t>
  </si>
  <si>
    <t>Multi Commodity Exchange Of India Ltd.24/02/2026</t>
  </si>
  <si>
    <t>Steel Authority of India Ltd.24/02/2026</t>
  </si>
  <si>
    <t>ITC Ltd.24/02/2026</t>
  </si>
  <si>
    <t>NMDC Ltd.24/02/2026</t>
  </si>
  <si>
    <t>Vedanta Ltd.24/02/2026</t>
  </si>
  <si>
    <t>Eternal Ltd.24/02/2026</t>
  </si>
  <si>
    <t>Axis Bank Ltd.24/02/2026</t>
  </si>
  <si>
    <t>JSW Steel Ltd.24/02/2026</t>
  </si>
  <si>
    <t>Reliance Industries Ltd.24/02/2026</t>
  </si>
  <si>
    <t>Vodafone Idea Ltd.24/02/2026</t>
  </si>
  <si>
    <t>ICICI Bank Ltd.24/02/2026</t>
  </si>
  <si>
    <t>HDFC Bank Ltd.24/02/2026</t>
  </si>
  <si>
    <t>7.30% BHARTI TELE XXVII 01-12-27**</t>
  </si>
  <si>
    <t>INE403D08306</t>
  </si>
  <si>
    <t>8.65% BHARTI TELECOM SR XIX NCD 05-11-27**</t>
  </si>
  <si>
    <t>INE403D08231</t>
  </si>
  <si>
    <t>7.19% JIO CRDT LTD NCD SR I RED 15-03-28**</t>
  </si>
  <si>
    <t>INE282H07018</t>
  </si>
  <si>
    <t>7.02% GOVT OF INDIA RED 27-05-2027</t>
  </si>
  <si>
    <t>IN0020240043</t>
  </si>
  <si>
    <t>364 DAYS TBILL RED 18-06-2026</t>
  </si>
  <si>
    <t>IN002025Z120</t>
  </si>
  <si>
    <t>364 DAYS TBILL RED 17-09-2026</t>
  </si>
  <si>
    <t>IN002025Z252</t>
  </si>
  <si>
    <t>SIDBI CD RED 20-05-2026#**</t>
  </si>
  <si>
    <t>INE556F16BI1</t>
  </si>
  <si>
    <t>CANARA BANK CD RED 18-12-2026#**</t>
  </si>
  <si>
    <t>INE476A16F78</t>
  </si>
  <si>
    <t>NABARD CD RED 14-01-2027#**</t>
  </si>
  <si>
    <t>INE261F16AD1</t>
  </si>
  <si>
    <t>KOTAK MAHINDRA BANK CD RED 13-03-2026#**</t>
  </si>
  <si>
    <t>INE237A167Z1</t>
  </si>
  <si>
    <t>SIDBI CD RED 26-03-2026#**</t>
  </si>
  <si>
    <t>INE556F16BG5</t>
  </si>
  <si>
    <t>HDFC BANK CD RED 19-05-2026#**</t>
  </si>
  <si>
    <t>INE040A16GW7</t>
  </si>
  <si>
    <t>BANK OF BARODA CD RED 05-06-2026#**</t>
  </si>
  <si>
    <t>INE028A16KR4</t>
  </si>
  <si>
    <t>HDFC BANK CD RED 24-06-2026#**</t>
  </si>
  <si>
    <t>INE040A16HB9</t>
  </si>
  <si>
    <t>CANARA BANK CD RED 12-01-2027#**</t>
  </si>
  <si>
    <t>INE476A16G02</t>
  </si>
  <si>
    <t>AXIS BANK LTD CD RED 14-01-2027#**</t>
  </si>
  <si>
    <t>INE238AD6BW9</t>
  </si>
  <si>
    <t>UNION BANK OF INDIA RED 12-03-26#**</t>
  </si>
  <si>
    <t>INE692A16KM8</t>
  </si>
  <si>
    <t>UNION BANK OF INDIA CD R 25-06-26#**</t>
  </si>
  <si>
    <t>INE692A16JQ1</t>
  </si>
  <si>
    <t>L&amp;T FINANCE LTD CP RED 15-05-2026**</t>
  </si>
  <si>
    <t>INE498L14DW6</t>
  </si>
  <si>
    <t>EDELWEISS LIQUID FUND - DIRECT PL -GR</t>
  </si>
  <si>
    <t>INF754K01GM4</t>
  </si>
  <si>
    <t>EDELWEISS MONEY MARKET FUND - DIRECT PL</t>
  </si>
  <si>
    <t>INF843K01CE1</t>
  </si>
  <si>
    <t>EDELWEISS LOW DURATION FUND</t>
  </si>
  <si>
    <t>INF754K01UP8</t>
  </si>
  <si>
    <t>EDEL CRI IBX AAA FIN S JN 28-DIRECT-GR</t>
  </si>
  <si>
    <t>INF754K01TP0</t>
  </si>
  <si>
    <t>Net Receivables/(Payables) include Net Current Assets as well as the Mark to Market on derivative trades.</t>
  </si>
  <si>
    <t>Edelweiss Arbitrage Fund</t>
  </si>
  <si>
    <t>PORTFOLIO STATEMENT OF EDELWEISS BALANCED ADVANTAGE FUND AS ON JANUARY 31, 2026</t>
  </si>
  <si>
    <t>(An open ended dynamic asset allocation fund)</t>
  </si>
  <si>
    <t>GE Vernova T&amp;D India Limited</t>
  </si>
  <si>
    <t>INE200A01026</t>
  </si>
  <si>
    <t>Granules India Ltd.</t>
  </si>
  <si>
    <t>INE101D01020</t>
  </si>
  <si>
    <t>Cholamandalam Financial Holdings Ltd.</t>
  </si>
  <si>
    <t>INE149A01033</t>
  </si>
  <si>
    <t>Minda Corporation Ltd.</t>
  </si>
  <si>
    <t>INE842C01021</t>
  </si>
  <si>
    <t>Premier Energies Ltd.</t>
  </si>
  <si>
    <t>INE0BS701011</t>
  </si>
  <si>
    <t>Avenue Supermarts Ltd.</t>
  </si>
  <si>
    <t>INE192R01011</t>
  </si>
  <si>
    <t>Craftsman Automation Ltd.</t>
  </si>
  <si>
    <t>INE00LO01017</t>
  </si>
  <si>
    <t>Jyoti CNC Automation Ltd.</t>
  </si>
  <si>
    <t>INE980O01024</t>
  </si>
  <si>
    <t>Abbott India Ltd.</t>
  </si>
  <si>
    <t>INE358A01014</t>
  </si>
  <si>
    <t>Ather Energy Ltd.</t>
  </si>
  <si>
    <t>INE0LEZ01016</t>
  </si>
  <si>
    <t>Schaeffler India Ltd.</t>
  </si>
  <si>
    <t>INE513A01022</t>
  </si>
  <si>
    <t>Brigade Enterprises Ltd.</t>
  </si>
  <si>
    <t>INE791I01019</t>
  </si>
  <si>
    <t>Vishal Mega Mart Ltd</t>
  </si>
  <si>
    <t>INE01EA01019</t>
  </si>
  <si>
    <t>PI Industries Ltd.</t>
  </si>
  <si>
    <t>INE603J01030</t>
  </si>
  <si>
    <t>360 One Wam Ltd.</t>
  </si>
  <si>
    <t>INE466L01038</t>
  </si>
  <si>
    <t>ICICI Prudential Asset Mgmt Co Ltd.</t>
  </si>
  <si>
    <t>INE346A01027</t>
  </si>
  <si>
    <t>SJVN Ltd.</t>
  </si>
  <si>
    <t>INE002L01015</t>
  </si>
  <si>
    <t>Aarti Industries Ltd.</t>
  </si>
  <si>
    <t>INE769A01020</t>
  </si>
  <si>
    <t>JSW Cement Ltd.</t>
  </si>
  <si>
    <t>INE718I01012</t>
  </si>
  <si>
    <t>Indiqube Spaces Ltd.</t>
  </si>
  <si>
    <t>INE06ST01018</t>
  </si>
  <si>
    <t>Commercial Services &amp; Supplies</t>
  </si>
  <si>
    <t>Vikram Solar Ltd.</t>
  </si>
  <si>
    <t>INE078V01014</t>
  </si>
  <si>
    <t>Orkla India Ltd.</t>
  </si>
  <si>
    <t>INE16NZ01023</t>
  </si>
  <si>
    <t>KWALITY WALL'S INDIA LTD</t>
  </si>
  <si>
    <t>INE2KCE01013</t>
  </si>
  <si>
    <t>BROOKFIELD INDIA REAL ESTATE TRUST</t>
  </si>
  <si>
    <t>INE0FDU25010</t>
  </si>
  <si>
    <t>Ashok Leyland Ltd.</t>
  </si>
  <si>
    <t>INE208A01029</t>
  </si>
  <si>
    <t>Agricultural, Commercial &amp; Construction Vehicles</t>
  </si>
  <si>
    <t>(cb) Investment CCD</t>
  </si>
  <si>
    <t>6.5% SAMVARDHANA MOTHERSON CCD 20-09-27**</t>
  </si>
  <si>
    <t>INE775A08105</t>
  </si>
  <si>
    <t>Ashok Leyland Ltd.24/02/2026</t>
  </si>
  <si>
    <t>Page Industries Ltd.24/02/2026</t>
  </si>
  <si>
    <t>Textiles &amp; Apparels</t>
  </si>
  <si>
    <t>NIFTY 24-Feb-2026</t>
  </si>
  <si>
    <t>INDEX FUTURES</t>
  </si>
  <si>
    <t>(B)Index / Stock Option</t>
  </si>
  <si>
    <t>PUT NIFTY 24-Feb-2026 27000</t>
  </si>
  <si>
    <t>INDEX OPTIONS</t>
  </si>
  <si>
    <t>PUT NIFTY 24-Feb-2026 26500</t>
  </si>
  <si>
    <t>7.3789% ADITYA BIRLA CAP SR B2 14-02-28**</t>
  </si>
  <si>
    <t>INE674K07036</t>
  </si>
  <si>
    <t>7.99% HDB FIN SR A1 FX 189 NCD R16-03-26**</t>
  </si>
  <si>
    <t>INE756I07EO2</t>
  </si>
  <si>
    <t>7.70% PFC SR BS227A NCD RED 15-09-2026**</t>
  </si>
  <si>
    <t>INE134E08MK0</t>
  </si>
  <si>
    <t>7.59% POWER FIN NCD SR 221B R 17-01-2028**</t>
  </si>
  <si>
    <t>INE134E08LX5</t>
  </si>
  <si>
    <t>7.40% BHARTI TELE XXVIII 01-02-29**</t>
  </si>
  <si>
    <t>INE403D08298</t>
  </si>
  <si>
    <t>8.2% IND GR TRU SR V CAT III&amp;IV 06-05-31**</t>
  </si>
  <si>
    <t>INE219X07264</t>
  </si>
  <si>
    <t>8.1701% ABHFL SR D1 NCD 25-08-27**</t>
  </si>
  <si>
    <t>INE831R07466</t>
  </si>
  <si>
    <t>5.74% GOVT OF INDIA RED 15-11-2026</t>
  </si>
  <si>
    <t>IN0020210186</t>
  </si>
  <si>
    <t>(d) Non-convertible Preference share</t>
  </si>
  <si>
    <t>EDEL CRIS-IBX AAA NBFC-HFC-JUN 27 IND FD</t>
  </si>
  <si>
    <t>INF754K01UG7</t>
  </si>
  <si>
    <t>Direct plan -Quarterly IDCW option</t>
  </si>
  <si>
    <t>Regular Plan -Quarterly IDCW option</t>
  </si>
  <si>
    <t>Direct Plan - Monthly IDCW</t>
  </si>
  <si>
    <t>Regular Plan - Monthly IDCW</t>
  </si>
  <si>
    <t>Edelweiss Balanced Advantage Fund</t>
  </si>
  <si>
    <t>PORTFOLIO STATEMENT OF EDEL BSE CAPITAL MARKETS &amp; INSURANCE ETF AS ON JANUARY 31, 2026</t>
  </si>
  <si>
    <t>(An open-ended exchange traded scheme replicating/tracking BSE Capital Markets &amp; Insurance Total Return Index.)</t>
  </si>
  <si>
    <t>Nippon Life India Asset Management Ltd.</t>
  </si>
  <si>
    <t>INE298J01013</t>
  </si>
  <si>
    <t>Angel One Ltd.</t>
  </si>
  <si>
    <t>INE732I01013</t>
  </si>
  <si>
    <t>KFIN Technologies Ltd.</t>
  </si>
  <si>
    <t>INE138Y01010</t>
  </si>
  <si>
    <t>General Insurance Corporation of India</t>
  </si>
  <si>
    <t>INE481Y01014</t>
  </si>
  <si>
    <t>Anand Rathi Wealth Ltd.</t>
  </si>
  <si>
    <t>INE463V01026</t>
  </si>
  <si>
    <t>Motilal Oswal Financial Services Ltd.</t>
  </si>
  <si>
    <t>INE338I01027</t>
  </si>
  <si>
    <t>Star Health &amp; Allied Insurance Co Ltd.</t>
  </si>
  <si>
    <t>INE575P01011</t>
  </si>
  <si>
    <t>Indian Energy Exchange Ltd.</t>
  </si>
  <si>
    <t>INE022Q01020</t>
  </si>
  <si>
    <t>Go Digit General Insurance Ltd.</t>
  </si>
  <si>
    <t>INE03JT01014</t>
  </si>
  <si>
    <t>Aditya Birla Sun Life AMC Ltd.</t>
  </si>
  <si>
    <t>INE404A01024</t>
  </si>
  <si>
    <t>Niva Bupa Health Insurance Company Ltd.</t>
  </si>
  <si>
    <t>INE995S01015</t>
  </si>
  <si>
    <t>UTI Asset Management Company Ltd.</t>
  </si>
  <si>
    <t>INE094J01016</t>
  </si>
  <si>
    <t>The New India Assurance Company Ltd.</t>
  </si>
  <si>
    <t>INE470Y01017</t>
  </si>
  <si>
    <t>(b) Unlisted</t>
  </si>
  <si>
    <t>Plan /option (Face Value 20)</t>
  </si>
  <si>
    <t>Edelweiss BSE Capital Markets &amp; Insurance ETF</t>
  </si>
  <si>
    <t>PORTFOLIO STATEMENT OF EDELWEISS BUSINESS CYCLE FUND AS ON JANUARY 31, 2026</t>
  </si>
  <si>
    <t>(An open-ended equity scheme following business cycle-based investing theme))</t>
  </si>
  <si>
    <t>Canara Bank</t>
  </si>
  <si>
    <t>INE476A01022</t>
  </si>
  <si>
    <t>Coromandel International Ltd.</t>
  </si>
  <si>
    <t>INE169A01031</t>
  </si>
  <si>
    <t>JK Cement Ltd.</t>
  </si>
  <si>
    <t>INE823G01014</t>
  </si>
  <si>
    <t>National Aluminium Company Ltd.</t>
  </si>
  <si>
    <t>INE139A01034</t>
  </si>
  <si>
    <t>Aster DM Healthcare Ltd.</t>
  </si>
  <si>
    <t>INE914M01019</t>
  </si>
  <si>
    <t>Mahindra &amp; Mahindra Financial Services Ltd</t>
  </si>
  <si>
    <t>INE774D01024</t>
  </si>
  <si>
    <t>Jindal Stainless Ltd.</t>
  </si>
  <si>
    <t>INE220G01021</t>
  </si>
  <si>
    <t>Endurance Technologies Ltd.</t>
  </si>
  <si>
    <t>INE913H01037</t>
  </si>
  <si>
    <t>Navin Fluorine International Ltd.</t>
  </si>
  <si>
    <t>INE048G01026</t>
  </si>
  <si>
    <t>Oil India Ltd.</t>
  </si>
  <si>
    <t>INE274J01014</t>
  </si>
  <si>
    <t>Karur Vysya Bank Ltd.</t>
  </si>
  <si>
    <t>INE036D01028</t>
  </si>
  <si>
    <t>Bharti Hexacom Ltd.</t>
  </si>
  <si>
    <t>INE343G01021</t>
  </si>
  <si>
    <t>Radico Khaitan Ltd.</t>
  </si>
  <si>
    <t>INE944F01028</t>
  </si>
  <si>
    <t>Sundaram Finance Ltd.</t>
  </si>
  <si>
    <t>INE660A01013</t>
  </si>
  <si>
    <t>364 DAYS TBILL RED 02-04-2026</t>
  </si>
  <si>
    <t>IN002025Z013</t>
  </si>
  <si>
    <t>Edelweiss Business Cycle Fund</t>
  </si>
  <si>
    <t>PORTFOLIO STATEMENT OF EDELWEISS BSE INTERNET ECONOMY INDEX FUND AS ON JANUARY 31, 2026</t>
  </si>
  <si>
    <t>(An open-ended index scheme replicating BSE Internet Economy Index)</t>
  </si>
  <si>
    <t>Swiggy Ltd.</t>
  </si>
  <si>
    <t>INE00H001014</t>
  </si>
  <si>
    <t>Indian Railway Catering &amp;Tou. Corp. Ltd.</t>
  </si>
  <si>
    <t>INE335Y01020</t>
  </si>
  <si>
    <t>Tata Communications Ltd.</t>
  </si>
  <si>
    <t>INE151A01013</t>
  </si>
  <si>
    <t>Indiamart Intermesh Ltd.</t>
  </si>
  <si>
    <t>INE933S01016</t>
  </si>
  <si>
    <t>TBO Tek Ltd.</t>
  </si>
  <si>
    <t>INE673O01025</t>
  </si>
  <si>
    <t>BLS International Services Ltd.</t>
  </si>
  <si>
    <t>INE153T01027</t>
  </si>
  <si>
    <t>Tejas Networks Ltd.</t>
  </si>
  <si>
    <t>INE010J01012</t>
  </si>
  <si>
    <t>Telecom - Equipment &amp; Accessories</t>
  </si>
  <si>
    <t>Edelweiss BSE Internet Economy Index Fund</t>
  </si>
  <si>
    <t>PORTFOLIO STATEMENT OF EDELWEISS CONSUMPTION FUND AS ON JANUARY 31, 2026</t>
  </si>
  <si>
    <t>(An open-ended equity scheme following consumption theme)</t>
  </si>
  <si>
    <t>LG Electronics India Ltd.</t>
  </si>
  <si>
    <t>INE324D01010</t>
  </si>
  <si>
    <t>Century Plyboards (India) Ltd.</t>
  </si>
  <si>
    <t>INE348B01021</t>
  </si>
  <si>
    <t>Page Industries Ltd.</t>
  </si>
  <si>
    <t>INE761H01022</t>
  </si>
  <si>
    <t>Metro Brands Ltd.</t>
  </si>
  <si>
    <t>INE317I01021</t>
  </si>
  <si>
    <t>Astral Ltd.</t>
  </si>
  <si>
    <t>INE006I01046</t>
  </si>
  <si>
    <t>Lenskart Solutions Ltd.</t>
  </si>
  <si>
    <t>INE956O01016</t>
  </si>
  <si>
    <t>Bikaji Foods International Ltd.</t>
  </si>
  <si>
    <t>INE00E101023</t>
  </si>
  <si>
    <t>Aditya Birla Real Estate Ltd.</t>
  </si>
  <si>
    <t>INE055A01016</t>
  </si>
  <si>
    <t>Paper, Forest &amp; Jute Products</t>
  </si>
  <si>
    <t>Jubilant Foodworks Ltd.</t>
  </si>
  <si>
    <t>INE797F01020</t>
  </si>
  <si>
    <t>Motherson Sumi Wiring India Ltd.</t>
  </si>
  <si>
    <t>INE0FS801015</t>
  </si>
  <si>
    <t>K.P.R. Mill Ltd.</t>
  </si>
  <si>
    <t>INE930H01031</t>
  </si>
  <si>
    <t>KEI Industries Ltd.</t>
  </si>
  <si>
    <t>INE878B01027</t>
  </si>
  <si>
    <t>Devyani International Ltd.</t>
  </si>
  <si>
    <t>INE872J01023</t>
  </si>
  <si>
    <t>Physicswallah Ltd.</t>
  </si>
  <si>
    <t>INE0LP301011</t>
  </si>
  <si>
    <t>Other Consumer Services</t>
  </si>
  <si>
    <t>Edelweiss Consumption Fund</t>
  </si>
  <si>
    <t>PORTFOLIO STATEMENT OF EDELWEISS LARGE CAP FUND AS ON JANUARY 31, 2026</t>
  </si>
  <si>
    <t>(An open ended equity scheme predominantly investing in large cap stocks)</t>
  </si>
  <si>
    <t>Aptus Value Housing Finance India Ltd.</t>
  </si>
  <si>
    <t>INE852O01025</t>
  </si>
  <si>
    <t>Power Grid Corporation of India Ltd.</t>
  </si>
  <si>
    <t>INE752E01010</t>
  </si>
  <si>
    <t>Seshaasai Technologies Ltd.</t>
  </si>
  <si>
    <t>INE04VU01023</t>
  </si>
  <si>
    <t>Urban Company Ltd.</t>
  </si>
  <si>
    <t>INE0CAZ01013</t>
  </si>
  <si>
    <t>Hyundai Motor India Ltd.</t>
  </si>
  <si>
    <t>INE0V6F01027</t>
  </si>
  <si>
    <t>Cummins India Ltd.</t>
  </si>
  <si>
    <t>INE298A01020</t>
  </si>
  <si>
    <t>Plan B - Growth option</t>
  </si>
  <si>
    <t>Plan B - IDCW option</t>
  </si>
  <si>
    <t>Plan C - Growth option</t>
  </si>
  <si>
    <t>Plan C - IDCW option</t>
  </si>
  <si>
    <t>Edelweiss Large Cap Fund</t>
  </si>
  <si>
    <t>PORTFOLIO STATEMENT OF EDELWEISS FLEXI-CAP FUND AS ON JANUARY 31, 2026</t>
  </si>
  <si>
    <t>(An open ended dynamic equity scheme investing across large cap, mid cap, small cap stocks)</t>
  </si>
  <si>
    <t>City Union Bank Ltd.</t>
  </si>
  <si>
    <t>INE491A01021</t>
  </si>
  <si>
    <t>Creditaccess Grameen Ltd.</t>
  </si>
  <si>
    <t>INE741K01010</t>
  </si>
  <si>
    <t>IPCA Laboratories Ltd.</t>
  </si>
  <si>
    <t>INE571A01038</t>
  </si>
  <si>
    <t>Tata Motors Ltd.</t>
  </si>
  <si>
    <t>INE1TAE01010</t>
  </si>
  <si>
    <t>Firstsource Solutions Ltd.</t>
  </si>
  <si>
    <t>INE684F01012</t>
  </si>
  <si>
    <t>Edelweiss Flexi Cap Fund</t>
  </si>
  <si>
    <t>PORTFOLIO STATEMENT OF EDELWEISS ELSS TAX SAVER FUND AS ON JANUARY 31, 2026</t>
  </si>
  <si>
    <t>(An open ended equity linked saving scheme with a statutory lock in of 3 years and tax benefit)</t>
  </si>
  <si>
    <t>Gabriel India Ltd.</t>
  </si>
  <si>
    <t>INE524A01029</t>
  </si>
  <si>
    <t>Netweb Technologies India Ltd.</t>
  </si>
  <si>
    <t>INE0NT901020</t>
  </si>
  <si>
    <t>Equitas Small Finance Bank Ltd.</t>
  </si>
  <si>
    <t>INE063P01018</t>
  </si>
  <si>
    <t>India Shelter Finance Corporation Ltd.</t>
  </si>
  <si>
    <t>INE922K01024</t>
  </si>
  <si>
    <t>Zensar Technologies Ltd.</t>
  </si>
  <si>
    <t>INE520A01027</t>
  </si>
  <si>
    <t>Sumitomo Chemical India Ltd.</t>
  </si>
  <si>
    <t>INE258G01013</t>
  </si>
  <si>
    <t>Home First Finance Company India Ltd.</t>
  </si>
  <si>
    <t>INE481N01025</t>
  </si>
  <si>
    <t>Power Mech Projects Ltd.</t>
  </si>
  <si>
    <t>INE211R01019</t>
  </si>
  <si>
    <t>Krishna Inst of Medical Sciences Ltd.</t>
  </si>
  <si>
    <t>INE967H01025</t>
  </si>
  <si>
    <t>Jubilant Ingrevia Ltd.</t>
  </si>
  <si>
    <t>INE0BY001018</t>
  </si>
  <si>
    <t>Neuland Laboratories Ltd.</t>
  </si>
  <si>
    <t>INE794A01010</t>
  </si>
  <si>
    <t>Alembic Pharmaceuticals Ltd.</t>
  </si>
  <si>
    <t>INE901L01018</t>
  </si>
  <si>
    <t>Siemens Energy India Ltd.</t>
  </si>
  <si>
    <t>INE1NPP01017</t>
  </si>
  <si>
    <t>Pine Labs Ltd.</t>
  </si>
  <si>
    <t>INE15B701018</t>
  </si>
  <si>
    <t>HDB Financial Services Ltd.</t>
  </si>
  <si>
    <t>INE756I01012</t>
  </si>
  <si>
    <t>Edelweiss ELSS Tax saver Fund</t>
  </si>
  <si>
    <t>PORTFOLIO STATEMENT OF EDELWEISS LARGE &amp; MID CAP FUND AS ON JANUARY 31, 2026</t>
  </si>
  <si>
    <t>(An open ended equity scheme investing in both large cap and mid cap stocks)</t>
  </si>
  <si>
    <t>Coal India Ltd.</t>
  </si>
  <si>
    <t>INE522F01014</t>
  </si>
  <si>
    <t>Consumable Fuels</t>
  </si>
  <si>
    <t>Aether Industries Ltd.</t>
  </si>
  <si>
    <t>INE0BWX01014</t>
  </si>
  <si>
    <t>Can Fin Homes Ltd.</t>
  </si>
  <si>
    <t>INE477A01020</t>
  </si>
  <si>
    <t>Mankind Pharma Ltd.</t>
  </si>
  <si>
    <t>INE634S01028</t>
  </si>
  <si>
    <t>Birlasoft Ltd.</t>
  </si>
  <si>
    <t>INE836A01035</t>
  </si>
  <si>
    <t>ITC Hotels Ltd.</t>
  </si>
  <si>
    <t>INE379A01028</t>
  </si>
  <si>
    <t>Triveni Turbine Ltd.</t>
  </si>
  <si>
    <t>INE152M01016</t>
  </si>
  <si>
    <t>GMM Pfaudler Ltd.</t>
  </si>
  <si>
    <t>INE541A01023</t>
  </si>
  <si>
    <t>NTPC Green Energy Ltd.</t>
  </si>
  <si>
    <t>INE0ONG01011</t>
  </si>
  <si>
    <t>Edelweiss Large and Mid Cap Fund</t>
  </si>
  <si>
    <t>PORTFOLIO STATEMENT OF EDELWEISS SMALL CAP FUND AS ON JANUARY 31, 2026</t>
  </si>
  <si>
    <t>(An open ended equity scheme predominantly investing in small cap stocks)</t>
  </si>
  <si>
    <t>Ajanta Pharma Ltd.</t>
  </si>
  <si>
    <t>INE031B01049</t>
  </si>
  <si>
    <t>JB Chemicals &amp; Pharmaceuticals Ltd.</t>
  </si>
  <si>
    <t>INE572A01036</t>
  </si>
  <si>
    <t>Kirloskar Pneumatic Co.Ltd.</t>
  </si>
  <si>
    <t>INE811A01020</t>
  </si>
  <si>
    <t>Avalon Technologies Ltd.</t>
  </si>
  <si>
    <t>INE0LCL01028</t>
  </si>
  <si>
    <t>Vijaya Diagnostic Centre Ltd.</t>
  </si>
  <si>
    <t>INE043W01024</t>
  </si>
  <si>
    <t>Clean Science and Technology Ltd.</t>
  </si>
  <si>
    <t>INE227W01023</t>
  </si>
  <si>
    <t>Dodla Dairy Ltd.</t>
  </si>
  <si>
    <t>INE021O01019</t>
  </si>
  <si>
    <t>V-Mart Retail Ltd.</t>
  </si>
  <si>
    <t>INE665J01013</t>
  </si>
  <si>
    <t>Dr. Lal Path Labs Ltd.</t>
  </si>
  <si>
    <t>INE600L01024</t>
  </si>
  <si>
    <t>Arvind Fashions Ltd.</t>
  </si>
  <si>
    <t>INE955V01021</t>
  </si>
  <si>
    <t>Ahluwalia Contracts (India) Ltd.</t>
  </si>
  <si>
    <t>INE758C01029</t>
  </si>
  <si>
    <t>JK Lakshmi Cement Ltd.</t>
  </si>
  <si>
    <t>INE786A01032</t>
  </si>
  <si>
    <t>Westlife Foodworld Ltd.</t>
  </si>
  <si>
    <t>INE274F01020</t>
  </si>
  <si>
    <t>The Ramco Cements Ltd.</t>
  </si>
  <si>
    <t>INE331A01037</t>
  </si>
  <si>
    <t>KSB Ltd.</t>
  </si>
  <si>
    <t>INE999A01023</t>
  </si>
  <si>
    <t>Thermax Ltd.</t>
  </si>
  <si>
    <t>INE152A01029</t>
  </si>
  <si>
    <t>Jamna Auto Industries Ltd.</t>
  </si>
  <si>
    <t>INE039C01032</t>
  </si>
  <si>
    <t>Teamlease Services Ltd.</t>
  </si>
  <si>
    <t>INE985S01024</t>
  </si>
  <si>
    <t>Ratnamani Metals &amp; Tubes Ltd.</t>
  </si>
  <si>
    <t>INE703B01027</t>
  </si>
  <si>
    <t>Garware Technical Fibres Ltd.</t>
  </si>
  <si>
    <t>INE276A01018</t>
  </si>
  <si>
    <t>Cera Sanitaryware Ltd.</t>
  </si>
  <si>
    <t>INE739E01017</t>
  </si>
  <si>
    <t>Carraro India Ltd.</t>
  </si>
  <si>
    <t>INE0V7W01012</t>
  </si>
  <si>
    <t>RHI Magnesita India Ltd.</t>
  </si>
  <si>
    <t>INE743M01012</t>
  </si>
  <si>
    <t>Mold-Tek Packaging Ltd.</t>
  </si>
  <si>
    <t>INE893J01029</t>
  </si>
  <si>
    <t>KNR Constructions Ltd.</t>
  </si>
  <si>
    <t>INE634I01029</t>
  </si>
  <si>
    <t>SBFC Finance Ltd.</t>
  </si>
  <si>
    <t>INE423Y01016</t>
  </si>
  <si>
    <t>Voltamp Transformers Ltd.</t>
  </si>
  <si>
    <t>INE540H01012</t>
  </si>
  <si>
    <t>Cohance Lifesciences Ltd.</t>
  </si>
  <si>
    <t>INE03QK01018</t>
  </si>
  <si>
    <t>Action Construction Equipment Ltd.</t>
  </si>
  <si>
    <t>INE731H01025</t>
  </si>
  <si>
    <t>Emami Ltd.</t>
  </si>
  <si>
    <t>INE548C01032</t>
  </si>
  <si>
    <t>Concord Biotech Ltd.</t>
  </si>
  <si>
    <t>INE338H01029</t>
  </si>
  <si>
    <t>Vedant Fashions Ltd.</t>
  </si>
  <si>
    <t>INE825V01034</t>
  </si>
  <si>
    <t>Rolex Rings Ltd.</t>
  </si>
  <si>
    <t>INE645S01024</t>
  </si>
  <si>
    <t>Titagarh Rail Systems Ltd.</t>
  </si>
  <si>
    <t>INE615H01020</t>
  </si>
  <si>
    <t>Whirlpool of India Ltd.</t>
  </si>
  <si>
    <t>INE716A01013</t>
  </si>
  <si>
    <t>Wakefit Innovations Ltd.</t>
  </si>
  <si>
    <t>INE0E7301029</t>
  </si>
  <si>
    <t>Edelweiss Small Cap Fund</t>
  </si>
  <si>
    <t>PORTFOLIO STATEMENT OF EDELWEISS EQUITY SAVINGS FUND AS ON JANUARY 31, 2026</t>
  </si>
  <si>
    <t>(An Open ended scheme investing in equity, arbitrage and debt)</t>
  </si>
  <si>
    <t>INDIGRID INFRASTRUCTURE TRUST</t>
  </si>
  <si>
    <t>INE219X23014</t>
  </si>
  <si>
    <t>Time Technoplast Ltd.</t>
  </si>
  <si>
    <t>INE508G01029</t>
  </si>
  <si>
    <t>Aadhar Housing Finance Ltd.</t>
  </si>
  <si>
    <t>INE883F01010</t>
  </si>
  <si>
    <t>Wipro Ltd.</t>
  </si>
  <si>
    <t>INE075A01022</t>
  </si>
  <si>
    <t>Shadowfax Technologies Ltd.</t>
  </si>
  <si>
    <t>INE12UN01015</t>
  </si>
  <si>
    <t>CEAT Ltd.</t>
  </si>
  <si>
    <t>INE482A01020</t>
  </si>
  <si>
    <t>Aequs Ltd.</t>
  </si>
  <si>
    <t>INE947N01017</t>
  </si>
  <si>
    <t>Sudeep Pharma Ltd.</t>
  </si>
  <si>
    <t>INE0QPI01025</t>
  </si>
  <si>
    <t>Anant Raj Ltd.</t>
  </si>
  <si>
    <t>INE242C01024</t>
  </si>
  <si>
    <t>Cipla Ltd.</t>
  </si>
  <si>
    <t>INE059A01026</t>
  </si>
  <si>
    <t>Aavas Financiers Ltd.</t>
  </si>
  <si>
    <t>INE216P01012</t>
  </si>
  <si>
    <t>INE423A01024</t>
  </si>
  <si>
    <t>Aditya Infotech Ltd.</t>
  </si>
  <si>
    <t>INE819V01029</t>
  </si>
  <si>
    <t>Amagi Media Labs Ltd.</t>
  </si>
  <si>
    <t>INE121R01077</t>
  </si>
  <si>
    <t>Restaurant Brands Asia Ltd.</t>
  </si>
  <si>
    <t>INE07T201019</t>
  </si>
  <si>
    <t>CCL Products (India) Ltd.</t>
  </si>
  <si>
    <t>INE421D01022</t>
  </si>
  <si>
    <t>GK Energy Ltd</t>
  </si>
  <si>
    <t>INE1AG301022</t>
  </si>
  <si>
    <t>Ellenbarrie Industrial Gases Ltd.</t>
  </si>
  <si>
    <t>INE236E01022</t>
  </si>
  <si>
    <t>MINDSPACE BUSINESS PARKS REIT</t>
  </si>
  <si>
    <t>INE0CCU25019</t>
  </si>
  <si>
    <t>KFIN Technologies Ltd.24/02/2026</t>
  </si>
  <si>
    <t>Premier Energies Ltd.24/02/2026</t>
  </si>
  <si>
    <t>Cipla Ltd.24/02/2026</t>
  </si>
  <si>
    <t>Wipro Ltd.24/02/2026</t>
  </si>
  <si>
    <t>National Aluminium Company Ltd.24/02/2026</t>
  </si>
  <si>
    <t>7.48% NABARD NCD SR 25G RED 15-09-2028**</t>
  </si>
  <si>
    <t>INE261F08EO7</t>
  </si>
  <si>
    <t>Direct Plan Monthly IDCW</t>
  </si>
  <si>
    <t>Regular Plan Monthly IDCW</t>
  </si>
  <si>
    <t>Edelweiss Equity Savings Fund</t>
  </si>
  <si>
    <t>PORTFOLIO STATEMENT OF EDELWEISS FOCUSED FUND AS ON JANUARY 31, 2026</t>
  </si>
  <si>
    <t>(An open-ended equity scheme investing in maximum 30 stocks, with focus in multi-cap space)</t>
  </si>
  <si>
    <t>Edelweiss Focused Fund</t>
  </si>
  <si>
    <t>PORTFOLIO STATEMENT OF EDELWEISS INCOME PLUS ARBITRAGE ACTIVE FUND OF FUND AS ON JANUARY 31, 2026</t>
  </si>
  <si>
    <t>(An open-ended fund of funds scheme investing in units of actively managed debt oriented mutual fund schemes and actively managed arbitrage mutual fund schemes.)</t>
  </si>
  <si>
    <t>EDELWEISS ARBITRAGE FD- DR PL- GROW OPT</t>
  </si>
  <si>
    <t>INF754K01EA4</t>
  </si>
  <si>
    <t>KOTAK MAHINDRA MF CORP BOND FD DIRECT GR</t>
  </si>
  <si>
    <t>INF178L01BY0</t>
  </si>
  <si>
    <t>SBI MF CORP BOND FD  DIRECT GR</t>
  </si>
  <si>
    <t>INF200KA1YR4</t>
  </si>
  <si>
    <t>EDELWEISS BANKING &amp; PSU DEBT FD-DR PL-GR</t>
  </si>
  <si>
    <t>INF843K01FC8</t>
  </si>
  <si>
    <t>Edelweiss Income Plus Arbitrage Active Fund of Fund</t>
  </si>
  <si>
    <t>PORTFOLIO STATEMENT OF EDELWEISS NIFTY 100 QUALITY 30 INDEX FND AS ON JANUARY 31, 2026</t>
  </si>
  <si>
    <t>(An open ended scheme replicating Nifty 100 Quality 30 Index)</t>
  </si>
  <si>
    <t>ABB India Ltd.</t>
  </si>
  <si>
    <t>INE117A01022</t>
  </si>
  <si>
    <t>Zydus Lifesciences Ltd.</t>
  </si>
  <si>
    <t>INE010B01027</t>
  </si>
  <si>
    <t>Edelweiss NIFTY 100 Quality 30 Index Fund</t>
  </si>
  <si>
    <t>PORTFOLIO STATEMENT OF EDELWEISS NIFTY 50 INDEX FUND AS ON JANUARY 31, 2026</t>
  </si>
  <si>
    <t>(An open ended scheme replicating Nifty 50 Index)</t>
  </si>
  <si>
    <t>Edelweiss NIFTY 50 Index Fund</t>
  </si>
  <si>
    <t>PORTFOLIO STATEMENT OF EDELWEISS NIFTY LARGEMIDCAP 250 ETF AS ON JANUARY 31, 2026</t>
  </si>
  <si>
    <t>(An open-ended exchange traded scheme replicating/tracking Nifty LargeMidcap 250 Total Return Index)</t>
  </si>
  <si>
    <t>Colgate Palmolive (India) Ltd.</t>
  </si>
  <si>
    <t>INE259A01022</t>
  </si>
  <si>
    <t>Torrent Power Ltd.</t>
  </si>
  <si>
    <t>INE813H01021</t>
  </si>
  <si>
    <t>MRF Ltd.</t>
  </si>
  <si>
    <t>INE883A01011</t>
  </si>
  <si>
    <t>NHPC Ltd.</t>
  </si>
  <si>
    <t>INE848E01016</t>
  </si>
  <si>
    <t>Rail Vikas Nigam Ltd.</t>
  </si>
  <si>
    <t>INE415G01027</t>
  </si>
  <si>
    <t>Balkrishna Industries Ltd.</t>
  </si>
  <si>
    <t>INE787D01026</t>
  </si>
  <si>
    <t>Tata Elxsi Ltd.</t>
  </si>
  <si>
    <t>INE670A01012</t>
  </si>
  <si>
    <t>Apollo Tyres Ltd.</t>
  </si>
  <si>
    <t>INE438A01022</t>
  </si>
  <si>
    <t>AIA Engineering Ltd.</t>
  </si>
  <si>
    <t>INE212H01026</t>
  </si>
  <si>
    <t>Adani Total Gas Ltd.</t>
  </si>
  <si>
    <t>INE399L01023</t>
  </si>
  <si>
    <t>Adani Power Ltd.</t>
  </si>
  <si>
    <t>INE814H01029</t>
  </si>
  <si>
    <t>Lloyds Metals And Energy Ltd.</t>
  </si>
  <si>
    <t>INE281B01032</t>
  </si>
  <si>
    <t>Cochin Shipyard Ltd.</t>
  </si>
  <si>
    <t>INE704P01025</t>
  </si>
  <si>
    <t>Apar Industries Ltd.</t>
  </si>
  <si>
    <t>INE372A01015</t>
  </si>
  <si>
    <t>Bank of Maharashtra</t>
  </si>
  <si>
    <t>INE457A01014</t>
  </si>
  <si>
    <t>Berger Paints (I) Ltd.</t>
  </si>
  <si>
    <t>INE463A01038</t>
  </si>
  <si>
    <t>Gujarat Fluorochemicals Ltd.</t>
  </si>
  <si>
    <t>INE09N301011</t>
  </si>
  <si>
    <t>Linde India Ltd.</t>
  </si>
  <si>
    <t>INE473A01011</t>
  </si>
  <si>
    <t>Indraprastha Gas Ltd.</t>
  </si>
  <si>
    <t>INE203G01027</t>
  </si>
  <si>
    <t>CRISIL Ltd.</t>
  </si>
  <si>
    <t>INE007A01025</t>
  </si>
  <si>
    <t>Deepak Nitrite Ltd.</t>
  </si>
  <si>
    <t>INE288B01029</t>
  </si>
  <si>
    <t>Escorts Kubota Ltd.</t>
  </si>
  <si>
    <t>INE042A01014</t>
  </si>
  <si>
    <t>Procter &amp; Gamble Hygiene&amp;HealthCare Ltd.</t>
  </si>
  <si>
    <t>INE179A01014</t>
  </si>
  <si>
    <t>United Breweries Ltd.</t>
  </si>
  <si>
    <t>INE686F01025</t>
  </si>
  <si>
    <t>Indian Renewable Energy Dev Agency Ltd.</t>
  </si>
  <si>
    <t>INE202E01016</t>
  </si>
  <si>
    <t>Hexaware Technologies Ltd.</t>
  </si>
  <si>
    <t>INE093A01041</t>
  </si>
  <si>
    <t>L&amp;T Technology Services Ltd.</t>
  </si>
  <si>
    <t>INE010V01017</t>
  </si>
  <si>
    <t>ACC Ltd.</t>
  </si>
  <si>
    <t>INE012A01025</t>
  </si>
  <si>
    <t>AWL Agri Business Ltd.</t>
  </si>
  <si>
    <t>INE699H01024</t>
  </si>
  <si>
    <t>GlaxoSmithKline Pharmaceuticals Ltd.</t>
  </si>
  <si>
    <t>INE159A01016</t>
  </si>
  <si>
    <t>3M India Ltd.</t>
  </si>
  <si>
    <t>INE470A01017</t>
  </si>
  <si>
    <t>Diversified</t>
  </si>
  <si>
    <t>Global Health Ltd.</t>
  </si>
  <si>
    <t>INE474Q01031</t>
  </si>
  <si>
    <t>NLC India Ltd.</t>
  </si>
  <si>
    <t>INE589A01014</t>
  </si>
  <si>
    <t>JSW Infrastructure Ltd.</t>
  </si>
  <si>
    <t>INE880J01026</t>
  </si>
  <si>
    <t>Godfrey Phillips India Ltd.</t>
  </si>
  <si>
    <t>INE260B01028</t>
  </si>
  <si>
    <t>Cigarettes &amp; Tobacco Products</t>
  </si>
  <si>
    <t>IRB Infrastructure Developers Ltd.</t>
  </si>
  <si>
    <t>INE821I01022</t>
  </si>
  <si>
    <t>Tata Investment Corporation Ltd.</t>
  </si>
  <si>
    <t>INE672A01026</t>
  </si>
  <si>
    <t>Gujarat Gas Ltd.</t>
  </si>
  <si>
    <t>INE844O01030</t>
  </si>
  <si>
    <t>Honeywell Automation India Ltd.</t>
  </si>
  <si>
    <t>INE671A01010</t>
  </si>
  <si>
    <t>Indian Railway Finance Corporation Ltd.</t>
  </si>
  <si>
    <t>INE053F01010</t>
  </si>
  <si>
    <t>IDBI Bank Ltd.</t>
  </si>
  <si>
    <t>INE008A01015</t>
  </si>
  <si>
    <t>Indian Overseas Bank</t>
  </si>
  <si>
    <t>INE565A01014</t>
  </si>
  <si>
    <t>Fertilizers &amp; Chemicals Travancore Ltd.</t>
  </si>
  <si>
    <t>INE188A01015</t>
  </si>
  <si>
    <t>Godrej Industries Ltd.</t>
  </si>
  <si>
    <t>INE233A01035</t>
  </si>
  <si>
    <t>UCO Bank</t>
  </si>
  <si>
    <t>INE691A01018</t>
  </si>
  <si>
    <t>Bajaj Housing Finance Ltd.</t>
  </si>
  <si>
    <t>INE377Y01014</t>
  </si>
  <si>
    <t>Plan /option (Face Value 16)</t>
  </si>
  <si>
    <t>Edelweiss Nifty LargeMidcap 250 ETF</t>
  </si>
  <si>
    <t>PORTFOLIO STATEMENT OF EDELWEISS NIFTY LARGE MID CAP 250 INDEX FUND AS ON JANUARY 31, 2026</t>
  </si>
  <si>
    <t>(An Open-ended Equity Scheme replicating Nifty LargeMidcap 250 Index)</t>
  </si>
  <si>
    <t>Edelweiss NIFTY Large Mid Cap 250 Index Fund</t>
  </si>
  <si>
    <t>PORTFOLIO STATEMENT OF EDELWEISS NIFTY MIDCAP150 MOMENTUM 50 INDEX FUND AS ON JANUARY 31, 2026</t>
  </si>
  <si>
    <t>(An Open-ended Equity Scheme replicating Nifty Midcap150 Momentum 50 Index)</t>
  </si>
  <si>
    <t>Edelweiss NIFTY Midcap 150 Momentum 50 Index Fund</t>
  </si>
  <si>
    <t>PORTFOLIO STATEMENT OF EDELWEISS MULTI ASSET ALLOCATION FUND AS ON JANUARY 31, 2026</t>
  </si>
  <si>
    <t>(An open-ended scheme investing in Equity, Debt, Commodities and in units of REITs &amp; InvITs)</t>
  </si>
  <si>
    <t>(b) Exchange Traded Commodity Derivatives</t>
  </si>
  <si>
    <t>SILVER-05Mar2026-MCX</t>
  </si>
  <si>
    <t>SILVER-05May2026-MCX</t>
  </si>
  <si>
    <t>GOLDMINI-05Mar2026-MCX</t>
  </si>
  <si>
    <t>GOLD-02Apr2026-MCX</t>
  </si>
  <si>
    <t>GOLDMINI-05Feb2026-MCX</t>
  </si>
  <si>
    <t>GOLD-05Feb2026-MCX</t>
  </si>
  <si>
    <t>7.62% NABARD NCD SR 24H RED 10-05-2029**</t>
  </si>
  <si>
    <t>INE261F08EH1</t>
  </si>
  <si>
    <t>8.3333%HDB FIN SR 213 A1 NCD 06-08-27**</t>
  </si>
  <si>
    <t>INE756I07FA8</t>
  </si>
  <si>
    <t>7.53% NABARD NCD SR 25E RED 24-03-28**</t>
  </si>
  <si>
    <t>INE261F08EM1</t>
  </si>
  <si>
    <t>8.20% ADITYA BIRLA HSG SR L1 R19-05-2027**</t>
  </si>
  <si>
    <t>INE831R07441</t>
  </si>
  <si>
    <t>7.2959% ADITYA BIRLA CAP 15-09-28**</t>
  </si>
  <si>
    <t>INE674K07069</t>
  </si>
  <si>
    <t>6.80% AXIS FIN LTD NCD R 18-11-26**</t>
  </si>
  <si>
    <t>INE891K07721</t>
  </si>
  <si>
    <t>8.0359% KOTAK MAH INVEST NCD R 06-10-26**</t>
  </si>
  <si>
    <t>INE975F07IM9</t>
  </si>
  <si>
    <t>8.35% IRFC NCD RED 13-03-2029**</t>
  </si>
  <si>
    <t>INE053F07BC1</t>
  </si>
  <si>
    <t>8.00% BAJAJ FINANCE NCD RD 17-10-28**</t>
  </si>
  <si>
    <t>INE296A07SQ1</t>
  </si>
  <si>
    <t>6.90% LIC HOUSING FIN TR 456 R 17-09-27**</t>
  </si>
  <si>
    <t>INE115A07RH4</t>
  </si>
  <si>
    <t>7.3382% KOTAK MAHINDRA INV NCD 28-11-28**</t>
  </si>
  <si>
    <t>INE975F07IV0</t>
  </si>
  <si>
    <t>7.8445% TATA CAP HSG FIN SR A 18-09-2026**</t>
  </si>
  <si>
    <t>INE033L07IC6</t>
  </si>
  <si>
    <t>7.865% LIC HSG FIN LT TR443 NCD 20-08-26**</t>
  </si>
  <si>
    <t>INE115A07QT1</t>
  </si>
  <si>
    <t>8% ADITYA BIRLA CAP SR I RED 09-10-2026**</t>
  </si>
  <si>
    <t>INE860H07IQ0</t>
  </si>
  <si>
    <t>6.35% HDB FIN A1 FX 169 RED 11-09-26**</t>
  </si>
  <si>
    <t>INE756I07DX5</t>
  </si>
  <si>
    <t>Others</t>
  </si>
  <si>
    <t>a) Gold</t>
  </si>
  <si>
    <t>Gold</t>
  </si>
  <si>
    <t>IDIA00500001</t>
  </si>
  <si>
    <t>b) Silver</t>
  </si>
  <si>
    <t>Silver</t>
  </si>
  <si>
    <t>IDIA00500002</t>
  </si>
  <si>
    <t>Edelweiss Multi Asset Allocation Fund</t>
  </si>
  <si>
    <t>Multi Asset Allocation Fund</t>
  </si>
  <si>
    <t>PORTFOLIO STATEMENT OF EDELWEISS MULTI CAP FUND AS ON JANUARY 31, 2026</t>
  </si>
  <si>
    <t>(An open-ended equity scheme investing across large cap, mid cap, small cap stocks)</t>
  </si>
  <si>
    <t>Chalet Hotels Ltd.</t>
  </si>
  <si>
    <t>INE427F01016</t>
  </si>
  <si>
    <t>Rainbow Children's Medicare Ltd.</t>
  </si>
  <si>
    <t>INE961O01016</t>
  </si>
  <si>
    <t>Ujjivan Small Finance Bank Ltd.</t>
  </si>
  <si>
    <t>INE551W01018</t>
  </si>
  <si>
    <t>Tata Capital Ltd.</t>
  </si>
  <si>
    <t>INE976I01016</t>
  </si>
  <si>
    <t>R R Kabel Ltd.</t>
  </si>
  <si>
    <t>INE777K01022</t>
  </si>
  <si>
    <t>Edelweiss Multi Cap Fund</t>
  </si>
  <si>
    <t>Nifty 500 MultiCap 50:25:25 TRI</t>
  </si>
  <si>
    <t>PORTFOLIO STATEMENT OF EDELWEISS NIFTY500 MULTICAP MOMENTUM QUALITY 50 ETF AS ON JANUARY 31, 2026</t>
  </si>
  <si>
    <t>(An open-ended exchange traded scheme replicating/tracking Nifty500 Multicap Momentum Quality 50 Total Return Index)</t>
  </si>
  <si>
    <t>Hindustan Copper Ltd.</t>
  </si>
  <si>
    <t>INE531E01026</t>
  </si>
  <si>
    <t>Force Motors Ltd.</t>
  </si>
  <si>
    <t>INE451A01017</t>
  </si>
  <si>
    <t>Narayana Hrudayalaya ltd.</t>
  </si>
  <si>
    <t>INE410P01011</t>
  </si>
  <si>
    <t>Eclerx Services Ltd.</t>
  </si>
  <si>
    <t>INE738I01010</t>
  </si>
  <si>
    <t>HBL Engineering Ltd.</t>
  </si>
  <si>
    <t>INE292B01021</t>
  </si>
  <si>
    <t>Garden Reach Shipbuilders &amp; Engineers</t>
  </si>
  <si>
    <t>INE382Z01011</t>
  </si>
  <si>
    <t>Castrol India Ltd.</t>
  </si>
  <si>
    <t>INE172A01027</t>
  </si>
  <si>
    <t>Usha Martin Ltd.</t>
  </si>
  <si>
    <t>INE228A01035</t>
  </si>
  <si>
    <t>Affle 3i Ltd.</t>
  </si>
  <si>
    <t>INE00WC01027</t>
  </si>
  <si>
    <t>Intellect Design Arena Ltd.</t>
  </si>
  <si>
    <t>INE306R01017</t>
  </si>
  <si>
    <t>Gillette India Ltd.</t>
  </si>
  <si>
    <t>INE322A01010</t>
  </si>
  <si>
    <t>Astrazeneca Pharma India Ltd.</t>
  </si>
  <si>
    <t>INE203A01020</t>
  </si>
  <si>
    <t>Godawari Power And Ispat Ltd.</t>
  </si>
  <si>
    <t>INE177H01039</t>
  </si>
  <si>
    <t>Gujarat Mineral Development Corporation Ltd.</t>
  </si>
  <si>
    <t>INE131A01031</t>
  </si>
  <si>
    <t>Mahanagar Gas Ltd.</t>
  </si>
  <si>
    <t>INE002S01010</t>
  </si>
  <si>
    <t>Plan /option (Face Value 45)</t>
  </si>
  <si>
    <t>Edelweiss Nifty500 Multicap Momentum Quality 50 ETF</t>
  </si>
  <si>
    <t>PORTFOLIO STATEMENT OF EDELWEISS NIFTY500 MULTICAP MOMENTUM QUALITY 50 INDEX FUND AS ON JANUARY 31, 2026</t>
  </si>
  <si>
    <t>(An open-ended index scheme replicating Nifty500 Multicap Momentum Quality 50 Index)</t>
  </si>
  <si>
    <t>Edelweiss Nifty500 Multicap Momentum Quality 50 Index Fund</t>
  </si>
  <si>
    <t>PORTFOLIO STATEMENT OF EDELWEISS RECENTLY LISTED IPO FUND AS ON JANUARY 31, 2026</t>
  </si>
  <si>
    <t>(An open ended equity scheme following investment theme of investing in recently listed 100 companies or upcoming Initial Public Offer (IPOs).)</t>
  </si>
  <si>
    <t>Canara Robeco Asset Mgmt Co Ltd.</t>
  </si>
  <si>
    <t>INE218I01013</t>
  </si>
  <si>
    <t>Dr Agarwal's Health Care Ltd.</t>
  </si>
  <si>
    <t>INE943P01029</t>
  </si>
  <si>
    <t>Sai Life Sciences Ltd</t>
  </si>
  <si>
    <t>INE570L01029</t>
  </si>
  <si>
    <t>Belrise Industries Ltd.</t>
  </si>
  <si>
    <t>INE894V01022</t>
  </si>
  <si>
    <t>Emmvee Photovoltaic Power Ltd.</t>
  </si>
  <si>
    <t>INE1C6T01020</t>
  </si>
  <si>
    <t>Tenneco Clean Air India Ltd.</t>
  </si>
  <si>
    <t>INE19RI01016</t>
  </si>
  <si>
    <t>Anthem Biosciences Ltd.</t>
  </si>
  <si>
    <t>INE0CZ201020</t>
  </si>
  <si>
    <t>Atlanta Electricals Ltd.</t>
  </si>
  <si>
    <t>INE0Z4F01028</t>
  </si>
  <si>
    <t>Billionbrains Garage Ventures Ltd.</t>
  </si>
  <si>
    <t>INE0HOQ01053</t>
  </si>
  <si>
    <t>Inventurus Knowledge Solutions Ltd.</t>
  </si>
  <si>
    <t>INE115Q01022</t>
  </si>
  <si>
    <t>Corona Remedies Ltd.</t>
  </si>
  <si>
    <t>INE02ZQ01018</t>
  </si>
  <si>
    <t>Studds Accessories Ltd.</t>
  </si>
  <si>
    <t>INE00Q601028</t>
  </si>
  <si>
    <t>Rubicon Research Ltd.</t>
  </si>
  <si>
    <t>INE506V01022</t>
  </si>
  <si>
    <t>Midwest Ltd.</t>
  </si>
  <si>
    <t>INE0XAD01024</t>
  </si>
  <si>
    <t>Capillary Technologies India Ltd.</t>
  </si>
  <si>
    <t>INE0ILV01024</t>
  </si>
  <si>
    <t>Meesho Ltd.</t>
  </si>
  <si>
    <t>INE0VDM01015</t>
  </si>
  <si>
    <t>Unimech Aerospace And Manufacturing Ltd.</t>
  </si>
  <si>
    <t>INE0U3I01011</t>
  </si>
  <si>
    <t>Oswal Pumps Ltd.</t>
  </si>
  <si>
    <t>INE0BYP01024</t>
  </si>
  <si>
    <t>Wework India Management Ltd.</t>
  </si>
  <si>
    <t>INE085001019</t>
  </si>
  <si>
    <t>Smartworks Coworking Spaces Ltd.</t>
  </si>
  <si>
    <t>INE0NAZ01010</t>
  </si>
  <si>
    <t>Trualt Bioenergy Ltd.</t>
  </si>
  <si>
    <t>INE0MWH01014</t>
  </si>
  <si>
    <t>All Time Plastics Ltd.</t>
  </si>
  <si>
    <t>INE0GV601021</t>
  </si>
  <si>
    <t>Ajax Engineering Ltd.</t>
  </si>
  <si>
    <t>INE274Y01021</t>
  </si>
  <si>
    <t>GNG Electronics Ltd.</t>
  </si>
  <si>
    <t>INE18JU01028</t>
  </si>
  <si>
    <t>IT - Hardware</t>
  </si>
  <si>
    <t>DAM Capital Advisors Ltd.</t>
  </si>
  <si>
    <t>INE284H01025</t>
  </si>
  <si>
    <t>Brigade Hotel Ventures Ltd.</t>
  </si>
  <si>
    <t>INE03NU01014</t>
  </si>
  <si>
    <t>Leela Palaces Hotels &amp; Resorts Ltd.</t>
  </si>
  <si>
    <t>INE0AQ201015</t>
  </si>
  <si>
    <t>Jain Resource Recycling Ltd.</t>
  </si>
  <si>
    <t>INE0YD401026</t>
  </si>
  <si>
    <t>Bharat Coking Coal Ltd.</t>
  </si>
  <si>
    <t>INE05XR01022</t>
  </si>
  <si>
    <t>Edelweiss Recently Listed IPO Fund</t>
  </si>
  <si>
    <t>PORTFOLIO STATEMENT OF EDELWEISS MULTI ASSET OMNI FUND OF FUND AS ON JANUARY 31, 2026</t>
  </si>
  <si>
    <t>(An open-ended fund of funds scheme investing in equity-oriented schemes, debt-oriented schemes and Gold &amp; Silver ETFs)</t>
  </si>
  <si>
    <t>EDELWEISS NIFTY LARGEMIDCAP 250 ETF</t>
  </si>
  <si>
    <t>INF754K01VV4</t>
  </si>
  <si>
    <t>EDELWEISS GOLD ETF</t>
  </si>
  <si>
    <t>INF754K01SE6</t>
  </si>
  <si>
    <t>EDELWEISS SILVER ETF</t>
  </si>
  <si>
    <t>INF754K01SF3</t>
  </si>
  <si>
    <t>EDELWEISS NIFTY BANK ETF</t>
  </si>
  <si>
    <t>INF754K01TE4</t>
  </si>
  <si>
    <t>EDELWEISS FOCUSED FUND-DIRECT PL-GROWTH</t>
  </si>
  <si>
    <t>INF754K01OP1</t>
  </si>
  <si>
    <t>EDELWEISS LARGE CAP FUND-DR PLAN-GROWTH</t>
  </si>
  <si>
    <t>INF754K01BW4</t>
  </si>
  <si>
    <t>EDELWEISS RECENT LISTED IPO FD DR PL GR</t>
  </si>
  <si>
    <t>INF754K01ML4</t>
  </si>
  <si>
    <t>EDELWEISS CONSUMPTION FUND-DR-GROWTH</t>
  </si>
  <si>
    <t>INF754K01TY2</t>
  </si>
  <si>
    <t>EDELWEISS TECHNOLOGY FUND-DR PL-GROWTH</t>
  </si>
  <si>
    <t>INF754K01SK3</t>
  </si>
  <si>
    <t>EDELWEISS LARGE &amp; MID CAP FUND-DR PL-GR</t>
  </si>
  <si>
    <t>INF843K01AL0</t>
  </si>
  <si>
    <t>Edelweiss Multi Asset Omni Fund of Fund</t>
  </si>
  <si>
    <t>PORTFOLIO STATEMENT OF EDELWEISS NIFTY 50 ETF AS ON JANUARY 31, 2026</t>
  </si>
  <si>
    <t>(An open-ended exchange traded scheme replicating/tracking Nifty 50 Total Return Index)</t>
  </si>
  <si>
    <t>Plan /option (Face Value 26)</t>
  </si>
  <si>
    <t>Edelweiss Nifty 50 ETF</t>
  </si>
  <si>
    <t>PORTFOLIO STATEMENT OF EDELWEISS NIFTY BANK ETF AS ON JANUARY 31, 2026</t>
  </si>
  <si>
    <t>(An open-ended exchange traded scheme replicating/tracking Nifty Bank Total return index)</t>
  </si>
  <si>
    <t>Plan /option (Face Value 51)</t>
  </si>
  <si>
    <t>Edelweiss Nifty Bank ETF</t>
  </si>
  <si>
    <t>PORTFOLIO STATEMENT OF EDELWEISS NIFTY NEXT 50 INDEX FUND AS ON JANUARY 31, 2026</t>
  </si>
  <si>
    <t>(An Open-ended Equity Scheme replicating Nifty Next 50 Index)</t>
  </si>
  <si>
    <t>Edelweiss NIFTY Next 50 Index Fund</t>
  </si>
  <si>
    <t>Nifty Next 50 Index</t>
  </si>
  <si>
    <t>PORTFOLIO STATEMENT OF EDELWEISS AGGRESSIVE HYBRID FUND AS ON JANUARY 31, 2026</t>
  </si>
  <si>
    <t>(An open ended hybrid scheme investing predominantly in equity and equity related instruments)</t>
  </si>
  <si>
    <t>Akzo Nobel India Ltd.</t>
  </si>
  <si>
    <t>INE133A01011</t>
  </si>
  <si>
    <t>Medi Assist Healthcare Services Ltd.</t>
  </si>
  <si>
    <t>INE456Z01021</t>
  </si>
  <si>
    <t>V2 Retail Ltd.</t>
  </si>
  <si>
    <t>INE945H01013</t>
  </si>
  <si>
    <t>ZF Commercial Vehicle Ctrl Sys Ind Ltd.</t>
  </si>
  <si>
    <t>INE342J01019</t>
  </si>
  <si>
    <t>EDELWEISS-NIFTY 50-INDEX FUND</t>
  </si>
  <si>
    <t>INF754K01NB3</t>
  </si>
  <si>
    <t>Direct Plan IDCW</t>
  </si>
  <si>
    <t>Regular Plan IDCW</t>
  </si>
  <si>
    <t>Edelweiss Aggressive Hybrid Fund</t>
  </si>
  <si>
    <t>PORTFOLIO STATEMENT OF EDELWEISS NIFTY SMALLCAP 250 INDEX FUND AS ON JANUARY 31, 2026</t>
  </si>
  <si>
    <t>(An Open-ended Equity Scheme replicating Nifty Smallcap 250 Index)</t>
  </si>
  <si>
    <t>REDINGTON LIMITED</t>
  </si>
  <si>
    <t>INE891D01026</t>
  </si>
  <si>
    <t>Gland Pharma Ltd.</t>
  </si>
  <si>
    <t>INE068V01023</t>
  </si>
  <si>
    <t>Authum Investment &amp; Infrastructure Ltd.</t>
  </si>
  <si>
    <t>INE206F01022</t>
  </si>
  <si>
    <t>Kalpataru Projects International Ltd.</t>
  </si>
  <si>
    <t>INE220B01022</t>
  </si>
  <si>
    <t>IIFL Finance Ltd.</t>
  </si>
  <si>
    <t>INE530B01024</t>
  </si>
  <si>
    <t>Asahi India Glass Ltd.</t>
  </si>
  <si>
    <t>INE439A01020</t>
  </si>
  <si>
    <t>The Great Eastern Shipping Company Ltd.</t>
  </si>
  <si>
    <t>INE017A01032</t>
  </si>
  <si>
    <t>Tata Chemicals Ltd.</t>
  </si>
  <si>
    <t>INE092A01019</t>
  </si>
  <si>
    <t>Poonawalla Fincorp Ltd.</t>
  </si>
  <si>
    <t>INE511C01022</t>
  </si>
  <si>
    <t>Wockhardt Ltd.</t>
  </si>
  <si>
    <t>INE049B01025</t>
  </si>
  <si>
    <t>PTC Industries Ltd.</t>
  </si>
  <si>
    <t>INE596F01018</t>
  </si>
  <si>
    <t>Himadri Speciality Chemical Ltd.</t>
  </si>
  <si>
    <t>INE019C01026</t>
  </si>
  <si>
    <t>Timken India Ltd.</t>
  </si>
  <si>
    <t>INE325A01013</t>
  </si>
  <si>
    <t>Sundram Fasteners Ltd.</t>
  </si>
  <si>
    <t>INE387A01021</t>
  </si>
  <si>
    <t>Amara Raja Energy &amp; Mobility Ltd.</t>
  </si>
  <si>
    <t>INE885A01032</t>
  </si>
  <si>
    <t>Atul Ltd.</t>
  </si>
  <si>
    <t>INE100A01010</t>
  </si>
  <si>
    <t>Kirloskar Oil Engines Ltd.</t>
  </si>
  <si>
    <t>INE146L01010</t>
  </si>
  <si>
    <t>Cyient Ltd.</t>
  </si>
  <si>
    <t>INE136B01020</t>
  </si>
  <si>
    <t>Piramal Pharma Ltd.</t>
  </si>
  <si>
    <t>INE0DK501011</t>
  </si>
  <si>
    <t>Welspun Corp Ltd.</t>
  </si>
  <si>
    <t>INE191B01025</t>
  </si>
  <si>
    <t>EID Parry India Ltd.</t>
  </si>
  <si>
    <t>INE126A01031</t>
  </si>
  <si>
    <t>CESC Ltd.</t>
  </si>
  <si>
    <t>INE486A01021</t>
  </si>
  <si>
    <t>Elgi Equipments Ltd.</t>
  </si>
  <si>
    <t>INE285A01027</t>
  </si>
  <si>
    <t>Aegis Logistics Ltd.</t>
  </si>
  <si>
    <t>INE208C01025</t>
  </si>
  <si>
    <t>Carborundum Universal Ltd.</t>
  </si>
  <si>
    <t>INE120A01034</t>
  </si>
  <si>
    <t>Five Star Business Finance Ltd.</t>
  </si>
  <si>
    <t>INE128S01021</t>
  </si>
  <si>
    <t>PG Electroplast Ltd.</t>
  </si>
  <si>
    <t>INE457L01029</t>
  </si>
  <si>
    <t>Gujarat State Petronet Ltd.</t>
  </si>
  <si>
    <t>INE246F01010</t>
  </si>
  <si>
    <t>KEC International Ltd.</t>
  </si>
  <si>
    <t>INE389H01022</t>
  </si>
  <si>
    <t>Reliance Power Ltd.</t>
  </si>
  <si>
    <t>INE614G01033</t>
  </si>
  <si>
    <t>Data Patterns (India) Ltd.</t>
  </si>
  <si>
    <t>INE0IX101010</t>
  </si>
  <si>
    <t>Jubilant Pharmova Ltd.</t>
  </si>
  <si>
    <t>INE700A01033</t>
  </si>
  <si>
    <t>Nava Ltd.</t>
  </si>
  <si>
    <t>INE725A01030</t>
  </si>
  <si>
    <t>Zee Entertainment Enterprises Ltd.</t>
  </si>
  <si>
    <t>INE256A01028</t>
  </si>
  <si>
    <t>Entertainment</t>
  </si>
  <si>
    <t>Sagility Ltd.</t>
  </si>
  <si>
    <t>INE0W2G01015</t>
  </si>
  <si>
    <t>Natco Pharma Ltd.</t>
  </si>
  <si>
    <t>INE987B01026</t>
  </si>
  <si>
    <t>Kajaria Ceramics Ltd.</t>
  </si>
  <si>
    <t>INE217B01036</t>
  </si>
  <si>
    <t>Eris Lifesciences Ltd.</t>
  </si>
  <si>
    <t>INE406M01024</t>
  </si>
  <si>
    <t>Jaiprakash Power Ventures Ltd.</t>
  </si>
  <si>
    <t>INE351F01018</t>
  </si>
  <si>
    <t>HFCL Ltd.</t>
  </si>
  <si>
    <t>INE548A01028</t>
  </si>
  <si>
    <t>Maharashtra Scooters Ltd.</t>
  </si>
  <si>
    <t>INE288A01013</t>
  </si>
  <si>
    <t>Deepak Fertilizers &amp; Petrochem Corp Ltd.</t>
  </si>
  <si>
    <t>INE501A01019</t>
  </si>
  <si>
    <t>PVR Inox Ltd.</t>
  </si>
  <si>
    <t>INE191H01014</t>
  </si>
  <si>
    <t>Pfizer Ltd.</t>
  </si>
  <si>
    <t>INE182A01018</t>
  </si>
  <si>
    <t>BEML Ltd.</t>
  </si>
  <si>
    <t>INE258A01024</t>
  </si>
  <si>
    <t>Capri Global Capital Ltd.</t>
  </si>
  <si>
    <t>INE180C01042</t>
  </si>
  <si>
    <t>Chambal Fertilizers &amp; Chemicals Ltd.</t>
  </si>
  <si>
    <t>INE085A01013</t>
  </si>
  <si>
    <t>V-Guard Industries Ltd.</t>
  </si>
  <si>
    <t>INE951I01027</t>
  </si>
  <si>
    <t>Onesource Specialty Pharma Ltd.</t>
  </si>
  <si>
    <t>INE013P01021</t>
  </si>
  <si>
    <t>Zen Technologies Ltd.</t>
  </si>
  <si>
    <t>INE251B01027</t>
  </si>
  <si>
    <t>Sobha Ltd.</t>
  </si>
  <si>
    <t>INE671H01015</t>
  </si>
  <si>
    <t>Lemon Tree Hotels Ltd.</t>
  </si>
  <si>
    <t>INE970X01018</t>
  </si>
  <si>
    <t>JK Tyre &amp; Industries Ltd.</t>
  </si>
  <si>
    <t>INE573A01042</t>
  </si>
  <si>
    <t>EIH Ltd.</t>
  </si>
  <si>
    <t>INE230A01023</t>
  </si>
  <si>
    <t>Sonata Software Ltd.</t>
  </si>
  <si>
    <t>INE269A01021</t>
  </si>
  <si>
    <t>Brainbees Solutions Ltd.</t>
  </si>
  <si>
    <t>INE02RE01045</t>
  </si>
  <si>
    <t>Shyam Metalics And Energy Ltd.</t>
  </si>
  <si>
    <t>INE810G01011</t>
  </si>
  <si>
    <t>NCC Ltd.</t>
  </si>
  <si>
    <t>INE868B01028</t>
  </si>
  <si>
    <t>Swan Corp Ltd.</t>
  </si>
  <si>
    <t>INE665A01038</t>
  </si>
  <si>
    <t>Syrma Sgs Technology Ltd.</t>
  </si>
  <si>
    <t>INE0DYJ01015</t>
  </si>
  <si>
    <t>Poly Medicure Ltd.</t>
  </si>
  <si>
    <t>INE205C01021</t>
  </si>
  <si>
    <t>Healthcare Equipment &amp; Supplies</t>
  </si>
  <si>
    <t>Bayer Cropscience Ltd.</t>
  </si>
  <si>
    <t>INE462A01022</t>
  </si>
  <si>
    <t>Ola Electric Mobility Ltd.</t>
  </si>
  <si>
    <t>INE0LXG01040</t>
  </si>
  <si>
    <t>Choice International Ltd.</t>
  </si>
  <si>
    <t>INE102B01014</t>
  </si>
  <si>
    <t>Sun TV Network Ltd.</t>
  </si>
  <si>
    <t>INE424H01027</t>
  </si>
  <si>
    <t>Bata India Ltd.</t>
  </si>
  <si>
    <t>INE176A01028</t>
  </si>
  <si>
    <t>Finolex Cables Ltd.</t>
  </si>
  <si>
    <t>INE235A01022</t>
  </si>
  <si>
    <t>Ircon International Ltd.</t>
  </si>
  <si>
    <t>INE962Y01021</t>
  </si>
  <si>
    <t>Ramkrishna Forgings Ltd.</t>
  </si>
  <si>
    <t>INE399G01023</t>
  </si>
  <si>
    <t>LT Foods Ltd.</t>
  </si>
  <si>
    <t>INE818H01020</t>
  </si>
  <si>
    <t>Aditya Birla Lifestyle Brands Ltd.</t>
  </si>
  <si>
    <t>INE14LE01019</t>
  </si>
  <si>
    <t>Gravita India Ltd.</t>
  </si>
  <si>
    <t>INE024L01027</t>
  </si>
  <si>
    <t>JM Financial Ltd.</t>
  </si>
  <si>
    <t>INE780C01023</t>
  </si>
  <si>
    <t>Finolex Industries Ltd.</t>
  </si>
  <si>
    <t>INE183A01024</t>
  </si>
  <si>
    <t>Afcons Infrastructure Ltd.</t>
  </si>
  <si>
    <t>INE101I01011</t>
  </si>
  <si>
    <t>Indegene Ltd.</t>
  </si>
  <si>
    <t>INE065X01017</t>
  </si>
  <si>
    <t>NMDC Steel Ltd.</t>
  </si>
  <si>
    <t>INE0NNS01018</t>
  </si>
  <si>
    <t>Techno Electric &amp; Engineering Co. Ltd.</t>
  </si>
  <si>
    <t>INE285K01026</t>
  </si>
  <si>
    <t>Metropolis Healthcare Ltd.</t>
  </si>
  <si>
    <t>INE112L01020</t>
  </si>
  <si>
    <t>Balrampur Chini Mills Ltd.</t>
  </si>
  <si>
    <t>INE119A01028</t>
  </si>
  <si>
    <t>Engineers India Ltd.</t>
  </si>
  <si>
    <t>INE510A01028</t>
  </si>
  <si>
    <t>DCM Shriram Ltd.</t>
  </si>
  <si>
    <t>INE499A01024</t>
  </si>
  <si>
    <t>PCBL Chemical Ltd.</t>
  </si>
  <si>
    <t>INE602A01031</t>
  </si>
  <si>
    <t>The Jammu &amp; Kashmir Bank Ltd.</t>
  </si>
  <si>
    <t>INE168A01041</t>
  </si>
  <si>
    <t>HEG Ltd.</t>
  </si>
  <si>
    <t>INE545A01024</t>
  </si>
  <si>
    <t>Sarda Energy &amp; Minerals Ltd.</t>
  </si>
  <si>
    <t>INE385C01021</t>
  </si>
  <si>
    <t>Sapphire Foods India Ltd.</t>
  </si>
  <si>
    <t>INE806T01020</t>
  </si>
  <si>
    <t>Olectra Greentech Ltd.</t>
  </si>
  <si>
    <t>INE260D01016</t>
  </si>
  <si>
    <t>Vardhman Textiles Ltd.</t>
  </si>
  <si>
    <t>INE825A01020</t>
  </si>
  <si>
    <t>Jupiter Wagons Ltd.</t>
  </si>
  <si>
    <t>INE209L01016</t>
  </si>
  <si>
    <t>Emcure Pharmaceuticals Ltd.</t>
  </si>
  <si>
    <t>INE168P01015</t>
  </si>
  <si>
    <t>Doms Industries Ltd.</t>
  </si>
  <si>
    <t>INE321T01012</t>
  </si>
  <si>
    <t>Household Products</t>
  </si>
  <si>
    <t>Chennai Petroleum Corporation Ltd.</t>
  </si>
  <si>
    <t>INE178A01016</t>
  </si>
  <si>
    <t>BASF India Ltd.</t>
  </si>
  <si>
    <t>INE373A01013</t>
  </si>
  <si>
    <t>Graphite India Ltd.</t>
  </si>
  <si>
    <t>INE371A01025</t>
  </si>
  <si>
    <t>Jindal Saw Ltd.</t>
  </si>
  <si>
    <t>INE324A01032</t>
  </si>
  <si>
    <t>Schneider Electric Infrastructure Ltd.</t>
  </si>
  <si>
    <t>INE839M01018</t>
  </si>
  <si>
    <t>Kirloskar Brothers Ltd.</t>
  </si>
  <si>
    <t>INE732A01036</t>
  </si>
  <si>
    <t>Welspun Living Ltd.</t>
  </si>
  <si>
    <t>INE192B01031</t>
  </si>
  <si>
    <t>Shipping Corporation Of India Ltd.</t>
  </si>
  <si>
    <t>INE109A01011</t>
  </si>
  <si>
    <t>Honasa Consumer Ltd.</t>
  </si>
  <si>
    <t>INE0J5401028</t>
  </si>
  <si>
    <t>Reliance Infrastructure Ltd.</t>
  </si>
  <si>
    <t>INE036A01016</t>
  </si>
  <si>
    <t>Newgen Software Technologies Ltd.</t>
  </si>
  <si>
    <t>INE619B01017</t>
  </si>
  <si>
    <t>IFCI Ltd.</t>
  </si>
  <si>
    <t>INE039A01010</t>
  </si>
  <si>
    <t>Central Bank of India</t>
  </si>
  <si>
    <t>INE483A01010</t>
  </si>
  <si>
    <t>Aditya Birla Fashion and Retail Ltd.</t>
  </si>
  <si>
    <t>INE647O01011</t>
  </si>
  <si>
    <t>Elecon Engineering Company Ltd.</t>
  </si>
  <si>
    <t>INE205B01031</t>
  </si>
  <si>
    <t>Praj Industries Ltd.</t>
  </si>
  <si>
    <t>INE074A01025</t>
  </si>
  <si>
    <t>Caplin Point Laboratories Ltd.</t>
  </si>
  <si>
    <t>INE475E01026</t>
  </si>
  <si>
    <t>Signatureglobal (India) Ltd.</t>
  </si>
  <si>
    <t>INE903U01023</t>
  </si>
  <si>
    <t>Nuvoco Vistas Corporation Ltd.</t>
  </si>
  <si>
    <t>INE118D01016</t>
  </si>
  <si>
    <t>Happiest Minds Technologies Ltd.</t>
  </si>
  <si>
    <t>INE419U01012</t>
  </si>
  <si>
    <t>Jyothy Labs Ltd.</t>
  </si>
  <si>
    <t>INE668F01031</t>
  </si>
  <si>
    <t>Trident Ltd.</t>
  </si>
  <si>
    <t>INE064C01022</t>
  </si>
  <si>
    <t>Blue Dart Express Ltd.</t>
  </si>
  <si>
    <t>INE233B01017</t>
  </si>
  <si>
    <t>Triveni Engineering &amp; Industries Ltd.</t>
  </si>
  <si>
    <t>INE256C01024</t>
  </si>
  <si>
    <t>Aegis Vopak Terminals Ltd.</t>
  </si>
  <si>
    <t>INE0INX01018</t>
  </si>
  <si>
    <t>International Gemmological Inst Ind Ltd.</t>
  </si>
  <si>
    <t>INE0Q9301021</t>
  </si>
  <si>
    <t>Mangalore Refinery &amp; Petrochemicals Ltd.</t>
  </si>
  <si>
    <t>INE103A01014</t>
  </si>
  <si>
    <t>RailTel Corporation of India Ltd.</t>
  </si>
  <si>
    <t>INE0DD101019</t>
  </si>
  <si>
    <t>The India Cements Ltd.</t>
  </si>
  <si>
    <t>INE383A01012</t>
  </si>
  <si>
    <t>RITES LTD.</t>
  </si>
  <si>
    <t>INE320J01015</t>
  </si>
  <si>
    <t>The Bombay Burmah Trading Corp Ltd.</t>
  </si>
  <si>
    <t>INE050A01025</t>
  </si>
  <si>
    <t>Latent View Analytics Ltd.</t>
  </si>
  <si>
    <t>INE0I7C01011</t>
  </si>
  <si>
    <t>ITI Ltd.</t>
  </si>
  <si>
    <t>INE248A01017</t>
  </si>
  <si>
    <t>Valor Estate Ltd.</t>
  </si>
  <si>
    <t>INE879I01012</t>
  </si>
  <si>
    <t>Godrej Agrovet Ltd.</t>
  </si>
  <si>
    <t>INE850D01014</t>
  </si>
  <si>
    <t>Transformers And Rectifiers (India) Ltd.</t>
  </si>
  <si>
    <t>INE763I01026</t>
  </si>
  <si>
    <t>Saregama India Ltd.</t>
  </si>
  <si>
    <t>INE979A01025</t>
  </si>
  <si>
    <t>INOX INDIA LIMITED</t>
  </si>
  <si>
    <t>INE616N01034</t>
  </si>
  <si>
    <t>Tata Teleservices (Maharashtra) Ltd.</t>
  </si>
  <si>
    <t>INE517B01013</t>
  </si>
  <si>
    <t>C.E. Info Systems Ltd.</t>
  </si>
  <si>
    <t>INE0BV301023</t>
  </si>
  <si>
    <t>Acme Solar Holdings Ltd.</t>
  </si>
  <si>
    <t>INE622W01025</t>
  </si>
  <si>
    <t>Jbm Auto Ltd.</t>
  </si>
  <si>
    <t>INE927D01051</t>
  </si>
  <si>
    <t>Alkyl Amines Chemicals Ltd.</t>
  </si>
  <si>
    <t>INE150B01039</t>
  </si>
  <si>
    <t>Campus Activewear Ltd.</t>
  </si>
  <si>
    <t>INE278Y01022</t>
  </si>
  <si>
    <t>Maharashtra Seamless Ltd.</t>
  </si>
  <si>
    <t>INE271B01025</t>
  </si>
  <si>
    <t>Ventive Hospitality Ltd.</t>
  </si>
  <si>
    <t>INE781S01027</t>
  </si>
  <si>
    <t>Rashtriya Chemicals and Fertilizers Ltd.</t>
  </si>
  <si>
    <t>INE027A01015</t>
  </si>
  <si>
    <t>Alok Industries Ltd.</t>
  </si>
  <si>
    <t>INE270A01029</t>
  </si>
  <si>
    <t>Blue Jet Healthcare Ltd.</t>
  </si>
  <si>
    <t>INE0KBH01020</t>
  </si>
  <si>
    <t>Akums Drugs And Pharmaceuticals Ltd.</t>
  </si>
  <si>
    <t>INE09XN01023</t>
  </si>
  <si>
    <t>MMTC Ltd.</t>
  </si>
  <si>
    <t>INE123F01029</t>
  </si>
  <si>
    <t>Edelweiss NIFTY Smallcap 250 Index Fund</t>
  </si>
  <si>
    <t>PORTFOLIO STATEMENT OF EDELWEISS BSE SENSEX ETF AS ON JANUARY 31, 2026</t>
  </si>
  <si>
    <t>(An open-ended exchange traded scheme replicating/tracking BSE Sensex Total Return Index)</t>
  </si>
  <si>
    <t>Plan /option (Face Value 85)</t>
  </si>
  <si>
    <t>Edelweiss BSE Sensex ETF</t>
  </si>
  <si>
    <t>PORTFOLIO STATEMENT OF EDELWEISS MID CAP FUND AS ON JANUARY 31, 2026</t>
  </si>
  <si>
    <t>(An open ended equity scheme predominantly investing in mid cap stocks)</t>
  </si>
  <si>
    <t>Edelweiss Mid Cap Fund</t>
  </si>
  <si>
    <t>PORTFOLIO STATEMENT OF EDELWEISS TECHNOLOGY FUND AS ON JANUARY 31, 2026</t>
  </si>
  <si>
    <t>(An open-ended equity scheme investing in technology &amp; technology-related companies)</t>
  </si>
  <si>
    <t>(c) Listed / Awaiting listing on International Stock Exchanges</t>
  </si>
  <si>
    <t>NVIDIA CORP</t>
  </si>
  <si>
    <t>US67066G1040</t>
  </si>
  <si>
    <t>IT-Hardware</t>
  </si>
  <si>
    <t>APPLE INC</t>
  </si>
  <si>
    <t>US0378331005</t>
  </si>
  <si>
    <t>Software Products</t>
  </si>
  <si>
    <t>MICROSOFT CORP</t>
  </si>
  <si>
    <t>US5949181045</t>
  </si>
  <si>
    <t>Computers Hardware &amp; Equipments</t>
  </si>
  <si>
    <t>BROADCOM INC</t>
  </si>
  <si>
    <t>US11135F1012</t>
  </si>
  <si>
    <t>MICRON TECHNOLOGY INC</t>
  </si>
  <si>
    <t>US5951121038</t>
  </si>
  <si>
    <t>ADVANCED MICRO DEVICES INC</t>
  </si>
  <si>
    <t>US0079031078</t>
  </si>
  <si>
    <t>PALANTIR TECHNOLOGIES INC</t>
  </si>
  <si>
    <t>US69608A1088</t>
  </si>
  <si>
    <t>LAM RESEARCH CORPORATION</t>
  </si>
  <si>
    <t>US5128073062</t>
  </si>
  <si>
    <t>CISCO SYSTEMS INC</t>
  </si>
  <si>
    <t>US17275R1023</t>
  </si>
  <si>
    <t>IBM</t>
  </si>
  <si>
    <t>US4592001014</t>
  </si>
  <si>
    <t>Computers - Software &amp; Consulting</t>
  </si>
  <si>
    <t>ORACLE CORPORATION</t>
  </si>
  <si>
    <t>US68389X1054</t>
  </si>
  <si>
    <t>APPLIED MATERIALS INC</t>
  </si>
  <si>
    <t>US0382221051</t>
  </si>
  <si>
    <t>INTEL CORP</t>
  </si>
  <si>
    <t>US4581401001</t>
  </si>
  <si>
    <t>TEXAS INSTRUMENTS INC</t>
  </si>
  <si>
    <t>US8825081040</t>
  </si>
  <si>
    <t>SALESFORCE INC</t>
  </si>
  <si>
    <t>US79466L3024</t>
  </si>
  <si>
    <t>KLA CORP</t>
  </si>
  <si>
    <t>US4824801009</t>
  </si>
  <si>
    <t>AMPHENOL CORP</t>
  </si>
  <si>
    <t>US0320951017</t>
  </si>
  <si>
    <t>QUALCOMM INC</t>
  </si>
  <si>
    <t>US7475251036</t>
  </si>
  <si>
    <t>ACCENTURE PLC</t>
  </si>
  <si>
    <t>IE00B4BNMY34</t>
  </si>
  <si>
    <t>ANALOG DEVICES INC</t>
  </si>
  <si>
    <t>US0326541051</t>
  </si>
  <si>
    <t>ARISTA NETWORKS INC.</t>
  </si>
  <si>
    <t>US0404132054</t>
  </si>
  <si>
    <t>INTUIT INC</t>
  </si>
  <si>
    <t>US4612021034</t>
  </si>
  <si>
    <t>ADOBE INC</t>
  </si>
  <si>
    <t>US00724F1012</t>
  </si>
  <si>
    <t>SERVICENOW INC.</t>
  </si>
  <si>
    <t>US81762P1021</t>
  </si>
  <si>
    <t>PALO ALTO NETWORKS INC</t>
  </si>
  <si>
    <t>US6974351057</t>
  </si>
  <si>
    <t>CROWDSTRIKE HOLDINGS INC</t>
  </si>
  <si>
    <t>US22788C1053</t>
  </si>
  <si>
    <t>SYNOPSYS INC</t>
  </si>
  <si>
    <t>US8716071076</t>
  </si>
  <si>
    <t>CADENCE DESIGN SYS INC</t>
  </si>
  <si>
    <t>US1273871087</t>
  </si>
  <si>
    <t>CORNING INC</t>
  </si>
  <si>
    <t>US2193501051</t>
  </si>
  <si>
    <t>DELL TECHNOLOGIES INC</t>
  </si>
  <si>
    <t>US24703L2025</t>
  </si>
  <si>
    <t>TE CONNECTIVITY PLC</t>
  </si>
  <si>
    <t>IE000IVNQZ81</t>
  </si>
  <si>
    <t>MOTOROLA SOLUTIONS INC</t>
  </si>
  <si>
    <t>US6200763075</t>
  </si>
  <si>
    <t>NXP SEMICONDUCTORS NV</t>
  </si>
  <si>
    <t>NL0009538784</t>
  </si>
  <si>
    <t>AUTODESK INC</t>
  </si>
  <si>
    <t>US0527691069</t>
  </si>
  <si>
    <t>MONOLITHIC POWER SYSTEM INC</t>
  </si>
  <si>
    <t>US6098391054</t>
  </si>
  <si>
    <t>FORTINET INC</t>
  </si>
  <si>
    <t>US34959E1091</t>
  </si>
  <si>
    <t>COGNIZANT TECH SOLUTIONS</t>
  </si>
  <si>
    <t>US1924461023</t>
  </si>
  <si>
    <t>MICROCHIP TECHNOLOGY INC</t>
  </si>
  <si>
    <t>US5950171042</t>
  </si>
  <si>
    <t>ROPER TECHNOLOGIES INC</t>
  </si>
  <si>
    <t>US7766961061</t>
  </si>
  <si>
    <t>KEYSIGHT TECHNOLOGIES INC</t>
  </si>
  <si>
    <t>US49338L1035</t>
  </si>
  <si>
    <t>FAIR ISAAC CORP</t>
  </si>
  <si>
    <t>US3032501047</t>
  </si>
  <si>
    <t>HEWLETT PACKARD ENTERPRISE CO</t>
  </si>
  <si>
    <t>US42824C1099</t>
  </si>
  <si>
    <t>IT Enabled Services</t>
  </si>
  <si>
    <t>ON SEMICONDUCTOR CORPORATION</t>
  </si>
  <si>
    <t>US6821891057</t>
  </si>
  <si>
    <t>FIRST SOLAR INC</t>
  </si>
  <si>
    <t>US3364331070</t>
  </si>
  <si>
    <t>NETAPP INC</t>
  </si>
  <si>
    <t>US64110D1046</t>
  </si>
  <si>
    <t>HP INC</t>
  </si>
  <si>
    <t>US40434L1052</t>
  </si>
  <si>
    <t>CDW CORP/DE</t>
  </si>
  <si>
    <t>US12514G1085</t>
  </si>
  <si>
    <t>TYLER TECHNOLOGIES INC.</t>
  </si>
  <si>
    <t>US9022521051</t>
  </si>
  <si>
    <t>GARTNER INC</t>
  </si>
  <si>
    <t>US3666511072</t>
  </si>
  <si>
    <t>Edelweiss Technology Fund</t>
  </si>
  <si>
    <t>PORTFOLIO STATEMENT OF EDELWEISS GOLD ETF FUND AS ON JANUARY 31, 2026</t>
  </si>
  <si>
    <t>((An open ended exchange traded fund replicating/tracking domestic prices of Gold))</t>
  </si>
  <si>
    <t xml:space="preserve">a) Gold </t>
  </si>
  <si>
    <t>Edelweiss Gold ETF</t>
  </si>
  <si>
    <t>PORTFOLIO STATEMENT OF EDELWEISS GOLD AND SILVER ETF FOF AS ON JANUARY 31, 2026</t>
  </si>
  <si>
    <t>(An open-ended fund of funds scheme investing in units of Gold ETF and Silver ETF)</t>
  </si>
  <si>
    <t>Edelweiss Gold and Silver ETF Fund of Fund</t>
  </si>
  <si>
    <t>PORTFOLIO STATEMENT OF EDELWEISS  LIQUID FUND AS ON JANUARY 31, 2026</t>
  </si>
  <si>
    <t>(An open-ended liquid scheme. A relatively low interest rate risk and moderate credit risk.)</t>
  </si>
  <si>
    <t>7.11% SIDBI NCD RED 27-02-2026**</t>
  </si>
  <si>
    <t>INE556F08KB4</t>
  </si>
  <si>
    <t>91 DAYS TBILL RED 19-03-2026</t>
  </si>
  <si>
    <t>IN002025X380</t>
  </si>
  <si>
    <t>182 DAYS TBILL RED 27-02-2026</t>
  </si>
  <si>
    <t>IN002025Y222</t>
  </si>
  <si>
    <t>91 DAYS TBILL RED 12-03-2026</t>
  </si>
  <si>
    <t>IN002025X372</t>
  </si>
  <si>
    <t>364 DAYS TBILL RED 20-02-2026</t>
  </si>
  <si>
    <t>IN002024Z453</t>
  </si>
  <si>
    <t>182 DAYS TBILL RED 19-03-2026</t>
  </si>
  <si>
    <t>IN002025Y255</t>
  </si>
  <si>
    <t>364 DAYS TBILL RED 27-02-2026</t>
  </si>
  <si>
    <t>IN002024Z461</t>
  </si>
  <si>
    <t>AXIS BANK LTD CD RED 05-03-2026#**</t>
  </si>
  <si>
    <t>INE238AD6AO8</t>
  </si>
  <si>
    <t>HDFC BANK CD RED 24-03-2026#**</t>
  </si>
  <si>
    <t>INE040A16GS5</t>
  </si>
  <si>
    <t>BANK OF BARODA CD RED 06-03-26#**</t>
  </si>
  <si>
    <t>INE028A16HW0</t>
  </si>
  <si>
    <t>PUNJAB NATIONAL BANK CD 09-03-26#**</t>
  </si>
  <si>
    <t>INE160A16TT2</t>
  </si>
  <si>
    <t>AXIS BANK LTD CD RED 18-02-26#**</t>
  </si>
  <si>
    <t>INE238AD6BM0</t>
  </si>
  <si>
    <t>HDFC BANK CD RED 18-03-2026#**</t>
  </si>
  <si>
    <t>INE040A16IC5</t>
  </si>
  <si>
    <t>PUNJAB NATIONAL BANK CD RED 03-03-2026#**</t>
  </si>
  <si>
    <t>INE160A16TR6</t>
  </si>
  <si>
    <t>BANK OF INDIA CD RED 05-03-2026#**</t>
  </si>
  <si>
    <t>INE084A16FC9</t>
  </si>
  <si>
    <t>SIDBI CD RED 04-02-2026#**</t>
  </si>
  <si>
    <t>INE556F16AZ7</t>
  </si>
  <si>
    <t>BANK OF BARODA CD RED 02-03-2026#**</t>
  </si>
  <si>
    <t>INE028A16KL7</t>
  </si>
  <si>
    <t>INDIAN BANK CD RED 02-02-2026#**</t>
  </si>
  <si>
    <t>INE562A16PS9</t>
  </si>
  <si>
    <t>HDFC BANK CD RED 06-02-2026#**</t>
  </si>
  <si>
    <t>INE040A16GF2</t>
  </si>
  <si>
    <t>UNION BANK OF INDIA CD RED 06-03-2026#**</t>
  </si>
  <si>
    <t>INE692A16JB3</t>
  </si>
  <si>
    <t>BANK OF BARODA CD RED 11-03-2026#**</t>
  </si>
  <si>
    <t>INE028A16HZ3</t>
  </si>
  <si>
    <t>CANARA BANK CD RED 12-03-2026#**</t>
  </si>
  <si>
    <t>INE476A16B23</t>
  </si>
  <si>
    <t>PUNJAB NATIONAL BANK CD RED 16-03-2026#**</t>
  </si>
  <si>
    <t>INE160A16TY2</t>
  </si>
  <si>
    <t>AXIS BANK LTD CD RED 27-02-2026#**</t>
  </si>
  <si>
    <t>INE238AD6BL2</t>
  </si>
  <si>
    <t>INDIAN BANK CD RED 12-03-2026#**</t>
  </si>
  <si>
    <t>INE562A16OI3</t>
  </si>
  <si>
    <t>UNION BANK OF INDIA CD RED 02-02-2026#**</t>
  </si>
  <si>
    <t>INE692A16KD7</t>
  </si>
  <si>
    <t>CANARA BANK CD RED 04-02-2026#**</t>
  </si>
  <si>
    <t>INE476A16A32</t>
  </si>
  <si>
    <t>NABARD CD RED 10-03-2026#**</t>
  </si>
  <si>
    <t>INE261F16975</t>
  </si>
  <si>
    <t>CANARA BANK CD RED 18-03-2026#**</t>
  </si>
  <si>
    <t>INE476A16B64</t>
  </si>
  <si>
    <t>SIDBI CP RED 20-03-2026**</t>
  </si>
  <si>
    <t>INE556F14LX4</t>
  </si>
  <si>
    <t>RELIANCE RETAIL VENT RED 18-03-26**</t>
  </si>
  <si>
    <t>INE929O14EM3</t>
  </si>
  <si>
    <t>RELIANCE RETAIL VENT CP 20-03-26**</t>
  </si>
  <si>
    <t>INE929O14EN1</t>
  </si>
  <si>
    <t>SIDBI CP RED 18-02-2026**</t>
  </si>
  <si>
    <t>INE556F14LR6</t>
  </si>
  <si>
    <t>ICICI SECURITIES CP RED 27-02-26**</t>
  </si>
  <si>
    <t>INE763G14XI0</t>
  </si>
  <si>
    <t>ADITYA BIRLA MONEY CP RED 06-03-2026**</t>
  </si>
  <si>
    <t>INE865C14PA5</t>
  </si>
  <si>
    <t>GODREJ CONSUMER PRODUCTS CP RED 17-03-26**</t>
  </si>
  <si>
    <t>INE102D14BO2</t>
  </si>
  <si>
    <t>SUNDARAM HOME FIN RED 18-03-26**</t>
  </si>
  <si>
    <t>INE667F14GS9</t>
  </si>
  <si>
    <t>BARCLAYS INVEST &amp; LOAN  24-02-26**</t>
  </si>
  <si>
    <t>INE704I14KU2</t>
  </si>
  <si>
    <t>NETWORK18 MED&amp;INV CP RD 03-03-26**</t>
  </si>
  <si>
    <t>INE870H14WH5</t>
  </si>
  <si>
    <t>ADITYA BIRLA HSG FIN CP RED 10-02-2026**</t>
  </si>
  <si>
    <t>INE831R14FK5</t>
  </si>
  <si>
    <t>ADITYA BIRLA MONEY CP RD 20-02-26**</t>
  </si>
  <si>
    <t>INE865C14OV4</t>
  </si>
  <si>
    <t>HSBC INVESTDIRECT FIN SER RED 23-02-26**</t>
  </si>
  <si>
    <t>INE790I14GW5</t>
  </si>
  <si>
    <t>EXIM BANK CP RED 12-03-2026**</t>
  </si>
  <si>
    <t>INE514E14TA7</t>
  </si>
  <si>
    <t>JULIUS BAER CAP PVT CP 10-03-26**</t>
  </si>
  <si>
    <t>INE824H14SZ2</t>
  </si>
  <si>
    <t>MOTILAL OSWAL FIN CP 10-03-2026**</t>
  </si>
  <si>
    <t>INE338I14LN2</t>
  </si>
  <si>
    <t>KOTAK SECURITIES LTD CP RED 12-03-2026**</t>
  </si>
  <si>
    <t>INE028E14TZ5</t>
  </si>
  <si>
    <t>HDFC SECURITIES LTD RED 20-03-26**</t>
  </si>
  <si>
    <t>INE700G14RM6</t>
  </si>
  <si>
    <t>KOTAK SECURITIES LTD CP 20-03-26**</t>
  </si>
  <si>
    <t>INE028E14UD0</t>
  </si>
  <si>
    <t>JULIUS BAER CAPITAL RED 20-03-26**</t>
  </si>
  <si>
    <t>INE824H14TD7</t>
  </si>
  <si>
    <t>BARCLAYS INVEST &amp; LOAN 23-03-26**</t>
  </si>
  <si>
    <t>INE704I14KV0</t>
  </si>
  <si>
    <t>360 ONE WAM LTD. CP RED 20-02-26**</t>
  </si>
  <si>
    <t>INE466L14FG1</t>
  </si>
  <si>
    <t>360 ONE WAM LTD. CP RED 05-03-2026**</t>
  </si>
  <si>
    <t>INE466L14FL1</t>
  </si>
  <si>
    <t>360 ONE PRIME LTD RED 18-03-26**</t>
  </si>
  <si>
    <t>INE248U14SR4</t>
  </si>
  <si>
    <t>NETWORK18 MED&amp;INV CP RD 13-02-26**</t>
  </si>
  <si>
    <t>INE870H14WG7</t>
  </si>
  <si>
    <t>KOTAK SECURITIES LTD CP RED 17-02-2026**</t>
  </si>
  <si>
    <t>INE028E14TQ4</t>
  </si>
  <si>
    <t>HDFC SECURITIES LTD. CP RED 18-02-2026**</t>
  </si>
  <si>
    <t>INE700G14QZ0</t>
  </si>
  <si>
    <t>HERO HOUSING FIN CP RED 25-02-26**</t>
  </si>
  <si>
    <t>INE800X14440</t>
  </si>
  <si>
    <t>DSP FINANCE PVT LTD CP 11-03-26**</t>
  </si>
  <si>
    <t>INE422H14149</t>
  </si>
  <si>
    <t>HSBC INVESTDIR FIN SER CP RED 12-03-2026**</t>
  </si>
  <si>
    <t>INE790I14HD3</t>
  </si>
  <si>
    <t>AXIS SECURITIES LTD. CP RED 30-04-2026**</t>
  </si>
  <si>
    <t>INE110O14HL5</t>
  </si>
  <si>
    <t>ADITYA BIRLA MONEY CP 30-04-2026**</t>
  </si>
  <si>
    <t>INE865C14PG2</t>
  </si>
  <si>
    <t>Regular Plan Annual IDCW</t>
  </si>
  <si>
    <t>Regular Plan Daily IDCW</t>
  </si>
  <si>
    <t>Regular Plan Growth</t>
  </si>
  <si>
    <t>Regular Plan Weekly IDCW</t>
  </si>
  <si>
    <t>Retail Annual IDCW Option</t>
  </si>
  <si>
    <t>Retail Bonus Option</t>
  </si>
  <si>
    <t>Retail Daily IDCW Option</t>
  </si>
  <si>
    <t>Retail Fortnightly IDCW Option</t>
  </si>
  <si>
    <t>Retail Growth Option</t>
  </si>
  <si>
    <t>Retail IDCW Option</t>
  </si>
  <si>
    <t>Retail Monthly IDCW Option</t>
  </si>
  <si>
    <t>Retail Weekly IDCW Option</t>
  </si>
  <si>
    <t>Retail Plan Monthly IDCW</t>
  </si>
  <si>
    <t>Retail Plan Weekly IDCW</t>
  </si>
  <si>
    <t>Edelweiss Liquid Fund</t>
  </si>
  <si>
    <t>Liquid Fund</t>
  </si>
  <si>
    <t>PORTFOLIO STATEMENT OF EDELWEISS  ASEAN EQUITY OFF-SHORE FUND AS ON JANUARY 31, 2026</t>
  </si>
  <si>
    <t>(An open ended fund of fund scheme investing in JPMorgan Funds – ASEAN Equity Fund)</t>
  </si>
  <si>
    <t>Foreign Securities and/or Overseas ETFs</t>
  </si>
  <si>
    <t>International  Mutual Fund Units</t>
  </si>
  <si>
    <t>JPM ASEAN EQUITY-I ACC USD</t>
  </si>
  <si>
    <t>LU0441852299</t>
  </si>
  <si>
    <t>Edelweiss ASEAN Equity Off-Shore Fund</t>
  </si>
  <si>
    <t>PORTFOLIO STATEMENT OF EDELWEISS  GREATER CHINA EQUITY OFF-SHORE FUND AS ON JANUARY 31, 2026</t>
  </si>
  <si>
    <t>(An open ended fund of fund scheme investing in JPMorgan Funds – Greater China Fund)</t>
  </si>
  <si>
    <t>JPM GREATER CHINA-I-I2 USD</t>
  </si>
  <si>
    <t>LU1727356906</t>
  </si>
  <si>
    <t>JPM GREATER CHINA-I AC</t>
  </si>
  <si>
    <t>LU0248053877</t>
  </si>
  <si>
    <t>Edelweiss Greater China Equity Off-Shore Fund</t>
  </si>
  <si>
    <t>PORTFOLIO STATEMENT OF EDELWEISS MSCI INDIA DOMESTIC &amp; WORLD HEALTHCARE 45 INDEX AS ON JANUARY 31, 2026</t>
  </si>
  <si>
    <t>(An Open-ended Equity Scheme replicating MSCI India Domestic &amp; World Healthcare 45 Index)</t>
  </si>
  <si>
    <t>ELI LILLY &amp; CO</t>
  </si>
  <si>
    <t>US5324571083</t>
  </si>
  <si>
    <t>Pharmaceuticals</t>
  </si>
  <si>
    <t>JOHNSON &amp; JOHNSON</t>
  </si>
  <si>
    <t>US4781601046</t>
  </si>
  <si>
    <t>ABBVIE INC</t>
  </si>
  <si>
    <t>US00287Y1091</t>
  </si>
  <si>
    <t>Biotechnology</t>
  </si>
  <si>
    <t>NOVARTIS AG</t>
  </si>
  <si>
    <t>US66987V1098</t>
  </si>
  <si>
    <t>MERCK &amp; CO.INC</t>
  </si>
  <si>
    <t>US58933Y1055</t>
  </si>
  <si>
    <t>THERMO FISHER SCIENTIFIC INC</t>
  </si>
  <si>
    <t>US8835561023</t>
  </si>
  <si>
    <t>Life Sciences Tools &amp; Services</t>
  </si>
  <si>
    <t>Novo Nordisk A/S</t>
  </si>
  <si>
    <t>US6701002056</t>
  </si>
  <si>
    <t>ABBOTT LABORATORIES</t>
  </si>
  <si>
    <t>US0028241000</t>
  </si>
  <si>
    <t>Health Care Equipment &amp; Supplies</t>
  </si>
  <si>
    <t>AMGEN INC</t>
  </si>
  <si>
    <t>US0311621009</t>
  </si>
  <si>
    <t>INTUITIVE SURGICAL INC</t>
  </si>
  <si>
    <t>US46120E6023</t>
  </si>
  <si>
    <t>GILEAD SCIENCES INC</t>
  </si>
  <si>
    <t>US3755581036</t>
  </si>
  <si>
    <t>DANAHER CORP</t>
  </si>
  <si>
    <t>US2358511028</t>
  </si>
  <si>
    <t>MEDTRONIC PLC</t>
  </si>
  <si>
    <t>IE00BTN1Y115</t>
  </si>
  <si>
    <t>STRYKER CORP</t>
  </si>
  <si>
    <t>US8636671013</t>
  </si>
  <si>
    <t>VERTEX PHARMACEUTICALS INC</t>
  </si>
  <si>
    <t>US92532F1003</t>
  </si>
  <si>
    <t>Regeneron Pharmaceuticals Inc</t>
  </si>
  <si>
    <t>US75886F1075</t>
  </si>
  <si>
    <t>BECTON DICKINSON AND CO</t>
  </si>
  <si>
    <t>US0758871091</t>
  </si>
  <si>
    <t>IQVIA HOLDINGS INC</t>
  </si>
  <si>
    <t>US46266C1053</t>
  </si>
  <si>
    <t>AGILENT TECHNOLOGIES INC</t>
  </si>
  <si>
    <t>US00846U1016</t>
  </si>
  <si>
    <t>ILLUMINA INC</t>
  </si>
  <si>
    <t>US4523271090</t>
  </si>
  <si>
    <t>Edelweiss MSCI India Domestic &amp; World Healthcare 45 Index Fund</t>
  </si>
  <si>
    <t>PORTFOLIO STATEMENT OF EDELWEISS  EUROPE DYNAMIC EQUITY OFF-SHORE FUND AS ON JANUARY 31, 2026</t>
  </si>
  <si>
    <t>(An open ended fund of fund scheme investing in JPMorgan Funds – Europe Dynamic Fund)</t>
  </si>
  <si>
    <t>JPMORGAN F-EUROPE DYNAM-I-A</t>
  </si>
  <si>
    <t>LU0248045857</t>
  </si>
  <si>
    <t>Edelweiss Europe Dynamic Equity Off-Shore Fund</t>
  </si>
  <si>
    <t>PORTFOLIO STATEMENT OF EDELWEISS  EMERGING MARKETS OPPORTUNITIES EQUITY OFF-SHORE FUND AS ON JANUARY 31, 2026</t>
  </si>
  <si>
    <t>(An open ended fund of fund scheme investing in JPMorgan Funds – Emerging Market Opportunities Fund)</t>
  </si>
  <si>
    <t>JPMORGAN ASSET MGM - EMG MKT OPPS I USD</t>
  </si>
  <si>
    <t>LU0431993749</t>
  </si>
  <si>
    <t>Edelweiss Emerging Markets Opportunities Equity Off-Shore Fund</t>
  </si>
  <si>
    <t>PORTFOLIO STATEMENT OF EDELWEISS  US VALUE EQUITY OFF-SHORE FUND AS ON JANUARY 31, 2026</t>
  </si>
  <si>
    <t>(An open ended fund of fund scheme investing in JPMorgan Funds – US Value Fund)</t>
  </si>
  <si>
    <t>JPMORGAN F-JPM US VALUE-I AC</t>
  </si>
  <si>
    <t>LU0248060658</t>
  </si>
  <si>
    <t>Edelweiss US Value Equity Off-Shore Fund</t>
  </si>
  <si>
    <t>PORTFOLIO STATEMENT OF EDELWEISS  US TECHNOLOGY EQUITY FOF AS ON JANUARY 31, 2026</t>
  </si>
  <si>
    <t>(An open ended fund of fund scheme investing in JPMorgan Funds – US Technology Fund)</t>
  </si>
  <si>
    <t>JPMORGAN F-US TECHNOLOGY-I A</t>
  </si>
  <si>
    <t>LU0248060906</t>
  </si>
  <si>
    <t>Edelweiss US Technology Equity Fund of Fund</t>
  </si>
  <si>
    <t>PORTFOLIO STATEMENT OF EDELWEISS SILVER ETF FUND OF FUND AS ON JANUARY 31, 2026</t>
  </si>
  <si>
    <t>(An open-ended fund of funds scheme investing in units of Edelweiss Silver ETF)</t>
  </si>
  <si>
    <t>Edelweiss Silver ETF Fund of Fund</t>
  </si>
  <si>
    <t>PORTFOLIO STATEMENT OF EDELWEISS SILVER ETF FUND AS ON JANUARY 31, 2026</t>
  </si>
  <si>
    <t>(An open ended exchange traded fund replicating/tracking domestic prices of Silver)</t>
  </si>
  <si>
    <t xml:space="preserve">a) Silver </t>
  </si>
  <si>
    <t>Edelweiss Silver ETF</t>
  </si>
  <si>
    <t>PORTFOLIO STATEMENT as on 31 Jan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</si>
</sst>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,###,##0"/>
    <numFmt numFmtId="165" formatCode="#,##0.00_);\(##,##0\)"/>
    <numFmt numFmtId="166" formatCode="#,##0.00_);\(##,##0.00\)"/>
    <numFmt numFmtId="167" formatCode="0.00%_);\(0.00%\)"/>
    <numFmt numFmtId="168" formatCode="mmmm\ dd\,\ yyyy"/>
    <numFmt numFmtId="169" formatCode="#,##0.000000"/>
  </numFmts>
  <fonts count="7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9"/>
      <color theme="1" tint="4.9989318521683403E-2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/>
    <xf numFmtId="9" fontId="5" fillId="0" borderId="0"/>
  </cellStyleXfs>
  <cellXfs count="80">
    <xf numFmtId="0" fontId="0" fillId="0" borderId="0" xfId="0"/>
    <xf numFmtId="0" fontId="3" fillId="0" borderId="0" xfId="0" applyFont="1"/>
    <xf numFmtId="10" fontId="0" fillId="0" borderId="0" xfId="0" applyNumberFormat="1"/>
    <xf numFmtId="0" fontId="0" fillId="0" borderId="0" xfId="0" applyAlignment="1">
      <alignment horizontal="right"/>
    </xf>
    <xf numFmtId="0" fontId="2" fillId="0" borderId="2" xfId="0" applyFont="1" applyBorder="1" applyAlignment="1">
      <alignment horizontal="center" vertical="center"/>
    </xf>
    <xf numFmtId="164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0" fontId="2" fillId="0" borderId="2" xfId="0" applyNumberFormat="1" applyFont="1" applyBorder="1" applyAlignment="1">
      <alignment horizontal="center" vertical="center"/>
    </xf>
    <xf numFmtId="0" fontId="0" fillId="0" borderId="3" xfId="0" applyBorder="1"/>
    <xf numFmtId="165" fontId="0" fillId="0" borderId="3" xfId="0" applyNumberFormat="1" applyBorder="1"/>
    <xf numFmtId="166" fontId="0" fillId="0" borderId="3" xfId="0" applyNumberFormat="1" applyBorder="1"/>
    <xf numFmtId="167" fontId="0" fillId="0" borderId="3" xfId="0" applyNumberFormat="1" applyBorder="1"/>
    <xf numFmtId="10" fontId="0" fillId="0" borderId="3" xfId="0" applyNumberFormat="1" applyBorder="1"/>
    <xf numFmtId="0" fontId="0" fillId="0" borderId="4" xfId="0" applyBorder="1"/>
    <xf numFmtId="0" fontId="3" fillId="0" borderId="4" xfId="0" applyFont="1" applyBorder="1"/>
    <xf numFmtId="164" fontId="0" fillId="0" borderId="4" xfId="0" applyNumberFormat="1" applyBorder="1"/>
    <xf numFmtId="4" fontId="0" fillId="0" borderId="4" xfId="0" applyNumberFormat="1" applyBorder="1"/>
    <xf numFmtId="10" fontId="0" fillId="0" borderId="4" xfId="0" applyNumberFormat="1" applyBorder="1"/>
    <xf numFmtId="164" fontId="3" fillId="0" borderId="4" xfId="0" applyNumberFormat="1" applyFont="1" applyBorder="1"/>
    <xf numFmtId="4" fontId="3" fillId="0" borderId="5" xfId="0" applyNumberFormat="1" applyFont="1" applyBorder="1"/>
    <xf numFmtId="10" fontId="3" fillId="0" borderId="5" xfId="0" applyNumberFormat="1" applyFont="1" applyBorder="1"/>
    <xf numFmtId="10" fontId="3" fillId="0" borderId="4" xfId="0" applyNumberFormat="1" applyFont="1" applyBorder="1"/>
    <xf numFmtId="0" fontId="3" fillId="0" borderId="6" xfId="0" applyFont="1" applyBorder="1"/>
    <xf numFmtId="164" fontId="3" fillId="0" borderId="6" xfId="0" applyNumberFormat="1" applyFont="1" applyBorder="1"/>
    <xf numFmtId="4" fontId="3" fillId="0" borderId="7" xfId="0" applyNumberFormat="1" applyFont="1" applyBorder="1"/>
    <xf numFmtId="10" fontId="3" fillId="0" borderId="7" xfId="0" applyNumberFormat="1" applyFont="1" applyBorder="1"/>
    <xf numFmtId="4" fontId="3" fillId="0" borderId="4" xfId="0" applyNumberFormat="1" applyFont="1" applyBorder="1"/>
    <xf numFmtId="165" fontId="0" fillId="0" borderId="4" xfId="0" applyNumberFormat="1" applyBorder="1"/>
    <xf numFmtId="166" fontId="0" fillId="0" borderId="4" xfId="0" applyNumberFormat="1" applyBorder="1"/>
    <xf numFmtId="167" fontId="0" fillId="0" borderId="4" xfId="0" applyNumberFormat="1" applyBorder="1"/>
    <xf numFmtId="166" fontId="3" fillId="0" borderId="5" xfId="0" applyNumberFormat="1" applyFont="1" applyBorder="1"/>
    <xf numFmtId="167" fontId="3" fillId="0" borderId="5" xfId="0" applyNumberFormat="1" applyFont="1" applyBorder="1"/>
    <xf numFmtId="166" fontId="3" fillId="0" borderId="6" xfId="0" applyNumberFormat="1" applyFont="1" applyBorder="1"/>
    <xf numFmtId="167" fontId="3" fillId="0" borderId="6" xfId="0" applyNumberFormat="1" applyFont="1" applyBorder="1"/>
    <xf numFmtId="4" fontId="0" fillId="0" borderId="5" xfId="0" applyNumberFormat="1" applyBorder="1" applyAlignment="1">
      <alignment horizontal="right"/>
    </xf>
    <xf numFmtId="10" fontId="0" fillId="0" borderId="5" xfId="0" applyNumberFormat="1" applyBorder="1" applyAlignment="1">
      <alignment horizontal="right"/>
    </xf>
    <xf numFmtId="4" fontId="3" fillId="0" borderId="6" xfId="0" applyNumberFormat="1" applyFont="1" applyBorder="1"/>
    <xf numFmtId="10" fontId="3" fillId="0" borderId="6" xfId="0" applyNumberFormat="1" applyFont="1" applyBorder="1"/>
    <xf numFmtId="0" fontId="3" fillId="0" borderId="7" xfId="0" applyFont="1" applyBorder="1"/>
    <xf numFmtId="164" fontId="3" fillId="0" borderId="7" xfId="0" applyNumberFormat="1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0" fillId="0" borderId="6" xfId="0" applyNumberFormat="1" applyBorder="1" applyAlignment="1">
      <alignment horizontal="right"/>
    </xf>
    <xf numFmtId="10" fontId="0" fillId="0" borderId="6" xfId="0" applyNumberFormat="1" applyBorder="1" applyAlignment="1">
      <alignment horizontal="right"/>
    </xf>
    <xf numFmtId="0" fontId="0" fillId="0" borderId="0" xfId="0" applyAlignment="1">
      <alignment wrapText="1"/>
    </xf>
    <xf numFmtId="4" fontId="0" fillId="0" borderId="0" xfId="0" applyNumberFormat="1" applyAlignment="1">
      <alignment horizontal="right"/>
    </xf>
    <xf numFmtId="168" fontId="3" fillId="0" borderId="0" xfId="0" applyNumberFormat="1" applyFont="1"/>
    <xf numFmtId="169" fontId="0" fillId="0" borderId="1" xfId="0" applyNumberFormat="1" applyBorder="1"/>
    <xf numFmtId="0" fontId="0" fillId="0" borderId="6" xfId="0" applyBorder="1"/>
    <xf numFmtId="4" fontId="0" fillId="0" borderId="6" xfId="2" applyNumberFormat="1" applyFont="1" applyBorder="1"/>
    <xf numFmtId="4" fontId="0" fillId="0" borderId="6" xfId="0" applyNumberFormat="1" applyBorder="1"/>
    <xf numFmtId="15" fontId="0" fillId="0" borderId="6" xfId="0" applyNumberFormat="1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vertical="center" wrapText="1"/>
    </xf>
    <xf numFmtId="2" fontId="0" fillId="0" borderId="6" xfId="0" applyNumberFormat="1" applyBorder="1" applyAlignment="1">
      <alignment vertical="center" wrapText="1"/>
    </xf>
    <xf numFmtId="0" fontId="3" fillId="0" borderId="4" xfId="0" applyFont="1" applyBorder="1" applyAlignment="1">
      <alignment vertical="top"/>
    </xf>
    <xf numFmtId="4" fontId="0" fillId="0" borderId="7" xfId="0" applyNumberFormat="1" applyBorder="1" applyAlignment="1">
      <alignment horizontal="right"/>
    </xf>
    <xf numFmtId="10" fontId="0" fillId="0" borderId="7" xfId="0" applyNumberFormat="1" applyBorder="1" applyAlignment="1">
      <alignment horizontal="right"/>
    </xf>
    <xf numFmtId="4" fontId="0" fillId="0" borderId="4" xfId="0" applyNumberFormat="1" applyBorder="1" applyAlignment="1">
      <alignment horizontal="right"/>
    </xf>
    <xf numFmtId="10" fontId="0" fillId="0" borderId="4" xfId="0" applyNumberFormat="1" applyBorder="1" applyAlignment="1">
      <alignment horizontal="right"/>
    </xf>
    <xf numFmtId="0" fontId="0" fillId="0" borderId="0" xfId="0" applyAlignment="1">
      <alignment vertical="top"/>
    </xf>
    <xf numFmtId="4" fontId="0" fillId="0" borderId="0" xfId="0" applyNumberFormat="1"/>
    <xf numFmtId="4" fontId="0" fillId="0" borderId="0" xfId="0" applyNumberFormat="1" applyAlignment="1">
      <alignment vertical="top"/>
    </xf>
    <xf numFmtId="15" fontId="3" fillId="0" borderId="0" xfId="0" applyNumberFormat="1" applyFont="1"/>
    <xf numFmtId="0" fontId="0" fillId="0" borderId="7" xfId="0" applyBorder="1" applyAlignment="1">
      <alignment horizontal="center" vertical="center"/>
    </xf>
    <xf numFmtId="0" fontId="0" fillId="0" borderId="0" xfId="0" applyAlignment="1">
      <alignment vertical="top" wrapText="1"/>
    </xf>
    <xf numFmtId="0" fontId="6" fillId="0" borderId="0" xfId="0" applyFont="1"/>
    <xf numFmtId="0" fontId="0" fillId="0" borderId="8" xfId="0" applyBorder="1"/>
    <xf numFmtId="0" fontId="0" fillId="0" borderId="8" xfId="0" applyBorder="1" applyAlignment="1">
      <alignment horizontal="center" vertical="center"/>
    </xf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10" fontId="0" fillId="0" borderId="0" xfId="0" applyNumberFormat="1"/>
    <xf numFmtId="0" fontId="3" fillId="0" borderId="0" xfId="0" applyFont="1" applyAlignment="1">
      <alignment wrapText="1"/>
    </xf>
    <xf numFmtId="0" fontId="0" fillId="0" borderId="8" xfId="0" applyBorder="1" applyAlignment="1">
      <alignment wrapText="1"/>
    </xf>
    <xf numFmtId="0" fontId="0" fillId="0" borderId="8" xfId="0" applyBorder="1" applyAlignment="1">
      <alignment horizontal="center" vertical="center" wrapText="1"/>
    </xf>
    <xf numFmtId="0" fontId="4" fillId="0" borderId="0" xfId="1" applyAlignment="1">
      <alignment wrapText="1"/>
    </xf>
  </cellXfs>
  <cellStyles count="3">
    <cellStyle name="Hyperlink" xfId="1" builtinId="8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image" Target="../media/image2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2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5.jpe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3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</xdr:row>
      <xdr:rowOff>0</xdr:rowOff>
    </xdr:from>
    <xdr:ext cx="1238250" cy="714375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1238250" cy="714375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</xdr:row>
      <xdr:rowOff>0</xdr:rowOff>
    </xdr:from>
    <xdr:ext cx="1238250" cy="714375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1238250" cy="714375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</xdr:row>
      <xdr:rowOff>0</xdr:rowOff>
    </xdr:from>
    <xdr:ext cx="1238250" cy="714375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1238250" cy="714375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</xdr:row>
      <xdr:rowOff>0</xdr:rowOff>
    </xdr:from>
    <xdr:ext cx="1238250" cy="714375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1238250" cy="714375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8</xdr:row>
      <xdr:rowOff>0</xdr:rowOff>
    </xdr:from>
    <xdr:ext cx="1238250" cy="714375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1238250" cy="714375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</xdr:row>
      <xdr:rowOff>0</xdr:rowOff>
    </xdr:from>
    <xdr:ext cx="1238250" cy="714375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9</xdr:row>
      <xdr:rowOff>0</xdr:rowOff>
    </xdr:from>
    <xdr:ext cx="1238250" cy="714375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1238250" cy="714375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10</xdr:row>
      <xdr:rowOff>0</xdr:rowOff>
    </xdr:from>
    <xdr:ext cx="1238250" cy="714375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</xdr:row>
      <xdr:rowOff>0</xdr:rowOff>
    </xdr:from>
    <xdr:ext cx="1238250" cy="714375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11</xdr:row>
      <xdr:rowOff>0</xdr:rowOff>
    </xdr:from>
    <xdr:ext cx="1238250" cy="714375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1238250" cy="714375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12</xdr:row>
      <xdr:rowOff>0</xdr:rowOff>
    </xdr:from>
    <xdr:ext cx="1238250" cy="714375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1238250" cy="714375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13</xdr:row>
      <xdr:rowOff>0</xdr:rowOff>
    </xdr:from>
    <xdr:ext cx="1238250" cy="714375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1238250" cy="714375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14</xdr:row>
      <xdr:rowOff>0</xdr:rowOff>
    </xdr:from>
    <xdr:ext cx="1238250" cy="714375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1238250" cy="714375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15</xdr:row>
      <xdr:rowOff>0</xdr:rowOff>
    </xdr:from>
    <xdr:ext cx="1238250" cy="714375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1238250" cy="714375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16</xdr:row>
      <xdr:rowOff>0</xdr:rowOff>
    </xdr:from>
    <xdr:ext cx="1238250" cy="714375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1238250" cy="714375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17</xdr:row>
      <xdr:rowOff>0</xdr:rowOff>
    </xdr:from>
    <xdr:ext cx="1238250" cy="714375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1238250" cy="714375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18</xdr:row>
      <xdr:rowOff>0</xdr:rowOff>
    </xdr:from>
    <xdr:ext cx="1238250" cy="714375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18</xdr:row>
      <xdr:rowOff>0</xdr:rowOff>
    </xdr:from>
    <xdr:ext cx="1238250" cy="714375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19</xdr:row>
      <xdr:rowOff>0</xdr:rowOff>
    </xdr:from>
    <xdr:ext cx="1238250" cy="714375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1238250" cy="714375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19</xdr:row>
      <xdr:rowOff>0</xdr:rowOff>
    </xdr:from>
    <xdr:ext cx="1238250" cy="714375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20</xdr:row>
      <xdr:rowOff>0</xdr:rowOff>
    </xdr:from>
    <xdr:ext cx="1238250" cy="714375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1238250" cy="714375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0</xdr:rowOff>
    </xdr:from>
    <xdr:ext cx="1238250" cy="714375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1238250" cy="714375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22</xdr:row>
      <xdr:rowOff>0</xdr:rowOff>
    </xdr:from>
    <xdr:ext cx="1238250" cy="714375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1238250" cy="714375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23</xdr:row>
      <xdr:rowOff>0</xdr:rowOff>
    </xdr:from>
    <xdr:ext cx="1238250" cy="714375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1238250" cy="714375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24</xdr:row>
      <xdr:rowOff>0</xdr:rowOff>
    </xdr:from>
    <xdr:ext cx="1238250" cy="714375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1238250" cy="714375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25</xdr:row>
      <xdr:rowOff>0</xdr:rowOff>
    </xdr:from>
    <xdr:ext cx="1238250" cy="714375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1238250" cy="714375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26</xdr:row>
      <xdr:rowOff>0</xdr:rowOff>
    </xdr:from>
    <xdr:ext cx="1238250" cy="714375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1238250" cy="714375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27</xdr:row>
      <xdr:rowOff>0</xdr:rowOff>
    </xdr:from>
    <xdr:ext cx="1238250" cy="714375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1238250" cy="714375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28</xdr:row>
      <xdr:rowOff>0</xdr:rowOff>
    </xdr:from>
    <xdr:ext cx="1238250" cy="714375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1238250" cy="714375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29</xdr:row>
      <xdr:rowOff>0</xdr:rowOff>
    </xdr:from>
    <xdr:ext cx="1238250" cy="714375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1238250" cy="714375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30</xdr:row>
      <xdr:rowOff>0</xdr:rowOff>
    </xdr:from>
    <xdr:ext cx="1238250" cy="714375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1238250" cy="714375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31</xdr:row>
      <xdr:rowOff>0</xdr:rowOff>
    </xdr:from>
    <xdr:ext cx="1238250" cy="714375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1238250" cy="714375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32</xdr:row>
      <xdr:rowOff>0</xdr:rowOff>
    </xdr:from>
    <xdr:ext cx="1238250" cy="714375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1238250" cy="714375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33</xdr:row>
      <xdr:rowOff>0</xdr:rowOff>
    </xdr:from>
    <xdr:ext cx="1238250" cy="714375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33</xdr:row>
      <xdr:rowOff>0</xdr:rowOff>
    </xdr:from>
    <xdr:ext cx="1238250" cy="714375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34</xdr:row>
      <xdr:rowOff>0</xdr:rowOff>
    </xdr:from>
    <xdr:ext cx="1238250" cy="714375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1238250" cy="714375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35</xdr:row>
      <xdr:rowOff>0</xdr:rowOff>
    </xdr:from>
    <xdr:ext cx="1238250" cy="714375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1238250" cy="714375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36</xdr:row>
      <xdr:rowOff>0</xdr:rowOff>
    </xdr:from>
    <xdr:ext cx="1238250" cy="714375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1238250" cy="714375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37</xdr:row>
      <xdr:rowOff>0</xdr:rowOff>
    </xdr:from>
    <xdr:ext cx="1238250" cy="714375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1238250" cy="714375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38</xdr:row>
      <xdr:rowOff>0</xdr:rowOff>
    </xdr:from>
    <xdr:ext cx="1238250" cy="714375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1238250" cy="714375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39</xdr:row>
      <xdr:rowOff>0</xdr:rowOff>
    </xdr:from>
    <xdr:ext cx="1238250" cy="714375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39</xdr:row>
      <xdr:rowOff>0</xdr:rowOff>
    </xdr:from>
    <xdr:ext cx="1238250" cy="714375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40</xdr:row>
      <xdr:rowOff>0</xdr:rowOff>
    </xdr:from>
    <xdr:ext cx="1238250" cy="714375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1238250" cy="714375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41</xdr:row>
      <xdr:rowOff>0</xdr:rowOff>
    </xdr:from>
    <xdr:ext cx="1238250" cy="714375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1238250" cy="714375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42</xdr:row>
      <xdr:rowOff>0</xdr:rowOff>
    </xdr:from>
    <xdr:ext cx="1238250" cy="714375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1238250" cy="714375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43</xdr:row>
      <xdr:rowOff>0</xdr:rowOff>
    </xdr:from>
    <xdr:ext cx="1238250" cy="714375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43</xdr:row>
      <xdr:rowOff>0</xdr:rowOff>
    </xdr:from>
    <xdr:ext cx="1238250" cy="714375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44</xdr:row>
      <xdr:rowOff>0</xdr:rowOff>
    </xdr:from>
    <xdr:ext cx="1238250" cy="714375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1238250" cy="714375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45</xdr:row>
      <xdr:rowOff>0</xdr:rowOff>
    </xdr:from>
    <xdr:ext cx="1238250" cy="714375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1238250" cy="714375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46</xdr:row>
      <xdr:rowOff>0</xdr:rowOff>
    </xdr:from>
    <xdr:ext cx="1238250" cy="714375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46</xdr:row>
      <xdr:rowOff>0</xdr:rowOff>
    </xdr:from>
    <xdr:ext cx="1238250" cy="714375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47</xdr:row>
      <xdr:rowOff>0</xdr:rowOff>
    </xdr:from>
    <xdr:ext cx="1238250" cy="714375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1238250" cy="714375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48</xdr:row>
      <xdr:rowOff>0</xdr:rowOff>
    </xdr:from>
    <xdr:ext cx="1238250" cy="714375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1238250" cy="714375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49</xdr:row>
      <xdr:rowOff>0</xdr:rowOff>
    </xdr:from>
    <xdr:ext cx="1238250" cy="714375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1238250" cy="714375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50</xdr:row>
      <xdr:rowOff>0</xdr:rowOff>
    </xdr:from>
    <xdr:ext cx="1238250" cy="714375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1238250" cy="714375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51</xdr:row>
      <xdr:rowOff>0</xdr:rowOff>
    </xdr:from>
    <xdr:ext cx="1238250" cy="714375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1238250" cy="714375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52</xdr:row>
      <xdr:rowOff>0</xdr:rowOff>
    </xdr:from>
    <xdr:ext cx="1238250" cy="714375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52</xdr:row>
      <xdr:rowOff>0</xdr:rowOff>
    </xdr:from>
    <xdr:ext cx="1238250" cy="714375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53</xdr:row>
      <xdr:rowOff>0</xdr:rowOff>
    </xdr:from>
    <xdr:ext cx="1238250" cy="714375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1238250" cy="714375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54</xdr:row>
      <xdr:rowOff>0</xdr:rowOff>
    </xdr:from>
    <xdr:ext cx="1238250" cy="714375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1238250" cy="714375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55</xdr:row>
      <xdr:rowOff>0</xdr:rowOff>
    </xdr:from>
    <xdr:ext cx="1238250" cy="714375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1238250" cy="714375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56</xdr:row>
      <xdr:rowOff>0</xdr:rowOff>
    </xdr:from>
    <xdr:ext cx="1238250" cy="714375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1238250" cy="714375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57</xdr:row>
      <xdr:rowOff>0</xdr:rowOff>
    </xdr:from>
    <xdr:ext cx="1238250" cy="714375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1238250" cy="714375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58</xdr:row>
      <xdr:rowOff>0</xdr:rowOff>
    </xdr:from>
    <xdr:ext cx="1238250" cy="714375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1238250" cy="714375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59</xdr:row>
      <xdr:rowOff>0</xdr:rowOff>
    </xdr:from>
    <xdr:ext cx="1238250" cy="714375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1238250" cy="714375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60</xdr:row>
      <xdr:rowOff>0</xdr:rowOff>
    </xdr:from>
    <xdr:ext cx="1238250" cy="714375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1238250" cy="714375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61</xdr:row>
      <xdr:rowOff>0</xdr:rowOff>
    </xdr:from>
    <xdr:ext cx="1238250" cy="714375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1238250" cy="714375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61</xdr:row>
      <xdr:rowOff>0</xdr:rowOff>
    </xdr:from>
    <xdr:ext cx="1238250" cy="714375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62</xdr:row>
      <xdr:rowOff>0</xdr:rowOff>
    </xdr:from>
    <xdr:ext cx="1238250" cy="714375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1238250" cy="714375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63</xdr:row>
      <xdr:rowOff>0</xdr:rowOff>
    </xdr:from>
    <xdr:ext cx="1238250" cy="714375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1238250" cy="714375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64</xdr:row>
      <xdr:rowOff>0</xdr:rowOff>
    </xdr:from>
    <xdr:ext cx="1238250" cy="714375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64</xdr:row>
      <xdr:rowOff>0</xdr:rowOff>
    </xdr:from>
    <xdr:ext cx="1238250" cy="714375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65</xdr:row>
      <xdr:rowOff>0</xdr:rowOff>
    </xdr:from>
    <xdr:ext cx="1238250" cy="714375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65</xdr:row>
      <xdr:rowOff>0</xdr:rowOff>
    </xdr:from>
    <xdr:ext cx="1238250" cy="714375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66</xdr:row>
      <xdr:rowOff>0</xdr:rowOff>
    </xdr:from>
    <xdr:ext cx="1238250" cy="714375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66</xdr:row>
      <xdr:rowOff>0</xdr:rowOff>
    </xdr:from>
    <xdr:ext cx="1238250" cy="714375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67</xdr:row>
      <xdr:rowOff>0</xdr:rowOff>
    </xdr:from>
    <xdr:ext cx="1238250" cy="714375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1238250" cy="714375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68</xdr:row>
      <xdr:rowOff>0</xdr:rowOff>
    </xdr:from>
    <xdr:ext cx="1238250" cy="714375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1238250" cy="714375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69</xdr:row>
      <xdr:rowOff>0</xdr:rowOff>
    </xdr:from>
    <xdr:ext cx="1238250" cy="714375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1238250" cy="714375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</xdr:col>
      <xdr:colOff>0</xdr:colOff>
      <xdr:row>70</xdr:row>
      <xdr:rowOff>0</xdr:rowOff>
    </xdr:from>
    <xdr:ext cx="1238250" cy="714375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1238250" cy="714375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142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128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106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1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149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151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282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3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294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294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305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225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160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89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123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2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2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62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103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4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298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5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75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130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130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41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9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9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48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187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187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5</xdr:col>
      <xdr:colOff>0</xdr:colOff>
      <xdr:row>187</xdr:row>
      <xdr:rowOff>0</xdr:rowOff>
    </xdr:from>
    <xdr:ext cx="1238250" cy="71437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96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96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0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45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43</xdr:row>
      <xdr:rowOff>0</xdr:rowOff>
    </xdr:from>
    <xdr:ext cx="1238250" cy="714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1238250" cy="71437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44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1"/>
  <sheetViews>
    <sheetView tabSelected="1" workbookViewId="0">
      <selection activeCell="B3" sqref="B1:B1048576"/>
    </sheetView>
  </sheetViews>
  <sheetFormatPr defaultRowHeight="14.5" x14ac:dyDescent="0.35"/>
  <cols>
    <col min="1" max="1" width="8.81640625" bestFit="1" customWidth="1"/>
    <col min="2" max="2" width="31.36328125" style="47" customWidth="1"/>
    <col min="3" max="3" width="22" customWidth="1"/>
    <col min="4" max="4" width="17.1796875" style="47" customWidth="1"/>
    <col min="5" max="5" width="22" customWidth="1"/>
    <col min="6" max="6" width="20.36328125" style="47" customWidth="1"/>
    <col min="7" max="7" width="22" customWidth="1"/>
  </cols>
  <sheetData>
    <row r="1" spans="1:7" s="1" customFormat="1" x14ac:dyDescent="0.35">
      <c r="A1" s="72" t="s">
        <v>0</v>
      </c>
      <c r="B1" s="72"/>
      <c r="D1" s="76"/>
      <c r="F1" s="76"/>
    </row>
    <row r="2" spans="1:7" s="1" customFormat="1" x14ac:dyDescent="0.35">
      <c r="A2" s="72" t="s">
        <v>3192</v>
      </c>
      <c r="B2" s="72"/>
      <c r="D2" s="76"/>
      <c r="F2" s="76"/>
    </row>
    <row r="3" spans="1:7" s="1" customFormat="1" ht="29" x14ac:dyDescent="0.35">
      <c r="A3" s="1" t="s">
        <v>1</v>
      </c>
      <c r="B3" s="76" t="s">
        <v>2</v>
      </c>
      <c r="C3" s="70" t="s">
        <v>3</v>
      </c>
      <c r="D3" s="77" t="s">
        <v>4</v>
      </c>
      <c r="E3" s="70" t="s">
        <v>5</v>
      </c>
      <c r="F3" s="77" t="s">
        <v>4</v>
      </c>
      <c r="G3" s="70" t="s">
        <v>5</v>
      </c>
    </row>
    <row r="4" spans="1:7" ht="70" customHeight="1" x14ac:dyDescent="0.35">
      <c r="A4" t="s">
        <v>6</v>
      </c>
      <c r="B4" s="79" t="str">
        <f>HYPERLINK("[EDEL_Portfolio Monthly Notes 31-Jan-2026.xlsx]EDACBF!A1","Edelweiss Money Market Fund")</f>
        <v>Edelweiss Money Market Fund</v>
      </c>
      <c r="C4" s="70"/>
      <c r="D4" s="77" t="s">
        <v>7</v>
      </c>
      <c r="E4" s="70"/>
      <c r="F4" s="77" t="s">
        <v>8</v>
      </c>
      <c r="G4" s="70"/>
    </row>
    <row r="5" spans="1:7" ht="70" customHeight="1" x14ac:dyDescent="0.35">
      <c r="A5" t="s">
        <v>9</v>
      </c>
      <c r="B5" s="79" t="str">
        <f>HYPERLINK("[EDEL_Portfolio Monthly Notes 31-Jan-2026.xlsx]EDBE30!A1","BHARAT Bond ETF - April 2030")</f>
        <v>BHARAT Bond ETF - April 2030</v>
      </c>
      <c r="C5" s="70"/>
      <c r="D5" s="77" t="s">
        <v>10</v>
      </c>
      <c r="E5" s="70"/>
      <c r="F5" s="78" t="s">
        <v>11</v>
      </c>
      <c r="G5" s="71" t="s">
        <v>11</v>
      </c>
    </row>
    <row r="6" spans="1:7" ht="70" customHeight="1" x14ac:dyDescent="0.35">
      <c r="A6" t="s">
        <v>12</v>
      </c>
      <c r="B6" s="79" t="str">
        <f>HYPERLINK("[EDEL_Portfolio Monthly Notes 31-Jan-2026.xlsx]EDBE31!A1","BHARAT Bond ETF - April 2031")</f>
        <v>BHARAT Bond ETF - April 2031</v>
      </c>
      <c r="C6" s="70"/>
      <c r="D6" s="77" t="s">
        <v>13</v>
      </c>
      <c r="E6" s="70"/>
      <c r="F6" s="78" t="s">
        <v>11</v>
      </c>
      <c r="G6" s="71" t="s">
        <v>11</v>
      </c>
    </row>
    <row r="7" spans="1:7" ht="70" customHeight="1" x14ac:dyDescent="0.35">
      <c r="A7" t="s">
        <v>14</v>
      </c>
      <c r="B7" s="79" t="str">
        <f>HYPERLINK("[EDEL_Portfolio Monthly Notes 31-Jan-2026.xlsx]EDBE32!A1","BHARAT Bond ETF - April 2032")</f>
        <v>BHARAT Bond ETF - April 2032</v>
      </c>
      <c r="C7" s="70"/>
      <c r="D7" s="77" t="s">
        <v>15</v>
      </c>
      <c r="E7" s="70"/>
      <c r="F7" s="78" t="s">
        <v>11</v>
      </c>
      <c r="G7" s="71" t="s">
        <v>11</v>
      </c>
    </row>
    <row r="8" spans="1:7" ht="70" customHeight="1" x14ac:dyDescent="0.35">
      <c r="A8" t="s">
        <v>16</v>
      </c>
      <c r="B8" s="79" t="str">
        <f>HYPERLINK("[EDEL_Portfolio Monthly Notes 31-Jan-2026.xlsx]EDBE33!A1","BHARAT Bond ETF - April 2033")</f>
        <v>BHARAT Bond ETF - April 2033</v>
      </c>
      <c r="C8" s="70"/>
      <c r="D8" s="77" t="s">
        <v>17</v>
      </c>
      <c r="E8" s="70"/>
      <c r="F8" s="78" t="s">
        <v>11</v>
      </c>
      <c r="G8" s="71" t="s">
        <v>11</v>
      </c>
    </row>
    <row r="9" spans="1:7" ht="70" customHeight="1" x14ac:dyDescent="0.35">
      <c r="A9" t="s">
        <v>18</v>
      </c>
      <c r="B9" s="79" t="str">
        <f>HYPERLINK("[EDEL_Portfolio Monthly Notes 31-Jan-2026.xlsx]EDBPDF!A1","Edelweiss Banking and PSU Debt Fund")</f>
        <v>Edelweiss Banking and PSU Debt Fund</v>
      </c>
      <c r="C9" s="70"/>
      <c r="D9" s="77" t="s">
        <v>19</v>
      </c>
      <c r="E9" s="70"/>
      <c r="F9" s="77" t="s">
        <v>20</v>
      </c>
      <c r="G9" s="70"/>
    </row>
    <row r="10" spans="1:7" ht="70" customHeight="1" x14ac:dyDescent="0.35">
      <c r="A10" t="s">
        <v>21</v>
      </c>
      <c r="B10" s="79" t="str">
        <f>HYPERLINK("[EDEL_Portfolio Monthly Notes 31-Jan-2026.xlsx]EDCF27!A1","Edelweiss CRISIL-IBX AAA Bond NBFC-HFC - Jun 2027 Index Fund")</f>
        <v>Edelweiss CRISIL-IBX AAA Bond NBFC-HFC - Jun 2027 Index Fund</v>
      </c>
      <c r="C10" s="70"/>
      <c r="D10" s="77" t="s">
        <v>22</v>
      </c>
      <c r="E10" s="70"/>
      <c r="F10" s="78" t="s">
        <v>11</v>
      </c>
      <c r="G10" s="71" t="s">
        <v>11</v>
      </c>
    </row>
    <row r="11" spans="1:7" ht="70" customHeight="1" x14ac:dyDescent="0.35">
      <c r="A11" t="s">
        <v>23</v>
      </c>
      <c r="B11" s="79" t="str">
        <f>HYPERLINK("[EDEL_Portfolio Monthly Notes 31-Jan-2026.xlsx]EDCF28!A1","Edelweiss CRISIL IBX AAA Financial Services Bond – Jan 2028 Index Fund")</f>
        <v>Edelweiss CRISIL IBX AAA Financial Services Bond – Jan 2028 Index Fund</v>
      </c>
      <c r="C11" s="70"/>
      <c r="D11" s="77" t="s">
        <v>24</v>
      </c>
      <c r="E11" s="70"/>
      <c r="F11" s="78" t="s">
        <v>11</v>
      </c>
      <c r="G11" s="71" t="s">
        <v>11</v>
      </c>
    </row>
    <row r="12" spans="1:7" ht="70" customHeight="1" x14ac:dyDescent="0.35">
      <c r="A12" t="s">
        <v>25</v>
      </c>
      <c r="B12" s="79" t="str">
        <f>HYPERLINK("[EDEL_Portfolio Monthly Notes 31-Jan-2026.xlsx]EDCG27!A1","Edelweiss CRISIL IBX 50 50 Gilt Plus SDL June 2027 Index Fund")</f>
        <v>Edelweiss CRISIL IBX 50 50 Gilt Plus SDL June 2027 Index Fund</v>
      </c>
      <c r="C12" s="70"/>
      <c r="D12" s="77" t="s">
        <v>26</v>
      </c>
      <c r="E12" s="70"/>
      <c r="F12" s="78" t="s">
        <v>11</v>
      </c>
      <c r="G12" s="71" t="s">
        <v>11</v>
      </c>
    </row>
    <row r="13" spans="1:7" ht="70" customHeight="1" x14ac:dyDescent="0.35">
      <c r="A13" t="s">
        <v>27</v>
      </c>
      <c r="B13" s="79" t="str">
        <f>HYPERLINK("[EDEL_Portfolio Monthly Notes 31-Jan-2026.xlsx]EDCG28!A1","Edelweiss_CRISIL_IBX 50 50 Gilt Plus SDL Sep 2028 Index Fund")</f>
        <v>Edelweiss_CRISIL_IBX 50 50 Gilt Plus SDL Sep 2028 Index Fund</v>
      </c>
      <c r="C13" s="70"/>
      <c r="D13" s="77" t="s">
        <v>28</v>
      </c>
      <c r="E13" s="70"/>
      <c r="F13" s="78" t="s">
        <v>11</v>
      </c>
      <c r="G13" s="71" t="s">
        <v>11</v>
      </c>
    </row>
    <row r="14" spans="1:7" ht="70" customHeight="1" x14ac:dyDescent="0.35">
      <c r="A14" t="s">
        <v>29</v>
      </c>
      <c r="B14" s="79" t="str">
        <f>HYPERLINK("[EDEL_Portfolio Monthly Notes 31-Jan-2026.xlsx]EDCG37!A1","Edelweiss_CRISIL IBX 50 50 Gilt Plus SDL April 2037 Index Fund")</f>
        <v>Edelweiss_CRISIL IBX 50 50 Gilt Plus SDL April 2037 Index Fund</v>
      </c>
      <c r="C14" s="70"/>
      <c r="D14" s="77" t="s">
        <v>30</v>
      </c>
      <c r="E14" s="70"/>
      <c r="F14" s="78" t="s">
        <v>11</v>
      </c>
      <c r="G14" s="71" t="s">
        <v>11</v>
      </c>
    </row>
    <row r="15" spans="1:7" ht="70" customHeight="1" x14ac:dyDescent="0.35">
      <c r="A15" t="s">
        <v>31</v>
      </c>
      <c r="B15" s="79" t="str">
        <f>HYPERLINK("[EDEL_Portfolio Monthly Notes 31-Jan-2026.xlsx]EDCSDF!A1","Edelweiss CRL IBX 50 50 Gilt Plus SDL Short Duration Index Fund")</f>
        <v>Edelweiss CRL IBX 50 50 Gilt Plus SDL Short Duration Index Fund</v>
      </c>
      <c r="C15" s="70"/>
      <c r="D15" s="77" t="s">
        <v>32</v>
      </c>
      <c r="E15" s="70"/>
      <c r="F15" s="78" t="s">
        <v>11</v>
      </c>
      <c r="G15" s="71" t="s">
        <v>11</v>
      </c>
    </row>
    <row r="16" spans="1:7" ht="70" customHeight="1" x14ac:dyDescent="0.35">
      <c r="A16" t="s">
        <v>33</v>
      </c>
      <c r="B16" s="79" t="str">
        <f>HYPERLINK("[EDEL_Portfolio Monthly Notes 31-Jan-2026.xlsx]EDFF30!A1","BHARAT Bond FOF - April 2030")</f>
        <v>BHARAT Bond FOF - April 2030</v>
      </c>
      <c r="C16" s="70"/>
      <c r="D16" s="77" t="s">
        <v>10</v>
      </c>
      <c r="E16" s="70"/>
      <c r="F16" s="78" t="s">
        <v>11</v>
      </c>
      <c r="G16" s="71" t="s">
        <v>11</v>
      </c>
    </row>
    <row r="17" spans="1:7" ht="70" customHeight="1" x14ac:dyDescent="0.35">
      <c r="A17" t="s">
        <v>34</v>
      </c>
      <c r="B17" s="79" t="str">
        <f>HYPERLINK("[EDEL_Portfolio Monthly Notes 31-Jan-2026.xlsx]EDFF31!A1","BHARAT Bond FOF - April 2031")</f>
        <v>BHARAT Bond FOF - April 2031</v>
      </c>
      <c r="C17" s="70"/>
      <c r="D17" s="77" t="s">
        <v>13</v>
      </c>
      <c r="E17" s="70"/>
      <c r="F17" s="78" t="s">
        <v>11</v>
      </c>
      <c r="G17" s="71" t="s">
        <v>11</v>
      </c>
    </row>
    <row r="18" spans="1:7" ht="70" customHeight="1" x14ac:dyDescent="0.35">
      <c r="A18" t="s">
        <v>35</v>
      </c>
      <c r="B18" s="79" t="str">
        <f>HYPERLINK("[EDEL_Portfolio Monthly Notes 31-Jan-2026.xlsx]EDFF32!A1","BHARAT Bond FOF - April 2032")</f>
        <v>BHARAT Bond FOF - April 2032</v>
      </c>
      <c r="C18" s="70"/>
      <c r="D18" s="77" t="s">
        <v>15</v>
      </c>
      <c r="E18" s="70"/>
      <c r="F18" s="78" t="s">
        <v>11</v>
      </c>
      <c r="G18" s="71" t="s">
        <v>11</v>
      </c>
    </row>
    <row r="19" spans="1:7" ht="70" customHeight="1" x14ac:dyDescent="0.35">
      <c r="A19" t="s">
        <v>36</v>
      </c>
      <c r="B19" s="79" t="str">
        <f>HYPERLINK("[EDEL_Portfolio Monthly Notes 31-Jan-2026.xlsx]EDFF33!A1","BHARAT Bond FOF - April 2033")</f>
        <v>BHARAT Bond FOF - April 2033</v>
      </c>
      <c r="C19" s="70"/>
      <c r="D19" s="77" t="s">
        <v>17</v>
      </c>
      <c r="E19" s="70"/>
      <c r="F19" s="78" t="s">
        <v>11</v>
      </c>
      <c r="G19" s="71" t="s">
        <v>11</v>
      </c>
    </row>
    <row r="20" spans="1:7" ht="70" customHeight="1" x14ac:dyDescent="0.35">
      <c r="A20" t="s">
        <v>37</v>
      </c>
      <c r="B20" s="79" t="str">
        <f>HYPERLINK("[EDEL_Portfolio Monthly Notes 31-Jan-2026.xlsx]EDGSEC!A1","Edelweiss Government Securities Fund")</f>
        <v>Edelweiss Government Securities Fund</v>
      </c>
      <c r="C20" s="70"/>
      <c r="D20" s="77" t="s">
        <v>38</v>
      </c>
      <c r="E20" s="70"/>
      <c r="F20" s="77" t="s">
        <v>39</v>
      </c>
      <c r="G20" s="70"/>
    </row>
    <row r="21" spans="1:7" ht="70" customHeight="1" x14ac:dyDescent="0.35">
      <c r="A21" t="s">
        <v>40</v>
      </c>
      <c r="B21" s="79" t="str">
        <f>HYPERLINK("[EDEL_Portfolio Monthly Notes 31-Jan-2026.xlsx]EDLDUF!A1","Edelweiss Low Duration Fund")</f>
        <v>Edelweiss Low Duration Fund</v>
      </c>
      <c r="C21" s="70"/>
      <c r="D21" s="77" t="s">
        <v>41</v>
      </c>
      <c r="E21" s="70"/>
      <c r="F21" s="78" t="s">
        <v>11</v>
      </c>
      <c r="G21" s="71" t="s">
        <v>11</v>
      </c>
    </row>
    <row r="22" spans="1:7" ht="70" customHeight="1" x14ac:dyDescent="0.35">
      <c r="A22" t="s">
        <v>42</v>
      </c>
      <c r="B22" s="79" t="str">
        <f>HYPERLINK("[EDEL_Portfolio Monthly Notes 31-Jan-2026.xlsx]EDN1LE!A1","Edelweiss Nifty 1D Rate Liquid ETF")</f>
        <v>Edelweiss Nifty 1D Rate Liquid ETF</v>
      </c>
      <c r="C22" s="70"/>
      <c r="D22" s="77" t="s">
        <v>43</v>
      </c>
      <c r="E22" s="70"/>
      <c r="F22" s="78" t="s">
        <v>11</v>
      </c>
      <c r="G22" s="71" t="s">
        <v>11</v>
      </c>
    </row>
    <row r="23" spans="1:7" ht="70" customHeight="1" x14ac:dyDescent="0.35">
      <c r="A23" t="s">
        <v>44</v>
      </c>
      <c r="B23" s="79" t="str">
        <f>HYPERLINK("[EDEL_Portfolio Monthly Notes 31-Jan-2026.xlsx]EDNP27!A1","Edelweiss Nifty PSU Bond Plus SDL Apr2027 50 50 Index")</f>
        <v>Edelweiss Nifty PSU Bond Plus SDL Apr2027 50 50 Index</v>
      </c>
      <c r="C23" s="70"/>
      <c r="D23" s="77" t="s">
        <v>45</v>
      </c>
      <c r="E23" s="70"/>
      <c r="F23" s="78" t="s">
        <v>11</v>
      </c>
      <c r="G23" s="71" t="s">
        <v>11</v>
      </c>
    </row>
    <row r="24" spans="1:7" ht="70" customHeight="1" x14ac:dyDescent="0.35">
      <c r="A24" t="s">
        <v>46</v>
      </c>
      <c r="B24" s="79" t="str">
        <f>HYPERLINK("[EDEL_Portfolio Monthly Notes 31-Jan-2026.xlsx]EDNPSF!A1","Edelweiss Nifty PSU Bond Plus SDL Apr2026 50 50 Index Fund")</f>
        <v>Edelweiss Nifty PSU Bond Plus SDL Apr2026 50 50 Index Fund</v>
      </c>
      <c r="C24" s="70"/>
      <c r="D24" s="77" t="s">
        <v>47</v>
      </c>
      <c r="E24" s="70"/>
      <c r="F24" s="78" t="s">
        <v>11</v>
      </c>
      <c r="G24" s="71" t="s">
        <v>11</v>
      </c>
    </row>
    <row r="25" spans="1:7" ht="70" customHeight="1" x14ac:dyDescent="0.35">
      <c r="A25" t="s">
        <v>48</v>
      </c>
      <c r="B25" s="79" t="str">
        <f>HYPERLINK("[EDEL_Portfolio Monthly Notes 31-Jan-2026.xlsx]EDONTF!A1","EDELWEISS OVERNIGHT FUND")</f>
        <v>EDELWEISS OVERNIGHT FUND</v>
      </c>
      <c r="C25" s="70"/>
      <c r="D25" s="77" t="s">
        <v>49</v>
      </c>
      <c r="E25" s="70"/>
      <c r="F25" s="78" t="s">
        <v>11</v>
      </c>
      <c r="G25" s="71" t="s">
        <v>11</v>
      </c>
    </row>
    <row r="26" spans="1:7" ht="70" customHeight="1" x14ac:dyDescent="0.35">
      <c r="A26" t="s">
        <v>50</v>
      </c>
      <c r="B26" s="79" t="str">
        <f>HYPERLINK("[EDEL_Portfolio Monthly Notes 31-Jan-2026.xlsx]EEALVF!A1","Edel Nifty Alpha Low Volatility 30 Index Fund")</f>
        <v>Edel Nifty Alpha Low Volatility 30 Index Fund</v>
      </c>
      <c r="C26" s="70"/>
      <c r="D26" s="77" t="s">
        <v>51</v>
      </c>
      <c r="E26" s="70"/>
      <c r="F26" s="78" t="s">
        <v>11</v>
      </c>
      <c r="G26" s="71" t="s">
        <v>11</v>
      </c>
    </row>
    <row r="27" spans="1:7" ht="70" customHeight="1" x14ac:dyDescent="0.35">
      <c r="A27" t="s">
        <v>52</v>
      </c>
      <c r="B27" s="79" t="str">
        <f>HYPERLINK("[EDEL_Portfolio Monthly Notes 31-Jan-2026.xlsx]EEARBF!A1","Edelweiss Arbitrage Fund")</f>
        <v>Edelweiss Arbitrage Fund</v>
      </c>
      <c r="C27" s="70"/>
      <c r="D27" s="77" t="s">
        <v>53</v>
      </c>
      <c r="E27" s="70"/>
      <c r="F27" s="78" t="s">
        <v>11</v>
      </c>
      <c r="G27" s="71" t="s">
        <v>11</v>
      </c>
    </row>
    <row r="28" spans="1:7" ht="70" customHeight="1" x14ac:dyDescent="0.35">
      <c r="A28" t="s">
        <v>54</v>
      </c>
      <c r="B28" s="79" t="str">
        <f>HYPERLINK("[EDEL_Portfolio Monthly Notes 31-Jan-2026.xlsx]EEARFD!A1","Edelweiss Balanced Advantage Fund")</f>
        <v>Edelweiss Balanced Advantage Fund</v>
      </c>
      <c r="C28" s="70"/>
      <c r="D28" s="77" t="s">
        <v>55</v>
      </c>
      <c r="E28" s="70"/>
      <c r="F28" s="78" t="s">
        <v>11</v>
      </c>
      <c r="G28" s="71" t="s">
        <v>11</v>
      </c>
    </row>
    <row r="29" spans="1:7" ht="70" customHeight="1" x14ac:dyDescent="0.35">
      <c r="A29" t="s">
        <v>56</v>
      </c>
      <c r="B29" s="79" t="str">
        <f>HYPERLINK("[EDEL_Portfolio Monthly Notes 31-Jan-2026.xlsx]EEBCIE!A1","Edel BSE Capital Markets &amp; Insurance ETF")</f>
        <v>Edel BSE Capital Markets &amp; Insurance ETF</v>
      </c>
      <c r="C29" s="70"/>
      <c r="D29" s="77" t="s">
        <v>57</v>
      </c>
      <c r="E29" s="70"/>
      <c r="F29" s="78" t="s">
        <v>11</v>
      </c>
      <c r="G29" s="71" t="s">
        <v>11</v>
      </c>
    </row>
    <row r="30" spans="1:7" ht="70" customHeight="1" x14ac:dyDescent="0.35">
      <c r="A30" t="s">
        <v>58</v>
      </c>
      <c r="B30" s="79" t="str">
        <f>HYPERLINK("[EDEL_Portfolio Monthly Notes 31-Jan-2026.xlsx]EEBCYF!A1","Edelweiss Business Cycle Fund")</f>
        <v>Edelweiss Business Cycle Fund</v>
      </c>
      <c r="C30" s="70"/>
      <c r="D30" s="77" t="s">
        <v>59</v>
      </c>
      <c r="E30" s="70"/>
      <c r="F30" s="78" t="s">
        <v>11</v>
      </c>
      <c r="G30" s="71" t="s">
        <v>11</v>
      </c>
    </row>
    <row r="31" spans="1:7" ht="70" customHeight="1" x14ac:dyDescent="0.35">
      <c r="A31" t="s">
        <v>60</v>
      </c>
      <c r="B31" s="79" t="str">
        <f>HYPERLINK("[EDEL_Portfolio Monthly Notes 31-Jan-2026.xlsx]EEBIEF!A1","Edelweiss BSE Internet Economy Index Fund")</f>
        <v>Edelweiss BSE Internet Economy Index Fund</v>
      </c>
      <c r="C31" s="70"/>
      <c r="D31" s="77" t="s">
        <v>61</v>
      </c>
      <c r="E31" s="70"/>
      <c r="F31" s="78" t="s">
        <v>11</v>
      </c>
      <c r="G31" s="71" t="s">
        <v>11</v>
      </c>
    </row>
    <row r="32" spans="1:7" ht="70" customHeight="1" x14ac:dyDescent="0.35">
      <c r="A32" t="s">
        <v>62</v>
      </c>
      <c r="B32" s="79" t="str">
        <f>HYPERLINK("[EDEL_Portfolio Monthly Notes 31-Jan-2026.xlsx]EECONF!A1","Edelweiss Consumption Fund")</f>
        <v>Edelweiss Consumption Fund</v>
      </c>
      <c r="C32" s="70"/>
      <c r="D32" s="77" t="s">
        <v>63</v>
      </c>
      <c r="E32" s="70"/>
      <c r="F32" s="78" t="s">
        <v>11</v>
      </c>
      <c r="G32" s="71" t="s">
        <v>11</v>
      </c>
    </row>
    <row r="33" spans="1:7" ht="70" customHeight="1" x14ac:dyDescent="0.35">
      <c r="A33" t="s">
        <v>64</v>
      </c>
      <c r="B33" s="79" t="str">
        <f>HYPERLINK("[EDEL_Portfolio Monthly Notes 31-Jan-2026.xlsx]EEDGEF!A1","Edelweiss Large Cap Fund")</f>
        <v>Edelweiss Large Cap Fund</v>
      </c>
      <c r="C33" s="70"/>
      <c r="D33" s="77" t="s">
        <v>65</v>
      </c>
      <c r="E33" s="70"/>
      <c r="F33" s="78" t="s">
        <v>11</v>
      </c>
      <c r="G33" s="71" t="s">
        <v>11</v>
      </c>
    </row>
    <row r="34" spans="1:7" ht="70" customHeight="1" x14ac:dyDescent="0.35">
      <c r="A34" t="s">
        <v>66</v>
      </c>
      <c r="B34" s="79" t="str">
        <f>HYPERLINK("[EDEL_Portfolio Monthly Notes 31-Jan-2026.xlsx]EEECRF!A1","Edelweiss Flexi-Cap Fund")</f>
        <v>Edelweiss Flexi-Cap Fund</v>
      </c>
      <c r="C34" s="70"/>
      <c r="D34" s="77" t="s">
        <v>59</v>
      </c>
      <c r="E34" s="70"/>
      <c r="F34" s="78" t="s">
        <v>11</v>
      </c>
      <c r="G34" s="71" t="s">
        <v>11</v>
      </c>
    </row>
    <row r="35" spans="1:7" ht="70" customHeight="1" x14ac:dyDescent="0.35">
      <c r="A35" t="s">
        <v>67</v>
      </c>
      <c r="B35" s="79" t="str">
        <f>HYPERLINK("[EDEL_Portfolio Monthly Notes 31-Jan-2026.xlsx]EEELSS!A1","Edelweiss ELSS Tax saver Fund")</f>
        <v>Edelweiss ELSS Tax saver Fund</v>
      </c>
      <c r="C35" s="70"/>
      <c r="D35" s="77" t="s">
        <v>59</v>
      </c>
      <c r="E35" s="70"/>
      <c r="F35" s="78" t="s">
        <v>11</v>
      </c>
      <c r="G35" s="71" t="s">
        <v>11</v>
      </c>
    </row>
    <row r="36" spans="1:7" ht="70" customHeight="1" x14ac:dyDescent="0.35">
      <c r="A36" t="s">
        <v>68</v>
      </c>
      <c r="B36" s="79" t="str">
        <f>HYPERLINK("[EDEL_Portfolio Monthly Notes 31-Jan-2026.xlsx]EEEQTF!A1","Edelweiss Large &amp; Mid Cap Fund")</f>
        <v>Edelweiss Large &amp; Mid Cap Fund</v>
      </c>
      <c r="C36" s="70"/>
      <c r="D36" s="77" t="s">
        <v>69</v>
      </c>
      <c r="E36" s="70"/>
      <c r="F36" s="78" t="s">
        <v>11</v>
      </c>
      <c r="G36" s="71" t="s">
        <v>11</v>
      </c>
    </row>
    <row r="37" spans="1:7" ht="70" customHeight="1" x14ac:dyDescent="0.35">
      <c r="A37" t="s">
        <v>70</v>
      </c>
      <c r="B37" s="79" t="str">
        <f>HYPERLINK("[EDEL_Portfolio Monthly Notes 31-Jan-2026.xlsx]EEESCF!A1","Edelweiss Small Cap Fund")</f>
        <v>Edelweiss Small Cap Fund</v>
      </c>
      <c r="C37" s="70"/>
      <c r="D37" s="77" t="s">
        <v>71</v>
      </c>
      <c r="E37" s="70"/>
      <c r="F37" s="78" t="s">
        <v>11</v>
      </c>
      <c r="G37" s="71" t="s">
        <v>11</v>
      </c>
    </row>
    <row r="38" spans="1:7" ht="70" customHeight="1" x14ac:dyDescent="0.35">
      <c r="A38" t="s">
        <v>72</v>
      </c>
      <c r="B38" s="79" t="str">
        <f>HYPERLINK("[EDEL_Portfolio Monthly Notes 31-Jan-2026.xlsx]EEESSF!A1","Edelweiss Equity Savings Fund")</f>
        <v>Edelweiss Equity Savings Fund</v>
      </c>
      <c r="C38" s="70"/>
      <c r="D38" s="77" t="s">
        <v>73</v>
      </c>
      <c r="E38" s="70"/>
      <c r="F38" s="78" t="s">
        <v>11</v>
      </c>
      <c r="G38" s="71" t="s">
        <v>11</v>
      </c>
    </row>
    <row r="39" spans="1:7" ht="70" customHeight="1" x14ac:dyDescent="0.35">
      <c r="A39" t="s">
        <v>74</v>
      </c>
      <c r="B39" s="79" t="str">
        <f>HYPERLINK("[EDEL_Portfolio Monthly Notes 31-Jan-2026.xlsx]EEFOCF!A1","Edelweiss Focused Fund")</f>
        <v>Edelweiss Focused Fund</v>
      </c>
      <c r="C39" s="70"/>
      <c r="D39" s="77" t="s">
        <v>59</v>
      </c>
      <c r="E39" s="70"/>
      <c r="F39" s="78" t="s">
        <v>11</v>
      </c>
      <c r="G39" s="71" t="s">
        <v>11</v>
      </c>
    </row>
    <row r="40" spans="1:7" ht="70" customHeight="1" x14ac:dyDescent="0.35">
      <c r="A40" t="s">
        <v>75</v>
      </c>
      <c r="B40" s="79" t="str">
        <f>HYPERLINK("[EDEL_Portfolio Monthly Notes 31-Jan-2026.xlsx]EEIAFF!A1","Edelweiss Income Plus Arbitrage Active Fund of Fund")</f>
        <v>Edelweiss Income Plus Arbitrage Active Fund of Fund</v>
      </c>
      <c r="C40" s="70"/>
      <c r="D40" s="77" t="s">
        <v>76</v>
      </c>
      <c r="E40" s="70"/>
      <c r="F40" s="78" t="s">
        <v>11</v>
      </c>
      <c r="G40" s="71" t="s">
        <v>11</v>
      </c>
    </row>
    <row r="41" spans="1:7" ht="70" customHeight="1" x14ac:dyDescent="0.35">
      <c r="A41" t="s">
        <v>77</v>
      </c>
      <c r="B41" s="79" t="str">
        <f>HYPERLINK("[EDEL_Portfolio Monthly Notes 31-Jan-2026.xlsx]EEIF30!A1","Edelweiss Nifty 100 Quality 30 Index Fnd")</f>
        <v>Edelweiss Nifty 100 Quality 30 Index Fnd</v>
      </c>
      <c r="C41" s="70"/>
      <c r="D41" s="77" t="s">
        <v>78</v>
      </c>
      <c r="E41" s="70"/>
      <c r="F41" s="78" t="s">
        <v>11</v>
      </c>
      <c r="G41" s="71" t="s">
        <v>11</v>
      </c>
    </row>
    <row r="42" spans="1:7" ht="70" customHeight="1" x14ac:dyDescent="0.35">
      <c r="A42" t="s">
        <v>79</v>
      </c>
      <c r="B42" s="79" t="str">
        <f>HYPERLINK("[EDEL_Portfolio Monthly Notes 31-Jan-2026.xlsx]EEIF50!A1","Edelweiss Nifty 50 Index Fund")</f>
        <v>Edelweiss Nifty 50 Index Fund</v>
      </c>
      <c r="C42" s="70"/>
      <c r="D42" s="77" t="s">
        <v>80</v>
      </c>
      <c r="E42" s="70"/>
      <c r="F42" s="78" t="s">
        <v>11</v>
      </c>
      <c r="G42" s="71" t="s">
        <v>11</v>
      </c>
    </row>
    <row r="43" spans="1:7" ht="70" customHeight="1" x14ac:dyDescent="0.35">
      <c r="A43" t="s">
        <v>81</v>
      </c>
      <c r="B43" s="79" t="str">
        <f>HYPERLINK("[EDEL_Portfolio Monthly Notes 31-Jan-2026.xlsx]EELMFE!A1","Edelweiss Nifty LargeMidcap 250 ETF")</f>
        <v>Edelweiss Nifty LargeMidcap 250 ETF</v>
      </c>
      <c r="C43" s="70"/>
      <c r="D43" s="77" t="s">
        <v>82</v>
      </c>
      <c r="E43" s="70"/>
      <c r="F43" s="78" t="s">
        <v>11</v>
      </c>
      <c r="G43" s="71" t="s">
        <v>11</v>
      </c>
    </row>
    <row r="44" spans="1:7" ht="70" customHeight="1" x14ac:dyDescent="0.35">
      <c r="A44" t="s">
        <v>83</v>
      </c>
      <c r="B44" s="79" t="str">
        <f>HYPERLINK("[EDEL_Portfolio Monthly Notes 31-Jan-2026.xlsx]EELMIF!A1","Edelweiss NIFTY Large Mid Cap 250 Index Fund")</f>
        <v>Edelweiss NIFTY Large Mid Cap 250 Index Fund</v>
      </c>
      <c r="C44" s="70"/>
      <c r="D44" s="77" t="s">
        <v>69</v>
      </c>
      <c r="E44" s="70"/>
      <c r="F44" s="78" t="s">
        <v>11</v>
      </c>
      <c r="G44" s="71" t="s">
        <v>11</v>
      </c>
    </row>
    <row r="45" spans="1:7" ht="70" customHeight="1" x14ac:dyDescent="0.35">
      <c r="A45" t="s">
        <v>84</v>
      </c>
      <c r="B45" s="79" t="str">
        <f>HYPERLINK("[EDEL_Portfolio Monthly Notes 31-Jan-2026.xlsx]EEM150!A1","Edelweiss Nifty Midcap150 Momentum 50 Index Fund")</f>
        <v>Edelweiss Nifty Midcap150 Momentum 50 Index Fund</v>
      </c>
      <c r="C45" s="70"/>
      <c r="D45" s="77" t="s">
        <v>85</v>
      </c>
      <c r="E45" s="70"/>
      <c r="F45" s="78" t="s">
        <v>11</v>
      </c>
      <c r="G45" s="71" t="s">
        <v>11</v>
      </c>
    </row>
    <row r="46" spans="1:7" ht="70" customHeight="1" x14ac:dyDescent="0.35">
      <c r="A46" t="s">
        <v>86</v>
      </c>
      <c r="B46" s="79" t="str">
        <f>HYPERLINK("[EDEL_Portfolio Monthly Notes 31-Jan-2026.xlsx]EEMAAF!A1","Edelweiss Multi Asset Allocation Fund")</f>
        <v>Edelweiss Multi Asset Allocation Fund</v>
      </c>
      <c r="C46" s="70"/>
      <c r="D46" s="77" t="s">
        <v>87</v>
      </c>
      <c r="E46" s="70"/>
      <c r="F46" s="78" t="s">
        <v>11</v>
      </c>
      <c r="G46" s="71" t="s">
        <v>11</v>
      </c>
    </row>
    <row r="47" spans="1:7" ht="70" customHeight="1" x14ac:dyDescent="0.35">
      <c r="A47" t="s">
        <v>88</v>
      </c>
      <c r="B47" s="79" t="str">
        <f>HYPERLINK("[EDEL_Portfolio Monthly Notes 31-Jan-2026.xlsx]EEMCPF!A1","Edelweiss Multi Cap Fund")</f>
        <v>Edelweiss Multi Cap Fund</v>
      </c>
      <c r="C47" s="70"/>
      <c r="D47" s="77" t="s">
        <v>89</v>
      </c>
      <c r="E47" s="70"/>
      <c r="F47" s="78" t="s">
        <v>11</v>
      </c>
      <c r="G47" s="71" t="s">
        <v>11</v>
      </c>
    </row>
    <row r="48" spans="1:7" ht="70" customHeight="1" x14ac:dyDescent="0.35">
      <c r="A48" t="s">
        <v>90</v>
      </c>
      <c r="B48" s="79" t="str">
        <f>HYPERLINK("[EDEL_Portfolio Monthly Notes 31-Jan-2026.xlsx]EEMMQE!A1","Edelweiss Nifty500 Multicap Momentum Quality 50 ETF")</f>
        <v>Edelweiss Nifty500 Multicap Momentum Quality 50 ETF</v>
      </c>
      <c r="C48" s="70"/>
      <c r="D48" s="77" t="s">
        <v>91</v>
      </c>
      <c r="E48" s="70"/>
      <c r="F48" s="78" t="s">
        <v>11</v>
      </c>
      <c r="G48" s="71" t="s">
        <v>11</v>
      </c>
    </row>
    <row r="49" spans="1:7" ht="70" customHeight="1" x14ac:dyDescent="0.35">
      <c r="A49" t="s">
        <v>92</v>
      </c>
      <c r="B49" s="79" t="str">
        <f>HYPERLINK("[EDEL_Portfolio Monthly Notes 31-Jan-2026.xlsx]EEMMQI!A1","Edelweiss Nifty500 Multicap Momentum Quality 50 Index Fund")</f>
        <v>Edelweiss Nifty500 Multicap Momentum Quality 50 Index Fund</v>
      </c>
      <c r="C49" s="70"/>
      <c r="D49" s="77" t="s">
        <v>91</v>
      </c>
      <c r="E49" s="70"/>
      <c r="F49" s="78" t="s">
        <v>11</v>
      </c>
      <c r="G49" s="71" t="s">
        <v>11</v>
      </c>
    </row>
    <row r="50" spans="1:7" ht="70" customHeight="1" x14ac:dyDescent="0.35">
      <c r="A50" t="s">
        <v>93</v>
      </c>
      <c r="B50" s="79" t="str">
        <f>HYPERLINK("[EDEL_Portfolio Monthly Notes 31-Jan-2026.xlsx]EEMOF1!A1","EDELWEISS RECENTLY LISTED IPO FUND")</f>
        <v>EDELWEISS RECENTLY LISTED IPO FUND</v>
      </c>
      <c r="C50" s="70"/>
      <c r="D50" s="77" t="s">
        <v>94</v>
      </c>
      <c r="E50" s="70"/>
      <c r="F50" s="78" t="s">
        <v>11</v>
      </c>
      <c r="G50" s="71" t="s">
        <v>11</v>
      </c>
    </row>
    <row r="51" spans="1:7" ht="70" customHeight="1" x14ac:dyDescent="0.35">
      <c r="A51" t="s">
        <v>95</v>
      </c>
      <c r="B51" s="79" t="str">
        <f>HYPERLINK("[EDEL_Portfolio Monthly Notes 31-Jan-2026.xlsx]EEMOFF!A1","Edelweiss Multi Asset Omni Fund of Fund")</f>
        <v>Edelweiss Multi Asset Omni Fund of Fund</v>
      </c>
      <c r="C51" s="70"/>
      <c r="D51" s="77" t="s">
        <v>96</v>
      </c>
      <c r="E51" s="70"/>
      <c r="F51" s="78" t="s">
        <v>11</v>
      </c>
      <c r="G51" s="71" t="s">
        <v>11</v>
      </c>
    </row>
    <row r="52" spans="1:7" ht="70" customHeight="1" x14ac:dyDescent="0.35">
      <c r="A52" t="s">
        <v>97</v>
      </c>
      <c r="B52" s="79" t="str">
        <f>HYPERLINK("[EDEL_Portfolio Monthly Notes 31-Jan-2026.xlsx]EEN50E!A1","Edelweiss Nifty 50 ETF")</f>
        <v>Edelweiss Nifty 50 ETF</v>
      </c>
      <c r="C52" s="70"/>
      <c r="D52" s="77" t="s">
        <v>98</v>
      </c>
      <c r="E52" s="70"/>
      <c r="F52" s="78" t="s">
        <v>11</v>
      </c>
      <c r="G52" s="71" t="s">
        <v>11</v>
      </c>
    </row>
    <row r="53" spans="1:7" ht="70" customHeight="1" x14ac:dyDescent="0.35">
      <c r="A53" t="s">
        <v>99</v>
      </c>
      <c r="B53" s="79" t="str">
        <f>HYPERLINK("[EDEL_Portfolio Monthly Notes 31-Jan-2026.xlsx]EENBEF!A1","Edelweiss Nifty Bank ETF")</f>
        <v>Edelweiss Nifty Bank ETF</v>
      </c>
      <c r="C53" s="70"/>
      <c r="D53" s="77" t="s">
        <v>100</v>
      </c>
      <c r="E53" s="70"/>
      <c r="F53" s="78" t="s">
        <v>11</v>
      </c>
      <c r="G53" s="71" t="s">
        <v>11</v>
      </c>
    </row>
    <row r="54" spans="1:7" ht="70" customHeight="1" x14ac:dyDescent="0.35">
      <c r="A54" t="s">
        <v>101</v>
      </c>
      <c r="B54" s="79" t="str">
        <f>HYPERLINK("[EDEL_Portfolio Monthly Notes 31-Jan-2026.xlsx]EENN50!A1","Edelweiss Nifty Next 50 Index Fund")</f>
        <v>Edelweiss Nifty Next 50 Index Fund</v>
      </c>
      <c r="C54" s="70"/>
      <c r="D54" s="77" t="s">
        <v>102</v>
      </c>
      <c r="E54" s="70"/>
      <c r="F54" s="78" t="s">
        <v>11</v>
      </c>
      <c r="G54" s="71" t="s">
        <v>11</v>
      </c>
    </row>
    <row r="55" spans="1:7" ht="70" customHeight="1" x14ac:dyDescent="0.35">
      <c r="A55" t="s">
        <v>103</v>
      </c>
      <c r="B55" s="79" t="str">
        <f>HYPERLINK("[EDEL_Portfolio Monthly Notes 31-Jan-2026.xlsx]EEPRUA!A1","Edelweiss Aggressive Hybrid Fund")</f>
        <v>Edelweiss Aggressive Hybrid Fund</v>
      </c>
      <c r="C55" s="70"/>
      <c r="D55" s="77" t="s">
        <v>104</v>
      </c>
      <c r="E55" s="70"/>
      <c r="F55" s="78" t="s">
        <v>11</v>
      </c>
      <c r="G55" s="71" t="s">
        <v>11</v>
      </c>
    </row>
    <row r="56" spans="1:7" ht="70" customHeight="1" x14ac:dyDescent="0.35">
      <c r="A56" t="s">
        <v>105</v>
      </c>
      <c r="B56" s="79" t="str">
        <f>HYPERLINK("[EDEL_Portfolio Monthly Notes 31-Jan-2026.xlsx]EES250!A1","Edelweiss Nifty Smallcap 250 Index Fund")</f>
        <v>Edelweiss Nifty Smallcap 250 Index Fund</v>
      </c>
      <c r="C56" s="70"/>
      <c r="D56" s="77" t="s">
        <v>71</v>
      </c>
      <c r="E56" s="70"/>
      <c r="F56" s="78" t="s">
        <v>11</v>
      </c>
      <c r="G56" s="71" t="s">
        <v>11</v>
      </c>
    </row>
    <row r="57" spans="1:7" ht="70" customHeight="1" x14ac:dyDescent="0.35">
      <c r="A57" t="s">
        <v>106</v>
      </c>
      <c r="B57" s="79" t="str">
        <f>HYPERLINK("[EDEL_Portfolio Monthly Notes 31-Jan-2026.xlsx]EES30E!A1","Edelweiss BSE Sensex ETF")</f>
        <v>Edelweiss BSE Sensex ETF</v>
      </c>
      <c r="C57" s="70"/>
      <c r="D57" s="77" t="s">
        <v>107</v>
      </c>
      <c r="E57" s="70"/>
      <c r="F57" s="78" t="s">
        <v>11</v>
      </c>
      <c r="G57" s="71" t="s">
        <v>11</v>
      </c>
    </row>
    <row r="58" spans="1:7" ht="70" customHeight="1" x14ac:dyDescent="0.35">
      <c r="A58" t="s">
        <v>108</v>
      </c>
      <c r="B58" s="79" t="str">
        <f>HYPERLINK("[EDEL_Portfolio Monthly Notes 31-Jan-2026.xlsx]EESMCF!A1","Edelweiss Mid Cap Fund")</f>
        <v>Edelweiss Mid Cap Fund</v>
      </c>
      <c r="C58" s="70"/>
      <c r="D58" s="77" t="s">
        <v>109</v>
      </c>
      <c r="E58" s="70"/>
      <c r="F58" s="78" t="s">
        <v>11</v>
      </c>
      <c r="G58" s="71" t="s">
        <v>11</v>
      </c>
    </row>
    <row r="59" spans="1:7" ht="70" customHeight="1" x14ac:dyDescent="0.35">
      <c r="A59" t="s">
        <v>110</v>
      </c>
      <c r="B59" s="79" t="str">
        <f>HYPERLINK("[EDEL_Portfolio Monthly Notes 31-Jan-2026.xlsx]EETECF!A1","Edelweiss Technology Fund")</f>
        <v>Edelweiss Technology Fund</v>
      </c>
      <c r="C59" s="70"/>
      <c r="D59" s="77" t="s">
        <v>111</v>
      </c>
      <c r="E59" s="70"/>
      <c r="F59" s="78" t="s">
        <v>11</v>
      </c>
      <c r="G59" s="71" t="s">
        <v>11</v>
      </c>
    </row>
    <row r="60" spans="1:7" ht="70" customHeight="1" x14ac:dyDescent="0.35">
      <c r="A60" t="s">
        <v>112</v>
      </c>
      <c r="B60" s="79" t="str">
        <f>HYPERLINK("[EDEL_Portfolio Monthly Notes 31-Jan-2026.xlsx]EGOLDE!A1","Edelweiss Gold ETF Fund")</f>
        <v>Edelweiss Gold ETF Fund</v>
      </c>
      <c r="C60" s="70"/>
      <c r="D60" s="77" t="s">
        <v>113</v>
      </c>
      <c r="E60" s="70"/>
      <c r="F60" s="78" t="s">
        <v>11</v>
      </c>
      <c r="G60" s="71" t="s">
        <v>11</v>
      </c>
    </row>
    <row r="61" spans="1:7" ht="70" customHeight="1" x14ac:dyDescent="0.35">
      <c r="A61" t="s">
        <v>114</v>
      </c>
      <c r="B61" s="79" t="str">
        <f>HYPERLINK("[EDEL_Portfolio Monthly Notes 31-Jan-2026.xlsx]EGSFOF!A1","Edelweiss Gold and Silver ETF FOF")</f>
        <v>Edelweiss Gold and Silver ETF FOF</v>
      </c>
      <c r="C61" s="70"/>
      <c r="D61" s="77" t="s">
        <v>115</v>
      </c>
      <c r="E61" s="70"/>
      <c r="F61" s="78" t="s">
        <v>11</v>
      </c>
      <c r="G61" s="71" t="s">
        <v>11</v>
      </c>
    </row>
    <row r="62" spans="1:7" ht="70" customHeight="1" x14ac:dyDescent="0.35">
      <c r="A62" t="s">
        <v>116</v>
      </c>
      <c r="B62" s="79" t="str">
        <f>HYPERLINK("[EDEL_Portfolio Monthly Notes 31-Jan-2026.xlsx]ELLIQF!A1","Edelweiss Liquid Fund")</f>
        <v>Edelweiss Liquid Fund</v>
      </c>
      <c r="C62" s="70"/>
      <c r="D62" s="77" t="s">
        <v>117</v>
      </c>
      <c r="E62" s="70"/>
      <c r="F62" s="77" t="s">
        <v>118</v>
      </c>
      <c r="G62" s="70"/>
    </row>
    <row r="63" spans="1:7" ht="70" customHeight="1" x14ac:dyDescent="0.35">
      <c r="A63" t="s">
        <v>119</v>
      </c>
      <c r="B63" s="79" t="str">
        <f>HYPERLINK("[EDEL_Portfolio Monthly Notes 31-Jan-2026.xlsx]EOASEF!A1","Edelweiss ASEAN Equity Off-shore Fund")</f>
        <v>Edelweiss ASEAN Equity Off-shore Fund</v>
      </c>
      <c r="C63" s="70"/>
      <c r="D63" s="77" t="s">
        <v>120</v>
      </c>
      <c r="E63" s="70"/>
      <c r="F63" s="78" t="s">
        <v>11</v>
      </c>
      <c r="G63" s="71" t="s">
        <v>11</v>
      </c>
    </row>
    <row r="64" spans="1:7" ht="70" customHeight="1" x14ac:dyDescent="0.35">
      <c r="A64" t="s">
        <v>121</v>
      </c>
      <c r="B64" s="79" t="str">
        <f>HYPERLINK("[EDEL_Portfolio Monthly Notes 31-Jan-2026.xlsx]EOCHIF!A1","Edelweiss Greater China Equity Off-shore Fund")</f>
        <v>Edelweiss Greater China Equity Off-shore Fund</v>
      </c>
      <c r="C64" s="70"/>
      <c r="D64" s="77" t="s">
        <v>122</v>
      </c>
      <c r="E64" s="70"/>
      <c r="F64" s="78" t="s">
        <v>11</v>
      </c>
      <c r="G64" s="71" t="s">
        <v>11</v>
      </c>
    </row>
    <row r="65" spans="1:7" ht="70" customHeight="1" x14ac:dyDescent="0.35">
      <c r="A65" t="s">
        <v>123</v>
      </c>
      <c r="B65" s="79" t="str">
        <f>HYPERLINK("[EDEL_Portfolio Monthly Notes 31-Jan-2026.xlsx]EODWHF!A1","Edelweiss MSCI (I) DM &amp; WD HC 45 ID Fund")</f>
        <v>Edelweiss MSCI (I) DM &amp; WD HC 45 ID Fund</v>
      </c>
      <c r="C65" s="70"/>
      <c r="D65" s="77" t="s">
        <v>124</v>
      </c>
      <c r="E65" s="70"/>
      <c r="F65" s="78" t="s">
        <v>11</v>
      </c>
      <c r="G65" s="71" t="s">
        <v>11</v>
      </c>
    </row>
    <row r="66" spans="1:7" ht="70" customHeight="1" x14ac:dyDescent="0.35">
      <c r="A66" t="s">
        <v>125</v>
      </c>
      <c r="B66" s="79" t="str">
        <f>HYPERLINK("[EDEL_Portfolio Monthly Notes 31-Jan-2026.xlsx]EOEDOF!A1","Edelweiss Europe Dynamic Equity Offshore Fund")</f>
        <v>Edelweiss Europe Dynamic Equity Offshore Fund</v>
      </c>
      <c r="C66" s="70"/>
      <c r="D66" s="77" t="s">
        <v>126</v>
      </c>
      <c r="E66" s="70"/>
      <c r="F66" s="78" t="s">
        <v>11</v>
      </c>
      <c r="G66" s="71" t="s">
        <v>11</v>
      </c>
    </row>
    <row r="67" spans="1:7" ht="70" customHeight="1" x14ac:dyDescent="0.35">
      <c r="A67" t="s">
        <v>127</v>
      </c>
      <c r="B67" s="79" t="str">
        <f>HYPERLINK("[EDEL_Portfolio Monthly Notes 31-Jan-2026.xlsx]EOEMOP!A1","Edelweiss Emerging Markets Opportunities Equity Offshore Fund")</f>
        <v>Edelweiss Emerging Markets Opportunities Equity Offshore Fund</v>
      </c>
      <c r="C67" s="70"/>
      <c r="D67" s="77" t="s">
        <v>128</v>
      </c>
      <c r="E67" s="70"/>
      <c r="F67" s="78" t="s">
        <v>11</v>
      </c>
      <c r="G67" s="71" t="s">
        <v>11</v>
      </c>
    </row>
    <row r="68" spans="1:7" ht="70" customHeight="1" x14ac:dyDescent="0.35">
      <c r="A68" t="s">
        <v>129</v>
      </c>
      <c r="B68" s="79" t="str">
        <f>HYPERLINK("[EDEL_Portfolio Monthly Notes 31-Jan-2026.xlsx]EOUSEF!A1","Edelweiss US Value Equity Off-shore Fund")</f>
        <v>Edelweiss US Value Equity Off-shore Fund</v>
      </c>
      <c r="C68" s="70"/>
      <c r="D68" s="77" t="s">
        <v>130</v>
      </c>
      <c r="E68" s="70"/>
      <c r="F68" s="78" t="s">
        <v>11</v>
      </c>
      <c r="G68" s="71" t="s">
        <v>11</v>
      </c>
    </row>
    <row r="69" spans="1:7" ht="70" customHeight="1" x14ac:dyDescent="0.35">
      <c r="A69" t="s">
        <v>131</v>
      </c>
      <c r="B69" s="79" t="str">
        <f>HYPERLINK("[EDEL_Portfolio Monthly Notes 31-Jan-2026.xlsx]EOUSTF!A1","EDELWEISS US TECHNOLOGY EQUITY FOF")</f>
        <v>EDELWEISS US TECHNOLOGY EQUITY FOF</v>
      </c>
      <c r="C69" s="70"/>
      <c r="D69" s="77" t="s">
        <v>132</v>
      </c>
      <c r="E69" s="70"/>
      <c r="F69" s="78" t="s">
        <v>11</v>
      </c>
      <c r="G69" s="71" t="s">
        <v>11</v>
      </c>
    </row>
    <row r="70" spans="1:7" ht="70" customHeight="1" x14ac:dyDescent="0.35">
      <c r="A70" t="s">
        <v>133</v>
      </c>
      <c r="B70" s="79" t="str">
        <f>HYPERLINK("[EDEL_Portfolio Monthly Notes 31-Jan-2026.xlsx]ESEFOF!A1","Edelweiss Silver ETF Fund of Fund")</f>
        <v>Edelweiss Silver ETF Fund of Fund</v>
      </c>
      <c r="C70" s="70"/>
      <c r="D70" s="77"/>
      <c r="E70" s="70"/>
      <c r="F70" s="78" t="s">
        <v>11</v>
      </c>
      <c r="G70" s="71" t="s">
        <v>11</v>
      </c>
    </row>
    <row r="71" spans="1:7" ht="70" customHeight="1" x14ac:dyDescent="0.35">
      <c r="A71" t="s">
        <v>134</v>
      </c>
      <c r="B71" s="79" t="str">
        <f>HYPERLINK("[EDEL_Portfolio Monthly Notes 31-Jan-2026.xlsx]ESLVRE!A1","Edelweiss Silver ETF Fund")</f>
        <v>Edelweiss Silver ETF Fund</v>
      </c>
      <c r="C71" s="70"/>
      <c r="D71" s="77" t="s">
        <v>135</v>
      </c>
      <c r="E71" s="70"/>
      <c r="F71" s="78" t="s">
        <v>11</v>
      </c>
      <c r="G71" s="71" t="s">
        <v>11</v>
      </c>
    </row>
  </sheetData>
  <autoFilter ref="A3:B71" xr:uid="{00000000-0009-0000-0000-000000000000}"/>
  <mergeCells count="2">
    <mergeCell ref="A2:B2"/>
    <mergeCell ref="A1:B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3"/>
  <sheetViews>
    <sheetView showGridLines="0" workbookViewId="0">
      <pane ySplit="4" topLeftCell="A79" activePane="bottomLeft" state="frozen"/>
      <selection activeCell="H1" sqref="H1:H1048576"/>
      <selection pane="bottomLeft" activeCell="A83" sqref="A83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136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137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4" t="s">
        <v>147</v>
      </c>
      <c r="B8" s="41"/>
      <c r="C8" s="41"/>
      <c r="D8" s="15"/>
      <c r="E8" s="16"/>
      <c r="F8" s="17"/>
      <c r="G8" s="17"/>
    </row>
    <row r="9" spans="1:7" x14ac:dyDescent="0.35">
      <c r="A9" s="14" t="s">
        <v>148</v>
      </c>
      <c r="B9" s="41"/>
      <c r="C9" s="41"/>
      <c r="D9" s="15"/>
      <c r="E9" s="16"/>
      <c r="F9" s="17"/>
      <c r="G9" s="17"/>
    </row>
    <row r="10" spans="1:7" x14ac:dyDescent="0.35">
      <c r="A10" s="14" t="s">
        <v>149</v>
      </c>
      <c r="B10" s="41"/>
      <c r="C10" s="41"/>
      <c r="D10" s="15"/>
      <c r="E10" s="45" t="s">
        <v>146</v>
      </c>
      <c r="F10" s="46" t="s">
        <v>146</v>
      </c>
      <c r="G10" s="17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14" t="s">
        <v>150</v>
      </c>
      <c r="B12" s="41"/>
      <c r="C12" s="41"/>
      <c r="D12" s="15"/>
      <c r="E12" s="16"/>
      <c r="F12" s="17"/>
      <c r="G12" s="17"/>
    </row>
    <row r="13" spans="1:7" x14ac:dyDescent="0.35">
      <c r="A13" s="13" t="s">
        <v>151</v>
      </c>
      <c r="B13" s="41" t="s">
        <v>152</v>
      </c>
      <c r="C13" s="41" t="s">
        <v>153</v>
      </c>
      <c r="D13" s="15">
        <v>500000</v>
      </c>
      <c r="E13" s="16">
        <v>500.37</v>
      </c>
      <c r="F13" s="17">
        <v>1.8E-3</v>
      </c>
      <c r="G13" s="17">
        <v>5.5108999999999998E-2</v>
      </c>
    </row>
    <row r="14" spans="1:7" x14ac:dyDescent="0.35">
      <c r="A14" s="13" t="s">
        <v>154</v>
      </c>
      <c r="B14" s="41" t="s">
        <v>155</v>
      </c>
      <c r="C14" s="41" t="s">
        <v>153</v>
      </c>
      <c r="D14" s="15">
        <v>500000</v>
      </c>
      <c r="E14" s="16">
        <v>500.37</v>
      </c>
      <c r="F14" s="17">
        <v>1.8E-3</v>
      </c>
      <c r="G14" s="17">
        <v>5.4731000000000002E-2</v>
      </c>
    </row>
    <row r="15" spans="1:7" x14ac:dyDescent="0.35">
      <c r="A15" s="13" t="s">
        <v>156</v>
      </c>
      <c r="B15" s="41" t="s">
        <v>157</v>
      </c>
      <c r="C15" s="41" t="s">
        <v>153</v>
      </c>
      <c r="D15" s="15">
        <v>500000</v>
      </c>
      <c r="E15" s="16">
        <v>500.37</v>
      </c>
      <c r="F15" s="17">
        <v>1.8E-3</v>
      </c>
      <c r="G15" s="17">
        <v>5.5116999999999999E-2</v>
      </c>
    </row>
    <row r="16" spans="1:7" x14ac:dyDescent="0.35">
      <c r="A16" s="14" t="s">
        <v>149</v>
      </c>
      <c r="B16" s="42"/>
      <c r="C16" s="42"/>
      <c r="D16" s="18"/>
      <c r="E16" s="36">
        <v>1501.11</v>
      </c>
      <c r="F16" s="37">
        <v>5.4000000000000003E-3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13"/>
      <c r="B18" s="41"/>
      <c r="C18" s="41"/>
      <c r="D18" s="15"/>
      <c r="E18" s="16"/>
      <c r="F18" s="17"/>
      <c r="G18" s="17"/>
    </row>
    <row r="19" spans="1:7" x14ac:dyDescent="0.35">
      <c r="A19" s="14" t="s">
        <v>158</v>
      </c>
      <c r="B19" s="41"/>
      <c r="C19" s="41"/>
      <c r="D19" s="15"/>
      <c r="E19" s="16"/>
      <c r="F19" s="17"/>
      <c r="G19" s="17"/>
    </row>
    <row r="20" spans="1:7" x14ac:dyDescent="0.35">
      <c r="A20" s="14" t="s">
        <v>149</v>
      </c>
      <c r="B20" s="41"/>
      <c r="C20" s="41"/>
      <c r="D20" s="15"/>
      <c r="E20" s="45" t="s">
        <v>146</v>
      </c>
      <c r="F20" s="46" t="s">
        <v>146</v>
      </c>
      <c r="G20" s="17"/>
    </row>
    <row r="21" spans="1:7" x14ac:dyDescent="0.35">
      <c r="A21" s="13"/>
      <c r="B21" s="41"/>
      <c r="C21" s="41"/>
      <c r="D21" s="15"/>
      <c r="E21" s="16"/>
      <c r="F21" s="17"/>
      <c r="G21" s="17"/>
    </row>
    <row r="22" spans="1:7" x14ac:dyDescent="0.35">
      <c r="A22" s="14" t="s">
        <v>159</v>
      </c>
      <c r="B22" s="41"/>
      <c r="C22" s="41"/>
      <c r="D22" s="15"/>
      <c r="E22" s="16"/>
      <c r="F22" s="17"/>
      <c r="G22" s="17"/>
    </row>
    <row r="23" spans="1:7" x14ac:dyDescent="0.35">
      <c r="A23" s="14" t="s">
        <v>149</v>
      </c>
      <c r="B23" s="41"/>
      <c r="C23" s="41"/>
      <c r="D23" s="15"/>
      <c r="E23" s="45" t="s">
        <v>146</v>
      </c>
      <c r="F23" s="46" t="s">
        <v>146</v>
      </c>
      <c r="G23" s="17"/>
    </row>
    <row r="24" spans="1:7" x14ac:dyDescent="0.35">
      <c r="A24" s="13"/>
      <c r="B24" s="41"/>
      <c r="C24" s="41"/>
      <c r="D24" s="15"/>
      <c r="E24" s="16"/>
      <c r="F24" s="17"/>
      <c r="G24" s="17"/>
    </row>
    <row r="25" spans="1:7" x14ac:dyDescent="0.35">
      <c r="A25" s="22" t="s">
        <v>160</v>
      </c>
      <c r="B25" s="43"/>
      <c r="C25" s="43"/>
      <c r="D25" s="23"/>
      <c r="E25" s="36">
        <v>1501.11</v>
      </c>
      <c r="F25" s="37">
        <v>5.4000000000000003E-3</v>
      </c>
      <c r="G25" s="21"/>
    </row>
    <row r="26" spans="1:7" x14ac:dyDescent="0.35">
      <c r="A26" s="13"/>
      <c r="B26" s="41"/>
      <c r="C26" s="41"/>
      <c r="D26" s="15"/>
      <c r="E26" s="16"/>
      <c r="F26" s="17"/>
      <c r="G26" s="17"/>
    </row>
    <row r="27" spans="1:7" x14ac:dyDescent="0.35">
      <c r="A27" s="14" t="s">
        <v>161</v>
      </c>
      <c r="B27" s="41"/>
      <c r="C27" s="41"/>
      <c r="D27" s="15"/>
      <c r="E27" s="16"/>
      <c r="F27" s="17"/>
      <c r="G27" s="17"/>
    </row>
    <row r="28" spans="1:7" x14ac:dyDescent="0.35">
      <c r="A28" s="13"/>
      <c r="B28" s="41"/>
      <c r="C28" s="41"/>
      <c r="D28" s="15"/>
      <c r="E28" s="16"/>
      <c r="F28" s="17"/>
      <c r="G28" s="17"/>
    </row>
    <row r="29" spans="1:7" x14ac:dyDescent="0.35">
      <c r="A29" s="14" t="s">
        <v>162</v>
      </c>
      <c r="B29" s="41"/>
      <c r="C29" s="41"/>
      <c r="D29" s="15"/>
      <c r="E29" s="16"/>
      <c r="F29" s="17"/>
      <c r="G29" s="17"/>
    </row>
    <row r="30" spans="1:7" x14ac:dyDescent="0.35">
      <c r="A30" s="13" t="s">
        <v>163</v>
      </c>
      <c r="B30" s="41" t="s">
        <v>164</v>
      </c>
      <c r="C30" s="41" t="s">
        <v>153</v>
      </c>
      <c r="D30" s="15">
        <v>10000000</v>
      </c>
      <c r="E30" s="16">
        <v>9796.36</v>
      </c>
      <c r="F30" s="17">
        <v>3.5700000000000003E-2</v>
      </c>
      <c r="G30" s="17">
        <v>5.5382000000000001E-2</v>
      </c>
    </row>
    <row r="31" spans="1:7" x14ac:dyDescent="0.35">
      <c r="A31" s="13" t="s">
        <v>165</v>
      </c>
      <c r="B31" s="41" t="s">
        <v>166</v>
      </c>
      <c r="C31" s="41" t="s">
        <v>153</v>
      </c>
      <c r="D31" s="15">
        <v>7500000</v>
      </c>
      <c r="E31" s="16">
        <v>7443.32</v>
      </c>
      <c r="F31" s="17">
        <v>2.7099999999999999E-2</v>
      </c>
      <c r="G31" s="17">
        <v>5.2440000000000001E-2</v>
      </c>
    </row>
    <row r="32" spans="1:7" x14ac:dyDescent="0.35">
      <c r="A32" s="13" t="s">
        <v>167</v>
      </c>
      <c r="B32" s="41" t="s">
        <v>168</v>
      </c>
      <c r="C32" s="41" t="s">
        <v>153</v>
      </c>
      <c r="D32" s="15">
        <v>5500000</v>
      </c>
      <c r="E32" s="16">
        <v>5358.08</v>
      </c>
      <c r="F32" s="17">
        <v>1.95E-2</v>
      </c>
      <c r="G32" s="17">
        <v>5.6209000000000002E-2</v>
      </c>
    </row>
    <row r="33" spans="1:7" x14ac:dyDescent="0.35">
      <c r="A33" s="13" t="s">
        <v>169</v>
      </c>
      <c r="B33" s="41" t="s">
        <v>170</v>
      </c>
      <c r="C33" s="41" t="s">
        <v>153</v>
      </c>
      <c r="D33" s="15">
        <v>5000000</v>
      </c>
      <c r="E33" s="16">
        <v>4967.0600000000004</v>
      </c>
      <c r="F33" s="17">
        <v>1.8100000000000002E-2</v>
      </c>
      <c r="G33" s="17">
        <v>5.2629000000000002E-2</v>
      </c>
    </row>
    <row r="34" spans="1:7" x14ac:dyDescent="0.35">
      <c r="A34" s="13" t="s">
        <v>171</v>
      </c>
      <c r="B34" s="41" t="s">
        <v>172</v>
      </c>
      <c r="C34" s="41" t="s">
        <v>153</v>
      </c>
      <c r="D34" s="15">
        <v>2500000</v>
      </c>
      <c r="E34" s="16">
        <v>2454.1999999999998</v>
      </c>
      <c r="F34" s="17">
        <v>8.8999999999999999E-3</v>
      </c>
      <c r="G34" s="17">
        <v>5.5383000000000002E-2</v>
      </c>
    </row>
    <row r="35" spans="1:7" x14ac:dyDescent="0.35">
      <c r="A35" s="14" t="s">
        <v>149</v>
      </c>
      <c r="B35" s="42"/>
      <c r="C35" s="42"/>
      <c r="D35" s="18"/>
      <c r="E35" s="36">
        <v>30019.02</v>
      </c>
      <c r="F35" s="37">
        <v>0.10929999999999999</v>
      </c>
      <c r="G35" s="21"/>
    </row>
    <row r="36" spans="1:7" x14ac:dyDescent="0.35">
      <c r="A36" s="14" t="s">
        <v>173</v>
      </c>
      <c r="B36" s="41"/>
      <c r="C36" s="41"/>
      <c r="D36" s="15"/>
      <c r="E36" s="16"/>
      <c r="F36" s="17"/>
      <c r="G36" s="17"/>
    </row>
    <row r="37" spans="1:7" x14ac:dyDescent="0.35">
      <c r="A37" s="13" t="s">
        <v>174</v>
      </c>
      <c r="B37" s="41" t="s">
        <v>175</v>
      </c>
      <c r="C37" s="41" t="s">
        <v>176</v>
      </c>
      <c r="D37" s="15">
        <v>12500000</v>
      </c>
      <c r="E37" s="16">
        <v>12177.56</v>
      </c>
      <c r="F37" s="17">
        <v>4.4400000000000002E-2</v>
      </c>
      <c r="G37" s="17">
        <v>7.2123999999999994E-2</v>
      </c>
    </row>
    <row r="38" spans="1:7" x14ac:dyDescent="0.35">
      <c r="A38" s="13" t="s">
        <v>177</v>
      </c>
      <c r="B38" s="41" t="s">
        <v>178</v>
      </c>
      <c r="C38" s="41" t="s">
        <v>176</v>
      </c>
      <c r="D38" s="15">
        <v>12500000</v>
      </c>
      <c r="E38" s="16">
        <v>11809.29</v>
      </c>
      <c r="F38" s="17">
        <v>4.2999999999999997E-2</v>
      </c>
      <c r="G38" s="17">
        <v>7.1400000000000005E-2</v>
      </c>
    </row>
    <row r="39" spans="1:7" x14ac:dyDescent="0.35">
      <c r="A39" s="13" t="s">
        <v>179</v>
      </c>
      <c r="B39" s="41" t="s">
        <v>180</v>
      </c>
      <c r="C39" s="41" t="s">
        <v>176</v>
      </c>
      <c r="D39" s="15">
        <v>10000000</v>
      </c>
      <c r="E39" s="16">
        <v>9930.8799999999992</v>
      </c>
      <c r="F39" s="17">
        <v>3.6200000000000003E-2</v>
      </c>
      <c r="G39" s="17">
        <v>6.6853999999999997E-2</v>
      </c>
    </row>
    <row r="40" spans="1:7" x14ac:dyDescent="0.35">
      <c r="A40" s="13" t="s">
        <v>181</v>
      </c>
      <c r="B40" s="41" t="s">
        <v>182</v>
      </c>
      <c r="C40" s="41" t="s">
        <v>183</v>
      </c>
      <c r="D40" s="15">
        <v>10000000</v>
      </c>
      <c r="E40" s="16">
        <v>9769.68</v>
      </c>
      <c r="F40" s="17">
        <v>3.56E-2</v>
      </c>
      <c r="G40" s="17">
        <v>7.1707000000000007E-2</v>
      </c>
    </row>
    <row r="41" spans="1:7" x14ac:dyDescent="0.35">
      <c r="A41" s="13" t="s">
        <v>184</v>
      </c>
      <c r="B41" s="41" t="s">
        <v>185</v>
      </c>
      <c r="C41" s="41" t="s">
        <v>176</v>
      </c>
      <c r="D41" s="15">
        <v>10000000</v>
      </c>
      <c r="E41" s="16">
        <v>9748.1200000000008</v>
      </c>
      <c r="F41" s="17">
        <v>3.5499999999999997E-2</v>
      </c>
      <c r="G41" s="17">
        <v>7.2549000000000002E-2</v>
      </c>
    </row>
    <row r="42" spans="1:7" x14ac:dyDescent="0.35">
      <c r="A42" s="13" t="s">
        <v>186</v>
      </c>
      <c r="B42" s="41" t="s">
        <v>187</v>
      </c>
      <c r="C42" s="41" t="s">
        <v>188</v>
      </c>
      <c r="D42" s="15">
        <v>10000000</v>
      </c>
      <c r="E42" s="16">
        <v>9747.33</v>
      </c>
      <c r="F42" s="17">
        <v>3.5499999999999997E-2</v>
      </c>
      <c r="G42" s="17">
        <v>7.4499999999999997E-2</v>
      </c>
    </row>
    <row r="43" spans="1:7" x14ac:dyDescent="0.35">
      <c r="A43" s="13" t="s">
        <v>189</v>
      </c>
      <c r="B43" s="41" t="s">
        <v>190</v>
      </c>
      <c r="C43" s="41" t="s">
        <v>183</v>
      </c>
      <c r="D43" s="15">
        <v>10000000</v>
      </c>
      <c r="E43" s="16">
        <v>9574.6299999999992</v>
      </c>
      <c r="F43" s="17">
        <v>3.49E-2</v>
      </c>
      <c r="G43" s="17">
        <v>7.1435999999999999E-2</v>
      </c>
    </row>
    <row r="44" spans="1:7" x14ac:dyDescent="0.35">
      <c r="A44" s="13" t="s">
        <v>191</v>
      </c>
      <c r="B44" s="41" t="s">
        <v>192</v>
      </c>
      <c r="C44" s="41" t="s">
        <v>176</v>
      </c>
      <c r="D44" s="15">
        <v>7500000</v>
      </c>
      <c r="E44" s="16">
        <v>7429.4</v>
      </c>
      <c r="F44" s="17">
        <v>2.7099999999999999E-2</v>
      </c>
      <c r="G44" s="17">
        <v>6.6699999999999995E-2</v>
      </c>
    </row>
    <row r="45" spans="1:7" x14ac:dyDescent="0.35">
      <c r="A45" s="13" t="s">
        <v>193</v>
      </c>
      <c r="B45" s="41" t="s">
        <v>194</v>
      </c>
      <c r="C45" s="41" t="s">
        <v>176</v>
      </c>
      <c r="D45" s="15">
        <v>7500000</v>
      </c>
      <c r="E45" s="16">
        <v>7330.52</v>
      </c>
      <c r="F45" s="17">
        <v>2.6700000000000002E-2</v>
      </c>
      <c r="G45" s="17">
        <v>7.2124999999999995E-2</v>
      </c>
    </row>
    <row r="46" spans="1:7" x14ac:dyDescent="0.35">
      <c r="A46" s="13" t="s">
        <v>195</v>
      </c>
      <c r="B46" s="41" t="s">
        <v>196</v>
      </c>
      <c r="C46" s="41" t="s">
        <v>176</v>
      </c>
      <c r="D46" s="15">
        <v>5000000</v>
      </c>
      <c r="E46" s="16">
        <v>4963.83</v>
      </c>
      <c r="F46" s="17">
        <v>1.8100000000000002E-2</v>
      </c>
      <c r="G46" s="17">
        <v>6.6501000000000005E-2</v>
      </c>
    </row>
    <row r="47" spans="1:7" x14ac:dyDescent="0.35">
      <c r="A47" s="13" t="s">
        <v>197</v>
      </c>
      <c r="B47" s="41" t="s">
        <v>198</v>
      </c>
      <c r="C47" s="41" t="s">
        <v>176</v>
      </c>
      <c r="D47" s="15">
        <v>5000000</v>
      </c>
      <c r="E47" s="16">
        <v>4957.55</v>
      </c>
      <c r="F47" s="17">
        <v>1.8100000000000002E-2</v>
      </c>
      <c r="G47" s="17">
        <v>6.6498000000000002E-2</v>
      </c>
    </row>
    <row r="48" spans="1:7" x14ac:dyDescent="0.35">
      <c r="A48" s="13" t="s">
        <v>199</v>
      </c>
      <c r="B48" s="41" t="s">
        <v>200</v>
      </c>
      <c r="C48" s="41" t="s">
        <v>176</v>
      </c>
      <c r="D48" s="15">
        <v>5000000</v>
      </c>
      <c r="E48" s="16">
        <v>4913.4399999999996</v>
      </c>
      <c r="F48" s="17">
        <v>1.7899999999999999E-2</v>
      </c>
      <c r="G48" s="17">
        <v>7.3069999999999996E-2</v>
      </c>
    </row>
    <row r="49" spans="1:7" x14ac:dyDescent="0.35">
      <c r="A49" s="13" t="s">
        <v>201</v>
      </c>
      <c r="B49" s="41" t="s">
        <v>202</v>
      </c>
      <c r="C49" s="41" t="s">
        <v>183</v>
      </c>
      <c r="D49" s="15">
        <v>5000000</v>
      </c>
      <c r="E49" s="16">
        <v>4900.2700000000004</v>
      </c>
      <c r="F49" s="17">
        <v>1.7899999999999999E-2</v>
      </c>
      <c r="G49" s="17">
        <v>7.2124999999999995E-2</v>
      </c>
    </row>
    <row r="50" spans="1:7" x14ac:dyDescent="0.35">
      <c r="A50" s="13" t="s">
        <v>203</v>
      </c>
      <c r="B50" s="41" t="s">
        <v>204</v>
      </c>
      <c r="C50" s="41" t="s">
        <v>183</v>
      </c>
      <c r="D50" s="15">
        <v>5000000</v>
      </c>
      <c r="E50" s="16">
        <v>4889.8500000000004</v>
      </c>
      <c r="F50" s="17">
        <v>1.78E-2</v>
      </c>
      <c r="G50" s="17">
        <v>7.2123999999999994E-2</v>
      </c>
    </row>
    <row r="51" spans="1:7" x14ac:dyDescent="0.35">
      <c r="A51" s="13" t="s">
        <v>205</v>
      </c>
      <c r="B51" s="41" t="s">
        <v>206</v>
      </c>
      <c r="C51" s="41" t="s">
        <v>188</v>
      </c>
      <c r="D51" s="15">
        <v>5000000</v>
      </c>
      <c r="E51" s="16">
        <v>4881.8900000000003</v>
      </c>
      <c r="F51" s="17">
        <v>1.78E-2</v>
      </c>
      <c r="G51" s="17">
        <v>7.2387000000000007E-2</v>
      </c>
    </row>
    <row r="52" spans="1:7" x14ac:dyDescent="0.35">
      <c r="A52" s="13" t="s">
        <v>207</v>
      </c>
      <c r="B52" s="41" t="s">
        <v>208</v>
      </c>
      <c r="C52" s="41" t="s">
        <v>188</v>
      </c>
      <c r="D52" s="15">
        <v>5000000</v>
      </c>
      <c r="E52" s="16">
        <v>4879.8599999999997</v>
      </c>
      <c r="F52" s="17">
        <v>1.78E-2</v>
      </c>
      <c r="G52" s="17">
        <v>7.2471999999999995E-2</v>
      </c>
    </row>
    <row r="53" spans="1:7" x14ac:dyDescent="0.35">
      <c r="A53" s="13" t="s">
        <v>209</v>
      </c>
      <c r="B53" s="41" t="s">
        <v>210</v>
      </c>
      <c r="C53" s="41" t="s">
        <v>176</v>
      </c>
      <c r="D53" s="15">
        <v>5000000</v>
      </c>
      <c r="E53" s="16">
        <v>4873.24</v>
      </c>
      <c r="F53" s="17">
        <v>1.78E-2</v>
      </c>
      <c r="G53" s="17">
        <v>7.3035000000000003E-2</v>
      </c>
    </row>
    <row r="54" spans="1:7" x14ac:dyDescent="0.35">
      <c r="A54" s="13" t="s">
        <v>211</v>
      </c>
      <c r="B54" s="41" t="s">
        <v>212</v>
      </c>
      <c r="C54" s="41" t="s">
        <v>176</v>
      </c>
      <c r="D54" s="15">
        <v>5000000</v>
      </c>
      <c r="E54" s="16">
        <v>4737.84</v>
      </c>
      <c r="F54" s="17">
        <v>1.7299999999999999E-2</v>
      </c>
      <c r="G54" s="17">
        <v>7.2650000000000006E-2</v>
      </c>
    </row>
    <row r="55" spans="1:7" x14ac:dyDescent="0.35">
      <c r="A55" s="13" t="s">
        <v>213</v>
      </c>
      <c r="B55" s="41" t="s">
        <v>214</v>
      </c>
      <c r="C55" s="41" t="s">
        <v>176</v>
      </c>
      <c r="D55" s="15">
        <v>5000000</v>
      </c>
      <c r="E55" s="16">
        <v>4702.37</v>
      </c>
      <c r="F55" s="17">
        <v>1.7100000000000001E-2</v>
      </c>
      <c r="G55" s="17">
        <v>7.2650000000000006E-2</v>
      </c>
    </row>
    <row r="56" spans="1:7" x14ac:dyDescent="0.35">
      <c r="A56" s="13" t="s">
        <v>215</v>
      </c>
      <c r="B56" s="41" t="s">
        <v>216</v>
      </c>
      <c r="C56" s="41" t="s">
        <v>188</v>
      </c>
      <c r="D56" s="15">
        <v>5000000</v>
      </c>
      <c r="E56" s="16">
        <v>4690.54</v>
      </c>
      <c r="F56" s="17">
        <v>1.7100000000000001E-2</v>
      </c>
      <c r="G56" s="17">
        <v>6.9800000000000001E-2</v>
      </c>
    </row>
    <row r="57" spans="1:7" x14ac:dyDescent="0.35">
      <c r="A57" s="13" t="s">
        <v>217</v>
      </c>
      <c r="B57" s="41" t="s">
        <v>218</v>
      </c>
      <c r="C57" s="41" t="s">
        <v>176</v>
      </c>
      <c r="D57" s="15">
        <v>5000000</v>
      </c>
      <c r="E57" s="16">
        <v>4667.72</v>
      </c>
      <c r="F57" s="17">
        <v>1.7000000000000001E-2</v>
      </c>
      <c r="G57" s="17">
        <v>7.1976999999999999E-2</v>
      </c>
    </row>
    <row r="58" spans="1:7" x14ac:dyDescent="0.35">
      <c r="A58" s="13" t="s">
        <v>219</v>
      </c>
      <c r="B58" s="41" t="s">
        <v>220</v>
      </c>
      <c r="C58" s="41" t="s">
        <v>176</v>
      </c>
      <c r="D58" s="15">
        <v>5000000</v>
      </c>
      <c r="E58" s="16">
        <v>4662.1899999999996</v>
      </c>
      <c r="F58" s="17">
        <v>1.7000000000000001E-2</v>
      </c>
      <c r="G58" s="17">
        <v>7.4499999999999997E-2</v>
      </c>
    </row>
    <row r="59" spans="1:7" x14ac:dyDescent="0.35">
      <c r="A59" s="13" t="s">
        <v>221</v>
      </c>
      <c r="B59" s="41" t="s">
        <v>222</v>
      </c>
      <c r="C59" s="41" t="s">
        <v>176</v>
      </c>
      <c r="D59" s="15">
        <v>2500000</v>
      </c>
      <c r="E59" s="16">
        <v>2450.4899999999998</v>
      </c>
      <c r="F59" s="17">
        <v>8.8999999999999999E-3</v>
      </c>
      <c r="G59" s="17">
        <v>7.1600999999999998E-2</v>
      </c>
    </row>
    <row r="60" spans="1:7" x14ac:dyDescent="0.35">
      <c r="A60" s="13" t="s">
        <v>223</v>
      </c>
      <c r="B60" s="41" t="s">
        <v>224</v>
      </c>
      <c r="C60" s="41" t="s">
        <v>188</v>
      </c>
      <c r="D60" s="15">
        <v>2500000</v>
      </c>
      <c r="E60" s="16">
        <v>2363</v>
      </c>
      <c r="F60" s="17">
        <v>8.6E-3</v>
      </c>
      <c r="G60" s="17">
        <v>7.1249999999999994E-2</v>
      </c>
    </row>
    <row r="61" spans="1:7" x14ac:dyDescent="0.35">
      <c r="A61" s="14" t="s">
        <v>149</v>
      </c>
      <c r="B61" s="42"/>
      <c r="C61" s="42"/>
      <c r="D61" s="18"/>
      <c r="E61" s="36">
        <v>155051.49</v>
      </c>
      <c r="F61" s="37">
        <v>0.56510000000000005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4" t="s">
        <v>225</v>
      </c>
      <c r="B63" s="41"/>
      <c r="C63" s="41"/>
      <c r="D63" s="15"/>
      <c r="E63" s="16"/>
      <c r="F63" s="17"/>
      <c r="G63" s="17"/>
    </row>
    <row r="64" spans="1:7" x14ac:dyDescent="0.35">
      <c r="A64" s="13" t="s">
        <v>226</v>
      </c>
      <c r="B64" s="41" t="s">
        <v>227</v>
      </c>
      <c r="C64" s="41" t="s">
        <v>176</v>
      </c>
      <c r="D64" s="15">
        <v>10000000</v>
      </c>
      <c r="E64" s="16">
        <v>9990.35</v>
      </c>
      <c r="F64" s="17">
        <v>3.6400000000000002E-2</v>
      </c>
      <c r="G64" s="17">
        <v>7.0513000000000006E-2</v>
      </c>
    </row>
    <row r="65" spans="1:7" x14ac:dyDescent="0.35">
      <c r="A65" s="13" t="s">
        <v>228</v>
      </c>
      <c r="B65" s="41" t="s">
        <v>229</v>
      </c>
      <c r="C65" s="41" t="s">
        <v>176</v>
      </c>
      <c r="D65" s="15">
        <v>7500000</v>
      </c>
      <c r="E65" s="16">
        <v>7438.31</v>
      </c>
      <c r="F65" s="17">
        <v>2.7099999999999999E-2</v>
      </c>
      <c r="G65" s="17">
        <v>7.0400000000000004E-2</v>
      </c>
    </row>
    <row r="66" spans="1:7" x14ac:dyDescent="0.35">
      <c r="A66" s="13" t="s">
        <v>230</v>
      </c>
      <c r="B66" s="41" t="s">
        <v>231</v>
      </c>
      <c r="C66" s="41" t="s">
        <v>176</v>
      </c>
      <c r="D66" s="15">
        <v>7500000</v>
      </c>
      <c r="E66" s="16">
        <v>7428.3</v>
      </c>
      <c r="F66" s="17">
        <v>2.7099999999999999E-2</v>
      </c>
      <c r="G66" s="17">
        <v>6.7752000000000007E-2</v>
      </c>
    </row>
    <row r="67" spans="1:7" x14ac:dyDescent="0.35">
      <c r="A67" s="13" t="s">
        <v>232</v>
      </c>
      <c r="B67" s="41" t="s">
        <v>233</v>
      </c>
      <c r="C67" s="41" t="s">
        <v>176</v>
      </c>
      <c r="D67" s="15">
        <v>5000000</v>
      </c>
      <c r="E67" s="16">
        <v>4968.6000000000004</v>
      </c>
      <c r="F67" s="17">
        <v>1.8100000000000002E-2</v>
      </c>
      <c r="G67" s="17">
        <v>7.9547000000000007E-2</v>
      </c>
    </row>
    <row r="68" spans="1:7" x14ac:dyDescent="0.35">
      <c r="A68" s="13" t="s">
        <v>234</v>
      </c>
      <c r="B68" s="41" t="s">
        <v>235</v>
      </c>
      <c r="C68" s="41" t="s">
        <v>176</v>
      </c>
      <c r="D68" s="15">
        <v>5000000</v>
      </c>
      <c r="E68" s="16">
        <v>4961.3900000000003</v>
      </c>
      <c r="F68" s="17">
        <v>1.8100000000000002E-2</v>
      </c>
      <c r="G68" s="17">
        <v>7.1026000000000006E-2</v>
      </c>
    </row>
    <row r="69" spans="1:7" x14ac:dyDescent="0.35">
      <c r="A69" s="13" t="s">
        <v>236</v>
      </c>
      <c r="B69" s="41" t="s">
        <v>237</v>
      </c>
      <c r="C69" s="41" t="s">
        <v>176</v>
      </c>
      <c r="D69" s="15">
        <v>5000000</v>
      </c>
      <c r="E69" s="16">
        <v>4960.01</v>
      </c>
      <c r="F69" s="17">
        <v>1.8100000000000002E-2</v>
      </c>
      <c r="G69" s="17">
        <v>7.9549999999999996E-2</v>
      </c>
    </row>
    <row r="70" spans="1:7" x14ac:dyDescent="0.35">
      <c r="A70" s="13" t="s">
        <v>238</v>
      </c>
      <c r="B70" s="41" t="s">
        <v>239</v>
      </c>
      <c r="C70" s="41" t="s">
        <v>176</v>
      </c>
      <c r="D70" s="15">
        <v>5000000</v>
      </c>
      <c r="E70" s="16">
        <v>4886.58</v>
      </c>
      <c r="F70" s="17">
        <v>1.78E-2</v>
      </c>
      <c r="G70" s="17">
        <v>7.7725000000000002E-2</v>
      </c>
    </row>
    <row r="71" spans="1:7" x14ac:dyDescent="0.35">
      <c r="A71" s="13" t="s">
        <v>240</v>
      </c>
      <c r="B71" s="41" t="s">
        <v>241</v>
      </c>
      <c r="C71" s="41" t="s">
        <v>176</v>
      </c>
      <c r="D71" s="15">
        <v>5000000</v>
      </c>
      <c r="E71" s="16">
        <v>4875.42</v>
      </c>
      <c r="F71" s="17">
        <v>1.78E-2</v>
      </c>
      <c r="G71" s="17">
        <v>7.2300000000000003E-2</v>
      </c>
    </row>
    <row r="72" spans="1:7" x14ac:dyDescent="0.35">
      <c r="A72" s="13" t="s">
        <v>242</v>
      </c>
      <c r="B72" s="41" t="s">
        <v>243</v>
      </c>
      <c r="C72" s="41" t="s">
        <v>176</v>
      </c>
      <c r="D72" s="15">
        <v>5000000</v>
      </c>
      <c r="E72" s="16">
        <v>4625.22</v>
      </c>
      <c r="F72" s="17">
        <v>1.6799999999999999E-2</v>
      </c>
      <c r="G72" s="17">
        <v>8.1928000000000001E-2</v>
      </c>
    </row>
    <row r="73" spans="1:7" x14ac:dyDescent="0.35">
      <c r="A73" s="13" t="s">
        <v>244</v>
      </c>
      <c r="B73" s="41" t="s">
        <v>245</v>
      </c>
      <c r="C73" s="41" t="s">
        <v>176</v>
      </c>
      <c r="D73" s="15">
        <v>2500000</v>
      </c>
      <c r="E73" s="16">
        <v>2483.94</v>
      </c>
      <c r="F73" s="17">
        <v>8.9999999999999993E-3</v>
      </c>
      <c r="G73" s="17">
        <v>7.1501999999999996E-2</v>
      </c>
    </row>
    <row r="74" spans="1:7" x14ac:dyDescent="0.35">
      <c r="A74" s="13" t="s">
        <v>246</v>
      </c>
      <c r="B74" s="41" t="s">
        <v>247</v>
      </c>
      <c r="C74" s="41" t="s">
        <v>176</v>
      </c>
      <c r="D74" s="15">
        <v>2500000</v>
      </c>
      <c r="E74" s="16">
        <v>2478.5700000000002</v>
      </c>
      <c r="F74" s="17">
        <v>8.9999999999999993E-3</v>
      </c>
      <c r="G74" s="17">
        <v>7.0150000000000004E-2</v>
      </c>
    </row>
    <row r="75" spans="1:7" x14ac:dyDescent="0.35">
      <c r="A75" s="13" t="s">
        <v>248</v>
      </c>
      <c r="B75" s="41" t="s">
        <v>249</v>
      </c>
      <c r="C75" s="41" t="s">
        <v>183</v>
      </c>
      <c r="D75" s="15">
        <v>2500000</v>
      </c>
      <c r="E75" s="16">
        <v>2432.5700000000002</v>
      </c>
      <c r="F75" s="17">
        <v>8.8999999999999999E-3</v>
      </c>
      <c r="G75" s="17">
        <v>8.6473999999999995E-2</v>
      </c>
    </row>
    <row r="76" spans="1:7" x14ac:dyDescent="0.35">
      <c r="A76" s="13" t="s">
        <v>250</v>
      </c>
      <c r="B76" s="41" t="s">
        <v>251</v>
      </c>
      <c r="C76" s="41" t="s">
        <v>176</v>
      </c>
      <c r="D76" s="15">
        <v>2500000</v>
      </c>
      <c r="E76" s="16">
        <v>2324.77</v>
      </c>
      <c r="F76" s="17">
        <v>8.5000000000000006E-3</v>
      </c>
      <c r="G76" s="17">
        <v>7.7937999999999993E-2</v>
      </c>
    </row>
    <row r="77" spans="1:7" x14ac:dyDescent="0.35">
      <c r="A77" s="14" t="s">
        <v>149</v>
      </c>
      <c r="B77" s="42"/>
      <c r="C77" s="42"/>
      <c r="D77" s="18"/>
      <c r="E77" s="36">
        <v>63854.03</v>
      </c>
      <c r="F77" s="37">
        <v>0.23269999999999999</v>
      </c>
      <c r="G77" s="21"/>
    </row>
    <row r="78" spans="1:7" x14ac:dyDescent="0.35">
      <c r="A78" s="13"/>
      <c r="B78" s="41"/>
      <c r="C78" s="41"/>
      <c r="D78" s="15"/>
      <c r="E78" s="16"/>
      <c r="F78" s="17"/>
      <c r="G78" s="17"/>
    </row>
    <row r="79" spans="1:7" x14ac:dyDescent="0.35">
      <c r="A79" s="22" t="s">
        <v>160</v>
      </c>
      <c r="B79" s="43"/>
      <c r="C79" s="43"/>
      <c r="D79" s="23"/>
      <c r="E79" s="36">
        <v>248924.54</v>
      </c>
      <c r="F79" s="37">
        <v>0.90710000000000002</v>
      </c>
      <c r="G79" s="21"/>
    </row>
    <row r="80" spans="1:7" x14ac:dyDescent="0.35">
      <c r="A80" s="13"/>
      <c r="B80" s="41"/>
      <c r="C80" s="41"/>
      <c r="D80" s="15"/>
      <c r="E80" s="16"/>
      <c r="F80" s="17"/>
      <c r="G80" s="17"/>
    </row>
    <row r="81" spans="1:7" x14ac:dyDescent="0.35">
      <c r="A81" s="13"/>
      <c r="B81" s="41"/>
      <c r="C81" s="41"/>
      <c r="D81" s="15"/>
      <c r="E81" s="16"/>
      <c r="F81" s="17"/>
      <c r="G81" s="17"/>
    </row>
    <row r="82" spans="1:7" x14ac:dyDescent="0.35">
      <c r="A82" s="14" t="s">
        <v>252</v>
      </c>
      <c r="B82" s="41"/>
      <c r="C82" s="41"/>
      <c r="D82" s="15"/>
      <c r="E82" s="16"/>
      <c r="F82" s="17"/>
      <c r="G82" s="17"/>
    </row>
    <row r="83" spans="1:7" x14ac:dyDescent="0.35">
      <c r="A83" s="13" t="s">
        <v>253</v>
      </c>
      <c r="B83" s="41" t="s">
        <v>254</v>
      </c>
      <c r="C83" s="41"/>
      <c r="D83" s="15">
        <v>5927.4629999999997</v>
      </c>
      <c r="E83" s="16">
        <v>687.52</v>
      </c>
      <c r="F83" s="17">
        <v>2.5000000000000001E-3</v>
      </c>
      <c r="G83" s="17"/>
    </row>
    <row r="84" spans="1:7" x14ac:dyDescent="0.35">
      <c r="A84" s="13"/>
      <c r="B84" s="41"/>
      <c r="C84" s="41"/>
      <c r="D84" s="15"/>
      <c r="E84" s="16"/>
      <c r="F84" s="17"/>
      <c r="G84" s="17"/>
    </row>
    <row r="85" spans="1:7" x14ac:dyDescent="0.35">
      <c r="A85" s="22" t="s">
        <v>160</v>
      </c>
      <c r="B85" s="43"/>
      <c r="C85" s="43"/>
      <c r="D85" s="23"/>
      <c r="E85" s="36">
        <v>687.52</v>
      </c>
      <c r="F85" s="37">
        <v>2.5000000000000001E-3</v>
      </c>
      <c r="G85" s="21"/>
    </row>
    <row r="86" spans="1:7" x14ac:dyDescent="0.35">
      <c r="A86" s="13"/>
      <c r="B86" s="41"/>
      <c r="C86" s="41"/>
      <c r="D86" s="15"/>
      <c r="E86" s="16"/>
      <c r="F86" s="17"/>
      <c r="G86" s="17"/>
    </row>
    <row r="87" spans="1:7" x14ac:dyDescent="0.35">
      <c r="A87" s="14" t="s">
        <v>255</v>
      </c>
      <c r="B87" s="41"/>
      <c r="C87" s="41"/>
      <c r="D87" s="15"/>
      <c r="E87" s="16"/>
      <c r="F87" s="17"/>
      <c r="G87" s="17"/>
    </row>
    <row r="88" spans="1:7" x14ac:dyDescent="0.35">
      <c r="A88" s="13" t="s">
        <v>256</v>
      </c>
      <c r="B88" s="41"/>
      <c r="C88" s="41"/>
      <c r="D88" s="15"/>
      <c r="E88" s="16">
        <v>9999.5300000000007</v>
      </c>
      <c r="F88" s="17">
        <v>3.6400000000000002E-2</v>
      </c>
      <c r="G88" s="17">
        <v>5.3999999999999999E-2</v>
      </c>
    </row>
    <row r="89" spans="1:7" x14ac:dyDescent="0.35">
      <c r="A89" s="13" t="s">
        <v>257</v>
      </c>
      <c r="B89" s="41"/>
      <c r="C89" s="41"/>
      <c r="D89" s="15"/>
      <c r="E89" s="16">
        <v>13499.26</v>
      </c>
      <c r="F89" s="17">
        <v>4.9200000000000001E-2</v>
      </c>
      <c r="G89" s="17">
        <v>5.1742000000000003E-2</v>
      </c>
    </row>
    <row r="90" spans="1:7" x14ac:dyDescent="0.35">
      <c r="A90" s="14" t="s">
        <v>149</v>
      </c>
      <c r="B90" s="42"/>
      <c r="C90" s="42"/>
      <c r="D90" s="18"/>
      <c r="E90" s="36">
        <v>23498.79</v>
      </c>
      <c r="F90" s="37">
        <v>8.5599999999999996E-2</v>
      </c>
      <c r="G90" s="21"/>
    </row>
    <row r="91" spans="1:7" x14ac:dyDescent="0.35">
      <c r="A91" s="13"/>
      <c r="B91" s="41"/>
      <c r="C91" s="41"/>
      <c r="D91" s="15"/>
      <c r="E91" s="16"/>
      <c r="F91" s="17"/>
      <c r="G91" s="17"/>
    </row>
    <row r="92" spans="1:7" x14ac:dyDescent="0.35">
      <c r="A92" s="22" t="s">
        <v>160</v>
      </c>
      <c r="B92" s="43"/>
      <c r="C92" s="43"/>
      <c r="D92" s="23"/>
      <c r="E92" s="36">
        <v>23498.79</v>
      </c>
      <c r="F92" s="37">
        <v>8.5599999999999996E-2</v>
      </c>
      <c r="G92" s="21"/>
    </row>
    <row r="93" spans="1:7" x14ac:dyDescent="0.35">
      <c r="A93" s="13" t="s">
        <v>258</v>
      </c>
      <c r="B93" s="41"/>
      <c r="C93" s="41"/>
      <c r="D93" s="15"/>
      <c r="E93" s="16">
        <v>67.538544200000004</v>
      </c>
      <c r="F93" s="17">
        <v>2.4600000000000002E-4</v>
      </c>
      <c r="G93" s="17"/>
    </row>
    <row r="94" spans="1:7" x14ac:dyDescent="0.35">
      <c r="A94" s="13" t="s">
        <v>259</v>
      </c>
      <c r="B94" s="41"/>
      <c r="C94" s="41"/>
      <c r="D94" s="15"/>
      <c r="E94" s="28">
        <v>-173.84854419999999</v>
      </c>
      <c r="F94" s="29">
        <v>-8.4599999999999996E-4</v>
      </c>
      <c r="G94" s="17">
        <v>5.2701999999999999E-2</v>
      </c>
    </row>
    <row r="95" spans="1:7" x14ac:dyDescent="0.35">
      <c r="A95" s="38" t="s">
        <v>260</v>
      </c>
      <c r="B95" s="44"/>
      <c r="C95" s="44"/>
      <c r="D95" s="39"/>
      <c r="E95" s="24">
        <v>274505.65000000002</v>
      </c>
      <c r="F95" s="25">
        <v>1</v>
      </c>
      <c r="G95" s="25"/>
    </row>
    <row r="97" spans="1:3" x14ac:dyDescent="0.35">
      <c r="A97" s="1" t="s">
        <v>261</v>
      </c>
    </row>
    <row r="98" spans="1:3" x14ac:dyDescent="0.35">
      <c r="A98" s="1" t="s">
        <v>262</v>
      </c>
    </row>
    <row r="100" spans="1:3" x14ac:dyDescent="0.35">
      <c r="A100" s="1" t="s">
        <v>263</v>
      </c>
    </row>
    <row r="101" spans="1:3" ht="29" customHeight="1" x14ac:dyDescent="0.35">
      <c r="A101" s="47" t="s">
        <v>264</v>
      </c>
      <c r="B101" s="3" t="s">
        <v>146</v>
      </c>
    </row>
    <row r="102" spans="1:3" x14ac:dyDescent="0.35">
      <c r="A102" t="s">
        <v>265</v>
      </c>
    </row>
    <row r="103" spans="1:3" x14ac:dyDescent="0.35">
      <c r="A103" t="s">
        <v>266</v>
      </c>
      <c r="B103" t="s">
        <v>267</v>
      </c>
      <c r="C103" t="s">
        <v>267</v>
      </c>
    </row>
    <row r="104" spans="1:3" x14ac:dyDescent="0.35">
      <c r="B104" s="49">
        <v>46022</v>
      </c>
      <c r="C104" s="49">
        <v>46052</v>
      </c>
    </row>
    <row r="105" spans="1:3" x14ac:dyDescent="0.35">
      <c r="A105" t="s">
        <v>268</v>
      </c>
      <c r="B105">
        <v>32.390300000000003</v>
      </c>
      <c r="C105">
        <v>32.4833</v>
      </c>
    </row>
    <row r="106" spans="1:3" x14ac:dyDescent="0.35">
      <c r="A106" t="s">
        <v>269</v>
      </c>
      <c r="B106" t="s">
        <v>270</v>
      </c>
      <c r="C106" t="s">
        <v>271</v>
      </c>
    </row>
    <row r="107" spans="1:3" x14ac:dyDescent="0.35">
      <c r="A107" t="s">
        <v>272</v>
      </c>
      <c r="B107">
        <v>32.394599999999997</v>
      </c>
      <c r="C107">
        <v>32.490600000000001</v>
      </c>
    </row>
    <row r="108" spans="1:3" x14ac:dyDescent="0.35">
      <c r="A108" t="s">
        <v>273</v>
      </c>
      <c r="B108">
        <v>30.212</v>
      </c>
      <c r="C108">
        <v>30.301500000000001</v>
      </c>
    </row>
    <row r="109" spans="1:3" x14ac:dyDescent="0.35">
      <c r="A109" t="s">
        <v>274</v>
      </c>
      <c r="B109" t="s">
        <v>270</v>
      </c>
      <c r="C109" t="s">
        <v>271</v>
      </c>
    </row>
    <row r="110" spans="1:3" x14ac:dyDescent="0.35">
      <c r="A110" t="s">
        <v>275</v>
      </c>
      <c r="B110">
        <v>25.0657</v>
      </c>
      <c r="C110">
        <v>25.127400000000002</v>
      </c>
    </row>
    <row r="111" spans="1:3" x14ac:dyDescent="0.35">
      <c r="A111" t="s">
        <v>276</v>
      </c>
      <c r="B111" t="s">
        <v>270</v>
      </c>
      <c r="C111" t="s">
        <v>271</v>
      </c>
    </row>
    <row r="112" spans="1:3" x14ac:dyDescent="0.35">
      <c r="A112" t="s">
        <v>277</v>
      </c>
      <c r="B112">
        <v>29.05</v>
      </c>
      <c r="C112">
        <v>29.121500000000001</v>
      </c>
    </row>
    <row r="113" spans="1:3" x14ac:dyDescent="0.35">
      <c r="A113" t="s">
        <v>278</v>
      </c>
      <c r="B113" t="s">
        <v>270</v>
      </c>
      <c r="C113" t="s">
        <v>271</v>
      </c>
    </row>
    <row r="114" spans="1:3" x14ac:dyDescent="0.35">
      <c r="A114" t="s">
        <v>279</v>
      </c>
      <c r="B114">
        <v>29.291699999999999</v>
      </c>
      <c r="C114">
        <v>29.363800000000001</v>
      </c>
    </row>
    <row r="115" spans="1:3" x14ac:dyDescent="0.35">
      <c r="A115" t="s">
        <v>280</v>
      </c>
      <c r="B115">
        <v>27.5549</v>
      </c>
      <c r="C115">
        <v>27.622800000000002</v>
      </c>
    </row>
    <row r="116" spans="1:3" x14ac:dyDescent="0.35">
      <c r="A116" t="s">
        <v>281</v>
      </c>
      <c r="B116" t="s">
        <v>270</v>
      </c>
      <c r="C116" t="s">
        <v>271</v>
      </c>
    </row>
    <row r="117" spans="1:3" x14ac:dyDescent="0.35">
      <c r="A117" t="s">
        <v>282</v>
      </c>
    </row>
    <row r="119" spans="1:3" x14ac:dyDescent="0.35">
      <c r="A119" t="s">
        <v>283</v>
      </c>
      <c r="B119" s="3" t="s">
        <v>146</v>
      </c>
    </row>
    <row r="120" spans="1:3" x14ac:dyDescent="0.35">
      <c r="A120" t="s">
        <v>284</v>
      </c>
      <c r="B120" s="3" t="s">
        <v>146</v>
      </c>
    </row>
    <row r="121" spans="1:3" ht="58" customHeight="1" x14ac:dyDescent="0.35">
      <c r="A121" s="47" t="s">
        <v>285</v>
      </c>
      <c r="B121" s="3" t="s">
        <v>146</v>
      </c>
    </row>
    <row r="122" spans="1:3" ht="43.5" customHeight="1" x14ac:dyDescent="0.35">
      <c r="A122" s="47" t="s">
        <v>286</v>
      </c>
      <c r="B122" s="3" t="s">
        <v>146</v>
      </c>
    </row>
    <row r="123" spans="1:3" x14ac:dyDescent="0.35">
      <c r="A123" t="s">
        <v>287</v>
      </c>
      <c r="B123" s="48">
        <f>B138</f>
        <v>0.33776065491457108</v>
      </c>
    </row>
    <row r="124" spans="1:3" ht="72.5" customHeight="1" x14ac:dyDescent="0.35">
      <c r="A124" s="47" t="s">
        <v>288</v>
      </c>
      <c r="B124" s="3" t="s">
        <v>146</v>
      </c>
    </row>
    <row r="125" spans="1:3" x14ac:dyDescent="0.35">
      <c r="B125" s="3"/>
    </row>
    <row r="126" spans="1:3" ht="58" customHeight="1" x14ac:dyDescent="0.35">
      <c r="A126" s="47" t="s">
        <v>289</v>
      </c>
      <c r="B126" s="3" t="s">
        <v>146</v>
      </c>
    </row>
    <row r="127" spans="1:3" ht="58" customHeight="1" x14ac:dyDescent="0.35">
      <c r="A127" s="47" t="s">
        <v>290</v>
      </c>
      <c r="B127">
        <v>48674.3</v>
      </c>
    </row>
    <row r="128" spans="1:3" ht="43.5" customHeight="1" x14ac:dyDescent="0.35">
      <c r="A128" s="47" t="s">
        <v>291</v>
      </c>
      <c r="B128" s="3" t="s">
        <v>146</v>
      </c>
    </row>
    <row r="129" spans="1:6" ht="43.5" customHeight="1" x14ac:dyDescent="0.35">
      <c r="A129" s="47" t="s">
        <v>292</v>
      </c>
      <c r="B129" s="3" t="s">
        <v>146</v>
      </c>
    </row>
    <row r="131" spans="1:6" x14ac:dyDescent="0.35">
      <c r="A131" t="s">
        <v>293</v>
      </c>
      <c r="B131" t="s">
        <v>294</v>
      </c>
    </row>
    <row r="132" spans="1:6" x14ac:dyDescent="0.35">
      <c r="A132" s="51" t="s">
        <v>295</v>
      </c>
      <c r="B132" s="51" t="s">
        <v>296</v>
      </c>
    </row>
    <row r="133" spans="1:6" x14ac:dyDescent="0.35">
      <c r="A133" s="51" t="s">
        <v>297</v>
      </c>
      <c r="B133" s="51" t="s">
        <v>298</v>
      </c>
    </row>
    <row r="134" spans="1:6" x14ac:dyDescent="0.35">
      <c r="A134" s="51"/>
      <c r="B134" s="51"/>
    </row>
    <row r="135" spans="1:6" x14ac:dyDescent="0.35">
      <c r="A135" s="51" t="s">
        <v>299</v>
      </c>
      <c r="B135" s="52">
        <v>6.8268471979338328</v>
      </c>
    </row>
    <row r="136" spans="1:6" x14ac:dyDescent="0.35">
      <c r="A136" s="51"/>
      <c r="B136" s="51"/>
    </row>
    <row r="137" spans="1:6" x14ac:dyDescent="0.35">
      <c r="A137" s="51" t="s">
        <v>300</v>
      </c>
      <c r="B137" s="53">
        <v>0.34050000000000002</v>
      </c>
    </row>
    <row r="138" spans="1:6" x14ac:dyDescent="0.35">
      <c r="A138" s="51" t="s">
        <v>301</v>
      </c>
      <c r="B138" s="53">
        <v>0.33776065491457108</v>
      </c>
    </row>
    <row r="139" spans="1:6" x14ac:dyDescent="0.35">
      <c r="A139" s="51"/>
      <c r="B139" s="51"/>
    </row>
    <row r="140" spans="1:6" x14ac:dyDescent="0.35">
      <c r="A140" s="51" t="s">
        <v>302</v>
      </c>
      <c r="B140" s="54">
        <v>46053</v>
      </c>
    </row>
    <row r="142" spans="1:6" ht="70" customHeight="1" x14ac:dyDescent="0.35">
      <c r="A142" s="70" t="s">
        <v>303</v>
      </c>
      <c r="B142" s="70" t="s">
        <v>304</v>
      </c>
      <c r="C142" s="70" t="s">
        <v>4</v>
      </c>
      <c r="D142" s="70" t="s">
        <v>5</v>
      </c>
      <c r="E142" s="70" t="s">
        <v>4</v>
      </c>
      <c r="F142" s="70" t="s">
        <v>5</v>
      </c>
    </row>
    <row r="143" spans="1:6" ht="70" customHeight="1" x14ac:dyDescent="0.35">
      <c r="A143" s="70" t="s">
        <v>296</v>
      </c>
      <c r="B143" s="70"/>
      <c r="C143" s="70" t="s">
        <v>7</v>
      </c>
      <c r="D143" s="70"/>
      <c r="E143" s="70" t="s">
        <v>8</v>
      </c>
      <c r="F143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46"/>
  <sheetViews>
    <sheetView showGridLines="0" workbookViewId="0">
      <pane ySplit="4" topLeftCell="A5" activePane="bottomLeft" state="frozen"/>
      <selection activeCell="H1" sqref="H1:H1048576"/>
      <selection pane="bottomLeft" activeCell="A5" sqref="A5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305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306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308</v>
      </c>
      <c r="B11" s="41" t="s">
        <v>309</v>
      </c>
      <c r="C11" s="41" t="s">
        <v>310</v>
      </c>
      <c r="D11" s="15">
        <v>179500000</v>
      </c>
      <c r="E11" s="16">
        <v>179911.77</v>
      </c>
      <c r="F11" s="17">
        <v>7.2099999999999997E-2</v>
      </c>
      <c r="G11" s="17">
        <v>7.3150000000000007E-2</v>
      </c>
    </row>
    <row r="12" spans="1:7" x14ac:dyDescent="0.35">
      <c r="A12" s="13" t="s">
        <v>311</v>
      </c>
      <c r="B12" s="41" t="s">
        <v>312</v>
      </c>
      <c r="C12" s="41" t="s">
        <v>310</v>
      </c>
      <c r="D12" s="15">
        <v>127500000</v>
      </c>
      <c r="E12" s="16">
        <v>130226.59</v>
      </c>
      <c r="F12" s="17">
        <v>5.2200000000000003E-2</v>
      </c>
      <c r="G12" s="17">
        <v>7.2650000000000006E-2</v>
      </c>
    </row>
    <row r="13" spans="1:7" x14ac:dyDescent="0.35">
      <c r="A13" s="13" t="s">
        <v>313</v>
      </c>
      <c r="B13" s="41" t="s">
        <v>314</v>
      </c>
      <c r="C13" s="41" t="s">
        <v>310</v>
      </c>
      <c r="D13" s="15">
        <v>117500000</v>
      </c>
      <c r="E13" s="16">
        <v>119743.78</v>
      </c>
      <c r="F13" s="17">
        <v>4.8000000000000001E-2</v>
      </c>
      <c r="G13" s="17">
        <v>7.3217000000000004E-2</v>
      </c>
    </row>
    <row r="14" spans="1:7" x14ac:dyDescent="0.35">
      <c r="A14" s="13" t="s">
        <v>315</v>
      </c>
      <c r="B14" s="41" t="s">
        <v>316</v>
      </c>
      <c r="C14" s="41" t="s">
        <v>317</v>
      </c>
      <c r="D14" s="15">
        <v>97500000</v>
      </c>
      <c r="E14" s="16">
        <v>98467.3</v>
      </c>
      <c r="F14" s="17">
        <v>3.9399999999999998E-2</v>
      </c>
      <c r="G14" s="17">
        <v>7.3236999999999997E-2</v>
      </c>
    </row>
    <row r="15" spans="1:7" x14ac:dyDescent="0.35">
      <c r="A15" s="13" t="s">
        <v>318</v>
      </c>
      <c r="B15" s="41" t="s">
        <v>319</v>
      </c>
      <c r="C15" s="41" t="s">
        <v>310</v>
      </c>
      <c r="D15" s="15">
        <v>97500000</v>
      </c>
      <c r="E15" s="16">
        <v>97170.65</v>
      </c>
      <c r="F15" s="17">
        <v>3.8899999999999997E-2</v>
      </c>
      <c r="G15" s="17">
        <v>7.1249999999999994E-2</v>
      </c>
    </row>
    <row r="16" spans="1:7" x14ac:dyDescent="0.35">
      <c r="A16" s="13" t="s">
        <v>320</v>
      </c>
      <c r="B16" s="41" t="s">
        <v>321</v>
      </c>
      <c r="C16" s="41" t="s">
        <v>310</v>
      </c>
      <c r="D16" s="15">
        <v>94237000</v>
      </c>
      <c r="E16" s="16">
        <v>94482.39</v>
      </c>
      <c r="F16" s="17">
        <v>3.78E-2</v>
      </c>
      <c r="G16" s="17">
        <v>7.1150000000000005E-2</v>
      </c>
    </row>
    <row r="17" spans="1:7" x14ac:dyDescent="0.35">
      <c r="A17" s="13" t="s">
        <v>322</v>
      </c>
      <c r="B17" s="41" t="s">
        <v>323</v>
      </c>
      <c r="C17" s="41" t="s">
        <v>310</v>
      </c>
      <c r="D17" s="15">
        <v>90000000</v>
      </c>
      <c r="E17" s="16">
        <v>90287.28</v>
      </c>
      <c r="F17" s="17">
        <v>3.6200000000000003E-2</v>
      </c>
      <c r="G17" s="17">
        <v>7.3117000000000001E-2</v>
      </c>
    </row>
    <row r="18" spans="1:7" x14ac:dyDescent="0.35">
      <c r="A18" s="13" t="s">
        <v>324</v>
      </c>
      <c r="B18" s="41" t="s">
        <v>325</v>
      </c>
      <c r="C18" s="41" t="s">
        <v>317</v>
      </c>
      <c r="D18" s="15">
        <v>85500000</v>
      </c>
      <c r="E18" s="16">
        <v>86081.57</v>
      </c>
      <c r="F18" s="17">
        <v>3.4500000000000003E-2</v>
      </c>
      <c r="G18" s="17">
        <v>7.1357000000000004E-2</v>
      </c>
    </row>
    <row r="19" spans="1:7" x14ac:dyDescent="0.35">
      <c r="A19" s="13" t="s">
        <v>326</v>
      </c>
      <c r="B19" s="41" t="s">
        <v>327</v>
      </c>
      <c r="C19" s="41" t="s">
        <v>310</v>
      </c>
      <c r="D19" s="15">
        <v>81000000</v>
      </c>
      <c r="E19" s="16">
        <v>81847.5</v>
      </c>
      <c r="F19" s="17">
        <v>3.2800000000000003E-2</v>
      </c>
      <c r="G19" s="17">
        <v>7.2499999999999995E-2</v>
      </c>
    </row>
    <row r="20" spans="1:7" x14ac:dyDescent="0.35">
      <c r="A20" s="13" t="s">
        <v>328</v>
      </c>
      <c r="B20" s="41" t="s">
        <v>329</v>
      </c>
      <c r="C20" s="41" t="s">
        <v>310</v>
      </c>
      <c r="D20" s="15">
        <v>75200000</v>
      </c>
      <c r="E20" s="16">
        <v>76371.47</v>
      </c>
      <c r="F20" s="17">
        <v>3.0599999999999999E-2</v>
      </c>
      <c r="G20" s="17">
        <v>7.1749999999999994E-2</v>
      </c>
    </row>
    <row r="21" spans="1:7" x14ac:dyDescent="0.35">
      <c r="A21" s="13" t="s">
        <v>330</v>
      </c>
      <c r="B21" s="41" t="s">
        <v>331</v>
      </c>
      <c r="C21" s="41" t="s">
        <v>310</v>
      </c>
      <c r="D21" s="15">
        <v>73000000</v>
      </c>
      <c r="E21" s="16">
        <v>73831.759999999995</v>
      </c>
      <c r="F21" s="17">
        <v>2.9600000000000001E-2</v>
      </c>
      <c r="G21" s="17">
        <v>7.1999999999999995E-2</v>
      </c>
    </row>
    <row r="22" spans="1:7" x14ac:dyDescent="0.35">
      <c r="A22" s="13" t="s">
        <v>332</v>
      </c>
      <c r="B22" s="41" t="s">
        <v>333</v>
      </c>
      <c r="C22" s="41" t="s">
        <v>310</v>
      </c>
      <c r="D22" s="15">
        <v>72500000</v>
      </c>
      <c r="E22" s="16">
        <v>72885.63</v>
      </c>
      <c r="F22" s="17">
        <v>2.92E-2</v>
      </c>
      <c r="G22" s="17">
        <v>7.1198999999999998E-2</v>
      </c>
    </row>
    <row r="23" spans="1:7" x14ac:dyDescent="0.35">
      <c r="A23" s="13" t="s">
        <v>334</v>
      </c>
      <c r="B23" s="41" t="s">
        <v>335</v>
      </c>
      <c r="C23" s="41" t="s">
        <v>310</v>
      </c>
      <c r="D23" s="15">
        <v>61500000</v>
      </c>
      <c r="E23" s="16">
        <v>61707.99</v>
      </c>
      <c r="F23" s="17">
        <v>2.47E-2</v>
      </c>
      <c r="G23" s="17">
        <v>7.3099999999999998E-2</v>
      </c>
    </row>
    <row r="24" spans="1:7" x14ac:dyDescent="0.35">
      <c r="A24" s="13" t="s">
        <v>336</v>
      </c>
      <c r="B24" s="41" t="s">
        <v>337</v>
      </c>
      <c r="C24" s="41" t="s">
        <v>310</v>
      </c>
      <c r="D24" s="15">
        <v>61000000</v>
      </c>
      <c r="E24" s="16">
        <v>60660.959999999999</v>
      </c>
      <c r="F24" s="17">
        <v>2.4299999999999999E-2</v>
      </c>
      <c r="G24" s="17">
        <v>7.2400000000000006E-2</v>
      </c>
    </row>
    <row r="25" spans="1:7" x14ac:dyDescent="0.35">
      <c r="A25" s="13" t="s">
        <v>338</v>
      </c>
      <c r="B25" s="41" t="s">
        <v>339</v>
      </c>
      <c r="C25" s="41" t="s">
        <v>340</v>
      </c>
      <c r="D25" s="15">
        <v>56000000</v>
      </c>
      <c r="E25" s="16">
        <v>56495.38</v>
      </c>
      <c r="F25" s="17">
        <v>2.2599999999999999E-2</v>
      </c>
      <c r="G25" s="17">
        <v>7.1150000000000005E-2</v>
      </c>
    </row>
    <row r="26" spans="1:7" x14ac:dyDescent="0.35">
      <c r="A26" s="13" t="s">
        <v>341</v>
      </c>
      <c r="B26" s="41" t="s">
        <v>342</v>
      </c>
      <c r="C26" s="41" t="s">
        <v>310</v>
      </c>
      <c r="D26" s="15">
        <v>53700000</v>
      </c>
      <c r="E26" s="16">
        <v>54121.919999999998</v>
      </c>
      <c r="F26" s="17">
        <v>2.1700000000000001E-2</v>
      </c>
      <c r="G26" s="17">
        <v>7.2650000000000006E-2</v>
      </c>
    </row>
    <row r="27" spans="1:7" x14ac:dyDescent="0.35">
      <c r="A27" s="13" t="s">
        <v>343</v>
      </c>
      <c r="B27" s="41" t="s">
        <v>344</v>
      </c>
      <c r="C27" s="41" t="s">
        <v>310</v>
      </c>
      <c r="D27" s="15">
        <v>45000000</v>
      </c>
      <c r="E27" s="16">
        <v>45227.43</v>
      </c>
      <c r="F27" s="17">
        <v>1.8100000000000002E-2</v>
      </c>
      <c r="G27" s="17">
        <v>7.2938000000000003E-2</v>
      </c>
    </row>
    <row r="28" spans="1:7" x14ac:dyDescent="0.35">
      <c r="A28" s="13" t="s">
        <v>345</v>
      </c>
      <c r="B28" s="41" t="s">
        <v>346</v>
      </c>
      <c r="C28" s="41" t="s">
        <v>310</v>
      </c>
      <c r="D28" s="15">
        <v>43200000</v>
      </c>
      <c r="E28" s="16">
        <v>43579.99</v>
      </c>
      <c r="F28" s="17">
        <v>1.7500000000000002E-2</v>
      </c>
      <c r="G28" s="17">
        <v>7.1749999999999994E-2</v>
      </c>
    </row>
    <row r="29" spans="1:7" x14ac:dyDescent="0.35">
      <c r="A29" s="13" t="s">
        <v>347</v>
      </c>
      <c r="B29" s="41" t="s">
        <v>348</v>
      </c>
      <c r="C29" s="41" t="s">
        <v>310</v>
      </c>
      <c r="D29" s="15">
        <v>38500000</v>
      </c>
      <c r="E29" s="16">
        <v>39067.99</v>
      </c>
      <c r="F29" s="17">
        <v>1.5599999999999999E-2</v>
      </c>
      <c r="G29" s="17">
        <v>7.3099999999999998E-2</v>
      </c>
    </row>
    <row r="30" spans="1:7" x14ac:dyDescent="0.35">
      <c r="A30" s="13" t="s">
        <v>349</v>
      </c>
      <c r="B30" s="41" t="s">
        <v>350</v>
      </c>
      <c r="C30" s="41" t="s">
        <v>310</v>
      </c>
      <c r="D30" s="15">
        <v>37500000</v>
      </c>
      <c r="E30" s="16">
        <v>37721.699999999997</v>
      </c>
      <c r="F30" s="17">
        <v>1.5100000000000001E-2</v>
      </c>
      <c r="G30" s="17">
        <v>7.2175000000000003E-2</v>
      </c>
    </row>
    <row r="31" spans="1:7" x14ac:dyDescent="0.35">
      <c r="A31" s="13" t="s">
        <v>351</v>
      </c>
      <c r="B31" s="41" t="s">
        <v>352</v>
      </c>
      <c r="C31" s="41" t="s">
        <v>310</v>
      </c>
      <c r="D31" s="15">
        <v>37000000</v>
      </c>
      <c r="E31" s="16">
        <v>37394.9</v>
      </c>
      <c r="F31" s="17">
        <v>1.4999999999999999E-2</v>
      </c>
      <c r="G31" s="17">
        <v>7.2025000000000006E-2</v>
      </c>
    </row>
    <row r="32" spans="1:7" x14ac:dyDescent="0.35">
      <c r="A32" s="13" t="s">
        <v>353</v>
      </c>
      <c r="B32" s="41" t="s">
        <v>354</v>
      </c>
      <c r="C32" s="41" t="s">
        <v>310</v>
      </c>
      <c r="D32" s="15">
        <v>36000000</v>
      </c>
      <c r="E32" s="16">
        <v>36145.870000000003</v>
      </c>
      <c r="F32" s="17">
        <v>1.4500000000000001E-2</v>
      </c>
      <c r="G32" s="17">
        <v>7.3168999999999998E-2</v>
      </c>
    </row>
    <row r="33" spans="1:7" x14ac:dyDescent="0.35">
      <c r="A33" s="13" t="s">
        <v>355</v>
      </c>
      <c r="B33" s="41" t="s">
        <v>356</v>
      </c>
      <c r="C33" s="41" t="s">
        <v>317</v>
      </c>
      <c r="D33" s="15">
        <v>35500000</v>
      </c>
      <c r="E33" s="16">
        <v>35814.07</v>
      </c>
      <c r="F33" s="17">
        <v>1.43E-2</v>
      </c>
      <c r="G33" s="17">
        <v>7.3010000000000005E-2</v>
      </c>
    </row>
    <row r="34" spans="1:7" x14ac:dyDescent="0.35">
      <c r="A34" s="13" t="s">
        <v>357</v>
      </c>
      <c r="B34" s="41" t="s">
        <v>358</v>
      </c>
      <c r="C34" s="41" t="s">
        <v>310</v>
      </c>
      <c r="D34" s="15">
        <v>34000000</v>
      </c>
      <c r="E34" s="16">
        <v>34286.080000000002</v>
      </c>
      <c r="F34" s="17">
        <v>1.37E-2</v>
      </c>
      <c r="G34" s="17">
        <v>7.2025000000000006E-2</v>
      </c>
    </row>
    <row r="35" spans="1:7" x14ac:dyDescent="0.35">
      <c r="A35" s="13" t="s">
        <v>359</v>
      </c>
      <c r="B35" s="41" t="s">
        <v>360</v>
      </c>
      <c r="C35" s="41" t="s">
        <v>361</v>
      </c>
      <c r="D35" s="15">
        <v>27000000</v>
      </c>
      <c r="E35" s="16">
        <v>27810.43</v>
      </c>
      <c r="F35" s="17">
        <v>1.11E-2</v>
      </c>
      <c r="G35" s="17">
        <v>7.1659E-2</v>
      </c>
    </row>
    <row r="36" spans="1:7" x14ac:dyDescent="0.35">
      <c r="A36" s="13" t="s">
        <v>362</v>
      </c>
      <c r="B36" s="41" t="s">
        <v>363</v>
      </c>
      <c r="C36" s="41" t="s">
        <v>310</v>
      </c>
      <c r="D36" s="15">
        <v>27500000</v>
      </c>
      <c r="E36" s="16">
        <v>27794.11</v>
      </c>
      <c r="F36" s="17">
        <v>1.11E-2</v>
      </c>
      <c r="G36" s="17">
        <v>7.2800000000000004E-2</v>
      </c>
    </row>
    <row r="37" spans="1:7" x14ac:dyDescent="0.35">
      <c r="A37" s="13" t="s">
        <v>364</v>
      </c>
      <c r="B37" s="41" t="s">
        <v>365</v>
      </c>
      <c r="C37" s="41" t="s">
        <v>310</v>
      </c>
      <c r="D37" s="15">
        <v>25000000</v>
      </c>
      <c r="E37" s="16">
        <v>25430.78</v>
      </c>
      <c r="F37" s="17">
        <v>1.0200000000000001E-2</v>
      </c>
      <c r="G37" s="17">
        <v>7.3117000000000001E-2</v>
      </c>
    </row>
    <row r="38" spans="1:7" x14ac:dyDescent="0.35">
      <c r="A38" s="13" t="s">
        <v>366</v>
      </c>
      <c r="B38" s="41" t="s">
        <v>367</v>
      </c>
      <c r="C38" s="41" t="s">
        <v>310</v>
      </c>
      <c r="D38" s="15">
        <v>24500000</v>
      </c>
      <c r="E38" s="16">
        <v>24725.599999999999</v>
      </c>
      <c r="F38" s="17">
        <v>9.9000000000000008E-3</v>
      </c>
      <c r="G38" s="17">
        <v>7.2025000000000006E-2</v>
      </c>
    </row>
    <row r="39" spans="1:7" x14ac:dyDescent="0.35">
      <c r="A39" s="13" t="s">
        <v>368</v>
      </c>
      <c r="B39" s="41" t="s">
        <v>369</v>
      </c>
      <c r="C39" s="41" t="s">
        <v>310</v>
      </c>
      <c r="D39" s="15">
        <v>20500000</v>
      </c>
      <c r="E39" s="16">
        <v>20585.34</v>
      </c>
      <c r="F39" s="17">
        <v>8.2000000000000007E-3</v>
      </c>
      <c r="G39" s="17">
        <v>7.1199999999999999E-2</v>
      </c>
    </row>
    <row r="40" spans="1:7" x14ac:dyDescent="0.35">
      <c r="A40" s="13" t="s">
        <v>370</v>
      </c>
      <c r="B40" s="41" t="s">
        <v>371</v>
      </c>
      <c r="C40" s="41" t="s">
        <v>310</v>
      </c>
      <c r="D40" s="15">
        <v>20000000</v>
      </c>
      <c r="E40" s="16">
        <v>19951.7</v>
      </c>
      <c r="F40" s="17">
        <v>8.0000000000000002E-3</v>
      </c>
      <c r="G40" s="17">
        <v>7.2049000000000002E-2</v>
      </c>
    </row>
    <row r="41" spans="1:7" x14ac:dyDescent="0.35">
      <c r="A41" s="13" t="s">
        <v>372</v>
      </c>
      <c r="B41" s="41" t="s">
        <v>373</v>
      </c>
      <c r="C41" s="41" t="s">
        <v>310</v>
      </c>
      <c r="D41" s="15">
        <v>19000000</v>
      </c>
      <c r="E41" s="16">
        <v>19870.580000000002</v>
      </c>
      <c r="F41" s="17">
        <v>8.0000000000000002E-3</v>
      </c>
      <c r="G41" s="17">
        <v>7.1800000000000003E-2</v>
      </c>
    </row>
    <row r="42" spans="1:7" x14ac:dyDescent="0.35">
      <c r="A42" s="13" t="s">
        <v>374</v>
      </c>
      <c r="B42" s="41" t="s">
        <v>375</v>
      </c>
      <c r="C42" s="41" t="s">
        <v>310</v>
      </c>
      <c r="D42" s="15">
        <v>17500000</v>
      </c>
      <c r="E42" s="16">
        <v>18094.86</v>
      </c>
      <c r="F42" s="17">
        <v>7.1999999999999998E-3</v>
      </c>
      <c r="G42" s="17">
        <v>7.145E-2</v>
      </c>
    </row>
    <row r="43" spans="1:7" x14ac:dyDescent="0.35">
      <c r="A43" s="13" t="s">
        <v>376</v>
      </c>
      <c r="B43" s="41" t="s">
        <v>377</v>
      </c>
      <c r="C43" s="41" t="s">
        <v>378</v>
      </c>
      <c r="D43" s="15">
        <v>17500000</v>
      </c>
      <c r="E43" s="16">
        <v>17685.62</v>
      </c>
      <c r="F43" s="17">
        <v>7.1000000000000004E-3</v>
      </c>
      <c r="G43" s="17">
        <v>7.3050000000000004E-2</v>
      </c>
    </row>
    <row r="44" spans="1:7" x14ac:dyDescent="0.35">
      <c r="A44" s="13" t="s">
        <v>379</v>
      </c>
      <c r="B44" s="41" t="s">
        <v>380</v>
      </c>
      <c r="C44" s="41" t="s">
        <v>310</v>
      </c>
      <c r="D44" s="15">
        <v>16500000</v>
      </c>
      <c r="E44" s="16">
        <v>17028.43</v>
      </c>
      <c r="F44" s="17">
        <v>6.7999999999999996E-3</v>
      </c>
      <c r="G44" s="17">
        <v>7.1800000000000003E-2</v>
      </c>
    </row>
    <row r="45" spans="1:7" x14ac:dyDescent="0.35">
      <c r="A45" s="13" t="s">
        <v>381</v>
      </c>
      <c r="B45" s="41" t="s">
        <v>382</v>
      </c>
      <c r="C45" s="41" t="s">
        <v>310</v>
      </c>
      <c r="D45" s="15">
        <v>15000000</v>
      </c>
      <c r="E45" s="16">
        <v>15099.71</v>
      </c>
      <c r="F45" s="17">
        <v>6.0000000000000001E-3</v>
      </c>
      <c r="G45" s="17">
        <v>7.1150000000000005E-2</v>
      </c>
    </row>
    <row r="46" spans="1:7" x14ac:dyDescent="0.35">
      <c r="A46" s="13" t="s">
        <v>383</v>
      </c>
      <c r="B46" s="41" t="s">
        <v>384</v>
      </c>
      <c r="C46" s="41" t="s">
        <v>310</v>
      </c>
      <c r="D46" s="15">
        <v>15000000</v>
      </c>
      <c r="E46" s="16">
        <v>15071.9</v>
      </c>
      <c r="F46" s="17">
        <v>6.0000000000000001E-3</v>
      </c>
      <c r="G46" s="17">
        <v>7.2918999999999998E-2</v>
      </c>
    </row>
    <row r="47" spans="1:7" x14ac:dyDescent="0.35">
      <c r="A47" s="13" t="s">
        <v>385</v>
      </c>
      <c r="B47" s="41" t="s">
        <v>386</v>
      </c>
      <c r="C47" s="41" t="s">
        <v>317</v>
      </c>
      <c r="D47" s="15">
        <v>15000000</v>
      </c>
      <c r="E47" s="16">
        <v>14957.82</v>
      </c>
      <c r="F47" s="17">
        <v>6.0000000000000001E-3</v>
      </c>
      <c r="G47" s="17">
        <v>7.3099999999999998E-2</v>
      </c>
    </row>
    <row r="48" spans="1:7" x14ac:dyDescent="0.35">
      <c r="A48" s="13" t="s">
        <v>387</v>
      </c>
      <c r="B48" s="41" t="s">
        <v>388</v>
      </c>
      <c r="C48" s="41" t="s">
        <v>310</v>
      </c>
      <c r="D48" s="15">
        <v>14000000</v>
      </c>
      <c r="E48" s="16">
        <v>14548.35</v>
      </c>
      <c r="F48" s="17">
        <v>5.7999999999999996E-3</v>
      </c>
      <c r="G48" s="17">
        <v>7.2733999999999993E-2</v>
      </c>
    </row>
    <row r="49" spans="1:7" x14ac:dyDescent="0.35">
      <c r="A49" s="13" t="s">
        <v>389</v>
      </c>
      <c r="B49" s="41" t="s">
        <v>390</v>
      </c>
      <c r="C49" s="41" t="s">
        <v>310</v>
      </c>
      <c r="D49" s="15">
        <v>12500000</v>
      </c>
      <c r="E49" s="16">
        <v>12787.88</v>
      </c>
      <c r="F49" s="17">
        <v>5.1000000000000004E-3</v>
      </c>
      <c r="G49" s="17">
        <v>7.2266999999999998E-2</v>
      </c>
    </row>
    <row r="50" spans="1:7" x14ac:dyDescent="0.35">
      <c r="A50" s="13" t="s">
        <v>391</v>
      </c>
      <c r="B50" s="41" t="s">
        <v>392</v>
      </c>
      <c r="C50" s="41" t="s">
        <v>310</v>
      </c>
      <c r="D50" s="15">
        <v>11950000</v>
      </c>
      <c r="E50" s="16">
        <v>12380.65</v>
      </c>
      <c r="F50" s="17">
        <v>5.0000000000000001E-3</v>
      </c>
      <c r="G50" s="17">
        <v>7.0095000000000005E-2</v>
      </c>
    </row>
    <row r="51" spans="1:7" x14ac:dyDescent="0.35">
      <c r="A51" s="13" t="s">
        <v>393</v>
      </c>
      <c r="B51" s="41" t="s">
        <v>394</v>
      </c>
      <c r="C51" s="41" t="s">
        <v>317</v>
      </c>
      <c r="D51" s="15">
        <v>11500000</v>
      </c>
      <c r="E51" s="16">
        <v>11796.07</v>
      </c>
      <c r="F51" s="17">
        <v>4.7000000000000002E-3</v>
      </c>
      <c r="G51" s="17">
        <v>7.17E-2</v>
      </c>
    </row>
    <row r="52" spans="1:7" x14ac:dyDescent="0.35">
      <c r="A52" s="13" t="s">
        <v>395</v>
      </c>
      <c r="B52" s="41" t="s">
        <v>396</v>
      </c>
      <c r="C52" s="41" t="s">
        <v>310</v>
      </c>
      <c r="D52" s="15">
        <v>10500000</v>
      </c>
      <c r="E52" s="16">
        <v>10626.13</v>
      </c>
      <c r="F52" s="17">
        <v>4.3E-3</v>
      </c>
      <c r="G52" s="17">
        <v>7.0961999999999997E-2</v>
      </c>
    </row>
    <row r="53" spans="1:7" x14ac:dyDescent="0.35">
      <c r="A53" s="13" t="s">
        <v>397</v>
      </c>
      <c r="B53" s="41" t="s">
        <v>398</v>
      </c>
      <c r="C53" s="41" t="s">
        <v>310</v>
      </c>
      <c r="D53" s="15">
        <v>10300000</v>
      </c>
      <c r="E53" s="16">
        <v>10531.01</v>
      </c>
      <c r="F53" s="17">
        <v>4.1999999999999997E-3</v>
      </c>
      <c r="G53" s="17">
        <v>7.2650000000000006E-2</v>
      </c>
    </row>
    <row r="54" spans="1:7" x14ac:dyDescent="0.35">
      <c r="A54" s="13" t="s">
        <v>399</v>
      </c>
      <c r="B54" s="41" t="s">
        <v>400</v>
      </c>
      <c r="C54" s="41" t="s">
        <v>310</v>
      </c>
      <c r="D54" s="15">
        <v>10000000</v>
      </c>
      <c r="E54" s="16">
        <v>10289.040000000001</v>
      </c>
      <c r="F54" s="17">
        <v>4.1000000000000003E-3</v>
      </c>
      <c r="G54" s="17">
        <v>7.1724999999999997E-2</v>
      </c>
    </row>
    <row r="55" spans="1:7" x14ac:dyDescent="0.35">
      <c r="A55" s="13" t="s">
        <v>401</v>
      </c>
      <c r="B55" s="41" t="s">
        <v>402</v>
      </c>
      <c r="C55" s="41" t="s">
        <v>310</v>
      </c>
      <c r="D55" s="15">
        <v>7500000</v>
      </c>
      <c r="E55" s="16">
        <v>7737.47</v>
      </c>
      <c r="F55" s="17">
        <v>3.0999999999999999E-3</v>
      </c>
      <c r="G55" s="17">
        <v>7.0999999999999994E-2</v>
      </c>
    </row>
    <row r="56" spans="1:7" x14ac:dyDescent="0.35">
      <c r="A56" s="13" t="s">
        <v>403</v>
      </c>
      <c r="B56" s="41" t="s">
        <v>404</v>
      </c>
      <c r="C56" s="41" t="s">
        <v>310</v>
      </c>
      <c r="D56" s="15">
        <v>7500000</v>
      </c>
      <c r="E56" s="16">
        <v>7489.16</v>
      </c>
      <c r="F56" s="17">
        <v>3.0000000000000001E-3</v>
      </c>
      <c r="G56" s="17">
        <v>7.3099999999999998E-2</v>
      </c>
    </row>
    <row r="57" spans="1:7" x14ac:dyDescent="0.35">
      <c r="A57" s="13" t="s">
        <v>405</v>
      </c>
      <c r="B57" s="41" t="s">
        <v>406</v>
      </c>
      <c r="C57" s="41" t="s">
        <v>310</v>
      </c>
      <c r="D57" s="15">
        <v>7000000</v>
      </c>
      <c r="E57" s="16">
        <v>7215.17</v>
      </c>
      <c r="F57" s="17">
        <v>2.8999999999999998E-3</v>
      </c>
      <c r="G57" s="17">
        <v>7.1050000000000002E-2</v>
      </c>
    </row>
    <row r="58" spans="1:7" x14ac:dyDescent="0.35">
      <c r="A58" s="13" t="s">
        <v>407</v>
      </c>
      <c r="B58" s="41" t="s">
        <v>408</v>
      </c>
      <c r="C58" s="41" t="s">
        <v>310</v>
      </c>
      <c r="D58" s="15">
        <v>6500000</v>
      </c>
      <c r="E58" s="16">
        <v>6802.58</v>
      </c>
      <c r="F58" s="17">
        <v>2.7000000000000001E-3</v>
      </c>
      <c r="G58" s="17">
        <v>7.1967000000000003E-2</v>
      </c>
    </row>
    <row r="59" spans="1:7" x14ac:dyDescent="0.35">
      <c r="A59" s="13" t="s">
        <v>409</v>
      </c>
      <c r="B59" s="41" t="s">
        <v>410</v>
      </c>
      <c r="C59" s="41" t="s">
        <v>340</v>
      </c>
      <c r="D59" s="15">
        <v>6500000</v>
      </c>
      <c r="E59" s="16">
        <v>6555.4</v>
      </c>
      <c r="F59" s="17">
        <v>2.5999999999999999E-3</v>
      </c>
      <c r="G59" s="17">
        <v>7.2099999999999997E-2</v>
      </c>
    </row>
    <row r="60" spans="1:7" x14ac:dyDescent="0.35">
      <c r="A60" s="13" t="s">
        <v>411</v>
      </c>
      <c r="B60" s="41" t="s">
        <v>412</v>
      </c>
      <c r="C60" s="41" t="s">
        <v>310</v>
      </c>
      <c r="D60" s="15">
        <v>5500000</v>
      </c>
      <c r="E60" s="16">
        <v>5749.01</v>
      </c>
      <c r="F60" s="17">
        <v>2.3E-3</v>
      </c>
      <c r="G60" s="17">
        <v>7.1800000000000003E-2</v>
      </c>
    </row>
    <row r="61" spans="1:7" x14ac:dyDescent="0.35">
      <c r="A61" s="13" t="s">
        <v>413</v>
      </c>
      <c r="B61" s="41" t="s">
        <v>414</v>
      </c>
      <c r="C61" s="41" t="s">
        <v>310</v>
      </c>
      <c r="D61" s="15">
        <v>5500000</v>
      </c>
      <c r="E61" s="16">
        <v>5680.75</v>
      </c>
      <c r="F61" s="17">
        <v>2.3E-3</v>
      </c>
      <c r="G61" s="17">
        <v>7.0999999999999994E-2</v>
      </c>
    </row>
    <row r="62" spans="1:7" x14ac:dyDescent="0.35">
      <c r="A62" s="13" t="s">
        <v>415</v>
      </c>
      <c r="B62" s="41" t="s">
        <v>416</v>
      </c>
      <c r="C62" s="41" t="s">
        <v>310</v>
      </c>
      <c r="D62" s="15">
        <v>5500000</v>
      </c>
      <c r="E62" s="16">
        <v>5542.89</v>
      </c>
      <c r="F62" s="17">
        <v>2.2000000000000001E-3</v>
      </c>
      <c r="G62" s="17">
        <v>7.1357000000000004E-2</v>
      </c>
    </row>
    <row r="63" spans="1:7" x14ac:dyDescent="0.35">
      <c r="A63" s="13" t="s">
        <v>417</v>
      </c>
      <c r="B63" s="41" t="s">
        <v>418</v>
      </c>
      <c r="C63" s="41" t="s">
        <v>361</v>
      </c>
      <c r="D63" s="15">
        <v>5100000</v>
      </c>
      <c r="E63" s="16">
        <v>5083.24</v>
      </c>
      <c r="F63" s="17">
        <v>2E-3</v>
      </c>
      <c r="G63" s="17">
        <v>7.2249999999999995E-2</v>
      </c>
    </row>
    <row r="64" spans="1:7" x14ac:dyDescent="0.35">
      <c r="A64" s="13" t="s">
        <v>419</v>
      </c>
      <c r="B64" s="41" t="s">
        <v>420</v>
      </c>
      <c r="C64" s="41" t="s">
        <v>317</v>
      </c>
      <c r="D64" s="15">
        <v>5000000</v>
      </c>
      <c r="E64" s="16">
        <v>4914.76</v>
      </c>
      <c r="F64" s="17">
        <v>2E-3</v>
      </c>
      <c r="G64" s="17">
        <v>7.2099999999999997E-2</v>
      </c>
    </row>
    <row r="65" spans="1:7" x14ac:dyDescent="0.35">
      <c r="A65" s="13" t="s">
        <v>421</v>
      </c>
      <c r="B65" s="41" t="s">
        <v>422</v>
      </c>
      <c r="C65" s="41" t="s">
        <v>310</v>
      </c>
      <c r="D65" s="15">
        <v>4000000</v>
      </c>
      <c r="E65" s="16">
        <v>4150.3599999999997</v>
      </c>
      <c r="F65" s="17">
        <v>1.6999999999999999E-3</v>
      </c>
      <c r="G65" s="17">
        <v>7.0663000000000004E-2</v>
      </c>
    </row>
    <row r="66" spans="1:7" x14ac:dyDescent="0.35">
      <c r="A66" s="13" t="s">
        <v>423</v>
      </c>
      <c r="B66" s="41" t="s">
        <v>424</v>
      </c>
      <c r="C66" s="41" t="s">
        <v>317</v>
      </c>
      <c r="D66" s="15">
        <v>3800000</v>
      </c>
      <c r="E66" s="16">
        <v>3818.8</v>
      </c>
      <c r="F66" s="17">
        <v>1.5E-3</v>
      </c>
      <c r="G66" s="17">
        <v>7.2249999999999995E-2</v>
      </c>
    </row>
    <row r="67" spans="1:7" x14ac:dyDescent="0.35">
      <c r="A67" s="13" t="s">
        <v>425</v>
      </c>
      <c r="B67" s="41" t="s">
        <v>426</v>
      </c>
      <c r="C67" s="41" t="s">
        <v>310</v>
      </c>
      <c r="D67" s="15">
        <v>3500000</v>
      </c>
      <c r="E67" s="16">
        <v>3612.7</v>
      </c>
      <c r="F67" s="17">
        <v>1.4E-3</v>
      </c>
      <c r="G67" s="17">
        <v>7.2073999999999999E-2</v>
      </c>
    </row>
    <row r="68" spans="1:7" x14ac:dyDescent="0.35">
      <c r="A68" s="13" t="s">
        <v>427</v>
      </c>
      <c r="B68" s="41" t="s">
        <v>428</v>
      </c>
      <c r="C68" s="41" t="s">
        <v>310</v>
      </c>
      <c r="D68" s="15">
        <v>3500000</v>
      </c>
      <c r="E68" s="16">
        <v>3523.14</v>
      </c>
      <c r="F68" s="17">
        <v>1.4E-3</v>
      </c>
      <c r="G68" s="17">
        <v>7.0961999999999997E-2</v>
      </c>
    </row>
    <row r="69" spans="1:7" x14ac:dyDescent="0.35">
      <c r="A69" s="13" t="s">
        <v>429</v>
      </c>
      <c r="B69" s="41" t="s">
        <v>430</v>
      </c>
      <c r="C69" s="41" t="s">
        <v>310</v>
      </c>
      <c r="D69" s="15">
        <v>3000000</v>
      </c>
      <c r="E69" s="16">
        <v>3119.37</v>
      </c>
      <c r="F69" s="17">
        <v>1.1999999999999999E-3</v>
      </c>
      <c r="G69" s="17">
        <v>7.1357000000000004E-2</v>
      </c>
    </row>
    <row r="70" spans="1:7" x14ac:dyDescent="0.35">
      <c r="A70" s="13" t="s">
        <v>431</v>
      </c>
      <c r="B70" s="41" t="s">
        <v>432</v>
      </c>
      <c r="C70" s="41" t="s">
        <v>310</v>
      </c>
      <c r="D70" s="15">
        <v>3000000</v>
      </c>
      <c r="E70" s="16">
        <v>3094.72</v>
      </c>
      <c r="F70" s="17">
        <v>1.1999999999999999E-3</v>
      </c>
      <c r="G70" s="17">
        <v>7.2049000000000002E-2</v>
      </c>
    </row>
    <row r="71" spans="1:7" x14ac:dyDescent="0.35">
      <c r="A71" s="13" t="s">
        <v>433</v>
      </c>
      <c r="B71" s="41" t="s">
        <v>434</v>
      </c>
      <c r="C71" s="41" t="s">
        <v>310</v>
      </c>
      <c r="D71" s="15">
        <v>3000000</v>
      </c>
      <c r="E71" s="16">
        <v>3067.04</v>
      </c>
      <c r="F71" s="17">
        <v>1.1999999999999999E-3</v>
      </c>
      <c r="G71" s="17">
        <v>7.1724999999999997E-2</v>
      </c>
    </row>
    <row r="72" spans="1:7" x14ac:dyDescent="0.35">
      <c r="A72" s="13" t="s">
        <v>435</v>
      </c>
      <c r="B72" s="41" t="s">
        <v>436</v>
      </c>
      <c r="C72" s="41" t="s">
        <v>310</v>
      </c>
      <c r="D72" s="15">
        <v>2500000</v>
      </c>
      <c r="E72" s="16">
        <v>2667.42</v>
      </c>
      <c r="F72" s="17">
        <v>1.1000000000000001E-3</v>
      </c>
      <c r="G72" s="17">
        <v>7.0961999999999997E-2</v>
      </c>
    </row>
    <row r="73" spans="1:7" x14ac:dyDescent="0.35">
      <c r="A73" s="13" t="s">
        <v>437</v>
      </c>
      <c r="B73" s="41" t="s">
        <v>438</v>
      </c>
      <c r="C73" s="41" t="s">
        <v>310</v>
      </c>
      <c r="D73" s="15">
        <v>2500000</v>
      </c>
      <c r="E73" s="16">
        <v>2598.7199999999998</v>
      </c>
      <c r="F73" s="17">
        <v>1E-3</v>
      </c>
      <c r="G73" s="17">
        <v>7.1359000000000006E-2</v>
      </c>
    </row>
    <row r="74" spans="1:7" x14ac:dyDescent="0.35">
      <c r="A74" s="13" t="s">
        <v>439</v>
      </c>
      <c r="B74" s="41" t="s">
        <v>440</v>
      </c>
      <c r="C74" s="41" t="s">
        <v>310</v>
      </c>
      <c r="D74" s="15">
        <v>2500000</v>
      </c>
      <c r="E74" s="16">
        <v>2510.75</v>
      </c>
      <c r="F74" s="17">
        <v>1E-3</v>
      </c>
      <c r="G74" s="17">
        <v>7.3117000000000001E-2</v>
      </c>
    </row>
    <row r="75" spans="1:7" x14ac:dyDescent="0.35">
      <c r="A75" s="13" t="s">
        <v>441</v>
      </c>
      <c r="B75" s="41" t="s">
        <v>442</v>
      </c>
      <c r="C75" s="41" t="s">
        <v>310</v>
      </c>
      <c r="D75" s="15">
        <v>1500000</v>
      </c>
      <c r="E75" s="16">
        <v>1549.82</v>
      </c>
      <c r="F75" s="17">
        <v>5.9999999999999995E-4</v>
      </c>
      <c r="G75" s="17">
        <v>7.2075E-2</v>
      </c>
    </row>
    <row r="76" spans="1:7" x14ac:dyDescent="0.35">
      <c r="A76" s="13" t="s">
        <v>443</v>
      </c>
      <c r="B76" s="41" t="s">
        <v>444</v>
      </c>
      <c r="C76" s="41" t="s">
        <v>340</v>
      </c>
      <c r="D76" s="15">
        <v>1500000</v>
      </c>
      <c r="E76" s="16">
        <v>1503.47</v>
      </c>
      <c r="F76" s="17">
        <v>5.9999999999999995E-4</v>
      </c>
      <c r="G76" s="17">
        <v>7.3099999999999998E-2</v>
      </c>
    </row>
    <row r="77" spans="1:7" x14ac:dyDescent="0.35">
      <c r="A77" s="13" t="s">
        <v>445</v>
      </c>
      <c r="B77" s="41" t="s">
        <v>446</v>
      </c>
      <c r="C77" s="41" t="s">
        <v>310</v>
      </c>
      <c r="D77" s="15">
        <v>1000000</v>
      </c>
      <c r="E77" s="16">
        <v>1057.29</v>
      </c>
      <c r="F77" s="17">
        <v>4.0000000000000002E-4</v>
      </c>
      <c r="G77" s="17">
        <v>7.1348999999999996E-2</v>
      </c>
    </row>
    <row r="78" spans="1:7" x14ac:dyDescent="0.35">
      <c r="A78" s="13" t="s">
        <v>447</v>
      </c>
      <c r="B78" s="41" t="s">
        <v>448</v>
      </c>
      <c r="C78" s="41" t="s">
        <v>310</v>
      </c>
      <c r="D78" s="15">
        <v>1000000</v>
      </c>
      <c r="E78" s="16">
        <v>1052.3900000000001</v>
      </c>
      <c r="F78" s="17">
        <v>4.0000000000000002E-4</v>
      </c>
      <c r="G78" s="17">
        <v>7.2049000000000002E-2</v>
      </c>
    </row>
    <row r="79" spans="1:7" x14ac:dyDescent="0.35">
      <c r="A79" s="13" t="s">
        <v>449</v>
      </c>
      <c r="B79" s="41" t="s">
        <v>450</v>
      </c>
      <c r="C79" s="41" t="s">
        <v>310</v>
      </c>
      <c r="D79" s="15">
        <v>1000000</v>
      </c>
      <c r="E79" s="16">
        <v>1045.6600000000001</v>
      </c>
      <c r="F79" s="17">
        <v>4.0000000000000002E-4</v>
      </c>
      <c r="G79" s="17">
        <v>7.1357000000000004E-2</v>
      </c>
    </row>
    <row r="80" spans="1:7" x14ac:dyDescent="0.35">
      <c r="A80" s="13" t="s">
        <v>451</v>
      </c>
      <c r="B80" s="41" t="s">
        <v>452</v>
      </c>
      <c r="C80" s="41" t="s">
        <v>317</v>
      </c>
      <c r="D80" s="15">
        <v>1000000</v>
      </c>
      <c r="E80" s="16">
        <v>1005.35</v>
      </c>
      <c r="F80" s="17">
        <v>4.0000000000000002E-4</v>
      </c>
      <c r="G80" s="17">
        <v>7.1999999999999995E-2</v>
      </c>
    </row>
    <row r="81" spans="1:7" x14ac:dyDescent="0.35">
      <c r="A81" s="13" t="s">
        <v>453</v>
      </c>
      <c r="B81" s="41" t="s">
        <v>454</v>
      </c>
      <c r="C81" s="41" t="s">
        <v>310</v>
      </c>
      <c r="D81" s="15">
        <v>500000</v>
      </c>
      <c r="E81" s="16">
        <v>520.70000000000005</v>
      </c>
      <c r="F81" s="17">
        <v>2.0000000000000001E-4</v>
      </c>
      <c r="G81" s="17">
        <v>7.0192000000000004E-2</v>
      </c>
    </row>
    <row r="82" spans="1:7" x14ac:dyDescent="0.35">
      <c r="A82" s="13" t="s">
        <v>455</v>
      </c>
      <c r="B82" s="41" t="s">
        <v>456</v>
      </c>
      <c r="C82" s="41" t="s">
        <v>310</v>
      </c>
      <c r="D82" s="15">
        <v>500000</v>
      </c>
      <c r="E82" s="16">
        <v>518.24</v>
      </c>
      <c r="F82" s="17">
        <v>2.0000000000000001E-4</v>
      </c>
      <c r="G82" s="17">
        <v>6.9944999999999993E-2</v>
      </c>
    </row>
    <row r="83" spans="1:7" x14ac:dyDescent="0.35">
      <c r="A83" s="13" t="s">
        <v>457</v>
      </c>
      <c r="B83" s="41" t="s">
        <v>458</v>
      </c>
      <c r="C83" s="41" t="s">
        <v>310</v>
      </c>
      <c r="D83" s="15">
        <v>500000</v>
      </c>
      <c r="E83" s="16">
        <v>514.64</v>
      </c>
      <c r="F83" s="17">
        <v>2.0000000000000001E-4</v>
      </c>
      <c r="G83" s="17">
        <v>7.0663000000000004E-2</v>
      </c>
    </row>
    <row r="84" spans="1:7" x14ac:dyDescent="0.35">
      <c r="A84" s="13" t="s">
        <v>459</v>
      </c>
      <c r="B84" s="41" t="s">
        <v>460</v>
      </c>
      <c r="C84" s="41" t="s">
        <v>340</v>
      </c>
      <c r="D84" s="15">
        <v>500000</v>
      </c>
      <c r="E84" s="16">
        <v>509.26</v>
      </c>
      <c r="F84" s="17">
        <v>2.0000000000000001E-4</v>
      </c>
      <c r="G84" s="17">
        <v>7.145E-2</v>
      </c>
    </row>
    <row r="85" spans="1:7" x14ac:dyDescent="0.35">
      <c r="A85" s="13" t="s">
        <v>461</v>
      </c>
      <c r="B85" s="41" t="s">
        <v>462</v>
      </c>
      <c r="C85" s="41" t="s">
        <v>310</v>
      </c>
      <c r="D85" s="15">
        <v>400000</v>
      </c>
      <c r="E85" s="16">
        <v>420.51</v>
      </c>
      <c r="F85" s="17">
        <v>2.0000000000000001E-4</v>
      </c>
      <c r="G85" s="17">
        <v>7.2049000000000002E-2</v>
      </c>
    </row>
    <row r="86" spans="1:7" x14ac:dyDescent="0.35">
      <c r="A86" s="14" t="s">
        <v>149</v>
      </c>
      <c r="B86" s="42"/>
      <c r="C86" s="42"/>
      <c r="D86" s="18"/>
      <c r="E86" s="36">
        <v>2195228.7599999998</v>
      </c>
      <c r="F86" s="37">
        <v>0.87880000000000003</v>
      </c>
      <c r="G86" s="21"/>
    </row>
    <row r="87" spans="1:7" x14ac:dyDescent="0.35">
      <c r="A87" s="13"/>
      <c r="B87" s="41"/>
      <c r="C87" s="41"/>
      <c r="D87" s="15"/>
      <c r="E87" s="16"/>
      <c r="F87" s="17"/>
      <c r="G87" s="17"/>
    </row>
    <row r="88" spans="1:7" x14ac:dyDescent="0.35">
      <c r="A88" s="14" t="s">
        <v>463</v>
      </c>
      <c r="B88" s="41"/>
      <c r="C88" s="41"/>
      <c r="D88" s="15"/>
      <c r="E88" s="16"/>
      <c r="F88" s="17"/>
      <c r="G88" s="17"/>
    </row>
    <row r="89" spans="1:7" x14ac:dyDescent="0.35">
      <c r="A89" s="13" t="s">
        <v>464</v>
      </c>
      <c r="B89" s="41" t="s">
        <v>465</v>
      </c>
      <c r="C89" s="41" t="s">
        <v>153</v>
      </c>
      <c r="D89" s="15">
        <v>142000000</v>
      </c>
      <c r="E89" s="16">
        <v>144730.51999999999</v>
      </c>
      <c r="F89" s="17">
        <v>5.8000000000000003E-2</v>
      </c>
      <c r="G89" s="17">
        <v>6.2799999999999995E-2</v>
      </c>
    </row>
    <row r="90" spans="1:7" x14ac:dyDescent="0.35">
      <c r="A90" s="13" t="s">
        <v>466</v>
      </c>
      <c r="B90" s="41" t="s">
        <v>467</v>
      </c>
      <c r="C90" s="41" t="s">
        <v>153</v>
      </c>
      <c r="D90" s="15">
        <v>53500000</v>
      </c>
      <c r="E90" s="16">
        <v>55107.68</v>
      </c>
      <c r="F90" s="17">
        <v>2.2100000000000002E-2</v>
      </c>
      <c r="G90" s="17">
        <v>6.1441999999999997E-2</v>
      </c>
    </row>
    <row r="91" spans="1:7" x14ac:dyDescent="0.35">
      <c r="A91" s="13" t="s">
        <v>468</v>
      </c>
      <c r="B91" s="41" t="s">
        <v>469</v>
      </c>
      <c r="C91" s="41" t="s">
        <v>153</v>
      </c>
      <c r="D91" s="15">
        <v>18500000</v>
      </c>
      <c r="E91" s="16">
        <v>19015.5</v>
      </c>
      <c r="F91" s="17">
        <v>7.6E-3</v>
      </c>
      <c r="G91" s="17">
        <v>6.1941999999999997E-2</v>
      </c>
    </row>
    <row r="92" spans="1:7" x14ac:dyDescent="0.35">
      <c r="A92" s="14" t="s">
        <v>149</v>
      </c>
      <c r="B92" s="42"/>
      <c r="C92" s="42"/>
      <c r="D92" s="18"/>
      <c r="E92" s="36">
        <v>218853.7</v>
      </c>
      <c r="F92" s="37">
        <v>8.77E-2</v>
      </c>
      <c r="G92" s="21"/>
    </row>
    <row r="93" spans="1:7" x14ac:dyDescent="0.35">
      <c r="A93" s="13"/>
      <c r="B93" s="41"/>
      <c r="C93" s="41"/>
      <c r="D93" s="15"/>
      <c r="E93" s="16"/>
      <c r="F93" s="17"/>
      <c r="G93" s="17"/>
    </row>
    <row r="94" spans="1:7" x14ac:dyDescent="0.35">
      <c r="A94" s="14" t="s">
        <v>158</v>
      </c>
      <c r="B94" s="41"/>
      <c r="C94" s="41"/>
      <c r="D94" s="15"/>
      <c r="E94" s="16"/>
      <c r="F94" s="17"/>
      <c r="G94" s="17"/>
    </row>
    <row r="95" spans="1:7" x14ac:dyDescent="0.35">
      <c r="A95" s="14" t="s">
        <v>149</v>
      </c>
      <c r="B95" s="41"/>
      <c r="C95" s="41"/>
      <c r="D95" s="15"/>
      <c r="E95" s="45" t="s">
        <v>146</v>
      </c>
      <c r="F95" s="46" t="s">
        <v>146</v>
      </c>
      <c r="G95" s="17"/>
    </row>
    <row r="96" spans="1:7" x14ac:dyDescent="0.35">
      <c r="A96" s="13"/>
      <c r="B96" s="41"/>
      <c r="C96" s="41"/>
      <c r="D96" s="15"/>
      <c r="E96" s="16"/>
      <c r="F96" s="17"/>
      <c r="G96" s="17"/>
    </row>
    <row r="97" spans="1:7" x14ac:dyDescent="0.35">
      <c r="A97" s="14" t="s">
        <v>159</v>
      </c>
      <c r="B97" s="41"/>
      <c r="C97" s="41"/>
      <c r="D97" s="15"/>
      <c r="E97" s="16"/>
      <c r="F97" s="17"/>
      <c r="G97" s="17"/>
    </row>
    <row r="98" spans="1:7" x14ac:dyDescent="0.35">
      <c r="A98" s="14" t="s">
        <v>149</v>
      </c>
      <c r="B98" s="41"/>
      <c r="C98" s="41"/>
      <c r="D98" s="15"/>
      <c r="E98" s="45" t="s">
        <v>146</v>
      </c>
      <c r="F98" s="46" t="s">
        <v>146</v>
      </c>
      <c r="G98" s="17"/>
    </row>
    <row r="99" spans="1:7" x14ac:dyDescent="0.35">
      <c r="A99" s="13"/>
      <c r="B99" s="41"/>
      <c r="C99" s="41"/>
      <c r="D99" s="15"/>
      <c r="E99" s="16"/>
      <c r="F99" s="17"/>
      <c r="G99" s="17"/>
    </row>
    <row r="100" spans="1:7" x14ac:dyDescent="0.35">
      <c r="A100" s="22" t="s">
        <v>160</v>
      </c>
      <c r="B100" s="43"/>
      <c r="C100" s="43"/>
      <c r="D100" s="23"/>
      <c r="E100" s="36">
        <v>2414082.46</v>
      </c>
      <c r="F100" s="37">
        <v>0.96650000000000003</v>
      </c>
      <c r="G100" s="21"/>
    </row>
    <row r="101" spans="1:7" x14ac:dyDescent="0.35">
      <c r="A101" s="13"/>
      <c r="B101" s="41"/>
      <c r="C101" s="41"/>
      <c r="D101" s="15"/>
      <c r="E101" s="16"/>
      <c r="F101" s="17"/>
      <c r="G101" s="17"/>
    </row>
    <row r="102" spans="1:7" x14ac:dyDescent="0.35">
      <c r="A102" s="13"/>
      <c r="B102" s="41"/>
      <c r="C102" s="41"/>
      <c r="D102" s="15"/>
      <c r="E102" s="16"/>
      <c r="F102" s="17"/>
      <c r="G102" s="17"/>
    </row>
    <row r="103" spans="1:7" x14ac:dyDescent="0.35">
      <c r="A103" s="14" t="s">
        <v>255</v>
      </c>
      <c r="B103" s="41"/>
      <c r="C103" s="41"/>
      <c r="D103" s="15"/>
      <c r="E103" s="16"/>
      <c r="F103" s="17"/>
      <c r="G103" s="17"/>
    </row>
    <row r="104" spans="1:7" x14ac:dyDescent="0.35">
      <c r="A104" s="13" t="s">
        <v>257</v>
      </c>
      <c r="B104" s="41"/>
      <c r="C104" s="41"/>
      <c r="D104" s="15"/>
      <c r="E104" s="16">
        <v>609.74</v>
      </c>
      <c r="F104" s="17">
        <v>2.0000000000000001E-4</v>
      </c>
      <c r="G104" s="17">
        <v>5.1742000000000003E-2</v>
      </c>
    </row>
    <row r="105" spans="1:7" x14ac:dyDescent="0.35">
      <c r="A105" s="14" t="s">
        <v>149</v>
      </c>
      <c r="B105" s="42"/>
      <c r="C105" s="42"/>
      <c r="D105" s="18"/>
      <c r="E105" s="36">
        <v>609.74</v>
      </c>
      <c r="F105" s="37">
        <v>2.0000000000000001E-4</v>
      </c>
      <c r="G105" s="21"/>
    </row>
    <row r="106" spans="1:7" x14ac:dyDescent="0.35">
      <c r="A106" s="13"/>
      <c r="B106" s="41"/>
      <c r="C106" s="41"/>
      <c r="D106" s="15"/>
      <c r="E106" s="16"/>
      <c r="F106" s="17"/>
      <c r="G106" s="17"/>
    </row>
    <row r="107" spans="1:7" x14ac:dyDescent="0.35">
      <c r="A107" s="22" t="s">
        <v>160</v>
      </c>
      <c r="B107" s="43"/>
      <c r="C107" s="43"/>
      <c r="D107" s="23"/>
      <c r="E107" s="36">
        <v>609.74</v>
      </c>
      <c r="F107" s="37">
        <v>2.0000000000000001E-4</v>
      </c>
      <c r="G107" s="21"/>
    </row>
    <row r="108" spans="1:7" x14ac:dyDescent="0.35">
      <c r="A108" s="13" t="s">
        <v>258</v>
      </c>
      <c r="B108" s="41"/>
      <c r="C108" s="41"/>
      <c r="D108" s="15"/>
      <c r="E108" s="16">
        <v>78695.306941600007</v>
      </c>
      <c r="F108" s="17">
        <v>3.1522000000000001E-2</v>
      </c>
      <c r="G108" s="17"/>
    </row>
    <row r="109" spans="1:7" x14ac:dyDescent="0.35">
      <c r="A109" s="13" t="s">
        <v>259</v>
      </c>
      <c r="B109" s="41"/>
      <c r="C109" s="41"/>
      <c r="D109" s="15"/>
      <c r="E109" s="16">
        <v>3129.4030584000002</v>
      </c>
      <c r="F109" s="17">
        <v>1.7780000000000001E-3</v>
      </c>
      <c r="G109" s="17">
        <v>5.1741000000000002E-2</v>
      </c>
    </row>
    <row r="110" spans="1:7" x14ac:dyDescent="0.35">
      <c r="A110" s="38" t="s">
        <v>260</v>
      </c>
      <c r="B110" s="44"/>
      <c r="C110" s="44"/>
      <c r="D110" s="39"/>
      <c r="E110" s="24">
        <v>2496516.91</v>
      </c>
      <c r="F110" s="25">
        <v>1</v>
      </c>
      <c r="G110" s="25"/>
    </row>
    <row r="112" spans="1:7" x14ac:dyDescent="0.35">
      <c r="A112" s="1" t="s">
        <v>262</v>
      </c>
    </row>
    <row r="113" spans="1:3" x14ac:dyDescent="0.35">
      <c r="A113" s="1" t="s">
        <v>470</v>
      </c>
    </row>
    <row r="115" spans="1:3" x14ac:dyDescent="0.35">
      <c r="A115" s="1" t="s">
        <v>263</v>
      </c>
    </row>
    <row r="116" spans="1:3" ht="29" customHeight="1" x14ac:dyDescent="0.35">
      <c r="A116" s="47" t="s">
        <v>264</v>
      </c>
      <c r="B116" s="3" t="s">
        <v>146</v>
      </c>
    </row>
    <row r="117" spans="1:3" x14ac:dyDescent="0.35">
      <c r="A117" t="s">
        <v>265</v>
      </c>
    </row>
    <row r="118" spans="1:3" x14ac:dyDescent="0.35">
      <c r="A118" t="s">
        <v>471</v>
      </c>
      <c r="B118" t="s">
        <v>267</v>
      </c>
      <c r="C118" t="s">
        <v>267</v>
      </c>
    </row>
    <row r="119" spans="1:3" x14ac:dyDescent="0.35">
      <c r="B119" s="49">
        <v>46022</v>
      </c>
      <c r="C119" s="49">
        <v>46052</v>
      </c>
    </row>
    <row r="120" spans="1:3" x14ac:dyDescent="0.35">
      <c r="A120" t="s">
        <v>472</v>
      </c>
      <c r="B120">
        <v>1562.2538999999999</v>
      </c>
      <c r="C120">
        <v>1557.2964999999999</v>
      </c>
    </row>
    <row r="122" spans="1:3" x14ac:dyDescent="0.35">
      <c r="A122" t="s">
        <v>283</v>
      </c>
      <c r="B122" s="3" t="s">
        <v>146</v>
      </c>
    </row>
    <row r="123" spans="1:3" x14ac:dyDescent="0.35">
      <c r="A123" t="s">
        <v>284</v>
      </c>
      <c r="B123" s="3" t="s">
        <v>146</v>
      </c>
    </row>
    <row r="124" spans="1:3" ht="58" customHeight="1" x14ac:dyDescent="0.35">
      <c r="A124" s="47" t="s">
        <v>285</v>
      </c>
      <c r="B124" s="3" t="s">
        <v>146</v>
      </c>
    </row>
    <row r="125" spans="1:3" ht="43.5" customHeight="1" x14ac:dyDescent="0.35">
      <c r="A125" s="47" t="s">
        <v>286</v>
      </c>
      <c r="B125" s="3" t="s">
        <v>146</v>
      </c>
    </row>
    <row r="126" spans="1:3" x14ac:dyDescent="0.35">
      <c r="A126" t="s">
        <v>287</v>
      </c>
      <c r="B126" s="48">
        <f>B141</f>
        <v>3.8467758215525989</v>
      </c>
    </row>
    <row r="127" spans="1:3" ht="72.5" customHeight="1" x14ac:dyDescent="0.35">
      <c r="A127" s="47" t="s">
        <v>288</v>
      </c>
      <c r="B127" s="3" t="s">
        <v>146</v>
      </c>
    </row>
    <row r="128" spans="1:3" x14ac:dyDescent="0.35">
      <c r="B128" s="3"/>
    </row>
    <row r="129" spans="1:2" ht="58" customHeight="1" x14ac:dyDescent="0.35">
      <c r="A129" s="47" t="s">
        <v>289</v>
      </c>
      <c r="B129" s="3" t="s">
        <v>146</v>
      </c>
    </row>
    <row r="130" spans="1:2" ht="58" customHeight="1" x14ac:dyDescent="0.35">
      <c r="A130" s="47" t="s">
        <v>290</v>
      </c>
      <c r="B130">
        <v>927118.30999999994</v>
      </c>
    </row>
    <row r="131" spans="1:2" ht="43.5" customHeight="1" x14ac:dyDescent="0.35">
      <c r="A131" s="47" t="s">
        <v>291</v>
      </c>
      <c r="B131" s="3" t="s">
        <v>146</v>
      </c>
    </row>
    <row r="132" spans="1:2" ht="43.5" customHeight="1" x14ac:dyDescent="0.35">
      <c r="A132" s="47" t="s">
        <v>292</v>
      </c>
      <c r="B132" s="3" t="s">
        <v>146</v>
      </c>
    </row>
    <row r="134" spans="1:2" x14ac:dyDescent="0.35">
      <c r="A134" t="s">
        <v>293</v>
      </c>
    </row>
    <row r="135" spans="1:2" x14ac:dyDescent="0.35">
      <c r="A135" s="51" t="s">
        <v>295</v>
      </c>
      <c r="B135" s="51" t="s">
        <v>473</v>
      </c>
    </row>
    <row r="136" spans="1:2" x14ac:dyDescent="0.35">
      <c r="A136" s="51" t="s">
        <v>297</v>
      </c>
      <c r="B136" s="51" t="s">
        <v>474</v>
      </c>
    </row>
    <row r="137" spans="1:2" x14ac:dyDescent="0.35">
      <c r="A137" s="51"/>
      <c r="B137" s="51"/>
    </row>
    <row r="138" spans="1:2" x14ac:dyDescent="0.35">
      <c r="A138" s="51" t="s">
        <v>299</v>
      </c>
      <c r="B138" s="52">
        <v>7.1389231603102026</v>
      </c>
    </row>
    <row r="139" spans="1:2" x14ac:dyDescent="0.35">
      <c r="A139" s="51"/>
      <c r="B139" s="51"/>
    </row>
    <row r="140" spans="1:2" x14ac:dyDescent="0.35">
      <c r="A140" s="51" t="s">
        <v>300</v>
      </c>
      <c r="B140" s="53">
        <v>3.3645</v>
      </c>
    </row>
    <row r="141" spans="1:2" x14ac:dyDescent="0.35">
      <c r="A141" s="51" t="s">
        <v>301</v>
      </c>
      <c r="B141" s="53">
        <v>3.8467758215525989</v>
      </c>
    </row>
    <row r="142" spans="1:2" x14ac:dyDescent="0.35">
      <c r="A142" s="51"/>
      <c r="B142" s="51"/>
    </row>
    <row r="143" spans="1:2" x14ac:dyDescent="0.35">
      <c r="A143" s="51" t="s">
        <v>302</v>
      </c>
      <c r="B143" s="54">
        <v>46053</v>
      </c>
    </row>
    <row r="145" spans="1:4" ht="70" customHeight="1" x14ac:dyDescent="0.35">
      <c r="A145" s="70" t="s">
        <v>303</v>
      </c>
      <c r="B145" s="70" t="s">
        <v>304</v>
      </c>
      <c r="C145" s="70" t="s">
        <v>4</v>
      </c>
      <c r="D145" s="70" t="s">
        <v>5</v>
      </c>
    </row>
    <row r="146" spans="1:4" ht="70" customHeight="1" x14ac:dyDescent="0.35">
      <c r="A146" s="70" t="s">
        <v>473</v>
      </c>
      <c r="B146" s="70"/>
      <c r="C146" s="70" t="s">
        <v>10</v>
      </c>
      <c r="D14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14"/>
  <sheetViews>
    <sheetView showGridLines="0" workbookViewId="0">
      <pane ySplit="4" topLeftCell="A73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475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476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477</v>
      </c>
      <c r="B11" s="41" t="s">
        <v>478</v>
      </c>
      <c r="C11" s="41" t="s">
        <v>310</v>
      </c>
      <c r="D11" s="15">
        <v>104500000</v>
      </c>
      <c r="E11" s="16">
        <v>100583.76</v>
      </c>
      <c r="F11" s="17">
        <v>7.5800000000000006E-2</v>
      </c>
      <c r="G11" s="17">
        <v>7.2950000000000001E-2</v>
      </c>
    </row>
    <row r="12" spans="1:7" x14ac:dyDescent="0.35">
      <c r="A12" s="13" t="s">
        <v>479</v>
      </c>
      <c r="B12" s="41" t="s">
        <v>480</v>
      </c>
      <c r="C12" s="41" t="s">
        <v>317</v>
      </c>
      <c r="D12" s="15">
        <v>100000000</v>
      </c>
      <c r="E12" s="16">
        <v>96255.9</v>
      </c>
      <c r="F12" s="17">
        <v>7.2499999999999995E-2</v>
      </c>
      <c r="G12" s="17">
        <v>7.3349999999999999E-2</v>
      </c>
    </row>
    <row r="13" spans="1:7" x14ac:dyDescent="0.35">
      <c r="A13" s="13" t="s">
        <v>481</v>
      </c>
      <c r="B13" s="41" t="s">
        <v>482</v>
      </c>
      <c r="C13" s="41" t="s">
        <v>310</v>
      </c>
      <c r="D13" s="15">
        <v>98500000</v>
      </c>
      <c r="E13" s="16">
        <v>95496.54</v>
      </c>
      <c r="F13" s="17">
        <v>7.1900000000000006E-2</v>
      </c>
      <c r="G13" s="17">
        <v>7.22E-2</v>
      </c>
    </row>
    <row r="14" spans="1:7" x14ac:dyDescent="0.35">
      <c r="A14" s="13" t="s">
        <v>483</v>
      </c>
      <c r="B14" s="41" t="s">
        <v>484</v>
      </c>
      <c r="C14" s="41" t="s">
        <v>317</v>
      </c>
      <c r="D14" s="15">
        <v>96000000</v>
      </c>
      <c r="E14" s="16">
        <v>94398.91</v>
      </c>
      <c r="F14" s="17">
        <v>7.1099999999999997E-2</v>
      </c>
      <c r="G14" s="17">
        <v>7.1936E-2</v>
      </c>
    </row>
    <row r="15" spans="1:7" x14ac:dyDescent="0.35">
      <c r="A15" s="13" t="s">
        <v>485</v>
      </c>
      <c r="B15" s="41" t="s">
        <v>486</v>
      </c>
      <c r="C15" s="41" t="s">
        <v>310</v>
      </c>
      <c r="D15" s="15">
        <v>95500000</v>
      </c>
      <c r="E15" s="16">
        <v>93407.69</v>
      </c>
      <c r="F15" s="17">
        <v>7.0400000000000004E-2</v>
      </c>
      <c r="G15" s="17">
        <v>7.3974999999999999E-2</v>
      </c>
    </row>
    <row r="16" spans="1:7" x14ac:dyDescent="0.35">
      <c r="A16" s="13" t="s">
        <v>487</v>
      </c>
      <c r="B16" s="41" t="s">
        <v>488</v>
      </c>
      <c r="C16" s="41" t="s">
        <v>310</v>
      </c>
      <c r="D16" s="15">
        <v>92500000</v>
      </c>
      <c r="E16" s="16">
        <v>90905.49</v>
      </c>
      <c r="F16" s="17">
        <v>6.8500000000000005E-2</v>
      </c>
      <c r="G16" s="17">
        <v>7.3075000000000001E-2</v>
      </c>
    </row>
    <row r="17" spans="1:7" x14ac:dyDescent="0.35">
      <c r="A17" s="13" t="s">
        <v>489</v>
      </c>
      <c r="B17" s="41" t="s">
        <v>490</v>
      </c>
      <c r="C17" s="41" t="s">
        <v>317</v>
      </c>
      <c r="D17" s="15">
        <v>83000000</v>
      </c>
      <c r="E17" s="16">
        <v>80687.37</v>
      </c>
      <c r="F17" s="17">
        <v>6.08E-2</v>
      </c>
      <c r="G17" s="17">
        <v>7.0550000000000002E-2</v>
      </c>
    </row>
    <row r="18" spans="1:7" x14ac:dyDescent="0.35">
      <c r="A18" s="13" t="s">
        <v>491</v>
      </c>
      <c r="B18" s="41" t="s">
        <v>492</v>
      </c>
      <c r="C18" s="41" t="s">
        <v>310</v>
      </c>
      <c r="D18" s="15">
        <v>80000000</v>
      </c>
      <c r="E18" s="16">
        <v>78254.16</v>
      </c>
      <c r="F18" s="17">
        <v>5.8999999999999997E-2</v>
      </c>
      <c r="G18" s="17">
        <v>7.1400000000000005E-2</v>
      </c>
    </row>
    <row r="19" spans="1:7" x14ac:dyDescent="0.35">
      <c r="A19" s="13" t="s">
        <v>493</v>
      </c>
      <c r="B19" s="41" t="s">
        <v>494</v>
      </c>
      <c r="C19" s="41" t="s">
        <v>310</v>
      </c>
      <c r="D19" s="15">
        <v>80000000</v>
      </c>
      <c r="E19" s="16">
        <v>76854.240000000005</v>
      </c>
      <c r="F19" s="17">
        <v>5.79E-2</v>
      </c>
      <c r="G19" s="17">
        <v>7.22E-2</v>
      </c>
    </row>
    <row r="20" spans="1:7" x14ac:dyDescent="0.35">
      <c r="A20" s="13" t="s">
        <v>495</v>
      </c>
      <c r="B20" s="41" t="s">
        <v>496</v>
      </c>
      <c r="C20" s="41" t="s">
        <v>310</v>
      </c>
      <c r="D20" s="15">
        <v>59000000</v>
      </c>
      <c r="E20" s="16">
        <v>59705.82</v>
      </c>
      <c r="F20" s="17">
        <v>4.4999999999999998E-2</v>
      </c>
      <c r="G20" s="17">
        <v>7.2700000000000001E-2</v>
      </c>
    </row>
    <row r="21" spans="1:7" x14ac:dyDescent="0.35">
      <c r="A21" s="13" t="s">
        <v>497</v>
      </c>
      <c r="B21" s="41" t="s">
        <v>498</v>
      </c>
      <c r="C21" s="41" t="s">
        <v>361</v>
      </c>
      <c r="D21" s="15">
        <v>55000000</v>
      </c>
      <c r="E21" s="16">
        <v>55532.46</v>
      </c>
      <c r="F21" s="17">
        <v>4.1799999999999997E-2</v>
      </c>
      <c r="G21" s="17">
        <v>7.2700000000000001E-2</v>
      </c>
    </row>
    <row r="22" spans="1:7" x14ac:dyDescent="0.35">
      <c r="A22" s="13" t="s">
        <v>499</v>
      </c>
      <c r="B22" s="41" t="s">
        <v>500</v>
      </c>
      <c r="C22" s="41" t="s">
        <v>501</v>
      </c>
      <c r="D22" s="15">
        <v>53500000</v>
      </c>
      <c r="E22" s="16">
        <v>52095.95</v>
      </c>
      <c r="F22" s="17">
        <v>3.9199999999999999E-2</v>
      </c>
      <c r="G22" s="17">
        <v>7.3150000000000007E-2</v>
      </c>
    </row>
    <row r="23" spans="1:7" x14ac:dyDescent="0.35">
      <c r="A23" s="13" t="s">
        <v>502</v>
      </c>
      <c r="B23" s="41" t="s">
        <v>503</v>
      </c>
      <c r="C23" s="41" t="s">
        <v>310</v>
      </c>
      <c r="D23" s="15">
        <v>38500000</v>
      </c>
      <c r="E23" s="16">
        <v>36926.89</v>
      </c>
      <c r="F23" s="17">
        <v>2.7799999999999998E-2</v>
      </c>
      <c r="G23" s="17">
        <v>7.2474999999999998E-2</v>
      </c>
    </row>
    <row r="24" spans="1:7" x14ac:dyDescent="0.35">
      <c r="A24" s="13" t="s">
        <v>504</v>
      </c>
      <c r="B24" s="41" t="s">
        <v>505</v>
      </c>
      <c r="C24" s="41" t="s">
        <v>310</v>
      </c>
      <c r="D24" s="15">
        <v>33500000</v>
      </c>
      <c r="E24" s="16">
        <v>33810.550000000003</v>
      </c>
      <c r="F24" s="17">
        <v>2.5499999999999998E-2</v>
      </c>
      <c r="G24" s="17">
        <v>7.2749999999999995E-2</v>
      </c>
    </row>
    <row r="25" spans="1:7" x14ac:dyDescent="0.35">
      <c r="A25" s="13" t="s">
        <v>506</v>
      </c>
      <c r="B25" s="41" t="s">
        <v>507</v>
      </c>
      <c r="C25" s="41" t="s">
        <v>310</v>
      </c>
      <c r="D25" s="15">
        <v>28000000</v>
      </c>
      <c r="E25" s="16">
        <v>27698.799999999999</v>
      </c>
      <c r="F25" s="17">
        <v>2.0899999999999998E-2</v>
      </c>
      <c r="G25" s="17">
        <v>7.3217000000000004E-2</v>
      </c>
    </row>
    <row r="26" spans="1:7" x14ac:dyDescent="0.35">
      <c r="A26" s="13" t="s">
        <v>508</v>
      </c>
      <c r="B26" s="41" t="s">
        <v>509</v>
      </c>
      <c r="C26" s="41" t="s">
        <v>310</v>
      </c>
      <c r="D26" s="15">
        <v>27000000</v>
      </c>
      <c r="E26" s="16">
        <v>27463.81</v>
      </c>
      <c r="F26" s="17">
        <v>2.07E-2</v>
      </c>
      <c r="G26" s="17">
        <v>7.3974999999999999E-2</v>
      </c>
    </row>
    <row r="27" spans="1:7" x14ac:dyDescent="0.35">
      <c r="A27" s="13" t="s">
        <v>510</v>
      </c>
      <c r="B27" s="41" t="s">
        <v>511</v>
      </c>
      <c r="C27" s="41" t="s">
        <v>310</v>
      </c>
      <c r="D27" s="15">
        <v>27500000</v>
      </c>
      <c r="E27" s="16">
        <v>26972.080000000002</v>
      </c>
      <c r="F27" s="17">
        <v>2.0299999999999999E-2</v>
      </c>
      <c r="G27" s="17">
        <v>7.2749999999999995E-2</v>
      </c>
    </row>
    <row r="28" spans="1:7" x14ac:dyDescent="0.35">
      <c r="A28" s="13" t="s">
        <v>512</v>
      </c>
      <c r="B28" s="41" t="s">
        <v>513</v>
      </c>
      <c r="C28" s="41" t="s">
        <v>310</v>
      </c>
      <c r="D28" s="15">
        <v>12500000</v>
      </c>
      <c r="E28" s="16">
        <v>12556.26</v>
      </c>
      <c r="F28" s="17">
        <v>9.4999999999999998E-3</v>
      </c>
      <c r="G28" s="17">
        <v>7.2099999999999997E-2</v>
      </c>
    </row>
    <row r="29" spans="1:7" x14ac:dyDescent="0.35">
      <c r="A29" s="13" t="s">
        <v>514</v>
      </c>
      <c r="B29" s="41" t="s">
        <v>515</v>
      </c>
      <c r="C29" s="41" t="s">
        <v>310</v>
      </c>
      <c r="D29" s="15">
        <v>12500000</v>
      </c>
      <c r="E29" s="16">
        <v>12356.84</v>
      </c>
      <c r="F29" s="17">
        <v>9.2999999999999992E-3</v>
      </c>
      <c r="G29" s="17">
        <v>7.3217000000000004E-2</v>
      </c>
    </row>
    <row r="30" spans="1:7" x14ac:dyDescent="0.35">
      <c r="A30" s="13" t="s">
        <v>516</v>
      </c>
      <c r="B30" s="41" t="s">
        <v>517</v>
      </c>
      <c r="C30" s="41" t="s">
        <v>310</v>
      </c>
      <c r="D30" s="15">
        <v>11500000</v>
      </c>
      <c r="E30" s="16">
        <v>11309.46</v>
      </c>
      <c r="F30" s="17">
        <v>8.5000000000000006E-3</v>
      </c>
      <c r="G30" s="17">
        <v>7.3075000000000001E-2</v>
      </c>
    </row>
    <row r="31" spans="1:7" x14ac:dyDescent="0.35">
      <c r="A31" s="13" t="s">
        <v>441</v>
      </c>
      <c r="B31" s="41" t="s">
        <v>442</v>
      </c>
      <c r="C31" s="41" t="s">
        <v>310</v>
      </c>
      <c r="D31" s="15">
        <v>9500000</v>
      </c>
      <c r="E31" s="16">
        <v>9815.5300000000007</v>
      </c>
      <c r="F31" s="17">
        <v>7.4000000000000003E-3</v>
      </c>
      <c r="G31" s="17">
        <v>7.2075E-2</v>
      </c>
    </row>
    <row r="32" spans="1:7" x14ac:dyDescent="0.35">
      <c r="A32" s="13" t="s">
        <v>518</v>
      </c>
      <c r="B32" s="41" t="s">
        <v>519</v>
      </c>
      <c r="C32" s="41" t="s">
        <v>310</v>
      </c>
      <c r="D32" s="15">
        <v>7000000</v>
      </c>
      <c r="E32" s="16">
        <v>7104.09</v>
      </c>
      <c r="F32" s="17">
        <v>5.4000000000000003E-3</v>
      </c>
      <c r="G32" s="17">
        <v>7.3217000000000004E-2</v>
      </c>
    </row>
    <row r="33" spans="1:7" x14ac:dyDescent="0.35">
      <c r="A33" s="13" t="s">
        <v>520</v>
      </c>
      <c r="B33" s="41" t="s">
        <v>521</v>
      </c>
      <c r="C33" s="41" t="s">
        <v>310</v>
      </c>
      <c r="D33" s="15">
        <v>6000000</v>
      </c>
      <c r="E33" s="16">
        <v>6107.23</v>
      </c>
      <c r="F33" s="17">
        <v>4.5999999999999999E-3</v>
      </c>
      <c r="G33" s="17">
        <v>7.2749999999999995E-2</v>
      </c>
    </row>
    <row r="34" spans="1:7" x14ac:dyDescent="0.35">
      <c r="A34" s="13" t="s">
        <v>522</v>
      </c>
      <c r="B34" s="41" t="s">
        <v>523</v>
      </c>
      <c r="C34" s="41" t="s">
        <v>310</v>
      </c>
      <c r="D34" s="15">
        <v>3300000</v>
      </c>
      <c r="E34" s="16">
        <v>3444.65</v>
      </c>
      <c r="F34" s="17">
        <v>2.5999999999999999E-3</v>
      </c>
      <c r="G34" s="17">
        <v>7.2175000000000003E-2</v>
      </c>
    </row>
    <row r="35" spans="1:7" x14ac:dyDescent="0.35">
      <c r="A35" s="13" t="s">
        <v>524</v>
      </c>
      <c r="B35" s="41" t="s">
        <v>525</v>
      </c>
      <c r="C35" s="41" t="s">
        <v>310</v>
      </c>
      <c r="D35" s="15">
        <v>3500000</v>
      </c>
      <c r="E35" s="16">
        <v>3387.45</v>
      </c>
      <c r="F35" s="17">
        <v>2.5999999999999999E-3</v>
      </c>
      <c r="G35" s="17">
        <v>7.22E-2</v>
      </c>
    </row>
    <row r="36" spans="1:7" x14ac:dyDescent="0.35">
      <c r="A36" s="13" t="s">
        <v>526</v>
      </c>
      <c r="B36" s="41" t="s">
        <v>527</v>
      </c>
      <c r="C36" s="41" t="s">
        <v>310</v>
      </c>
      <c r="D36" s="15">
        <v>3000000</v>
      </c>
      <c r="E36" s="16">
        <v>3134.23</v>
      </c>
      <c r="F36" s="17">
        <v>2.3999999999999998E-3</v>
      </c>
      <c r="G36" s="17">
        <v>7.2000999999999996E-2</v>
      </c>
    </row>
    <row r="37" spans="1:7" x14ac:dyDescent="0.35">
      <c r="A37" s="13" t="s">
        <v>528</v>
      </c>
      <c r="B37" s="41" t="s">
        <v>529</v>
      </c>
      <c r="C37" s="41" t="s">
        <v>310</v>
      </c>
      <c r="D37" s="15">
        <v>3000000</v>
      </c>
      <c r="E37" s="16">
        <v>2935.11</v>
      </c>
      <c r="F37" s="17">
        <v>2.2000000000000001E-3</v>
      </c>
      <c r="G37" s="17">
        <v>7.2499999999999995E-2</v>
      </c>
    </row>
    <row r="38" spans="1:7" x14ac:dyDescent="0.35">
      <c r="A38" s="13" t="s">
        <v>530</v>
      </c>
      <c r="B38" s="41" t="s">
        <v>531</v>
      </c>
      <c r="C38" s="41" t="s">
        <v>310</v>
      </c>
      <c r="D38" s="15">
        <v>2500000</v>
      </c>
      <c r="E38" s="16">
        <v>2579.4</v>
      </c>
      <c r="F38" s="17">
        <v>1.9E-3</v>
      </c>
      <c r="G38" s="17">
        <v>7.2175000000000003E-2</v>
      </c>
    </row>
    <row r="39" spans="1:7" x14ac:dyDescent="0.35">
      <c r="A39" s="13" t="s">
        <v>532</v>
      </c>
      <c r="B39" s="41" t="s">
        <v>533</v>
      </c>
      <c r="C39" s="41" t="s">
        <v>310</v>
      </c>
      <c r="D39" s="15">
        <v>1500000</v>
      </c>
      <c r="E39" s="16">
        <v>1602.32</v>
      </c>
      <c r="F39" s="17">
        <v>1.1999999999999999E-3</v>
      </c>
      <c r="G39" s="17">
        <v>7.0961999999999997E-2</v>
      </c>
    </row>
    <row r="40" spans="1:7" x14ac:dyDescent="0.35">
      <c r="A40" s="13" t="s">
        <v>435</v>
      </c>
      <c r="B40" s="41" t="s">
        <v>436</v>
      </c>
      <c r="C40" s="41" t="s">
        <v>310</v>
      </c>
      <c r="D40" s="15">
        <v>1000000</v>
      </c>
      <c r="E40" s="16">
        <v>1066.97</v>
      </c>
      <c r="F40" s="17">
        <v>8.0000000000000004E-4</v>
      </c>
      <c r="G40" s="17">
        <v>7.0961999999999997E-2</v>
      </c>
    </row>
    <row r="41" spans="1:7" x14ac:dyDescent="0.35">
      <c r="A41" s="13" t="s">
        <v>534</v>
      </c>
      <c r="B41" s="41" t="s">
        <v>535</v>
      </c>
      <c r="C41" s="41" t="s">
        <v>310</v>
      </c>
      <c r="D41" s="15">
        <v>1000000</v>
      </c>
      <c r="E41" s="16">
        <v>1041.92</v>
      </c>
      <c r="F41" s="17">
        <v>8.0000000000000004E-4</v>
      </c>
      <c r="G41" s="17">
        <v>7.2175000000000003E-2</v>
      </c>
    </row>
    <row r="42" spans="1:7" x14ac:dyDescent="0.35">
      <c r="A42" s="13" t="s">
        <v>425</v>
      </c>
      <c r="B42" s="41" t="s">
        <v>426</v>
      </c>
      <c r="C42" s="41" t="s">
        <v>310</v>
      </c>
      <c r="D42" s="15">
        <v>1000000</v>
      </c>
      <c r="E42" s="16">
        <v>1032.2</v>
      </c>
      <c r="F42" s="17">
        <v>8.0000000000000004E-4</v>
      </c>
      <c r="G42" s="17">
        <v>7.2073999999999999E-2</v>
      </c>
    </row>
    <row r="43" spans="1:7" x14ac:dyDescent="0.35">
      <c r="A43" s="13" t="s">
        <v>536</v>
      </c>
      <c r="B43" s="41" t="s">
        <v>537</v>
      </c>
      <c r="C43" s="41" t="s">
        <v>310</v>
      </c>
      <c r="D43" s="15">
        <v>1000000</v>
      </c>
      <c r="E43" s="16">
        <v>1030.95</v>
      </c>
      <c r="F43" s="17">
        <v>8.0000000000000004E-4</v>
      </c>
      <c r="G43" s="17">
        <v>7.1360000000000007E-2</v>
      </c>
    </row>
    <row r="44" spans="1:7" x14ac:dyDescent="0.35">
      <c r="A44" s="13" t="s">
        <v>538</v>
      </c>
      <c r="B44" s="41" t="s">
        <v>539</v>
      </c>
      <c r="C44" s="41" t="s">
        <v>310</v>
      </c>
      <c r="D44" s="15">
        <v>1000000</v>
      </c>
      <c r="E44" s="16">
        <v>1009.13</v>
      </c>
      <c r="F44" s="17">
        <v>8.0000000000000004E-4</v>
      </c>
      <c r="G44" s="17">
        <v>7.1457000000000007E-2</v>
      </c>
    </row>
    <row r="45" spans="1:7" x14ac:dyDescent="0.35">
      <c r="A45" s="13" t="s">
        <v>540</v>
      </c>
      <c r="B45" s="41" t="s">
        <v>541</v>
      </c>
      <c r="C45" s="41" t="s">
        <v>310</v>
      </c>
      <c r="D45" s="15">
        <v>1000000</v>
      </c>
      <c r="E45" s="16">
        <v>983.88</v>
      </c>
      <c r="F45" s="17">
        <v>6.9999999999999999E-4</v>
      </c>
      <c r="G45" s="17">
        <v>7.3974999999999999E-2</v>
      </c>
    </row>
    <row r="46" spans="1:7" x14ac:dyDescent="0.35">
      <c r="A46" s="13" t="s">
        <v>542</v>
      </c>
      <c r="B46" s="41" t="s">
        <v>543</v>
      </c>
      <c r="C46" s="41" t="s">
        <v>310</v>
      </c>
      <c r="D46" s="15">
        <v>500000</v>
      </c>
      <c r="E46" s="16">
        <v>539.91999999999996</v>
      </c>
      <c r="F46" s="17">
        <v>4.0000000000000002E-4</v>
      </c>
      <c r="G46" s="17">
        <v>7.2175000000000003E-2</v>
      </c>
    </row>
    <row r="47" spans="1:7" x14ac:dyDescent="0.35">
      <c r="A47" s="13" t="s">
        <v>544</v>
      </c>
      <c r="B47" s="41" t="s">
        <v>545</v>
      </c>
      <c r="C47" s="41" t="s">
        <v>340</v>
      </c>
      <c r="D47" s="15">
        <v>500000</v>
      </c>
      <c r="E47" s="16">
        <v>522.97</v>
      </c>
      <c r="F47" s="17">
        <v>4.0000000000000002E-4</v>
      </c>
      <c r="G47" s="17">
        <v>7.2349999999999998E-2</v>
      </c>
    </row>
    <row r="48" spans="1:7" x14ac:dyDescent="0.35">
      <c r="A48" s="13" t="s">
        <v>429</v>
      </c>
      <c r="B48" s="41" t="s">
        <v>430</v>
      </c>
      <c r="C48" s="41" t="s">
        <v>310</v>
      </c>
      <c r="D48" s="15">
        <v>500000</v>
      </c>
      <c r="E48" s="16">
        <v>519.9</v>
      </c>
      <c r="F48" s="17">
        <v>4.0000000000000002E-4</v>
      </c>
      <c r="G48" s="17">
        <v>7.1357000000000004E-2</v>
      </c>
    </row>
    <row r="49" spans="1:7" x14ac:dyDescent="0.35">
      <c r="A49" s="13" t="s">
        <v>546</v>
      </c>
      <c r="B49" s="41" t="s">
        <v>547</v>
      </c>
      <c r="C49" s="41" t="s">
        <v>317</v>
      </c>
      <c r="D49" s="15">
        <v>500000</v>
      </c>
      <c r="E49" s="16">
        <v>516.42999999999995</v>
      </c>
      <c r="F49" s="17">
        <v>4.0000000000000002E-4</v>
      </c>
      <c r="G49" s="17">
        <v>7.306E-2</v>
      </c>
    </row>
    <row r="50" spans="1:7" x14ac:dyDescent="0.35">
      <c r="A50" s="13" t="s">
        <v>405</v>
      </c>
      <c r="B50" s="41" t="s">
        <v>406</v>
      </c>
      <c r="C50" s="41" t="s">
        <v>310</v>
      </c>
      <c r="D50" s="15">
        <v>500000</v>
      </c>
      <c r="E50" s="16">
        <v>515.37</v>
      </c>
      <c r="F50" s="17">
        <v>4.0000000000000002E-4</v>
      </c>
      <c r="G50" s="17">
        <v>7.1050000000000002E-2</v>
      </c>
    </row>
    <row r="51" spans="1:7" x14ac:dyDescent="0.35">
      <c r="A51" s="13" t="s">
        <v>457</v>
      </c>
      <c r="B51" s="41" t="s">
        <v>458</v>
      </c>
      <c r="C51" s="41" t="s">
        <v>310</v>
      </c>
      <c r="D51" s="15">
        <v>500000</v>
      </c>
      <c r="E51" s="16">
        <v>514.64</v>
      </c>
      <c r="F51" s="17">
        <v>4.0000000000000002E-4</v>
      </c>
      <c r="G51" s="17">
        <v>7.0663000000000004E-2</v>
      </c>
    </row>
    <row r="52" spans="1:7" x14ac:dyDescent="0.35">
      <c r="A52" s="13" t="s">
        <v>548</v>
      </c>
      <c r="B52" s="41" t="s">
        <v>549</v>
      </c>
      <c r="C52" s="41" t="s">
        <v>310</v>
      </c>
      <c r="D52" s="15">
        <v>500000</v>
      </c>
      <c r="E52" s="16">
        <v>511.98</v>
      </c>
      <c r="F52" s="17">
        <v>4.0000000000000002E-4</v>
      </c>
      <c r="G52" s="17">
        <v>7.0251999999999995E-2</v>
      </c>
    </row>
    <row r="53" spans="1:7" x14ac:dyDescent="0.35">
      <c r="A53" s="13" t="s">
        <v>550</v>
      </c>
      <c r="B53" s="41" t="s">
        <v>551</v>
      </c>
      <c r="C53" s="41" t="s">
        <v>361</v>
      </c>
      <c r="D53" s="15">
        <v>500000</v>
      </c>
      <c r="E53" s="16">
        <v>492.11</v>
      </c>
      <c r="F53" s="17">
        <v>4.0000000000000002E-4</v>
      </c>
      <c r="G53" s="17">
        <v>7.2349999999999998E-2</v>
      </c>
    </row>
    <row r="54" spans="1:7" x14ac:dyDescent="0.35">
      <c r="A54" s="13" t="s">
        <v>552</v>
      </c>
      <c r="B54" s="41" t="s">
        <v>553</v>
      </c>
      <c r="C54" s="41" t="s">
        <v>317</v>
      </c>
      <c r="D54" s="15">
        <v>500000</v>
      </c>
      <c r="E54" s="16">
        <v>489.23</v>
      </c>
      <c r="F54" s="17">
        <v>4.0000000000000002E-4</v>
      </c>
      <c r="G54" s="17">
        <v>7.3349999999999999E-2</v>
      </c>
    </row>
    <row r="55" spans="1:7" x14ac:dyDescent="0.35">
      <c r="A55" s="14" t="s">
        <v>149</v>
      </c>
      <c r="B55" s="42"/>
      <c r="C55" s="42"/>
      <c r="D55" s="18"/>
      <c r="E55" s="36">
        <v>1214170.5900000001</v>
      </c>
      <c r="F55" s="37">
        <v>0.91500000000000004</v>
      </c>
      <c r="G55" s="21"/>
    </row>
    <row r="56" spans="1:7" x14ac:dyDescent="0.35">
      <c r="A56" s="13"/>
      <c r="B56" s="41"/>
      <c r="C56" s="41"/>
      <c r="D56" s="15"/>
      <c r="E56" s="16"/>
      <c r="F56" s="17"/>
      <c r="G56" s="17"/>
    </row>
    <row r="57" spans="1:7" x14ac:dyDescent="0.35">
      <c r="A57" s="14" t="s">
        <v>463</v>
      </c>
      <c r="B57" s="41"/>
      <c r="C57" s="41"/>
      <c r="D57" s="15"/>
      <c r="E57" s="16"/>
      <c r="F57" s="17"/>
      <c r="G57" s="17"/>
    </row>
    <row r="58" spans="1:7" x14ac:dyDescent="0.35">
      <c r="A58" s="13" t="s">
        <v>554</v>
      </c>
      <c r="B58" s="41" t="s">
        <v>555</v>
      </c>
      <c r="C58" s="41" t="s">
        <v>153</v>
      </c>
      <c r="D58" s="15">
        <v>60000000</v>
      </c>
      <c r="E58" s="16">
        <v>62201.46</v>
      </c>
      <c r="F58" s="17">
        <v>4.6899999999999997E-2</v>
      </c>
      <c r="G58" s="17">
        <v>6.5164E-2</v>
      </c>
    </row>
    <row r="59" spans="1:7" x14ac:dyDescent="0.35">
      <c r="A59" s="14" t="s">
        <v>149</v>
      </c>
      <c r="B59" s="42"/>
      <c r="C59" s="42"/>
      <c r="D59" s="18"/>
      <c r="E59" s="36">
        <v>62201.46</v>
      </c>
      <c r="F59" s="37">
        <v>4.6899999999999997E-2</v>
      </c>
      <c r="G59" s="21"/>
    </row>
    <row r="60" spans="1:7" x14ac:dyDescent="0.35">
      <c r="A60" s="13"/>
      <c r="B60" s="41"/>
      <c r="C60" s="41"/>
      <c r="D60" s="15"/>
      <c r="E60" s="16"/>
      <c r="F60" s="17"/>
      <c r="G60" s="17"/>
    </row>
    <row r="61" spans="1:7" x14ac:dyDescent="0.35">
      <c r="A61" s="14" t="s">
        <v>158</v>
      </c>
      <c r="B61" s="41"/>
      <c r="C61" s="41"/>
      <c r="D61" s="15"/>
      <c r="E61" s="16"/>
      <c r="F61" s="17"/>
      <c r="G61" s="17"/>
    </row>
    <row r="62" spans="1:7" x14ac:dyDescent="0.35">
      <c r="A62" s="14" t="s">
        <v>149</v>
      </c>
      <c r="B62" s="41"/>
      <c r="C62" s="41"/>
      <c r="D62" s="15"/>
      <c r="E62" s="45" t="s">
        <v>146</v>
      </c>
      <c r="F62" s="46" t="s">
        <v>146</v>
      </c>
      <c r="G62" s="17"/>
    </row>
    <row r="63" spans="1:7" x14ac:dyDescent="0.35">
      <c r="A63" s="13"/>
      <c r="B63" s="41"/>
      <c r="C63" s="41"/>
      <c r="D63" s="15"/>
      <c r="E63" s="16"/>
      <c r="F63" s="17"/>
      <c r="G63" s="17"/>
    </row>
    <row r="64" spans="1:7" x14ac:dyDescent="0.35">
      <c r="A64" s="14" t="s">
        <v>159</v>
      </c>
      <c r="B64" s="41"/>
      <c r="C64" s="41"/>
      <c r="D64" s="15"/>
      <c r="E64" s="16"/>
      <c r="F64" s="17"/>
      <c r="G64" s="17"/>
    </row>
    <row r="65" spans="1:7" x14ac:dyDescent="0.35">
      <c r="A65" s="14" t="s">
        <v>149</v>
      </c>
      <c r="B65" s="41"/>
      <c r="C65" s="41"/>
      <c r="D65" s="15"/>
      <c r="E65" s="45" t="s">
        <v>146</v>
      </c>
      <c r="F65" s="46" t="s">
        <v>146</v>
      </c>
      <c r="G65" s="17"/>
    </row>
    <row r="66" spans="1:7" x14ac:dyDescent="0.35">
      <c r="A66" s="13"/>
      <c r="B66" s="41"/>
      <c r="C66" s="41"/>
      <c r="D66" s="15"/>
      <c r="E66" s="16"/>
      <c r="F66" s="17"/>
      <c r="G66" s="17"/>
    </row>
    <row r="67" spans="1:7" x14ac:dyDescent="0.35">
      <c r="A67" s="22" t="s">
        <v>160</v>
      </c>
      <c r="B67" s="43"/>
      <c r="C67" s="43"/>
      <c r="D67" s="23"/>
      <c r="E67" s="36">
        <v>1276372.05</v>
      </c>
      <c r="F67" s="37">
        <v>0.96189999999999998</v>
      </c>
      <c r="G67" s="21"/>
    </row>
    <row r="68" spans="1:7" x14ac:dyDescent="0.35">
      <c r="A68" s="13"/>
      <c r="B68" s="41"/>
      <c r="C68" s="41"/>
      <c r="D68" s="15"/>
      <c r="E68" s="16"/>
      <c r="F68" s="17"/>
      <c r="G68" s="17"/>
    </row>
    <row r="69" spans="1:7" x14ac:dyDescent="0.35">
      <c r="A69" s="13"/>
      <c r="B69" s="41"/>
      <c r="C69" s="41"/>
      <c r="D69" s="15"/>
      <c r="E69" s="16"/>
      <c r="F69" s="17"/>
      <c r="G69" s="17"/>
    </row>
    <row r="70" spans="1:7" x14ac:dyDescent="0.35">
      <c r="A70" s="14" t="s">
        <v>255</v>
      </c>
      <c r="B70" s="41"/>
      <c r="C70" s="41"/>
      <c r="D70" s="15"/>
      <c r="E70" s="16"/>
      <c r="F70" s="17"/>
      <c r="G70" s="17"/>
    </row>
    <row r="71" spans="1:7" x14ac:dyDescent="0.35">
      <c r="A71" s="13" t="s">
        <v>257</v>
      </c>
      <c r="B71" s="41"/>
      <c r="C71" s="41"/>
      <c r="D71" s="15"/>
      <c r="E71" s="16">
        <v>1232.48</v>
      </c>
      <c r="F71" s="17">
        <v>8.9999999999999998E-4</v>
      </c>
      <c r="G71" s="17">
        <v>5.1742000000000003E-2</v>
      </c>
    </row>
    <row r="72" spans="1:7" x14ac:dyDescent="0.35">
      <c r="A72" s="13" t="s">
        <v>257</v>
      </c>
      <c r="B72" s="41"/>
      <c r="C72" s="41"/>
      <c r="D72" s="15"/>
      <c r="E72" s="16">
        <v>793.32</v>
      </c>
      <c r="F72" s="17">
        <v>5.9999999999999995E-4</v>
      </c>
      <c r="G72" s="17">
        <v>4.2000000000000003E-2</v>
      </c>
    </row>
    <row r="73" spans="1:7" x14ac:dyDescent="0.35">
      <c r="A73" s="14" t="s">
        <v>149</v>
      </c>
      <c r="B73" s="42"/>
      <c r="C73" s="42"/>
      <c r="D73" s="18"/>
      <c r="E73" s="36">
        <v>2025.8</v>
      </c>
      <c r="F73" s="37">
        <v>1.5E-3</v>
      </c>
      <c r="G73" s="21"/>
    </row>
    <row r="74" spans="1:7" x14ac:dyDescent="0.35">
      <c r="A74" s="13"/>
      <c r="B74" s="41"/>
      <c r="C74" s="41"/>
      <c r="D74" s="15"/>
      <c r="E74" s="16"/>
      <c r="F74" s="17"/>
      <c r="G74" s="17"/>
    </row>
    <row r="75" spans="1:7" x14ac:dyDescent="0.35">
      <c r="A75" s="22" t="s">
        <v>160</v>
      </c>
      <c r="B75" s="43"/>
      <c r="C75" s="43"/>
      <c r="D75" s="23"/>
      <c r="E75" s="36">
        <v>2025.8</v>
      </c>
      <c r="F75" s="37">
        <v>1.5E-3</v>
      </c>
      <c r="G75" s="21"/>
    </row>
    <row r="76" spans="1:7" x14ac:dyDescent="0.35">
      <c r="A76" s="13" t="s">
        <v>258</v>
      </c>
      <c r="B76" s="41"/>
      <c r="C76" s="41"/>
      <c r="D76" s="15"/>
      <c r="E76" s="16">
        <v>49051.7575641</v>
      </c>
      <c r="F76" s="17">
        <v>3.6951999999999999E-2</v>
      </c>
      <c r="G76" s="17"/>
    </row>
    <row r="77" spans="1:7" x14ac:dyDescent="0.35">
      <c r="A77" s="13" t="s">
        <v>259</v>
      </c>
      <c r="B77" s="41"/>
      <c r="C77" s="41"/>
      <c r="D77" s="15"/>
      <c r="E77" s="28">
        <v>-38.577564099999996</v>
      </c>
      <c r="F77" s="29">
        <v>-3.5199999999999999E-4</v>
      </c>
      <c r="G77" s="17">
        <v>4.7926000000000003E-2</v>
      </c>
    </row>
    <row r="78" spans="1:7" x14ac:dyDescent="0.35">
      <c r="A78" s="38" t="s">
        <v>260</v>
      </c>
      <c r="B78" s="44"/>
      <c r="C78" s="44"/>
      <c r="D78" s="39"/>
      <c r="E78" s="24">
        <v>1327411.03</v>
      </c>
      <c r="F78" s="25">
        <v>1</v>
      </c>
      <c r="G78" s="25"/>
    </row>
    <row r="80" spans="1:7" x14ac:dyDescent="0.35">
      <c r="A80" s="1" t="s">
        <v>262</v>
      </c>
    </row>
    <row r="81" spans="1:3" x14ac:dyDescent="0.35">
      <c r="A81" s="1" t="s">
        <v>556</v>
      </c>
    </row>
    <row r="83" spans="1:3" x14ac:dyDescent="0.35">
      <c r="A83" s="1" t="s">
        <v>263</v>
      </c>
    </row>
    <row r="84" spans="1:3" ht="29" customHeight="1" x14ac:dyDescent="0.35">
      <c r="A84" s="47" t="s">
        <v>264</v>
      </c>
      <c r="B84" s="3" t="s">
        <v>146</v>
      </c>
    </row>
    <row r="85" spans="1:3" x14ac:dyDescent="0.35">
      <c r="A85" t="s">
        <v>265</v>
      </c>
    </row>
    <row r="86" spans="1:3" x14ac:dyDescent="0.35">
      <c r="A86" t="s">
        <v>471</v>
      </c>
      <c r="B86" t="s">
        <v>267</v>
      </c>
      <c r="C86" t="s">
        <v>267</v>
      </c>
    </row>
    <row r="87" spans="1:3" x14ac:dyDescent="0.35">
      <c r="B87" s="49">
        <v>46022</v>
      </c>
      <c r="C87" s="49">
        <v>46052</v>
      </c>
    </row>
    <row r="88" spans="1:3" x14ac:dyDescent="0.35">
      <c r="A88" t="s">
        <v>472</v>
      </c>
      <c r="B88">
        <v>1396.9091000000001</v>
      </c>
      <c r="C88">
        <v>1390.4806000000001</v>
      </c>
    </row>
    <row r="90" spans="1:3" x14ac:dyDescent="0.35">
      <c r="A90" t="s">
        <v>283</v>
      </c>
      <c r="B90" s="3" t="s">
        <v>146</v>
      </c>
    </row>
    <row r="91" spans="1:3" x14ac:dyDescent="0.35">
      <c r="A91" t="s">
        <v>284</v>
      </c>
      <c r="B91" s="3" t="s">
        <v>146</v>
      </c>
    </row>
    <row r="92" spans="1:3" ht="58" customHeight="1" x14ac:dyDescent="0.35">
      <c r="A92" s="47" t="s">
        <v>285</v>
      </c>
      <c r="B92" s="3" t="s">
        <v>146</v>
      </c>
    </row>
    <row r="93" spans="1:3" ht="43.5" customHeight="1" x14ac:dyDescent="0.35">
      <c r="A93" s="47" t="s">
        <v>286</v>
      </c>
      <c r="B93" s="3" t="s">
        <v>146</v>
      </c>
    </row>
    <row r="94" spans="1:3" x14ac:dyDescent="0.35">
      <c r="A94" t="s">
        <v>287</v>
      </c>
      <c r="B94" s="48">
        <f>B109</f>
        <v>5.0298996673056271</v>
      </c>
    </row>
    <row r="95" spans="1:3" ht="72.5" customHeight="1" x14ac:dyDescent="0.35">
      <c r="A95" s="47" t="s">
        <v>288</v>
      </c>
      <c r="B95" s="3" t="s">
        <v>146</v>
      </c>
    </row>
    <row r="96" spans="1:3" x14ac:dyDescent="0.35">
      <c r="B96" s="3"/>
    </row>
    <row r="97" spans="1:2" ht="58" customHeight="1" x14ac:dyDescent="0.35">
      <c r="A97" s="47" t="s">
        <v>289</v>
      </c>
      <c r="B97" s="3" t="s">
        <v>146</v>
      </c>
    </row>
    <row r="98" spans="1:2" ht="58" customHeight="1" x14ac:dyDescent="0.35">
      <c r="A98" s="47" t="s">
        <v>290</v>
      </c>
      <c r="B98">
        <v>462787.31</v>
      </c>
    </row>
    <row r="99" spans="1:2" ht="43.5" customHeight="1" x14ac:dyDescent="0.35">
      <c r="A99" s="47" t="s">
        <v>291</v>
      </c>
      <c r="B99" s="3" t="s">
        <v>146</v>
      </c>
    </row>
    <row r="100" spans="1:2" ht="43.5" customHeight="1" x14ac:dyDescent="0.35">
      <c r="A100" s="47" t="s">
        <v>292</v>
      </c>
      <c r="B100" s="3" t="s">
        <v>146</v>
      </c>
    </row>
    <row r="102" spans="1:2" x14ac:dyDescent="0.35">
      <c r="A102" t="s">
        <v>293</v>
      </c>
    </row>
    <row r="103" spans="1:2" x14ac:dyDescent="0.35">
      <c r="A103" s="51" t="s">
        <v>295</v>
      </c>
      <c r="B103" s="51" t="s">
        <v>557</v>
      </c>
    </row>
    <row r="104" spans="1:2" x14ac:dyDescent="0.35">
      <c r="A104" s="51" t="s">
        <v>297</v>
      </c>
      <c r="B104" s="51" t="s">
        <v>474</v>
      </c>
    </row>
    <row r="105" spans="1:2" x14ac:dyDescent="0.35">
      <c r="A105" s="51"/>
      <c r="B105" s="51"/>
    </row>
    <row r="106" spans="1:2" x14ac:dyDescent="0.35">
      <c r="A106" s="51" t="s">
        <v>299</v>
      </c>
      <c r="B106" s="52">
        <v>7.2192877009248564</v>
      </c>
    </row>
    <row r="107" spans="1:2" x14ac:dyDescent="0.35">
      <c r="A107" s="51"/>
      <c r="B107" s="51"/>
    </row>
    <row r="108" spans="1:2" x14ac:dyDescent="0.35">
      <c r="A108" s="51" t="s">
        <v>300</v>
      </c>
      <c r="B108" s="53">
        <v>4.2515000000000001</v>
      </c>
    </row>
    <row r="109" spans="1:2" x14ac:dyDescent="0.35">
      <c r="A109" s="51" t="s">
        <v>301</v>
      </c>
      <c r="B109" s="53">
        <v>5.0298996673056271</v>
      </c>
    </row>
    <row r="110" spans="1:2" x14ac:dyDescent="0.35">
      <c r="A110" s="51"/>
      <c r="B110" s="51"/>
    </row>
    <row r="111" spans="1:2" x14ac:dyDescent="0.35">
      <c r="A111" s="51" t="s">
        <v>302</v>
      </c>
      <c r="B111" s="54">
        <v>46053</v>
      </c>
    </row>
    <row r="113" spans="1:4" ht="70" customHeight="1" x14ac:dyDescent="0.35">
      <c r="A113" s="70" t="s">
        <v>303</v>
      </c>
      <c r="B113" s="70" t="s">
        <v>304</v>
      </c>
      <c r="C113" s="70" t="s">
        <v>4</v>
      </c>
      <c r="D113" s="70" t="s">
        <v>5</v>
      </c>
    </row>
    <row r="114" spans="1:4" ht="70" customHeight="1" x14ac:dyDescent="0.35">
      <c r="A114" s="70" t="s">
        <v>557</v>
      </c>
      <c r="B114" s="70"/>
      <c r="C114" s="70" t="s">
        <v>13</v>
      </c>
      <c r="D114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98"/>
  <sheetViews>
    <sheetView showGridLines="0" workbookViewId="0">
      <pane ySplit="4" topLeftCell="A4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558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559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560</v>
      </c>
      <c r="B11" s="41" t="s">
        <v>561</v>
      </c>
      <c r="C11" s="41" t="s">
        <v>310</v>
      </c>
      <c r="D11" s="15">
        <v>149500000</v>
      </c>
      <c r="E11" s="16">
        <v>146552.46</v>
      </c>
      <c r="F11" s="17">
        <v>0.13730000000000001</v>
      </c>
      <c r="G11" s="17">
        <v>7.3249999999999996E-2</v>
      </c>
    </row>
    <row r="12" spans="1:7" x14ac:dyDescent="0.35">
      <c r="A12" s="13" t="s">
        <v>562</v>
      </c>
      <c r="B12" s="41" t="s">
        <v>563</v>
      </c>
      <c r="C12" s="41" t="s">
        <v>310</v>
      </c>
      <c r="D12" s="15">
        <v>123500000</v>
      </c>
      <c r="E12" s="16">
        <v>120912.06</v>
      </c>
      <c r="F12" s="17">
        <v>0.1132</v>
      </c>
      <c r="G12" s="17">
        <v>7.3549000000000003E-2</v>
      </c>
    </row>
    <row r="13" spans="1:7" x14ac:dyDescent="0.35">
      <c r="A13" s="13" t="s">
        <v>564</v>
      </c>
      <c r="B13" s="41" t="s">
        <v>565</v>
      </c>
      <c r="C13" s="41" t="s">
        <v>310</v>
      </c>
      <c r="D13" s="15">
        <v>92000000</v>
      </c>
      <c r="E13" s="16">
        <v>89773.78</v>
      </c>
      <c r="F13" s="17">
        <v>8.4099999999999994E-2</v>
      </c>
      <c r="G13" s="17">
        <v>7.2400000000000006E-2</v>
      </c>
    </row>
    <row r="14" spans="1:7" x14ac:dyDescent="0.35">
      <c r="A14" s="13" t="s">
        <v>566</v>
      </c>
      <c r="B14" s="41" t="s">
        <v>567</v>
      </c>
      <c r="C14" s="41" t="s">
        <v>361</v>
      </c>
      <c r="D14" s="15">
        <v>83700000</v>
      </c>
      <c r="E14" s="16">
        <v>84360.06</v>
      </c>
      <c r="F14" s="17">
        <v>7.9000000000000001E-2</v>
      </c>
      <c r="G14" s="17">
        <v>7.3199E-2</v>
      </c>
    </row>
    <row r="15" spans="1:7" x14ac:dyDescent="0.35">
      <c r="A15" s="13" t="s">
        <v>568</v>
      </c>
      <c r="B15" s="41" t="s">
        <v>569</v>
      </c>
      <c r="C15" s="41" t="s">
        <v>310</v>
      </c>
      <c r="D15" s="15">
        <v>82000000</v>
      </c>
      <c r="E15" s="16">
        <v>80573.69</v>
      </c>
      <c r="F15" s="17">
        <v>7.5499999999999998E-2</v>
      </c>
      <c r="G15" s="17">
        <v>7.2300000000000003E-2</v>
      </c>
    </row>
    <row r="16" spans="1:7" x14ac:dyDescent="0.35">
      <c r="A16" s="13" t="s">
        <v>570</v>
      </c>
      <c r="B16" s="41" t="s">
        <v>571</v>
      </c>
      <c r="C16" s="41" t="s">
        <v>310</v>
      </c>
      <c r="D16" s="15">
        <v>75000000</v>
      </c>
      <c r="E16" s="16">
        <v>73289.25</v>
      </c>
      <c r="F16" s="17">
        <v>6.8599999999999994E-2</v>
      </c>
      <c r="G16" s="17">
        <v>7.3387999999999995E-2</v>
      </c>
    </row>
    <row r="17" spans="1:7" x14ac:dyDescent="0.35">
      <c r="A17" s="13" t="s">
        <v>572</v>
      </c>
      <c r="B17" s="41" t="s">
        <v>573</v>
      </c>
      <c r="C17" s="41" t="s">
        <v>310</v>
      </c>
      <c r="D17" s="15">
        <v>50500000</v>
      </c>
      <c r="E17" s="16">
        <v>52041.66</v>
      </c>
      <c r="F17" s="17">
        <v>4.87E-2</v>
      </c>
      <c r="G17" s="17">
        <v>7.1550000000000002E-2</v>
      </c>
    </row>
    <row r="18" spans="1:7" x14ac:dyDescent="0.35">
      <c r="A18" s="13" t="s">
        <v>574</v>
      </c>
      <c r="B18" s="41" t="s">
        <v>575</v>
      </c>
      <c r="C18" s="41" t="s">
        <v>310</v>
      </c>
      <c r="D18" s="15">
        <v>50000000</v>
      </c>
      <c r="E18" s="16">
        <v>48902.400000000001</v>
      </c>
      <c r="F18" s="17">
        <v>4.58E-2</v>
      </c>
      <c r="G18" s="17">
        <v>7.2949E-2</v>
      </c>
    </row>
    <row r="19" spans="1:7" x14ac:dyDescent="0.35">
      <c r="A19" s="13" t="s">
        <v>576</v>
      </c>
      <c r="B19" s="41" t="s">
        <v>577</v>
      </c>
      <c r="C19" s="41" t="s">
        <v>310</v>
      </c>
      <c r="D19" s="15">
        <v>39500000</v>
      </c>
      <c r="E19" s="16">
        <v>40774.230000000003</v>
      </c>
      <c r="F19" s="17">
        <v>3.8199999999999998E-2</v>
      </c>
      <c r="G19" s="17">
        <v>7.1400000000000005E-2</v>
      </c>
    </row>
    <row r="20" spans="1:7" x14ac:dyDescent="0.35">
      <c r="A20" s="13" t="s">
        <v>578</v>
      </c>
      <c r="B20" s="41" t="s">
        <v>579</v>
      </c>
      <c r="C20" s="41" t="s">
        <v>310</v>
      </c>
      <c r="D20" s="15">
        <v>39000000</v>
      </c>
      <c r="E20" s="16">
        <v>38349.01</v>
      </c>
      <c r="F20" s="17">
        <v>3.5900000000000001E-2</v>
      </c>
      <c r="G20" s="17">
        <v>7.2950000000000001E-2</v>
      </c>
    </row>
    <row r="21" spans="1:7" x14ac:dyDescent="0.35">
      <c r="A21" s="13" t="s">
        <v>580</v>
      </c>
      <c r="B21" s="41" t="s">
        <v>581</v>
      </c>
      <c r="C21" s="41" t="s">
        <v>310</v>
      </c>
      <c r="D21" s="15">
        <v>38000000</v>
      </c>
      <c r="E21" s="16">
        <v>37188.239999999998</v>
      </c>
      <c r="F21" s="17">
        <v>3.4799999999999998E-2</v>
      </c>
      <c r="G21" s="17">
        <v>7.2925000000000004E-2</v>
      </c>
    </row>
    <row r="22" spans="1:7" x14ac:dyDescent="0.35">
      <c r="A22" s="13" t="s">
        <v>582</v>
      </c>
      <c r="B22" s="41" t="s">
        <v>583</v>
      </c>
      <c r="C22" s="41" t="s">
        <v>361</v>
      </c>
      <c r="D22" s="15">
        <v>28000000</v>
      </c>
      <c r="E22" s="16">
        <v>27867.95</v>
      </c>
      <c r="F22" s="17">
        <v>2.6100000000000002E-2</v>
      </c>
      <c r="G22" s="17">
        <v>7.3050000000000004E-2</v>
      </c>
    </row>
    <row r="23" spans="1:7" x14ac:dyDescent="0.35">
      <c r="A23" s="13" t="s">
        <v>584</v>
      </c>
      <c r="B23" s="41" t="s">
        <v>585</v>
      </c>
      <c r="C23" s="41" t="s">
        <v>310</v>
      </c>
      <c r="D23" s="15">
        <v>25000000</v>
      </c>
      <c r="E23" s="16">
        <v>25549.3</v>
      </c>
      <c r="F23" s="17">
        <v>2.3900000000000001E-2</v>
      </c>
      <c r="G23" s="17">
        <v>7.3549000000000003E-2</v>
      </c>
    </row>
    <row r="24" spans="1:7" x14ac:dyDescent="0.35">
      <c r="A24" s="13" t="s">
        <v>586</v>
      </c>
      <c r="B24" s="41" t="s">
        <v>587</v>
      </c>
      <c r="C24" s="41" t="s">
        <v>361</v>
      </c>
      <c r="D24" s="15">
        <v>20000000</v>
      </c>
      <c r="E24" s="16">
        <v>20023.12</v>
      </c>
      <c r="F24" s="17">
        <v>1.8800000000000001E-2</v>
      </c>
      <c r="G24" s="17">
        <v>7.3262999999999995E-2</v>
      </c>
    </row>
    <row r="25" spans="1:7" x14ac:dyDescent="0.35">
      <c r="A25" s="13" t="s">
        <v>588</v>
      </c>
      <c r="B25" s="41" t="s">
        <v>589</v>
      </c>
      <c r="C25" s="41" t="s">
        <v>310</v>
      </c>
      <c r="D25" s="15">
        <v>19000000</v>
      </c>
      <c r="E25" s="16">
        <v>18661.990000000002</v>
      </c>
      <c r="F25" s="17">
        <v>1.7500000000000002E-2</v>
      </c>
      <c r="G25" s="17">
        <v>7.2950000000000001E-2</v>
      </c>
    </row>
    <row r="26" spans="1:7" x14ac:dyDescent="0.35">
      <c r="A26" s="13" t="s">
        <v>590</v>
      </c>
      <c r="B26" s="41" t="s">
        <v>591</v>
      </c>
      <c r="C26" s="41" t="s">
        <v>310</v>
      </c>
      <c r="D26" s="15">
        <v>11000000</v>
      </c>
      <c r="E26" s="16">
        <v>10732.59</v>
      </c>
      <c r="F26" s="17">
        <v>1.01E-2</v>
      </c>
      <c r="G26" s="17">
        <v>7.22E-2</v>
      </c>
    </row>
    <row r="27" spans="1:7" x14ac:dyDescent="0.35">
      <c r="A27" s="13" t="s">
        <v>592</v>
      </c>
      <c r="B27" s="41" t="s">
        <v>593</v>
      </c>
      <c r="C27" s="41" t="s">
        <v>310</v>
      </c>
      <c r="D27" s="15">
        <v>10000000</v>
      </c>
      <c r="E27" s="16">
        <v>10015.11</v>
      </c>
      <c r="F27" s="17">
        <v>9.4000000000000004E-3</v>
      </c>
      <c r="G27" s="17">
        <v>7.3349999999999999E-2</v>
      </c>
    </row>
    <row r="28" spans="1:7" x14ac:dyDescent="0.35">
      <c r="A28" s="13" t="s">
        <v>594</v>
      </c>
      <c r="B28" s="41" t="s">
        <v>595</v>
      </c>
      <c r="C28" s="41" t="s">
        <v>310</v>
      </c>
      <c r="D28" s="15">
        <v>9000000</v>
      </c>
      <c r="E28" s="16">
        <v>9308.8799999999992</v>
      </c>
      <c r="F28" s="17">
        <v>8.6999999999999994E-3</v>
      </c>
      <c r="G28" s="17">
        <v>7.2950000000000001E-2</v>
      </c>
    </row>
    <row r="29" spans="1:7" x14ac:dyDescent="0.35">
      <c r="A29" s="13" t="s">
        <v>596</v>
      </c>
      <c r="B29" s="41" t="s">
        <v>597</v>
      </c>
      <c r="C29" s="41" t="s">
        <v>310</v>
      </c>
      <c r="D29" s="15">
        <v>7700000</v>
      </c>
      <c r="E29" s="16">
        <v>7800.1</v>
      </c>
      <c r="F29" s="17">
        <v>7.3000000000000001E-3</v>
      </c>
      <c r="G29" s="17">
        <v>7.2474999999999998E-2</v>
      </c>
    </row>
    <row r="30" spans="1:7" x14ac:dyDescent="0.35">
      <c r="A30" s="13" t="s">
        <v>598</v>
      </c>
      <c r="B30" s="41" t="s">
        <v>599</v>
      </c>
      <c r="C30" s="41" t="s">
        <v>310</v>
      </c>
      <c r="D30" s="15">
        <v>6000000</v>
      </c>
      <c r="E30" s="16">
        <v>6243.88</v>
      </c>
      <c r="F30" s="17">
        <v>5.7999999999999996E-3</v>
      </c>
      <c r="G30" s="17">
        <v>7.2950000000000001E-2</v>
      </c>
    </row>
    <row r="31" spans="1:7" x14ac:dyDescent="0.35">
      <c r="A31" s="13" t="s">
        <v>600</v>
      </c>
      <c r="B31" s="41" t="s">
        <v>601</v>
      </c>
      <c r="C31" s="41" t="s">
        <v>310</v>
      </c>
      <c r="D31" s="15">
        <v>6000000</v>
      </c>
      <c r="E31" s="16">
        <v>6220.78</v>
      </c>
      <c r="F31" s="17">
        <v>5.7999999999999996E-3</v>
      </c>
      <c r="G31" s="17">
        <v>7.2474999999999998E-2</v>
      </c>
    </row>
    <row r="32" spans="1:7" x14ac:dyDescent="0.35">
      <c r="A32" s="13" t="s">
        <v>602</v>
      </c>
      <c r="B32" s="41" t="s">
        <v>603</v>
      </c>
      <c r="C32" s="41" t="s">
        <v>310</v>
      </c>
      <c r="D32" s="15">
        <v>5500000</v>
      </c>
      <c r="E32" s="16">
        <v>5704.19</v>
      </c>
      <c r="F32" s="17">
        <v>5.3E-3</v>
      </c>
      <c r="G32" s="17">
        <v>7.22E-2</v>
      </c>
    </row>
    <row r="33" spans="1:7" x14ac:dyDescent="0.35">
      <c r="A33" s="13" t="s">
        <v>604</v>
      </c>
      <c r="B33" s="41" t="s">
        <v>605</v>
      </c>
      <c r="C33" s="41" t="s">
        <v>310</v>
      </c>
      <c r="D33" s="15">
        <v>4500000</v>
      </c>
      <c r="E33" s="16">
        <v>4656.78</v>
      </c>
      <c r="F33" s="17">
        <v>4.4000000000000003E-3</v>
      </c>
      <c r="G33" s="17">
        <v>7.2950000000000001E-2</v>
      </c>
    </row>
    <row r="34" spans="1:7" x14ac:dyDescent="0.35">
      <c r="A34" s="13" t="s">
        <v>606</v>
      </c>
      <c r="B34" s="41" t="s">
        <v>607</v>
      </c>
      <c r="C34" s="41" t="s">
        <v>310</v>
      </c>
      <c r="D34" s="15">
        <v>3500000</v>
      </c>
      <c r="E34" s="16">
        <v>3515.35</v>
      </c>
      <c r="F34" s="17">
        <v>3.3E-3</v>
      </c>
      <c r="G34" s="17">
        <v>7.3349999999999999E-2</v>
      </c>
    </row>
    <row r="35" spans="1:7" x14ac:dyDescent="0.35">
      <c r="A35" s="13" t="s">
        <v>608</v>
      </c>
      <c r="B35" s="41" t="s">
        <v>609</v>
      </c>
      <c r="C35" s="41" t="s">
        <v>310</v>
      </c>
      <c r="D35" s="15">
        <v>2500000</v>
      </c>
      <c r="E35" s="16">
        <v>2467.42</v>
      </c>
      <c r="F35" s="17">
        <v>2.3E-3</v>
      </c>
      <c r="G35" s="17">
        <v>7.2950000000000001E-2</v>
      </c>
    </row>
    <row r="36" spans="1:7" x14ac:dyDescent="0.35">
      <c r="A36" s="13" t="s">
        <v>610</v>
      </c>
      <c r="B36" s="41" t="s">
        <v>611</v>
      </c>
      <c r="C36" s="41" t="s">
        <v>361</v>
      </c>
      <c r="D36" s="15">
        <v>1500000</v>
      </c>
      <c r="E36" s="16">
        <v>1559.38</v>
      </c>
      <c r="F36" s="17">
        <v>1.5E-3</v>
      </c>
      <c r="G36" s="17">
        <v>7.2425000000000003E-2</v>
      </c>
    </row>
    <row r="37" spans="1:7" x14ac:dyDescent="0.35">
      <c r="A37" s="13" t="s">
        <v>612</v>
      </c>
      <c r="B37" s="41" t="s">
        <v>613</v>
      </c>
      <c r="C37" s="41" t="s">
        <v>361</v>
      </c>
      <c r="D37" s="15">
        <v>1000000</v>
      </c>
      <c r="E37" s="16">
        <v>1042.6199999999999</v>
      </c>
      <c r="F37" s="17">
        <v>1E-3</v>
      </c>
      <c r="G37" s="17">
        <v>7.2425000000000003E-2</v>
      </c>
    </row>
    <row r="38" spans="1:7" x14ac:dyDescent="0.35">
      <c r="A38" s="13" t="s">
        <v>614</v>
      </c>
      <c r="B38" s="41" t="s">
        <v>615</v>
      </c>
      <c r="C38" s="41" t="s">
        <v>310</v>
      </c>
      <c r="D38" s="15">
        <v>1000000</v>
      </c>
      <c r="E38" s="16">
        <v>1011.91</v>
      </c>
      <c r="F38" s="17">
        <v>8.9999999999999998E-4</v>
      </c>
      <c r="G38" s="17">
        <v>7.22E-2</v>
      </c>
    </row>
    <row r="39" spans="1:7" x14ac:dyDescent="0.35">
      <c r="A39" s="13" t="s">
        <v>616</v>
      </c>
      <c r="B39" s="41" t="s">
        <v>617</v>
      </c>
      <c r="C39" s="41" t="s">
        <v>310</v>
      </c>
      <c r="D39" s="15">
        <v>500000</v>
      </c>
      <c r="E39" s="16">
        <v>504.09</v>
      </c>
      <c r="F39" s="17">
        <v>5.0000000000000001E-4</v>
      </c>
      <c r="G39" s="17">
        <v>7.1998999999999994E-2</v>
      </c>
    </row>
    <row r="40" spans="1:7" x14ac:dyDescent="0.35">
      <c r="A40" s="14" t="s">
        <v>149</v>
      </c>
      <c r="B40" s="42"/>
      <c r="C40" s="42"/>
      <c r="D40" s="18"/>
      <c r="E40" s="36">
        <v>975602.28</v>
      </c>
      <c r="F40" s="37">
        <v>0.91369999999999996</v>
      </c>
      <c r="G40" s="21"/>
    </row>
    <row r="41" spans="1:7" x14ac:dyDescent="0.35">
      <c r="A41" s="13"/>
      <c r="B41" s="41"/>
      <c r="C41" s="41"/>
      <c r="D41" s="15"/>
      <c r="E41" s="16"/>
      <c r="F41" s="17"/>
      <c r="G41" s="17"/>
    </row>
    <row r="42" spans="1:7" x14ac:dyDescent="0.35">
      <c r="A42" s="14" t="s">
        <v>463</v>
      </c>
      <c r="B42" s="41"/>
      <c r="C42" s="41"/>
      <c r="D42" s="15"/>
      <c r="E42" s="16"/>
      <c r="F42" s="17"/>
      <c r="G42" s="17"/>
    </row>
    <row r="43" spans="1:7" x14ac:dyDescent="0.35">
      <c r="A43" s="13" t="s">
        <v>618</v>
      </c>
      <c r="B43" s="41" t="s">
        <v>619</v>
      </c>
      <c r="C43" s="41" t="s">
        <v>153</v>
      </c>
      <c r="D43" s="15">
        <v>61100000</v>
      </c>
      <c r="E43" s="16">
        <v>60887.68</v>
      </c>
      <c r="F43" s="17">
        <v>5.7000000000000002E-2</v>
      </c>
      <c r="G43" s="17">
        <v>6.7199999999999996E-2</v>
      </c>
    </row>
    <row r="44" spans="1:7" x14ac:dyDescent="0.35">
      <c r="A44" s="14" t="s">
        <v>149</v>
      </c>
      <c r="B44" s="42"/>
      <c r="C44" s="42"/>
      <c r="D44" s="18"/>
      <c r="E44" s="36">
        <v>60887.68</v>
      </c>
      <c r="F44" s="37">
        <v>5.7000000000000002E-2</v>
      </c>
      <c r="G44" s="21"/>
    </row>
    <row r="45" spans="1:7" x14ac:dyDescent="0.35">
      <c r="A45" s="13"/>
      <c r="B45" s="41"/>
      <c r="C45" s="41"/>
      <c r="D45" s="15"/>
      <c r="E45" s="16"/>
      <c r="F45" s="17"/>
      <c r="G45" s="17"/>
    </row>
    <row r="46" spans="1:7" x14ac:dyDescent="0.35">
      <c r="A46" s="14" t="s">
        <v>158</v>
      </c>
      <c r="B46" s="41"/>
      <c r="C46" s="41"/>
      <c r="D46" s="15"/>
      <c r="E46" s="16"/>
      <c r="F46" s="17"/>
      <c r="G46" s="17"/>
    </row>
    <row r="47" spans="1:7" x14ac:dyDescent="0.35">
      <c r="A47" s="14" t="s">
        <v>149</v>
      </c>
      <c r="B47" s="41"/>
      <c r="C47" s="41"/>
      <c r="D47" s="15"/>
      <c r="E47" s="45" t="s">
        <v>146</v>
      </c>
      <c r="F47" s="46" t="s">
        <v>146</v>
      </c>
      <c r="G47" s="17"/>
    </row>
    <row r="48" spans="1:7" x14ac:dyDescent="0.35">
      <c r="A48" s="13"/>
      <c r="B48" s="41"/>
      <c r="C48" s="41"/>
      <c r="D48" s="15"/>
      <c r="E48" s="16"/>
      <c r="F48" s="17"/>
      <c r="G48" s="17"/>
    </row>
    <row r="49" spans="1:7" x14ac:dyDescent="0.35">
      <c r="A49" s="14" t="s">
        <v>159</v>
      </c>
      <c r="B49" s="41"/>
      <c r="C49" s="41"/>
      <c r="D49" s="15"/>
      <c r="E49" s="16"/>
      <c r="F49" s="17"/>
      <c r="G49" s="17"/>
    </row>
    <row r="50" spans="1:7" x14ac:dyDescent="0.35">
      <c r="A50" s="14" t="s">
        <v>149</v>
      </c>
      <c r="B50" s="41"/>
      <c r="C50" s="41"/>
      <c r="D50" s="15"/>
      <c r="E50" s="45" t="s">
        <v>146</v>
      </c>
      <c r="F50" s="46" t="s">
        <v>146</v>
      </c>
      <c r="G50" s="17"/>
    </row>
    <row r="51" spans="1:7" x14ac:dyDescent="0.35">
      <c r="A51" s="13"/>
      <c r="B51" s="41"/>
      <c r="C51" s="41"/>
      <c r="D51" s="15"/>
      <c r="E51" s="16"/>
      <c r="F51" s="17"/>
      <c r="G51" s="17"/>
    </row>
    <row r="52" spans="1:7" x14ac:dyDescent="0.35">
      <c r="A52" s="22" t="s">
        <v>160</v>
      </c>
      <c r="B52" s="43"/>
      <c r="C52" s="43"/>
      <c r="D52" s="23"/>
      <c r="E52" s="36">
        <v>1036489.96</v>
      </c>
      <c r="F52" s="37">
        <v>0.97070000000000001</v>
      </c>
      <c r="G52" s="21"/>
    </row>
    <row r="53" spans="1:7" x14ac:dyDescent="0.35">
      <c r="A53" s="13"/>
      <c r="B53" s="41"/>
      <c r="C53" s="41"/>
      <c r="D53" s="15"/>
      <c r="E53" s="16"/>
      <c r="F53" s="17"/>
      <c r="G53" s="17"/>
    </row>
    <row r="54" spans="1:7" x14ac:dyDescent="0.35">
      <c r="A54" s="13"/>
      <c r="B54" s="41"/>
      <c r="C54" s="41"/>
      <c r="D54" s="15"/>
      <c r="E54" s="16"/>
      <c r="F54" s="17"/>
      <c r="G54" s="17"/>
    </row>
    <row r="55" spans="1:7" x14ac:dyDescent="0.35">
      <c r="A55" s="14" t="s">
        <v>255</v>
      </c>
      <c r="B55" s="41"/>
      <c r="C55" s="41"/>
      <c r="D55" s="15"/>
      <c r="E55" s="16"/>
      <c r="F55" s="17"/>
      <c r="G55" s="17"/>
    </row>
    <row r="56" spans="1:7" x14ac:dyDescent="0.35">
      <c r="A56" s="13" t="s">
        <v>257</v>
      </c>
      <c r="B56" s="41"/>
      <c r="C56" s="41"/>
      <c r="D56" s="15"/>
      <c r="E56" s="16">
        <v>3686.43</v>
      </c>
      <c r="F56" s="17">
        <v>3.5000000000000001E-3</v>
      </c>
      <c r="G56" s="17">
        <v>5.1742000000000003E-2</v>
      </c>
    </row>
    <row r="57" spans="1:7" x14ac:dyDescent="0.35">
      <c r="A57" s="14" t="s">
        <v>149</v>
      </c>
      <c r="B57" s="42"/>
      <c r="C57" s="42"/>
      <c r="D57" s="18"/>
      <c r="E57" s="36">
        <v>3686.43</v>
      </c>
      <c r="F57" s="37">
        <v>3.5000000000000001E-3</v>
      </c>
      <c r="G57" s="21"/>
    </row>
    <row r="58" spans="1:7" x14ac:dyDescent="0.35">
      <c r="A58" s="13"/>
      <c r="B58" s="41"/>
      <c r="C58" s="41"/>
      <c r="D58" s="15"/>
      <c r="E58" s="16"/>
      <c r="F58" s="17"/>
      <c r="G58" s="17"/>
    </row>
    <row r="59" spans="1:7" x14ac:dyDescent="0.35">
      <c r="A59" s="22" t="s">
        <v>160</v>
      </c>
      <c r="B59" s="43"/>
      <c r="C59" s="43"/>
      <c r="D59" s="23"/>
      <c r="E59" s="36">
        <v>3686.43</v>
      </c>
      <c r="F59" s="37">
        <v>3.5000000000000001E-3</v>
      </c>
      <c r="G59" s="21"/>
    </row>
    <row r="60" spans="1:7" x14ac:dyDescent="0.35">
      <c r="A60" s="13" t="s">
        <v>258</v>
      </c>
      <c r="B60" s="41"/>
      <c r="C60" s="41"/>
      <c r="D60" s="15"/>
      <c r="E60" s="16">
        <v>30288.861712599999</v>
      </c>
      <c r="F60" s="17">
        <v>2.8367E-2</v>
      </c>
      <c r="G60" s="17"/>
    </row>
    <row r="61" spans="1:7" x14ac:dyDescent="0.35">
      <c r="A61" s="13" t="s">
        <v>259</v>
      </c>
      <c r="B61" s="41"/>
      <c r="C61" s="41"/>
      <c r="D61" s="15"/>
      <c r="E61" s="28">
        <v>-2716.7517125999998</v>
      </c>
      <c r="F61" s="29">
        <v>-2.5669999999999998E-3</v>
      </c>
      <c r="G61" s="17">
        <v>5.1741000000000002E-2</v>
      </c>
    </row>
    <row r="62" spans="1:7" x14ac:dyDescent="0.35">
      <c r="A62" s="38" t="s">
        <v>260</v>
      </c>
      <c r="B62" s="44"/>
      <c r="C62" s="44"/>
      <c r="D62" s="39"/>
      <c r="E62" s="24">
        <v>1067748.5</v>
      </c>
      <c r="F62" s="25">
        <v>1</v>
      </c>
      <c r="G62" s="25"/>
    </row>
    <row r="64" spans="1:7" x14ac:dyDescent="0.35">
      <c r="A64" s="1" t="s">
        <v>262</v>
      </c>
    </row>
    <row r="65" spans="1:3" x14ac:dyDescent="0.35">
      <c r="A65" s="1" t="s">
        <v>620</v>
      </c>
    </row>
    <row r="67" spans="1:3" x14ac:dyDescent="0.35">
      <c r="A67" s="1" t="s">
        <v>263</v>
      </c>
    </row>
    <row r="68" spans="1:3" ht="29" customHeight="1" x14ac:dyDescent="0.35">
      <c r="A68" s="47" t="s">
        <v>264</v>
      </c>
      <c r="B68" s="3" t="s">
        <v>146</v>
      </c>
    </row>
    <row r="69" spans="1:3" x14ac:dyDescent="0.35">
      <c r="A69" t="s">
        <v>265</v>
      </c>
    </row>
    <row r="70" spans="1:3" x14ac:dyDescent="0.35">
      <c r="A70" t="s">
        <v>471</v>
      </c>
      <c r="B70" t="s">
        <v>267</v>
      </c>
      <c r="C70" t="s">
        <v>267</v>
      </c>
    </row>
    <row r="71" spans="1:3" x14ac:dyDescent="0.35">
      <c r="B71" s="49">
        <v>46022</v>
      </c>
      <c r="C71" s="49">
        <v>46052</v>
      </c>
    </row>
    <row r="72" spans="1:3" x14ac:dyDescent="0.35">
      <c r="A72" t="s">
        <v>472</v>
      </c>
      <c r="B72">
        <v>1312.1103000000001</v>
      </c>
      <c r="C72">
        <v>1306.4949999999999</v>
      </c>
    </row>
    <row r="74" spans="1:3" x14ac:dyDescent="0.35">
      <c r="A74" t="s">
        <v>283</v>
      </c>
      <c r="B74" s="3" t="s">
        <v>146</v>
      </c>
    </row>
    <row r="75" spans="1:3" x14ac:dyDescent="0.35">
      <c r="A75" t="s">
        <v>284</v>
      </c>
      <c r="B75" s="3" t="s">
        <v>146</v>
      </c>
    </row>
    <row r="76" spans="1:3" ht="58" customHeight="1" x14ac:dyDescent="0.35">
      <c r="A76" s="47" t="s">
        <v>285</v>
      </c>
      <c r="B76" s="3" t="s">
        <v>146</v>
      </c>
    </row>
    <row r="77" spans="1:3" ht="43.5" customHeight="1" x14ac:dyDescent="0.35">
      <c r="A77" s="47" t="s">
        <v>286</v>
      </c>
      <c r="B77" s="3" t="s">
        <v>146</v>
      </c>
    </row>
    <row r="78" spans="1:3" x14ac:dyDescent="0.35">
      <c r="A78" t="s">
        <v>287</v>
      </c>
      <c r="B78" s="48">
        <f>B93</f>
        <v>6.0654608175315774</v>
      </c>
    </row>
    <row r="79" spans="1:3" ht="72.5" customHeight="1" x14ac:dyDescent="0.35">
      <c r="A79" s="47" t="s">
        <v>288</v>
      </c>
      <c r="B79" s="3" t="s">
        <v>146</v>
      </c>
    </row>
    <row r="80" spans="1:3" x14ac:dyDescent="0.35">
      <c r="B80" s="3"/>
    </row>
    <row r="81" spans="1:2" ht="58" customHeight="1" x14ac:dyDescent="0.35">
      <c r="A81" s="47" t="s">
        <v>289</v>
      </c>
      <c r="B81" s="3" t="s">
        <v>146</v>
      </c>
    </row>
    <row r="82" spans="1:2" ht="58" customHeight="1" x14ac:dyDescent="0.35">
      <c r="A82" s="47" t="s">
        <v>290</v>
      </c>
      <c r="B82">
        <v>441581.57</v>
      </c>
    </row>
    <row r="83" spans="1:2" ht="43.5" customHeight="1" x14ac:dyDescent="0.35">
      <c r="A83" s="47" t="s">
        <v>291</v>
      </c>
      <c r="B83" s="3" t="s">
        <v>146</v>
      </c>
    </row>
    <row r="84" spans="1:2" ht="43.5" customHeight="1" x14ac:dyDescent="0.35">
      <c r="A84" s="47" t="s">
        <v>292</v>
      </c>
      <c r="B84" s="3" t="s">
        <v>146</v>
      </c>
    </row>
    <row r="86" spans="1:2" x14ac:dyDescent="0.35">
      <c r="A86" t="s">
        <v>293</v>
      </c>
    </row>
    <row r="87" spans="1:2" x14ac:dyDescent="0.35">
      <c r="A87" s="51" t="s">
        <v>295</v>
      </c>
      <c r="B87" s="51" t="s">
        <v>621</v>
      </c>
    </row>
    <row r="88" spans="1:2" x14ac:dyDescent="0.35">
      <c r="A88" s="51" t="s">
        <v>297</v>
      </c>
      <c r="B88" s="51" t="s">
        <v>474</v>
      </c>
    </row>
    <row r="89" spans="1:2" x14ac:dyDescent="0.35">
      <c r="A89" s="51"/>
      <c r="B89" s="51"/>
    </row>
    <row r="90" spans="1:2" x14ac:dyDescent="0.35">
      <c r="A90" s="51" t="s">
        <v>299</v>
      </c>
      <c r="B90" s="52">
        <v>7.2540770705671127</v>
      </c>
    </row>
    <row r="91" spans="1:2" x14ac:dyDescent="0.35">
      <c r="A91" s="51"/>
      <c r="B91" s="51"/>
    </row>
    <row r="92" spans="1:2" x14ac:dyDescent="0.35">
      <c r="A92" s="51" t="s">
        <v>300</v>
      </c>
      <c r="B92" s="53">
        <v>4.9812000000000003</v>
      </c>
    </row>
    <row r="93" spans="1:2" x14ac:dyDescent="0.35">
      <c r="A93" s="51" t="s">
        <v>301</v>
      </c>
      <c r="B93" s="53">
        <v>6.0654608175315774</v>
      </c>
    </row>
    <row r="94" spans="1:2" x14ac:dyDescent="0.35">
      <c r="A94" s="51"/>
      <c r="B94" s="51"/>
    </row>
    <row r="95" spans="1:2" x14ac:dyDescent="0.35">
      <c r="A95" s="51" t="s">
        <v>302</v>
      </c>
      <c r="B95" s="54">
        <v>46053</v>
      </c>
    </row>
    <row r="97" spans="1:4" ht="70" customHeight="1" x14ac:dyDescent="0.35">
      <c r="A97" s="70" t="s">
        <v>303</v>
      </c>
      <c r="B97" s="70" t="s">
        <v>304</v>
      </c>
      <c r="C97" s="70" t="s">
        <v>4</v>
      </c>
      <c r="D97" s="70" t="s">
        <v>5</v>
      </c>
    </row>
    <row r="98" spans="1:4" ht="70" customHeight="1" x14ac:dyDescent="0.35">
      <c r="A98" s="70" t="s">
        <v>621</v>
      </c>
      <c r="B98" s="70"/>
      <c r="C98" s="70" t="s">
        <v>15</v>
      </c>
      <c r="D98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93"/>
  <sheetViews>
    <sheetView showGridLines="0" workbookViewId="0">
      <pane ySplit="4" topLeftCell="A50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622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623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624</v>
      </c>
      <c r="B11" s="41" t="s">
        <v>625</v>
      </c>
      <c r="C11" s="41" t="s">
        <v>317</v>
      </c>
      <c r="D11" s="15">
        <v>53500000</v>
      </c>
      <c r="E11" s="16">
        <v>54476.7</v>
      </c>
      <c r="F11" s="17">
        <v>8.6599999999999996E-2</v>
      </c>
      <c r="G11" s="17">
        <v>7.1998999999999994E-2</v>
      </c>
    </row>
    <row r="12" spans="1:7" x14ac:dyDescent="0.35">
      <c r="A12" s="13" t="s">
        <v>626</v>
      </c>
      <c r="B12" s="41" t="s">
        <v>627</v>
      </c>
      <c r="C12" s="41" t="s">
        <v>317</v>
      </c>
      <c r="D12" s="15">
        <v>50000000</v>
      </c>
      <c r="E12" s="16">
        <v>48922.5</v>
      </c>
      <c r="F12" s="17">
        <v>7.7700000000000005E-2</v>
      </c>
      <c r="G12" s="17">
        <v>7.3349999999999999E-2</v>
      </c>
    </row>
    <row r="13" spans="1:7" x14ac:dyDescent="0.35">
      <c r="A13" s="13" t="s">
        <v>628</v>
      </c>
      <c r="B13" s="41" t="s">
        <v>629</v>
      </c>
      <c r="C13" s="41" t="s">
        <v>310</v>
      </c>
      <c r="D13" s="15">
        <v>40500000</v>
      </c>
      <c r="E13" s="16">
        <v>41356.449999999997</v>
      </c>
      <c r="F13" s="17">
        <v>6.5699999999999995E-2</v>
      </c>
      <c r="G13" s="17">
        <v>7.1550000000000002E-2</v>
      </c>
    </row>
    <row r="14" spans="1:7" x14ac:dyDescent="0.35">
      <c r="A14" s="13" t="s">
        <v>630</v>
      </c>
      <c r="B14" s="41" t="s">
        <v>631</v>
      </c>
      <c r="C14" s="41" t="s">
        <v>310</v>
      </c>
      <c r="D14" s="15">
        <v>39500000</v>
      </c>
      <c r="E14" s="16">
        <v>39762.6</v>
      </c>
      <c r="F14" s="17">
        <v>6.3200000000000006E-2</v>
      </c>
      <c r="G14" s="17">
        <v>7.3450000000000001E-2</v>
      </c>
    </row>
    <row r="15" spans="1:7" x14ac:dyDescent="0.35">
      <c r="A15" s="13" t="s">
        <v>632</v>
      </c>
      <c r="B15" s="41" t="s">
        <v>633</v>
      </c>
      <c r="C15" s="41" t="s">
        <v>310</v>
      </c>
      <c r="D15" s="15">
        <v>37700000</v>
      </c>
      <c r="E15" s="16">
        <v>38132.339999999997</v>
      </c>
      <c r="F15" s="17">
        <v>6.0600000000000001E-2</v>
      </c>
      <c r="G15" s="17">
        <v>7.3699000000000001E-2</v>
      </c>
    </row>
    <row r="16" spans="1:7" x14ac:dyDescent="0.35">
      <c r="A16" s="13" t="s">
        <v>634</v>
      </c>
      <c r="B16" s="41" t="s">
        <v>635</v>
      </c>
      <c r="C16" s="41" t="s">
        <v>310</v>
      </c>
      <c r="D16" s="15">
        <v>37500000</v>
      </c>
      <c r="E16" s="16">
        <v>37871.51</v>
      </c>
      <c r="F16" s="17">
        <v>6.0199999999999997E-2</v>
      </c>
      <c r="G16" s="17">
        <v>7.3499999999999996E-2</v>
      </c>
    </row>
    <row r="17" spans="1:7" x14ac:dyDescent="0.35">
      <c r="A17" s="13" t="s">
        <v>636</v>
      </c>
      <c r="B17" s="41" t="s">
        <v>637</v>
      </c>
      <c r="C17" s="41" t="s">
        <v>310</v>
      </c>
      <c r="D17" s="15">
        <v>35000000</v>
      </c>
      <c r="E17" s="16">
        <v>35355.5</v>
      </c>
      <c r="F17" s="17">
        <v>5.62E-2</v>
      </c>
      <c r="G17" s="17">
        <v>7.2550000000000003E-2</v>
      </c>
    </row>
    <row r="18" spans="1:7" x14ac:dyDescent="0.35">
      <c r="A18" s="13" t="s">
        <v>638</v>
      </c>
      <c r="B18" s="41" t="s">
        <v>639</v>
      </c>
      <c r="C18" s="41" t="s">
        <v>310</v>
      </c>
      <c r="D18" s="15">
        <v>35000000</v>
      </c>
      <c r="E18" s="16">
        <v>35347.800000000003</v>
      </c>
      <c r="F18" s="17">
        <v>5.62E-2</v>
      </c>
      <c r="G18" s="17">
        <v>7.3400000000000007E-2</v>
      </c>
    </row>
    <row r="19" spans="1:7" x14ac:dyDescent="0.35">
      <c r="A19" s="13" t="s">
        <v>640</v>
      </c>
      <c r="B19" s="41" t="s">
        <v>641</v>
      </c>
      <c r="C19" s="41" t="s">
        <v>317</v>
      </c>
      <c r="D19" s="15">
        <v>35000000</v>
      </c>
      <c r="E19" s="16">
        <v>35309.33</v>
      </c>
      <c r="F19" s="17">
        <v>5.6099999999999997E-2</v>
      </c>
      <c r="G19" s="17">
        <v>7.3587E-2</v>
      </c>
    </row>
    <row r="20" spans="1:7" x14ac:dyDescent="0.35">
      <c r="A20" s="13" t="s">
        <v>642</v>
      </c>
      <c r="B20" s="41" t="s">
        <v>643</v>
      </c>
      <c r="C20" s="41" t="s">
        <v>310</v>
      </c>
      <c r="D20" s="15">
        <v>34500000</v>
      </c>
      <c r="E20" s="16">
        <v>35254.83</v>
      </c>
      <c r="F20" s="17">
        <v>5.6000000000000001E-2</v>
      </c>
      <c r="G20" s="17">
        <v>7.3450000000000001E-2</v>
      </c>
    </row>
    <row r="21" spans="1:7" x14ac:dyDescent="0.35">
      <c r="A21" s="13" t="s">
        <v>560</v>
      </c>
      <c r="B21" s="41" t="s">
        <v>561</v>
      </c>
      <c r="C21" s="41" t="s">
        <v>310</v>
      </c>
      <c r="D21" s="15">
        <v>24000000</v>
      </c>
      <c r="E21" s="16">
        <v>23526.82</v>
      </c>
      <c r="F21" s="17">
        <v>3.7400000000000003E-2</v>
      </c>
      <c r="G21" s="17">
        <v>7.3249999999999996E-2</v>
      </c>
    </row>
    <row r="22" spans="1:7" x14ac:dyDescent="0.35">
      <c r="A22" s="13" t="s">
        <v>644</v>
      </c>
      <c r="B22" s="41" t="s">
        <v>645</v>
      </c>
      <c r="C22" s="41" t="s">
        <v>310</v>
      </c>
      <c r="D22" s="15">
        <v>16000000</v>
      </c>
      <c r="E22" s="16">
        <v>16282.83</v>
      </c>
      <c r="F22" s="17">
        <v>2.5899999999999999E-2</v>
      </c>
      <c r="G22" s="17">
        <v>7.3699000000000001E-2</v>
      </c>
    </row>
    <row r="23" spans="1:7" x14ac:dyDescent="0.35">
      <c r="A23" s="13" t="s">
        <v>646</v>
      </c>
      <c r="B23" s="41" t="s">
        <v>647</v>
      </c>
      <c r="C23" s="41" t="s">
        <v>310</v>
      </c>
      <c r="D23" s="15">
        <v>15000000</v>
      </c>
      <c r="E23" s="16">
        <v>15450.72</v>
      </c>
      <c r="F23" s="17">
        <v>2.46E-2</v>
      </c>
      <c r="G23" s="17">
        <v>7.3099999999999998E-2</v>
      </c>
    </row>
    <row r="24" spans="1:7" x14ac:dyDescent="0.35">
      <c r="A24" s="13" t="s">
        <v>648</v>
      </c>
      <c r="B24" s="41" t="s">
        <v>649</v>
      </c>
      <c r="C24" s="41" t="s">
        <v>310</v>
      </c>
      <c r="D24" s="15">
        <v>14500000</v>
      </c>
      <c r="E24" s="16">
        <v>15426.96</v>
      </c>
      <c r="F24" s="17">
        <v>2.4500000000000001E-2</v>
      </c>
      <c r="G24" s="17">
        <v>7.3099999999999998E-2</v>
      </c>
    </row>
    <row r="25" spans="1:7" x14ac:dyDescent="0.35">
      <c r="A25" s="13" t="s">
        <v>650</v>
      </c>
      <c r="B25" s="41" t="s">
        <v>651</v>
      </c>
      <c r="C25" s="41" t="s">
        <v>310</v>
      </c>
      <c r="D25" s="15">
        <v>15000000</v>
      </c>
      <c r="E25" s="16">
        <v>15279.42</v>
      </c>
      <c r="F25" s="17">
        <v>2.4299999999999999E-2</v>
      </c>
      <c r="G25" s="17">
        <v>7.3400000000000007E-2</v>
      </c>
    </row>
    <row r="26" spans="1:7" x14ac:dyDescent="0.35">
      <c r="A26" s="13" t="s">
        <v>562</v>
      </c>
      <c r="B26" s="41" t="s">
        <v>563</v>
      </c>
      <c r="C26" s="41" t="s">
        <v>310</v>
      </c>
      <c r="D26" s="15">
        <v>13500000</v>
      </c>
      <c r="E26" s="16">
        <v>13217.11</v>
      </c>
      <c r="F26" s="17">
        <v>2.1000000000000001E-2</v>
      </c>
      <c r="G26" s="17">
        <v>7.3549000000000003E-2</v>
      </c>
    </row>
    <row r="27" spans="1:7" x14ac:dyDescent="0.35">
      <c r="A27" s="13" t="s">
        <v>652</v>
      </c>
      <c r="B27" s="41" t="s">
        <v>653</v>
      </c>
      <c r="C27" s="41" t="s">
        <v>310</v>
      </c>
      <c r="D27" s="15">
        <v>10000000</v>
      </c>
      <c r="E27" s="16">
        <v>10239.540000000001</v>
      </c>
      <c r="F27" s="17">
        <v>1.6299999999999999E-2</v>
      </c>
      <c r="G27" s="17">
        <v>7.3700000000000002E-2</v>
      </c>
    </row>
    <row r="28" spans="1:7" x14ac:dyDescent="0.35">
      <c r="A28" s="13" t="s">
        <v>654</v>
      </c>
      <c r="B28" s="41" t="s">
        <v>655</v>
      </c>
      <c r="C28" s="41" t="s">
        <v>310</v>
      </c>
      <c r="D28" s="15">
        <v>8000000</v>
      </c>
      <c r="E28" s="16">
        <v>8076.18</v>
      </c>
      <c r="F28" s="17">
        <v>1.2800000000000001E-2</v>
      </c>
      <c r="G28" s="17">
        <v>7.2400000000000006E-2</v>
      </c>
    </row>
    <row r="29" spans="1:7" x14ac:dyDescent="0.35">
      <c r="A29" s="13" t="s">
        <v>656</v>
      </c>
      <c r="B29" s="41" t="s">
        <v>657</v>
      </c>
      <c r="C29" s="41" t="s">
        <v>310</v>
      </c>
      <c r="D29" s="15">
        <v>6500000</v>
      </c>
      <c r="E29" s="16">
        <v>6604.78</v>
      </c>
      <c r="F29" s="17">
        <v>1.0500000000000001E-2</v>
      </c>
      <c r="G29" s="17">
        <v>7.3386999999999994E-2</v>
      </c>
    </row>
    <row r="30" spans="1:7" x14ac:dyDescent="0.35">
      <c r="A30" s="13" t="s">
        <v>658</v>
      </c>
      <c r="B30" s="41" t="s">
        <v>659</v>
      </c>
      <c r="C30" s="41" t="s">
        <v>310</v>
      </c>
      <c r="D30" s="15">
        <v>5000000</v>
      </c>
      <c r="E30" s="16">
        <v>5042.04</v>
      </c>
      <c r="F30" s="17">
        <v>8.0000000000000002E-3</v>
      </c>
      <c r="G30" s="17">
        <v>7.3400000000000007E-2</v>
      </c>
    </row>
    <row r="31" spans="1:7" x14ac:dyDescent="0.35">
      <c r="A31" s="13" t="s">
        <v>660</v>
      </c>
      <c r="B31" s="41" t="s">
        <v>661</v>
      </c>
      <c r="C31" s="41" t="s">
        <v>310</v>
      </c>
      <c r="D31" s="15">
        <v>2500000</v>
      </c>
      <c r="E31" s="16">
        <v>2541.14</v>
      </c>
      <c r="F31" s="17">
        <v>4.0000000000000001E-3</v>
      </c>
      <c r="G31" s="17">
        <v>7.3450000000000001E-2</v>
      </c>
    </row>
    <row r="32" spans="1:7" x14ac:dyDescent="0.35">
      <c r="A32" s="13" t="s">
        <v>662</v>
      </c>
      <c r="B32" s="41" t="s">
        <v>663</v>
      </c>
      <c r="C32" s="41" t="s">
        <v>310</v>
      </c>
      <c r="D32" s="15">
        <v>2500000</v>
      </c>
      <c r="E32" s="16">
        <v>2516.2600000000002</v>
      </c>
      <c r="F32" s="17">
        <v>4.0000000000000001E-3</v>
      </c>
      <c r="G32" s="17">
        <v>7.1499999999999994E-2</v>
      </c>
    </row>
    <row r="33" spans="1:7" x14ac:dyDescent="0.35">
      <c r="A33" s="13" t="s">
        <v>664</v>
      </c>
      <c r="B33" s="41" t="s">
        <v>665</v>
      </c>
      <c r="C33" s="41" t="s">
        <v>310</v>
      </c>
      <c r="D33" s="15">
        <v>1000000</v>
      </c>
      <c r="E33" s="16">
        <v>1020.89</v>
      </c>
      <c r="F33" s="17">
        <v>1.6000000000000001E-3</v>
      </c>
      <c r="G33" s="17">
        <v>7.2499999999999995E-2</v>
      </c>
    </row>
    <row r="34" spans="1:7" x14ac:dyDescent="0.35">
      <c r="A34" s="14" t="s">
        <v>149</v>
      </c>
      <c r="B34" s="42"/>
      <c r="C34" s="42"/>
      <c r="D34" s="18"/>
      <c r="E34" s="36">
        <v>537014.25</v>
      </c>
      <c r="F34" s="37">
        <v>0.85340000000000005</v>
      </c>
      <c r="G34" s="21"/>
    </row>
    <row r="35" spans="1:7" x14ac:dyDescent="0.35">
      <c r="A35" s="13"/>
      <c r="B35" s="41"/>
      <c r="C35" s="41"/>
      <c r="D35" s="15"/>
      <c r="E35" s="16"/>
      <c r="F35" s="17"/>
      <c r="G35" s="17"/>
    </row>
    <row r="36" spans="1:7" x14ac:dyDescent="0.35">
      <c r="A36" s="14" t="s">
        <v>463</v>
      </c>
      <c r="B36" s="41"/>
      <c r="C36" s="41"/>
      <c r="D36" s="15"/>
      <c r="E36" s="16"/>
      <c r="F36" s="17"/>
      <c r="G36" s="17"/>
    </row>
    <row r="37" spans="1:7" x14ac:dyDescent="0.35">
      <c r="A37" s="13" t="s">
        <v>666</v>
      </c>
      <c r="B37" s="41" t="s">
        <v>667</v>
      </c>
      <c r="C37" s="41" t="s">
        <v>153</v>
      </c>
      <c r="D37" s="15">
        <v>70000000</v>
      </c>
      <c r="E37" s="16">
        <v>72100.56</v>
      </c>
      <c r="F37" s="17">
        <v>0.11459999999999999</v>
      </c>
      <c r="G37" s="17">
        <v>6.8290000000000003E-2</v>
      </c>
    </row>
    <row r="38" spans="1:7" x14ac:dyDescent="0.35">
      <c r="A38" s="14" t="s">
        <v>149</v>
      </c>
      <c r="B38" s="42"/>
      <c r="C38" s="42"/>
      <c r="D38" s="18"/>
      <c r="E38" s="36">
        <v>72100.56</v>
      </c>
      <c r="F38" s="37">
        <v>0.11459999999999999</v>
      </c>
      <c r="G38" s="21"/>
    </row>
    <row r="39" spans="1:7" x14ac:dyDescent="0.35">
      <c r="A39" s="13"/>
      <c r="B39" s="41"/>
      <c r="C39" s="41"/>
      <c r="D39" s="15"/>
      <c r="E39" s="16"/>
      <c r="F39" s="17"/>
      <c r="G39" s="17"/>
    </row>
    <row r="40" spans="1:7" x14ac:dyDescent="0.35">
      <c r="A40" s="14" t="s">
        <v>158</v>
      </c>
      <c r="B40" s="41"/>
      <c r="C40" s="41"/>
      <c r="D40" s="15"/>
      <c r="E40" s="16"/>
      <c r="F40" s="17"/>
      <c r="G40" s="17"/>
    </row>
    <row r="41" spans="1:7" x14ac:dyDescent="0.35">
      <c r="A41" s="14" t="s">
        <v>149</v>
      </c>
      <c r="B41" s="41"/>
      <c r="C41" s="41"/>
      <c r="D41" s="15"/>
      <c r="E41" s="45" t="s">
        <v>146</v>
      </c>
      <c r="F41" s="46" t="s">
        <v>146</v>
      </c>
      <c r="G41" s="17"/>
    </row>
    <row r="42" spans="1:7" x14ac:dyDescent="0.35">
      <c r="A42" s="13"/>
      <c r="B42" s="41"/>
      <c r="C42" s="41"/>
      <c r="D42" s="15"/>
      <c r="E42" s="16"/>
      <c r="F42" s="17"/>
      <c r="G42" s="17"/>
    </row>
    <row r="43" spans="1:7" x14ac:dyDescent="0.35">
      <c r="A43" s="14" t="s">
        <v>159</v>
      </c>
      <c r="B43" s="41"/>
      <c r="C43" s="41"/>
      <c r="D43" s="15"/>
      <c r="E43" s="16"/>
      <c r="F43" s="17"/>
      <c r="G43" s="17"/>
    </row>
    <row r="44" spans="1:7" x14ac:dyDescent="0.35">
      <c r="A44" s="14" t="s">
        <v>149</v>
      </c>
      <c r="B44" s="41"/>
      <c r="C44" s="41"/>
      <c r="D44" s="15"/>
      <c r="E44" s="45" t="s">
        <v>146</v>
      </c>
      <c r="F44" s="46" t="s">
        <v>146</v>
      </c>
      <c r="G44" s="17"/>
    </row>
    <row r="45" spans="1:7" x14ac:dyDescent="0.35">
      <c r="A45" s="13"/>
      <c r="B45" s="41"/>
      <c r="C45" s="41"/>
      <c r="D45" s="15"/>
      <c r="E45" s="16"/>
      <c r="F45" s="17"/>
      <c r="G45" s="17"/>
    </row>
    <row r="46" spans="1:7" x14ac:dyDescent="0.35">
      <c r="A46" s="22" t="s">
        <v>160</v>
      </c>
      <c r="B46" s="43"/>
      <c r="C46" s="43"/>
      <c r="D46" s="23"/>
      <c r="E46" s="36">
        <v>609114.81000000006</v>
      </c>
      <c r="F46" s="37">
        <v>0.96799999999999997</v>
      </c>
      <c r="G46" s="21"/>
    </row>
    <row r="47" spans="1:7" x14ac:dyDescent="0.35">
      <c r="A47" s="13"/>
      <c r="B47" s="41"/>
      <c r="C47" s="41"/>
      <c r="D47" s="15"/>
      <c r="E47" s="16"/>
      <c r="F47" s="17"/>
      <c r="G47" s="17"/>
    </row>
    <row r="48" spans="1:7" x14ac:dyDescent="0.35">
      <c r="A48" s="13"/>
      <c r="B48" s="41"/>
      <c r="C48" s="41"/>
      <c r="D48" s="15"/>
      <c r="E48" s="16"/>
      <c r="F48" s="17"/>
      <c r="G48" s="17"/>
    </row>
    <row r="49" spans="1:7" x14ac:dyDescent="0.35">
      <c r="A49" s="14" t="s">
        <v>255</v>
      </c>
      <c r="B49" s="41"/>
      <c r="C49" s="41"/>
      <c r="D49" s="15"/>
      <c r="E49" s="16"/>
      <c r="F49" s="17"/>
      <c r="G49" s="17"/>
    </row>
    <row r="50" spans="1:7" x14ac:dyDescent="0.35">
      <c r="A50" s="13" t="s">
        <v>257</v>
      </c>
      <c r="B50" s="41"/>
      <c r="C50" s="41"/>
      <c r="D50" s="15"/>
      <c r="E50" s="16">
        <v>1153.23</v>
      </c>
      <c r="F50" s="17">
        <v>1.8E-3</v>
      </c>
      <c r="G50" s="17">
        <v>4.2000000000000003E-2</v>
      </c>
    </row>
    <row r="51" spans="1:7" x14ac:dyDescent="0.35">
      <c r="A51" s="13" t="s">
        <v>257</v>
      </c>
      <c r="B51" s="41"/>
      <c r="C51" s="41"/>
      <c r="D51" s="15"/>
      <c r="E51" s="16">
        <v>419.82</v>
      </c>
      <c r="F51" s="17">
        <v>6.9999999999999999E-4</v>
      </c>
      <c r="G51" s="17">
        <v>5.1742000000000003E-2</v>
      </c>
    </row>
    <row r="52" spans="1:7" x14ac:dyDescent="0.35">
      <c r="A52" s="14" t="s">
        <v>149</v>
      </c>
      <c r="B52" s="42"/>
      <c r="C52" s="42"/>
      <c r="D52" s="18"/>
      <c r="E52" s="36">
        <v>1573.05</v>
      </c>
      <c r="F52" s="37">
        <v>2.5000000000000001E-3</v>
      </c>
      <c r="G52" s="21"/>
    </row>
    <row r="53" spans="1:7" x14ac:dyDescent="0.35">
      <c r="A53" s="13"/>
      <c r="B53" s="41"/>
      <c r="C53" s="41"/>
      <c r="D53" s="15"/>
      <c r="E53" s="16"/>
      <c r="F53" s="17"/>
      <c r="G53" s="17"/>
    </row>
    <row r="54" spans="1:7" x14ac:dyDescent="0.35">
      <c r="A54" s="22" t="s">
        <v>160</v>
      </c>
      <c r="B54" s="43"/>
      <c r="C54" s="43"/>
      <c r="D54" s="23"/>
      <c r="E54" s="36">
        <v>1573.05</v>
      </c>
      <c r="F54" s="37">
        <v>2.5000000000000001E-3</v>
      </c>
      <c r="G54" s="21"/>
    </row>
    <row r="55" spans="1:7" x14ac:dyDescent="0.35">
      <c r="A55" s="13" t="s">
        <v>258</v>
      </c>
      <c r="B55" s="41"/>
      <c r="C55" s="41"/>
      <c r="D55" s="15"/>
      <c r="E55" s="16">
        <v>18703.7290521</v>
      </c>
      <c r="F55" s="17">
        <v>2.972E-2</v>
      </c>
      <c r="G55" s="17"/>
    </row>
    <row r="56" spans="1:7" x14ac:dyDescent="0.35">
      <c r="A56" s="13" t="s">
        <v>259</v>
      </c>
      <c r="B56" s="41"/>
      <c r="C56" s="41"/>
      <c r="D56" s="15"/>
      <c r="E56" s="28">
        <v>-68.459052099999994</v>
      </c>
      <c r="F56" s="29">
        <v>-2.2000000000000001E-4</v>
      </c>
      <c r="G56" s="17">
        <v>4.4599E-2</v>
      </c>
    </row>
    <row r="57" spans="1:7" x14ac:dyDescent="0.35">
      <c r="A57" s="38" t="s">
        <v>260</v>
      </c>
      <c r="B57" s="44"/>
      <c r="C57" s="44"/>
      <c r="D57" s="39"/>
      <c r="E57" s="24">
        <v>629323.13</v>
      </c>
      <c r="F57" s="25">
        <v>1</v>
      </c>
      <c r="G57" s="25"/>
    </row>
    <row r="59" spans="1:7" x14ac:dyDescent="0.35">
      <c r="A59" s="1" t="s">
        <v>262</v>
      </c>
    </row>
    <row r="60" spans="1:7" x14ac:dyDescent="0.35">
      <c r="A60" s="1" t="s">
        <v>668</v>
      </c>
    </row>
    <row r="62" spans="1:7" x14ac:dyDescent="0.35">
      <c r="A62" s="1" t="s">
        <v>263</v>
      </c>
    </row>
    <row r="63" spans="1:7" ht="29" customHeight="1" x14ac:dyDescent="0.35">
      <c r="A63" s="47" t="s">
        <v>264</v>
      </c>
      <c r="B63" s="3" t="s">
        <v>146</v>
      </c>
    </row>
    <row r="64" spans="1:7" x14ac:dyDescent="0.35">
      <c r="A64" t="s">
        <v>265</v>
      </c>
    </row>
    <row r="65" spans="1:3" x14ac:dyDescent="0.35">
      <c r="A65" t="s">
        <v>471</v>
      </c>
      <c r="B65" t="s">
        <v>267</v>
      </c>
      <c r="C65" t="s">
        <v>267</v>
      </c>
    </row>
    <row r="66" spans="1:3" x14ac:dyDescent="0.35">
      <c r="B66" s="49">
        <v>46022</v>
      </c>
      <c r="C66" s="49">
        <v>46052</v>
      </c>
    </row>
    <row r="67" spans="1:3" x14ac:dyDescent="0.35">
      <c r="A67" t="s">
        <v>472</v>
      </c>
      <c r="B67">
        <v>1273.7599</v>
      </c>
      <c r="C67">
        <v>1269.2621999999999</v>
      </c>
    </row>
    <row r="69" spans="1:3" x14ac:dyDescent="0.35">
      <c r="A69" t="s">
        <v>283</v>
      </c>
      <c r="B69" s="3" t="s">
        <v>146</v>
      </c>
    </row>
    <row r="70" spans="1:3" x14ac:dyDescent="0.35">
      <c r="A70" t="s">
        <v>284</v>
      </c>
      <c r="B70" s="3" t="s">
        <v>146</v>
      </c>
    </row>
    <row r="71" spans="1:3" ht="58" customHeight="1" x14ac:dyDescent="0.35">
      <c r="A71" s="47" t="s">
        <v>285</v>
      </c>
      <c r="B71" s="3" t="s">
        <v>146</v>
      </c>
    </row>
    <row r="72" spans="1:3" ht="43.5" customHeight="1" x14ac:dyDescent="0.35">
      <c r="A72" s="47" t="s">
        <v>286</v>
      </c>
      <c r="B72" s="3" t="s">
        <v>146</v>
      </c>
    </row>
    <row r="73" spans="1:3" x14ac:dyDescent="0.35">
      <c r="A73" t="s">
        <v>287</v>
      </c>
      <c r="B73" s="48">
        <f>B88</f>
        <v>6.9456739268475891</v>
      </c>
    </row>
    <row r="74" spans="1:3" ht="72.5" customHeight="1" x14ac:dyDescent="0.35">
      <c r="A74" s="47" t="s">
        <v>288</v>
      </c>
      <c r="B74" s="3" t="s">
        <v>146</v>
      </c>
    </row>
    <row r="75" spans="1:3" x14ac:dyDescent="0.35">
      <c r="B75" s="3"/>
    </row>
    <row r="76" spans="1:3" ht="58" customHeight="1" x14ac:dyDescent="0.35">
      <c r="A76" s="47" t="s">
        <v>289</v>
      </c>
      <c r="B76" s="3" t="s">
        <v>146</v>
      </c>
    </row>
    <row r="77" spans="1:3" ht="58" customHeight="1" x14ac:dyDescent="0.35">
      <c r="A77" s="47" t="s">
        <v>290</v>
      </c>
      <c r="B77">
        <v>218926.76</v>
      </c>
    </row>
    <row r="78" spans="1:3" ht="43.5" customHeight="1" x14ac:dyDescent="0.35">
      <c r="A78" s="47" t="s">
        <v>291</v>
      </c>
      <c r="B78" s="3" t="s">
        <v>146</v>
      </c>
    </row>
    <row r="79" spans="1:3" ht="43.5" customHeight="1" x14ac:dyDescent="0.35">
      <c r="A79" s="47" t="s">
        <v>292</v>
      </c>
      <c r="B79" s="3" t="s">
        <v>146</v>
      </c>
    </row>
    <row r="81" spans="1:4" x14ac:dyDescent="0.35">
      <c r="A81" t="s">
        <v>293</v>
      </c>
    </row>
    <row r="82" spans="1:4" x14ac:dyDescent="0.35">
      <c r="A82" s="51" t="s">
        <v>295</v>
      </c>
      <c r="B82" s="51" t="s">
        <v>669</v>
      </c>
    </row>
    <row r="83" spans="1:4" x14ac:dyDescent="0.35">
      <c r="A83" s="51" t="s">
        <v>297</v>
      </c>
      <c r="B83" s="51" t="s">
        <v>474</v>
      </c>
    </row>
    <row r="84" spans="1:4" x14ac:dyDescent="0.35">
      <c r="A84" s="51"/>
      <c r="B84" s="51"/>
    </row>
    <row r="85" spans="1:4" x14ac:dyDescent="0.35">
      <c r="A85" s="51" t="s">
        <v>299</v>
      </c>
      <c r="B85" s="52">
        <v>7.2442128482514914</v>
      </c>
    </row>
    <row r="86" spans="1:4" x14ac:dyDescent="0.35">
      <c r="A86" s="51"/>
      <c r="B86" s="51"/>
    </row>
    <row r="87" spans="1:4" x14ac:dyDescent="0.35">
      <c r="A87" s="51" t="s">
        <v>300</v>
      </c>
      <c r="B87" s="53">
        <v>5.4851000000000001</v>
      </c>
    </row>
    <row r="88" spans="1:4" x14ac:dyDescent="0.35">
      <c r="A88" s="51" t="s">
        <v>301</v>
      </c>
      <c r="B88" s="53">
        <v>6.9456739268475891</v>
      </c>
    </row>
    <row r="89" spans="1:4" x14ac:dyDescent="0.35">
      <c r="A89" s="51"/>
      <c r="B89" s="51"/>
    </row>
    <row r="90" spans="1:4" x14ac:dyDescent="0.35">
      <c r="A90" s="51" t="s">
        <v>302</v>
      </c>
      <c r="B90" s="54">
        <v>46053</v>
      </c>
    </row>
    <row r="92" spans="1:4" ht="70" customHeight="1" x14ac:dyDescent="0.35">
      <c r="A92" s="70" t="s">
        <v>303</v>
      </c>
      <c r="B92" s="70" t="s">
        <v>304</v>
      </c>
      <c r="C92" s="70" t="s">
        <v>4</v>
      </c>
      <c r="D92" s="70" t="s">
        <v>5</v>
      </c>
    </row>
    <row r="93" spans="1:4" ht="70" customHeight="1" x14ac:dyDescent="0.35">
      <c r="A93" s="70" t="s">
        <v>670</v>
      </c>
      <c r="B93" s="70"/>
      <c r="C93" s="70" t="s">
        <v>17</v>
      </c>
      <c r="D93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29"/>
  <sheetViews>
    <sheetView showGridLines="0" workbookViewId="0">
      <pane ySplit="4" topLeftCell="A61" activePane="bottomLeft" state="frozen"/>
      <selection activeCell="H1" sqref="H1:H1048576"/>
      <selection pane="bottomLeft" activeCell="A65" sqref="A65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671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672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673</v>
      </c>
      <c r="B11" s="41" t="s">
        <v>674</v>
      </c>
      <c r="C11" s="41" t="s">
        <v>310</v>
      </c>
      <c r="D11" s="15">
        <v>2500000</v>
      </c>
      <c r="E11" s="16">
        <v>2528.7600000000002</v>
      </c>
      <c r="F11" s="17">
        <v>5.16E-2</v>
      </c>
      <c r="G11" s="17">
        <v>7.0999999999999994E-2</v>
      </c>
    </row>
    <row r="12" spans="1:7" x14ac:dyDescent="0.35">
      <c r="A12" s="13" t="s">
        <v>675</v>
      </c>
      <c r="B12" s="41" t="s">
        <v>676</v>
      </c>
      <c r="C12" s="41" t="s">
        <v>310</v>
      </c>
      <c r="D12" s="15">
        <v>2500000</v>
      </c>
      <c r="E12" s="16">
        <v>2517.94</v>
      </c>
      <c r="F12" s="17">
        <v>5.1400000000000001E-2</v>
      </c>
      <c r="G12" s="17">
        <v>7.0274000000000003E-2</v>
      </c>
    </row>
    <row r="13" spans="1:7" x14ac:dyDescent="0.35">
      <c r="A13" s="13" t="s">
        <v>677</v>
      </c>
      <c r="B13" s="41" t="s">
        <v>678</v>
      </c>
      <c r="C13" s="41" t="s">
        <v>317</v>
      </c>
      <c r="D13" s="15">
        <v>2500000</v>
      </c>
      <c r="E13" s="16">
        <v>2517.8200000000002</v>
      </c>
      <c r="F13" s="17">
        <v>5.1400000000000001E-2</v>
      </c>
      <c r="G13" s="17">
        <v>7.1900000000000006E-2</v>
      </c>
    </row>
    <row r="14" spans="1:7" x14ac:dyDescent="0.35">
      <c r="A14" s="13" t="s">
        <v>679</v>
      </c>
      <c r="B14" s="41" t="s">
        <v>680</v>
      </c>
      <c r="C14" s="41" t="s">
        <v>310</v>
      </c>
      <c r="D14" s="15">
        <v>2500000</v>
      </c>
      <c r="E14" s="16">
        <v>2486.7600000000002</v>
      </c>
      <c r="F14" s="17">
        <v>5.0799999999999998E-2</v>
      </c>
      <c r="G14" s="17">
        <v>7.5499999999999998E-2</v>
      </c>
    </row>
    <row r="15" spans="1:7" x14ac:dyDescent="0.35">
      <c r="A15" s="13" t="s">
        <v>681</v>
      </c>
      <c r="B15" s="41" t="s">
        <v>682</v>
      </c>
      <c r="C15" s="41" t="s">
        <v>310</v>
      </c>
      <c r="D15" s="15">
        <v>2500000</v>
      </c>
      <c r="E15" s="16">
        <v>2483.9499999999998</v>
      </c>
      <c r="F15" s="17">
        <v>5.0700000000000002E-2</v>
      </c>
      <c r="G15" s="17">
        <v>7.7299999999999994E-2</v>
      </c>
    </row>
    <row r="16" spans="1:7" x14ac:dyDescent="0.35">
      <c r="A16" s="13" t="s">
        <v>683</v>
      </c>
      <c r="B16" s="41" t="s">
        <v>684</v>
      </c>
      <c r="C16" s="41" t="s">
        <v>317</v>
      </c>
      <c r="D16" s="15">
        <v>2500000</v>
      </c>
      <c r="E16" s="16">
        <v>2471.81</v>
      </c>
      <c r="F16" s="17">
        <v>5.0500000000000003E-2</v>
      </c>
      <c r="G16" s="17">
        <v>7.0349999999999996E-2</v>
      </c>
    </row>
    <row r="17" spans="1:7" x14ac:dyDescent="0.35">
      <c r="A17" s="13" t="s">
        <v>338</v>
      </c>
      <c r="B17" s="41" t="s">
        <v>339</v>
      </c>
      <c r="C17" s="41" t="s">
        <v>340</v>
      </c>
      <c r="D17" s="15">
        <v>2000000</v>
      </c>
      <c r="E17" s="16">
        <v>2017.69</v>
      </c>
      <c r="F17" s="17">
        <v>4.1200000000000001E-2</v>
      </c>
      <c r="G17" s="17">
        <v>7.1150000000000005E-2</v>
      </c>
    </row>
    <row r="18" spans="1:7" x14ac:dyDescent="0.35">
      <c r="A18" s="13" t="s">
        <v>357</v>
      </c>
      <c r="B18" s="41" t="s">
        <v>358</v>
      </c>
      <c r="C18" s="41" t="s">
        <v>310</v>
      </c>
      <c r="D18" s="15">
        <v>2000000</v>
      </c>
      <c r="E18" s="16">
        <v>2016.83</v>
      </c>
      <c r="F18" s="17">
        <v>4.1200000000000001E-2</v>
      </c>
      <c r="G18" s="17">
        <v>7.2025000000000006E-2</v>
      </c>
    </row>
    <row r="19" spans="1:7" x14ac:dyDescent="0.35">
      <c r="A19" s="13" t="s">
        <v>685</v>
      </c>
      <c r="B19" s="41" t="s">
        <v>686</v>
      </c>
      <c r="C19" s="41" t="s">
        <v>310</v>
      </c>
      <c r="D19" s="15">
        <v>2000000</v>
      </c>
      <c r="E19" s="16">
        <v>2013.7</v>
      </c>
      <c r="F19" s="17">
        <v>4.1099999999999998E-2</v>
      </c>
      <c r="G19" s="17">
        <v>7.2400000000000006E-2</v>
      </c>
    </row>
    <row r="20" spans="1:7" x14ac:dyDescent="0.35">
      <c r="A20" s="13" t="s">
        <v>318</v>
      </c>
      <c r="B20" s="41" t="s">
        <v>319</v>
      </c>
      <c r="C20" s="41" t="s">
        <v>310</v>
      </c>
      <c r="D20" s="15">
        <v>1990000</v>
      </c>
      <c r="E20" s="16">
        <v>1983.28</v>
      </c>
      <c r="F20" s="17">
        <v>4.0500000000000001E-2</v>
      </c>
      <c r="G20" s="17">
        <v>7.1249999999999994E-2</v>
      </c>
    </row>
    <row r="21" spans="1:7" x14ac:dyDescent="0.35">
      <c r="A21" s="13" t="s">
        <v>376</v>
      </c>
      <c r="B21" s="41" t="s">
        <v>377</v>
      </c>
      <c r="C21" s="41" t="s">
        <v>378</v>
      </c>
      <c r="D21" s="15">
        <v>1900000</v>
      </c>
      <c r="E21" s="16">
        <v>1920.15</v>
      </c>
      <c r="F21" s="17">
        <v>3.9199999999999999E-2</v>
      </c>
      <c r="G21" s="17">
        <v>7.3050000000000004E-2</v>
      </c>
    </row>
    <row r="22" spans="1:7" x14ac:dyDescent="0.35">
      <c r="A22" s="13" t="s">
        <v>372</v>
      </c>
      <c r="B22" s="41" t="s">
        <v>373</v>
      </c>
      <c r="C22" s="41" t="s">
        <v>310</v>
      </c>
      <c r="D22" s="15">
        <v>1500000</v>
      </c>
      <c r="E22" s="16">
        <v>1568.73</v>
      </c>
      <c r="F22" s="17">
        <v>3.2000000000000001E-2</v>
      </c>
      <c r="G22" s="17">
        <v>7.1800000000000003E-2</v>
      </c>
    </row>
    <row r="23" spans="1:7" x14ac:dyDescent="0.35">
      <c r="A23" s="13" t="s">
        <v>345</v>
      </c>
      <c r="B23" s="41" t="s">
        <v>346</v>
      </c>
      <c r="C23" s="41" t="s">
        <v>310</v>
      </c>
      <c r="D23" s="15">
        <v>1300000</v>
      </c>
      <c r="E23" s="16">
        <v>1311.43</v>
      </c>
      <c r="F23" s="17">
        <v>2.6800000000000001E-2</v>
      </c>
      <c r="G23" s="17">
        <v>7.1749999999999994E-2</v>
      </c>
    </row>
    <row r="24" spans="1:7" x14ac:dyDescent="0.35">
      <c r="A24" s="13" t="s">
        <v>461</v>
      </c>
      <c r="B24" s="41" t="s">
        <v>462</v>
      </c>
      <c r="C24" s="41" t="s">
        <v>310</v>
      </c>
      <c r="D24" s="15">
        <v>1000000</v>
      </c>
      <c r="E24" s="16">
        <v>1051.27</v>
      </c>
      <c r="F24" s="17">
        <v>2.1499999999999998E-2</v>
      </c>
      <c r="G24" s="17">
        <v>7.2049000000000002E-2</v>
      </c>
    </row>
    <row r="25" spans="1:7" x14ac:dyDescent="0.35">
      <c r="A25" s="13" t="s">
        <v>687</v>
      </c>
      <c r="B25" s="41" t="s">
        <v>688</v>
      </c>
      <c r="C25" s="41" t="s">
        <v>317</v>
      </c>
      <c r="D25" s="15">
        <v>1000000</v>
      </c>
      <c r="E25" s="16">
        <v>1033.77</v>
      </c>
      <c r="F25" s="17">
        <v>2.1100000000000001E-2</v>
      </c>
      <c r="G25" s="17">
        <v>7.3163000000000006E-2</v>
      </c>
    </row>
    <row r="26" spans="1:7" x14ac:dyDescent="0.35">
      <c r="A26" s="13" t="s">
        <v>401</v>
      </c>
      <c r="B26" s="41" t="s">
        <v>402</v>
      </c>
      <c r="C26" s="41" t="s">
        <v>310</v>
      </c>
      <c r="D26" s="15">
        <v>1000000</v>
      </c>
      <c r="E26" s="16">
        <v>1031.6600000000001</v>
      </c>
      <c r="F26" s="17">
        <v>2.1100000000000001E-2</v>
      </c>
      <c r="G26" s="17">
        <v>7.0999999999999994E-2</v>
      </c>
    </row>
    <row r="27" spans="1:7" x14ac:dyDescent="0.35">
      <c r="A27" s="13" t="s">
        <v>536</v>
      </c>
      <c r="B27" s="41" t="s">
        <v>537</v>
      </c>
      <c r="C27" s="41" t="s">
        <v>310</v>
      </c>
      <c r="D27" s="15">
        <v>1000000</v>
      </c>
      <c r="E27" s="16">
        <v>1030.95</v>
      </c>
      <c r="F27" s="17">
        <v>2.1000000000000001E-2</v>
      </c>
      <c r="G27" s="17">
        <v>7.1360000000000007E-2</v>
      </c>
    </row>
    <row r="28" spans="1:7" x14ac:dyDescent="0.35">
      <c r="A28" s="13" t="s">
        <v>359</v>
      </c>
      <c r="B28" s="41" t="s">
        <v>360</v>
      </c>
      <c r="C28" s="41" t="s">
        <v>361</v>
      </c>
      <c r="D28" s="15">
        <v>1000000</v>
      </c>
      <c r="E28" s="16">
        <v>1030.02</v>
      </c>
      <c r="F28" s="17">
        <v>2.1000000000000001E-2</v>
      </c>
      <c r="G28" s="17">
        <v>7.1659E-2</v>
      </c>
    </row>
    <row r="29" spans="1:7" x14ac:dyDescent="0.35">
      <c r="A29" s="13" t="s">
        <v>393</v>
      </c>
      <c r="B29" s="41" t="s">
        <v>394</v>
      </c>
      <c r="C29" s="41" t="s">
        <v>317</v>
      </c>
      <c r="D29" s="15">
        <v>1000000</v>
      </c>
      <c r="E29" s="16">
        <v>1025.75</v>
      </c>
      <c r="F29" s="17">
        <v>2.0899999999999998E-2</v>
      </c>
      <c r="G29" s="17">
        <v>7.17E-2</v>
      </c>
    </row>
    <row r="30" spans="1:7" x14ac:dyDescent="0.35">
      <c r="A30" s="13" t="s">
        <v>427</v>
      </c>
      <c r="B30" s="41" t="s">
        <v>428</v>
      </c>
      <c r="C30" s="41" t="s">
        <v>310</v>
      </c>
      <c r="D30" s="15">
        <v>1000000</v>
      </c>
      <c r="E30" s="16">
        <v>1006.61</v>
      </c>
      <c r="F30" s="17">
        <v>2.0500000000000001E-2</v>
      </c>
      <c r="G30" s="17">
        <v>7.0961999999999997E-2</v>
      </c>
    </row>
    <row r="31" spans="1:7" x14ac:dyDescent="0.35">
      <c r="A31" s="13" t="s">
        <v>322</v>
      </c>
      <c r="B31" s="41" t="s">
        <v>323</v>
      </c>
      <c r="C31" s="41" t="s">
        <v>310</v>
      </c>
      <c r="D31" s="15">
        <v>1000000</v>
      </c>
      <c r="E31" s="16">
        <v>1003.19</v>
      </c>
      <c r="F31" s="17">
        <v>2.0500000000000001E-2</v>
      </c>
      <c r="G31" s="17">
        <v>7.3117000000000001E-2</v>
      </c>
    </row>
    <row r="32" spans="1:7" x14ac:dyDescent="0.35">
      <c r="A32" s="13" t="s">
        <v>341</v>
      </c>
      <c r="B32" s="41" t="s">
        <v>342</v>
      </c>
      <c r="C32" s="41" t="s">
        <v>310</v>
      </c>
      <c r="D32" s="15">
        <v>800000</v>
      </c>
      <c r="E32" s="16">
        <v>806.29</v>
      </c>
      <c r="F32" s="17">
        <v>1.6500000000000001E-2</v>
      </c>
      <c r="G32" s="17">
        <v>7.2650000000000006E-2</v>
      </c>
    </row>
    <row r="33" spans="1:7" x14ac:dyDescent="0.35">
      <c r="A33" s="13" t="s">
        <v>449</v>
      </c>
      <c r="B33" s="41" t="s">
        <v>450</v>
      </c>
      <c r="C33" s="41" t="s">
        <v>310</v>
      </c>
      <c r="D33" s="15">
        <v>500000</v>
      </c>
      <c r="E33" s="16">
        <v>522.83000000000004</v>
      </c>
      <c r="F33" s="17">
        <v>1.0699999999999999E-2</v>
      </c>
      <c r="G33" s="17">
        <v>7.1357000000000004E-2</v>
      </c>
    </row>
    <row r="34" spans="1:7" x14ac:dyDescent="0.35">
      <c r="A34" s="13" t="s">
        <v>689</v>
      </c>
      <c r="B34" s="41" t="s">
        <v>690</v>
      </c>
      <c r="C34" s="41" t="s">
        <v>310</v>
      </c>
      <c r="D34" s="15">
        <v>120000</v>
      </c>
      <c r="E34" s="16">
        <v>127.22</v>
      </c>
      <c r="F34" s="17">
        <v>2.5999999999999999E-3</v>
      </c>
      <c r="G34" s="17">
        <v>7.2510000000000005E-2</v>
      </c>
    </row>
    <row r="35" spans="1:7" x14ac:dyDescent="0.35">
      <c r="A35" s="13" t="s">
        <v>691</v>
      </c>
      <c r="B35" s="41" t="s">
        <v>692</v>
      </c>
      <c r="C35" s="41" t="s">
        <v>310</v>
      </c>
      <c r="D35" s="15">
        <v>10000</v>
      </c>
      <c r="E35" s="16">
        <v>10.36</v>
      </c>
      <c r="F35" s="17">
        <v>2.0000000000000001E-4</v>
      </c>
      <c r="G35" s="17">
        <v>7.3700000000000002E-2</v>
      </c>
    </row>
    <row r="36" spans="1:7" x14ac:dyDescent="0.35">
      <c r="A36" s="14" t="s">
        <v>149</v>
      </c>
      <c r="B36" s="42"/>
      <c r="C36" s="42"/>
      <c r="D36" s="18"/>
      <c r="E36" s="36">
        <v>37518.769999999997</v>
      </c>
      <c r="F36" s="37">
        <v>0.76600000000000001</v>
      </c>
      <c r="G36" s="21"/>
    </row>
    <row r="37" spans="1:7" x14ac:dyDescent="0.35">
      <c r="A37" s="13"/>
      <c r="B37" s="41"/>
      <c r="C37" s="41"/>
      <c r="D37" s="15"/>
      <c r="E37" s="16"/>
      <c r="F37" s="17"/>
      <c r="G37" s="17"/>
    </row>
    <row r="38" spans="1:7" x14ac:dyDescent="0.35">
      <c r="A38" s="14" t="s">
        <v>463</v>
      </c>
      <c r="B38" s="41"/>
      <c r="C38" s="41"/>
      <c r="D38" s="15"/>
      <c r="E38" s="16"/>
      <c r="F38" s="17"/>
      <c r="G38" s="17"/>
    </row>
    <row r="39" spans="1:7" x14ac:dyDescent="0.35">
      <c r="A39" s="13" t="s">
        <v>693</v>
      </c>
      <c r="B39" s="41" t="s">
        <v>694</v>
      </c>
      <c r="C39" s="41" t="s">
        <v>153</v>
      </c>
      <c r="D39" s="15">
        <v>500000</v>
      </c>
      <c r="E39" s="16">
        <v>513.21</v>
      </c>
      <c r="F39" s="17">
        <v>1.0500000000000001E-2</v>
      </c>
      <c r="G39" s="17">
        <v>6.8396999999999999E-2</v>
      </c>
    </row>
    <row r="40" spans="1:7" x14ac:dyDescent="0.35">
      <c r="A40" s="13" t="s">
        <v>695</v>
      </c>
      <c r="B40" s="41" t="s">
        <v>696</v>
      </c>
      <c r="C40" s="41" t="s">
        <v>153</v>
      </c>
      <c r="D40" s="15">
        <v>500000</v>
      </c>
      <c r="E40" s="16">
        <v>487.62</v>
      </c>
      <c r="F40" s="17">
        <v>0.01</v>
      </c>
      <c r="G40" s="17">
        <v>6.8029000000000006E-2</v>
      </c>
    </row>
    <row r="41" spans="1:7" x14ac:dyDescent="0.35">
      <c r="A41" s="14" t="s">
        <v>149</v>
      </c>
      <c r="B41" s="42"/>
      <c r="C41" s="42"/>
      <c r="D41" s="18"/>
      <c r="E41" s="36">
        <v>1000.83</v>
      </c>
      <c r="F41" s="37">
        <v>2.0500000000000001E-2</v>
      </c>
      <c r="G41" s="21"/>
    </row>
    <row r="42" spans="1:7" x14ac:dyDescent="0.35">
      <c r="A42" s="14" t="s">
        <v>150</v>
      </c>
      <c r="B42" s="41"/>
      <c r="C42" s="41"/>
      <c r="D42" s="15"/>
      <c r="E42" s="16"/>
      <c r="F42" s="17"/>
      <c r="G42" s="17"/>
    </row>
    <row r="43" spans="1:7" x14ac:dyDescent="0.35">
      <c r="A43" s="13" t="s">
        <v>697</v>
      </c>
      <c r="B43" s="41" t="s">
        <v>698</v>
      </c>
      <c r="C43" s="41" t="s">
        <v>153</v>
      </c>
      <c r="D43" s="15">
        <v>2500000</v>
      </c>
      <c r="E43" s="16">
        <v>2461.0300000000002</v>
      </c>
      <c r="F43" s="17">
        <v>5.0200000000000002E-2</v>
      </c>
      <c r="G43" s="17">
        <v>7.1220000000000006E-2</v>
      </c>
    </row>
    <row r="44" spans="1:7" x14ac:dyDescent="0.35">
      <c r="A44" s="14" t="s">
        <v>149</v>
      </c>
      <c r="B44" s="42"/>
      <c r="C44" s="42"/>
      <c r="D44" s="18"/>
      <c r="E44" s="36">
        <v>2461.0300000000002</v>
      </c>
      <c r="F44" s="37">
        <v>5.0200000000000002E-2</v>
      </c>
      <c r="G44" s="21"/>
    </row>
    <row r="45" spans="1:7" x14ac:dyDescent="0.35">
      <c r="A45" s="13"/>
      <c r="B45" s="41"/>
      <c r="C45" s="41"/>
      <c r="D45" s="15"/>
      <c r="E45" s="16"/>
      <c r="F45" s="17"/>
      <c r="G45" s="17"/>
    </row>
    <row r="46" spans="1:7" x14ac:dyDescent="0.35">
      <c r="A46" s="13"/>
      <c r="B46" s="41"/>
      <c r="C46" s="41"/>
      <c r="D46" s="15"/>
      <c r="E46" s="16"/>
      <c r="F46" s="17"/>
      <c r="G46" s="17"/>
    </row>
    <row r="47" spans="1:7" x14ac:dyDescent="0.35">
      <c r="A47" s="14" t="s">
        <v>158</v>
      </c>
      <c r="B47" s="41"/>
      <c r="C47" s="41"/>
      <c r="D47" s="15"/>
      <c r="E47" s="16"/>
      <c r="F47" s="17"/>
      <c r="G47" s="17"/>
    </row>
    <row r="48" spans="1:7" x14ac:dyDescent="0.35">
      <c r="A48" s="14" t="s">
        <v>149</v>
      </c>
      <c r="B48" s="41"/>
      <c r="C48" s="41"/>
      <c r="D48" s="15"/>
      <c r="E48" s="45" t="s">
        <v>146</v>
      </c>
      <c r="F48" s="46" t="s">
        <v>146</v>
      </c>
      <c r="G48" s="17"/>
    </row>
    <row r="49" spans="1:7" x14ac:dyDescent="0.35">
      <c r="A49" s="13"/>
      <c r="B49" s="41"/>
      <c r="C49" s="41"/>
      <c r="D49" s="15"/>
      <c r="E49" s="16"/>
      <c r="F49" s="17"/>
      <c r="G49" s="17"/>
    </row>
    <row r="50" spans="1:7" x14ac:dyDescent="0.35">
      <c r="A50" s="14" t="s">
        <v>159</v>
      </c>
      <c r="B50" s="41"/>
      <c r="C50" s="41"/>
      <c r="D50" s="15"/>
      <c r="E50" s="16"/>
      <c r="F50" s="17"/>
      <c r="G50" s="17"/>
    </row>
    <row r="51" spans="1:7" x14ac:dyDescent="0.35">
      <c r="A51" s="14" t="s">
        <v>149</v>
      </c>
      <c r="B51" s="41"/>
      <c r="C51" s="41"/>
      <c r="D51" s="15"/>
      <c r="E51" s="45" t="s">
        <v>146</v>
      </c>
      <c r="F51" s="46" t="s">
        <v>146</v>
      </c>
      <c r="G51" s="17"/>
    </row>
    <row r="52" spans="1:7" x14ac:dyDescent="0.35">
      <c r="A52" s="13"/>
      <c r="B52" s="41"/>
      <c r="C52" s="41"/>
      <c r="D52" s="15"/>
      <c r="E52" s="16"/>
      <c r="F52" s="17"/>
      <c r="G52" s="17"/>
    </row>
    <row r="53" spans="1:7" x14ac:dyDescent="0.35">
      <c r="A53" s="22" t="s">
        <v>160</v>
      </c>
      <c r="B53" s="43"/>
      <c r="C53" s="43"/>
      <c r="D53" s="23"/>
      <c r="E53" s="36">
        <v>40980.629999999997</v>
      </c>
      <c r="F53" s="37">
        <v>0.8367</v>
      </c>
      <c r="G53" s="21"/>
    </row>
    <row r="54" spans="1:7" x14ac:dyDescent="0.35">
      <c r="A54" s="13"/>
      <c r="B54" s="41"/>
      <c r="C54" s="41"/>
      <c r="D54" s="15"/>
      <c r="E54" s="16"/>
      <c r="F54" s="17"/>
      <c r="G54" s="17"/>
    </row>
    <row r="55" spans="1:7" x14ac:dyDescent="0.35">
      <c r="A55" s="14" t="s">
        <v>161</v>
      </c>
      <c r="B55" s="41"/>
      <c r="C55" s="41"/>
      <c r="D55" s="15"/>
      <c r="E55" s="16"/>
      <c r="F55" s="17"/>
      <c r="G55" s="17"/>
    </row>
    <row r="56" spans="1:7" x14ac:dyDescent="0.35">
      <c r="A56" s="14" t="s">
        <v>173</v>
      </c>
      <c r="B56" s="41"/>
      <c r="C56" s="41"/>
      <c r="D56" s="15"/>
      <c r="E56" s="16"/>
      <c r="F56" s="17"/>
      <c r="G56" s="17"/>
    </row>
    <row r="57" spans="1:7" x14ac:dyDescent="0.35">
      <c r="A57" s="13" t="s">
        <v>699</v>
      </c>
      <c r="B57" s="41" t="s">
        <v>700</v>
      </c>
      <c r="C57" s="41" t="s">
        <v>183</v>
      </c>
      <c r="D57" s="15">
        <v>2500000</v>
      </c>
      <c r="E57" s="16">
        <v>2483.2600000000002</v>
      </c>
      <c r="F57" s="17">
        <v>5.0700000000000002E-2</v>
      </c>
      <c r="G57" s="17">
        <v>6.6500000000000004E-2</v>
      </c>
    </row>
    <row r="58" spans="1:7" x14ac:dyDescent="0.35">
      <c r="A58" s="13" t="s">
        <v>701</v>
      </c>
      <c r="B58" s="41" t="s">
        <v>702</v>
      </c>
      <c r="C58" s="41" t="s">
        <v>703</v>
      </c>
      <c r="D58" s="15">
        <v>2500000</v>
      </c>
      <c r="E58" s="16">
        <v>2482.34</v>
      </c>
      <c r="F58" s="17">
        <v>5.0700000000000002E-2</v>
      </c>
      <c r="G58" s="17">
        <v>6.6600999999999994E-2</v>
      </c>
    </row>
    <row r="59" spans="1:7" x14ac:dyDescent="0.35">
      <c r="A59" s="14" t="s">
        <v>149</v>
      </c>
      <c r="B59" s="42"/>
      <c r="C59" s="42"/>
      <c r="D59" s="18"/>
      <c r="E59" s="36">
        <v>4965.6000000000004</v>
      </c>
      <c r="F59" s="37">
        <v>0.1014</v>
      </c>
      <c r="G59" s="21"/>
    </row>
    <row r="60" spans="1:7" x14ac:dyDescent="0.35">
      <c r="A60" s="13"/>
      <c r="B60" s="41"/>
      <c r="C60" s="41"/>
      <c r="D60" s="15"/>
      <c r="E60" s="16"/>
      <c r="F60" s="17"/>
      <c r="G60" s="17"/>
    </row>
    <row r="61" spans="1:7" x14ac:dyDescent="0.35">
      <c r="A61" s="22" t="s">
        <v>160</v>
      </c>
      <c r="B61" s="43"/>
      <c r="C61" s="43"/>
      <c r="D61" s="23"/>
      <c r="E61" s="36">
        <v>4965.6000000000004</v>
      </c>
      <c r="F61" s="37">
        <v>0.1014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3"/>
      <c r="B63" s="41"/>
      <c r="C63" s="41"/>
      <c r="D63" s="15"/>
      <c r="E63" s="16"/>
      <c r="F63" s="17"/>
      <c r="G63" s="17"/>
    </row>
    <row r="64" spans="1:7" x14ac:dyDescent="0.35">
      <c r="A64" s="14" t="s">
        <v>252</v>
      </c>
      <c r="B64" s="41"/>
      <c r="C64" s="41"/>
      <c r="D64" s="15"/>
      <c r="E64" s="16"/>
      <c r="F64" s="17"/>
      <c r="G64" s="17"/>
    </row>
    <row r="65" spans="1:7" x14ac:dyDescent="0.35">
      <c r="A65" s="13" t="s">
        <v>253</v>
      </c>
      <c r="B65" s="41" t="s">
        <v>254</v>
      </c>
      <c r="C65" s="41"/>
      <c r="D65" s="15">
        <v>1168.2070000000001</v>
      </c>
      <c r="E65" s="16">
        <v>135.5</v>
      </c>
      <c r="F65" s="17">
        <v>2.8E-3</v>
      </c>
      <c r="G65" s="17"/>
    </row>
    <row r="66" spans="1:7" x14ac:dyDescent="0.35">
      <c r="A66" s="13"/>
      <c r="B66" s="41"/>
      <c r="C66" s="41"/>
      <c r="D66" s="15"/>
      <c r="E66" s="16"/>
      <c r="F66" s="17"/>
      <c r="G66" s="17"/>
    </row>
    <row r="67" spans="1:7" x14ac:dyDescent="0.35">
      <c r="A67" s="22" t="s">
        <v>160</v>
      </c>
      <c r="B67" s="43"/>
      <c r="C67" s="43"/>
      <c r="D67" s="23"/>
      <c r="E67" s="36">
        <v>135.5</v>
      </c>
      <c r="F67" s="37">
        <v>2.8E-3</v>
      </c>
      <c r="G67" s="21"/>
    </row>
    <row r="68" spans="1:7" x14ac:dyDescent="0.35">
      <c r="A68" s="13"/>
      <c r="B68" s="41"/>
      <c r="C68" s="41"/>
      <c r="D68" s="15"/>
      <c r="E68" s="16"/>
      <c r="F68" s="17"/>
      <c r="G68" s="17"/>
    </row>
    <row r="69" spans="1:7" x14ac:dyDescent="0.35">
      <c r="A69" s="14" t="s">
        <v>255</v>
      </c>
      <c r="B69" s="41"/>
      <c r="C69" s="41"/>
      <c r="D69" s="15"/>
      <c r="E69" s="16"/>
      <c r="F69" s="17"/>
      <c r="G69" s="17"/>
    </row>
    <row r="70" spans="1:7" x14ac:dyDescent="0.35">
      <c r="A70" s="13" t="s">
        <v>257</v>
      </c>
      <c r="B70" s="41"/>
      <c r="C70" s="41"/>
      <c r="D70" s="15"/>
      <c r="E70" s="16">
        <v>1595.32</v>
      </c>
      <c r="F70" s="17">
        <v>3.2599999999999997E-2</v>
      </c>
      <c r="G70" s="17">
        <v>5.1742000000000003E-2</v>
      </c>
    </row>
    <row r="71" spans="1:7" x14ac:dyDescent="0.35">
      <c r="A71" s="14" t="s">
        <v>149</v>
      </c>
      <c r="B71" s="42"/>
      <c r="C71" s="42"/>
      <c r="D71" s="18"/>
      <c r="E71" s="36">
        <v>1595.32</v>
      </c>
      <c r="F71" s="37">
        <v>3.2599999999999997E-2</v>
      </c>
      <c r="G71" s="21"/>
    </row>
    <row r="72" spans="1:7" x14ac:dyDescent="0.35">
      <c r="A72" s="13"/>
      <c r="B72" s="41"/>
      <c r="C72" s="41"/>
      <c r="D72" s="15"/>
      <c r="E72" s="16"/>
      <c r="F72" s="17"/>
      <c r="G72" s="17"/>
    </row>
    <row r="73" spans="1:7" x14ac:dyDescent="0.35">
      <c r="A73" s="22" t="s">
        <v>160</v>
      </c>
      <c r="B73" s="43"/>
      <c r="C73" s="43"/>
      <c r="D73" s="23"/>
      <c r="E73" s="36">
        <v>1595.32</v>
      </c>
      <c r="F73" s="37">
        <v>3.2599999999999997E-2</v>
      </c>
      <c r="G73" s="21"/>
    </row>
    <row r="74" spans="1:7" x14ac:dyDescent="0.35">
      <c r="A74" s="13" t="s">
        <v>258</v>
      </c>
      <c r="B74" s="41"/>
      <c r="C74" s="41"/>
      <c r="D74" s="15"/>
      <c r="E74" s="16">
        <v>1361.2180341000001</v>
      </c>
      <c r="F74" s="17">
        <v>2.7782999999999999E-2</v>
      </c>
      <c r="G74" s="17"/>
    </row>
    <row r="75" spans="1:7" x14ac:dyDescent="0.35">
      <c r="A75" s="13" t="s">
        <v>259</v>
      </c>
      <c r="B75" s="41"/>
      <c r="C75" s="41"/>
      <c r="D75" s="15"/>
      <c r="E75" s="28">
        <v>-44.858034099999998</v>
      </c>
      <c r="F75" s="29">
        <v>-1.2830000000000001E-3</v>
      </c>
      <c r="G75" s="17">
        <v>5.1741000000000002E-2</v>
      </c>
    </row>
    <row r="76" spans="1:7" x14ac:dyDescent="0.35">
      <c r="A76" s="38" t="s">
        <v>260</v>
      </c>
      <c r="B76" s="44"/>
      <c r="C76" s="44"/>
      <c r="D76" s="39"/>
      <c r="E76" s="24">
        <v>48993.41</v>
      </c>
      <c r="F76" s="25">
        <v>1</v>
      </c>
      <c r="G76" s="25"/>
    </row>
    <row r="78" spans="1:7" x14ac:dyDescent="0.35">
      <c r="A78" s="1" t="s">
        <v>261</v>
      </c>
    </row>
    <row r="79" spans="1:7" x14ac:dyDescent="0.35">
      <c r="A79" s="1" t="s">
        <v>262</v>
      </c>
    </row>
    <row r="81" spans="1:3" x14ac:dyDescent="0.35">
      <c r="A81" s="1" t="s">
        <v>263</v>
      </c>
    </row>
    <row r="82" spans="1:3" ht="29" customHeight="1" x14ac:dyDescent="0.35">
      <c r="A82" s="47" t="s">
        <v>264</v>
      </c>
      <c r="B82" s="3" t="s">
        <v>146</v>
      </c>
    </row>
    <row r="83" spans="1:3" x14ac:dyDescent="0.35">
      <c r="A83" t="s">
        <v>265</v>
      </c>
    </row>
    <row r="84" spans="1:3" x14ac:dyDescent="0.35">
      <c r="A84" t="s">
        <v>266</v>
      </c>
      <c r="B84" t="s">
        <v>267</v>
      </c>
      <c r="C84" t="s">
        <v>267</v>
      </c>
    </row>
    <row r="85" spans="1:3" x14ac:dyDescent="0.35">
      <c r="B85" s="49">
        <v>46022</v>
      </c>
      <c r="C85" s="49">
        <v>46052</v>
      </c>
    </row>
    <row r="86" spans="1:3" x14ac:dyDescent="0.35">
      <c r="A86" t="s">
        <v>269</v>
      </c>
      <c r="B86" t="s">
        <v>270</v>
      </c>
      <c r="C86" t="s">
        <v>271</v>
      </c>
    </row>
    <row r="87" spans="1:3" x14ac:dyDescent="0.35">
      <c r="A87" t="s">
        <v>704</v>
      </c>
      <c r="B87">
        <v>14.4848</v>
      </c>
      <c r="C87">
        <v>14.464</v>
      </c>
    </row>
    <row r="88" spans="1:3" x14ac:dyDescent="0.35">
      <c r="A88" t="s">
        <v>272</v>
      </c>
      <c r="B88">
        <v>26.232900000000001</v>
      </c>
      <c r="C88">
        <v>26.201799999999999</v>
      </c>
    </row>
    <row r="89" spans="1:3" x14ac:dyDescent="0.35">
      <c r="A89" t="s">
        <v>273</v>
      </c>
      <c r="B89">
        <v>18.767700000000001</v>
      </c>
      <c r="C89">
        <v>18.7455</v>
      </c>
    </row>
    <row r="90" spans="1:3" x14ac:dyDescent="0.35">
      <c r="A90" t="s">
        <v>705</v>
      </c>
      <c r="B90">
        <v>10.9107</v>
      </c>
      <c r="C90">
        <v>10.8978</v>
      </c>
    </row>
    <row r="91" spans="1:3" x14ac:dyDescent="0.35">
      <c r="A91" t="s">
        <v>706</v>
      </c>
      <c r="B91">
        <v>10.552199999999999</v>
      </c>
      <c r="C91">
        <v>10.5396</v>
      </c>
    </row>
    <row r="92" spans="1:3" x14ac:dyDescent="0.35">
      <c r="A92" t="s">
        <v>281</v>
      </c>
      <c r="B92" t="s">
        <v>270</v>
      </c>
      <c r="C92" t="s">
        <v>271</v>
      </c>
    </row>
    <row r="93" spans="1:3" x14ac:dyDescent="0.35">
      <c r="A93" t="s">
        <v>707</v>
      </c>
      <c r="B93">
        <v>14.0123</v>
      </c>
      <c r="C93">
        <v>13.9902</v>
      </c>
    </row>
    <row r="94" spans="1:3" x14ac:dyDescent="0.35">
      <c r="A94" t="s">
        <v>708</v>
      </c>
      <c r="B94">
        <v>25.278300000000002</v>
      </c>
      <c r="C94">
        <v>25.242100000000001</v>
      </c>
    </row>
    <row r="95" spans="1:3" x14ac:dyDescent="0.35">
      <c r="A95" t="s">
        <v>709</v>
      </c>
      <c r="B95">
        <v>17.8779</v>
      </c>
      <c r="C95">
        <v>17.8523</v>
      </c>
    </row>
    <row r="96" spans="1:3" x14ac:dyDescent="0.35">
      <c r="A96" t="s">
        <v>710</v>
      </c>
      <c r="B96">
        <v>11.157400000000001</v>
      </c>
      <c r="C96">
        <v>11.141500000000001</v>
      </c>
    </row>
    <row r="97" spans="1:4" x14ac:dyDescent="0.35">
      <c r="A97" t="s">
        <v>711</v>
      </c>
      <c r="B97">
        <v>10.147</v>
      </c>
      <c r="C97">
        <v>10.132400000000001</v>
      </c>
    </row>
    <row r="98" spans="1:4" x14ac:dyDescent="0.35">
      <c r="A98" t="s">
        <v>282</v>
      </c>
    </row>
    <row r="100" spans="1:4" x14ac:dyDescent="0.35">
      <c r="A100" t="s">
        <v>712</v>
      </c>
    </row>
    <row r="102" spans="1:4" x14ac:dyDescent="0.35">
      <c r="A102" s="50" t="s">
        <v>713</v>
      </c>
      <c r="B102" s="50" t="s">
        <v>714</v>
      </c>
      <c r="C102" s="50" t="s">
        <v>715</v>
      </c>
      <c r="D102" s="50" t="s">
        <v>716</v>
      </c>
    </row>
    <row r="103" spans="1:4" x14ac:dyDescent="0.35">
      <c r="A103" s="50" t="s">
        <v>717</v>
      </c>
      <c r="B103" s="50"/>
      <c r="C103" s="50">
        <v>3.7417000000000001E-3</v>
      </c>
      <c r="D103" s="50">
        <v>3.7417000000000001E-3</v>
      </c>
    </row>
    <row r="104" spans="1:4" x14ac:dyDescent="0.35">
      <c r="A104" s="50" t="s">
        <v>718</v>
      </c>
      <c r="B104" s="50"/>
      <c r="C104" s="50">
        <v>2.0888E-3</v>
      </c>
      <c r="D104" s="50">
        <v>2.0888E-3</v>
      </c>
    </row>
    <row r="106" spans="1:4" x14ac:dyDescent="0.35">
      <c r="A106" t="s">
        <v>284</v>
      </c>
      <c r="B106" s="3" t="s">
        <v>146</v>
      </c>
    </row>
    <row r="107" spans="1:4" ht="58" customHeight="1" x14ac:dyDescent="0.35">
      <c r="A107" s="47" t="s">
        <v>285</v>
      </c>
      <c r="B107" s="3" t="s">
        <v>146</v>
      </c>
    </row>
    <row r="108" spans="1:4" ht="43.5" customHeight="1" x14ac:dyDescent="0.35">
      <c r="A108" s="47" t="s">
        <v>286</v>
      </c>
      <c r="B108" s="3" t="s">
        <v>146</v>
      </c>
    </row>
    <row r="109" spans="1:4" x14ac:dyDescent="0.35">
      <c r="A109" t="s">
        <v>287</v>
      </c>
      <c r="B109" s="48">
        <f>B124</f>
        <v>2.6491078834799811</v>
      </c>
    </row>
    <row r="110" spans="1:4" ht="72.5" customHeight="1" x14ac:dyDescent="0.35">
      <c r="A110" s="47" t="s">
        <v>288</v>
      </c>
      <c r="B110" s="3" t="s">
        <v>146</v>
      </c>
    </row>
    <row r="111" spans="1:4" x14ac:dyDescent="0.35">
      <c r="B111" s="3"/>
    </row>
    <row r="112" spans="1:4" ht="58" customHeight="1" x14ac:dyDescent="0.35">
      <c r="A112" s="47" t="s">
        <v>289</v>
      </c>
      <c r="B112" s="3" t="s">
        <v>146</v>
      </c>
    </row>
    <row r="113" spans="1:6" ht="58" customHeight="1" x14ac:dyDescent="0.35">
      <c r="A113" s="47" t="s">
        <v>290</v>
      </c>
      <c r="B113">
        <v>6061.29</v>
      </c>
    </row>
    <row r="114" spans="1:6" ht="43.5" customHeight="1" x14ac:dyDescent="0.35">
      <c r="A114" s="47" t="s">
        <v>291</v>
      </c>
      <c r="B114" s="3" t="s">
        <v>146</v>
      </c>
    </row>
    <row r="115" spans="1:6" ht="43.5" customHeight="1" x14ac:dyDescent="0.35">
      <c r="A115" s="47" t="s">
        <v>292</v>
      </c>
      <c r="B115" s="3" t="s">
        <v>146</v>
      </c>
    </row>
    <row r="117" spans="1:6" x14ac:dyDescent="0.35">
      <c r="A117" t="s">
        <v>293</v>
      </c>
    </row>
    <row r="118" spans="1:6" x14ac:dyDescent="0.35">
      <c r="A118" s="51" t="s">
        <v>295</v>
      </c>
      <c r="B118" s="51" t="s">
        <v>719</v>
      </c>
    </row>
    <row r="119" spans="1:6" x14ac:dyDescent="0.35">
      <c r="A119" s="51" t="s">
        <v>297</v>
      </c>
      <c r="B119" s="51" t="s">
        <v>720</v>
      </c>
    </row>
    <row r="120" spans="1:6" x14ac:dyDescent="0.35">
      <c r="A120" s="51"/>
      <c r="B120" s="51"/>
    </row>
    <row r="121" spans="1:6" x14ac:dyDescent="0.35">
      <c r="A121" s="51" t="s">
        <v>299</v>
      </c>
      <c r="B121" s="52">
        <v>7.0719611615902593</v>
      </c>
    </row>
    <row r="122" spans="1:6" x14ac:dyDescent="0.35">
      <c r="A122" s="51"/>
      <c r="B122" s="51"/>
    </row>
    <row r="123" spans="1:6" x14ac:dyDescent="0.35">
      <c r="A123" s="51" t="s">
        <v>300</v>
      </c>
      <c r="B123" s="53">
        <v>2.3401000000000001</v>
      </c>
    </row>
    <row r="124" spans="1:6" x14ac:dyDescent="0.35">
      <c r="A124" s="51" t="s">
        <v>301</v>
      </c>
      <c r="B124" s="53">
        <v>2.6491078834799811</v>
      </c>
    </row>
    <row r="125" spans="1:6" x14ac:dyDescent="0.35">
      <c r="A125" s="51"/>
      <c r="B125" s="51"/>
    </row>
    <row r="126" spans="1:6" x14ac:dyDescent="0.35">
      <c r="A126" s="51" t="s">
        <v>302</v>
      </c>
      <c r="B126" s="54">
        <v>46053</v>
      </c>
    </row>
    <row r="128" spans="1:6" ht="70" customHeight="1" x14ac:dyDescent="0.35">
      <c r="A128" s="70" t="s">
        <v>303</v>
      </c>
      <c r="B128" s="70" t="s">
        <v>304</v>
      </c>
      <c r="C128" s="70" t="s">
        <v>4</v>
      </c>
      <c r="D128" s="70" t="s">
        <v>5</v>
      </c>
      <c r="E128" s="70" t="s">
        <v>4</v>
      </c>
      <c r="F128" s="70" t="s">
        <v>5</v>
      </c>
    </row>
    <row r="129" spans="1:6" ht="70" customHeight="1" x14ac:dyDescent="0.35">
      <c r="A129" s="70" t="s">
        <v>719</v>
      </c>
      <c r="B129" s="70"/>
      <c r="C129" s="70" t="s">
        <v>19</v>
      </c>
      <c r="D129" s="70"/>
      <c r="E129" s="70" t="s">
        <v>20</v>
      </c>
      <c r="F12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2"/>
  <sheetViews>
    <sheetView showGridLines="0" workbookViewId="0">
      <pane ySplit="4" topLeftCell="A29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721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722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723</v>
      </c>
      <c r="B11" s="41" t="s">
        <v>724</v>
      </c>
      <c r="C11" s="41" t="s">
        <v>317</v>
      </c>
      <c r="D11" s="15">
        <v>1000000</v>
      </c>
      <c r="E11" s="16">
        <v>1010.36</v>
      </c>
      <c r="F11" s="17">
        <v>0.1201</v>
      </c>
      <c r="G11" s="17">
        <v>7.4649999999999994E-2</v>
      </c>
    </row>
    <row r="12" spans="1:7" x14ac:dyDescent="0.35">
      <c r="A12" s="13" t="s">
        <v>725</v>
      </c>
      <c r="B12" s="41" t="s">
        <v>726</v>
      </c>
      <c r="C12" s="41" t="s">
        <v>310</v>
      </c>
      <c r="D12" s="15">
        <v>800000</v>
      </c>
      <c r="E12" s="16">
        <v>804.59</v>
      </c>
      <c r="F12" s="17">
        <v>9.5699999999999993E-2</v>
      </c>
      <c r="G12" s="17">
        <v>7.3849999999999999E-2</v>
      </c>
    </row>
    <row r="13" spans="1:7" x14ac:dyDescent="0.35">
      <c r="A13" s="13" t="s">
        <v>727</v>
      </c>
      <c r="B13" s="41" t="s">
        <v>728</v>
      </c>
      <c r="C13" s="41" t="s">
        <v>310</v>
      </c>
      <c r="D13" s="15">
        <v>500000</v>
      </c>
      <c r="E13" s="16">
        <v>505.02</v>
      </c>
      <c r="F13" s="17">
        <v>6.0100000000000001E-2</v>
      </c>
      <c r="G13" s="17">
        <v>7.5300000000000006E-2</v>
      </c>
    </row>
    <row r="14" spans="1:7" x14ac:dyDescent="0.35">
      <c r="A14" s="13" t="s">
        <v>729</v>
      </c>
      <c r="B14" s="41" t="s">
        <v>730</v>
      </c>
      <c r="C14" s="41" t="s">
        <v>361</v>
      </c>
      <c r="D14" s="15">
        <v>500000</v>
      </c>
      <c r="E14" s="16">
        <v>504.88</v>
      </c>
      <c r="F14" s="17">
        <v>0.06</v>
      </c>
      <c r="G14" s="17">
        <v>7.5200000000000003E-2</v>
      </c>
    </row>
    <row r="15" spans="1:7" x14ac:dyDescent="0.35">
      <c r="A15" s="13" t="s">
        <v>731</v>
      </c>
      <c r="B15" s="41" t="s">
        <v>732</v>
      </c>
      <c r="C15" s="41" t="s">
        <v>317</v>
      </c>
      <c r="D15" s="15">
        <v>500000</v>
      </c>
      <c r="E15" s="16">
        <v>504.81</v>
      </c>
      <c r="F15" s="17">
        <v>0.06</v>
      </c>
      <c r="G15" s="17">
        <v>7.4921000000000001E-2</v>
      </c>
    </row>
    <row r="16" spans="1:7" x14ac:dyDescent="0.35">
      <c r="A16" s="13" t="s">
        <v>733</v>
      </c>
      <c r="B16" s="41" t="s">
        <v>734</v>
      </c>
      <c r="C16" s="41" t="s">
        <v>310</v>
      </c>
      <c r="D16" s="15">
        <v>500000</v>
      </c>
      <c r="E16" s="16">
        <v>504.44</v>
      </c>
      <c r="F16" s="17">
        <v>0.06</v>
      </c>
      <c r="G16" s="17">
        <v>7.4749999999999997E-2</v>
      </c>
    </row>
    <row r="17" spans="1:7" x14ac:dyDescent="0.35">
      <c r="A17" s="13" t="s">
        <v>735</v>
      </c>
      <c r="B17" s="41" t="s">
        <v>736</v>
      </c>
      <c r="C17" s="41" t="s">
        <v>310</v>
      </c>
      <c r="D17" s="15">
        <v>500000</v>
      </c>
      <c r="E17" s="16">
        <v>504.05</v>
      </c>
      <c r="F17" s="17">
        <v>5.9900000000000002E-2</v>
      </c>
      <c r="G17" s="17">
        <v>7.5149999999999995E-2</v>
      </c>
    </row>
    <row r="18" spans="1:7" x14ac:dyDescent="0.35">
      <c r="A18" s="13" t="s">
        <v>737</v>
      </c>
      <c r="B18" s="41" t="s">
        <v>738</v>
      </c>
      <c r="C18" s="41" t="s">
        <v>310</v>
      </c>
      <c r="D18" s="15">
        <v>500000</v>
      </c>
      <c r="E18" s="16">
        <v>503.96</v>
      </c>
      <c r="F18" s="17">
        <v>5.9900000000000002E-2</v>
      </c>
      <c r="G18" s="17">
        <v>7.4700000000000003E-2</v>
      </c>
    </row>
    <row r="19" spans="1:7" x14ac:dyDescent="0.35">
      <c r="A19" s="13" t="s">
        <v>739</v>
      </c>
      <c r="B19" s="41" t="s">
        <v>740</v>
      </c>
      <c r="C19" s="41" t="s">
        <v>310</v>
      </c>
      <c r="D19" s="15">
        <v>500000</v>
      </c>
      <c r="E19" s="16">
        <v>503.92</v>
      </c>
      <c r="F19" s="17">
        <v>5.9900000000000002E-2</v>
      </c>
      <c r="G19" s="17">
        <v>7.2349999999999998E-2</v>
      </c>
    </row>
    <row r="20" spans="1:7" x14ac:dyDescent="0.35">
      <c r="A20" s="13" t="s">
        <v>741</v>
      </c>
      <c r="B20" s="41" t="s">
        <v>742</v>
      </c>
      <c r="C20" s="41" t="s">
        <v>317</v>
      </c>
      <c r="D20" s="15">
        <v>500000</v>
      </c>
      <c r="E20" s="16">
        <v>503.41</v>
      </c>
      <c r="F20" s="17">
        <v>5.9900000000000002E-2</v>
      </c>
      <c r="G20" s="17">
        <v>7.7299999999999994E-2</v>
      </c>
    </row>
    <row r="21" spans="1:7" x14ac:dyDescent="0.35">
      <c r="A21" s="13" t="s">
        <v>743</v>
      </c>
      <c r="B21" s="41" t="s">
        <v>744</v>
      </c>
      <c r="C21" s="41" t="s">
        <v>310</v>
      </c>
      <c r="D21" s="15">
        <v>500000</v>
      </c>
      <c r="E21" s="16">
        <v>503.4</v>
      </c>
      <c r="F21" s="17">
        <v>5.9900000000000002E-2</v>
      </c>
      <c r="G21" s="17">
        <v>7.5300000000000006E-2</v>
      </c>
    </row>
    <row r="22" spans="1:7" x14ac:dyDescent="0.35">
      <c r="A22" s="13" t="s">
        <v>745</v>
      </c>
      <c r="B22" s="41" t="s">
        <v>746</v>
      </c>
      <c r="C22" s="41" t="s">
        <v>310</v>
      </c>
      <c r="D22" s="15">
        <v>500000</v>
      </c>
      <c r="E22" s="16">
        <v>502.16</v>
      </c>
      <c r="F22" s="17">
        <v>5.9700000000000003E-2</v>
      </c>
      <c r="G22" s="17">
        <v>7.3399000000000006E-2</v>
      </c>
    </row>
    <row r="23" spans="1:7" x14ac:dyDescent="0.35">
      <c r="A23" s="13" t="s">
        <v>747</v>
      </c>
      <c r="B23" s="41" t="s">
        <v>748</v>
      </c>
      <c r="C23" s="41" t="s">
        <v>310</v>
      </c>
      <c r="D23" s="15">
        <v>500000</v>
      </c>
      <c r="E23" s="16">
        <v>501.99</v>
      </c>
      <c r="F23" s="17">
        <v>5.9700000000000003E-2</v>
      </c>
      <c r="G23" s="17">
        <v>7.3200000000000001E-2</v>
      </c>
    </row>
    <row r="24" spans="1:7" x14ac:dyDescent="0.35">
      <c r="A24" s="13" t="s">
        <v>749</v>
      </c>
      <c r="B24" s="41" t="s">
        <v>750</v>
      </c>
      <c r="C24" s="41" t="s">
        <v>310</v>
      </c>
      <c r="D24" s="15">
        <v>500000</v>
      </c>
      <c r="E24" s="16">
        <v>501.29</v>
      </c>
      <c r="F24" s="17">
        <v>5.96E-2</v>
      </c>
      <c r="G24" s="17">
        <v>7.4399999999999994E-2</v>
      </c>
    </row>
    <row r="25" spans="1:7" x14ac:dyDescent="0.35">
      <c r="A25" s="14" t="s">
        <v>149</v>
      </c>
      <c r="B25" s="42"/>
      <c r="C25" s="42"/>
      <c r="D25" s="18"/>
      <c r="E25" s="36">
        <v>7858.28</v>
      </c>
      <c r="F25" s="37">
        <v>0.93440000000000001</v>
      </c>
      <c r="G25" s="21"/>
    </row>
    <row r="26" spans="1:7" x14ac:dyDescent="0.35">
      <c r="A26" s="13"/>
      <c r="B26" s="41"/>
      <c r="C26" s="41"/>
      <c r="D26" s="15"/>
      <c r="E26" s="16"/>
      <c r="F26" s="17"/>
      <c r="G26" s="17"/>
    </row>
    <row r="27" spans="1:7" x14ac:dyDescent="0.35">
      <c r="A27" s="14" t="s">
        <v>158</v>
      </c>
      <c r="B27" s="41"/>
      <c r="C27" s="41"/>
      <c r="D27" s="15"/>
      <c r="E27" s="16"/>
      <c r="F27" s="17"/>
      <c r="G27" s="17"/>
    </row>
    <row r="28" spans="1:7" x14ac:dyDescent="0.35">
      <c r="A28" s="14" t="s">
        <v>149</v>
      </c>
      <c r="B28" s="41"/>
      <c r="C28" s="41"/>
      <c r="D28" s="15"/>
      <c r="E28" s="45" t="s">
        <v>146</v>
      </c>
      <c r="F28" s="46" t="s">
        <v>146</v>
      </c>
      <c r="G28" s="17"/>
    </row>
    <row r="29" spans="1:7" x14ac:dyDescent="0.35">
      <c r="A29" s="13"/>
      <c r="B29" s="41"/>
      <c r="C29" s="41"/>
      <c r="D29" s="15"/>
      <c r="E29" s="16"/>
      <c r="F29" s="17"/>
      <c r="G29" s="17"/>
    </row>
    <row r="30" spans="1:7" x14ac:dyDescent="0.35">
      <c r="A30" s="14" t="s">
        <v>159</v>
      </c>
      <c r="B30" s="41"/>
      <c r="C30" s="41"/>
      <c r="D30" s="15"/>
      <c r="E30" s="16"/>
      <c r="F30" s="17"/>
      <c r="G30" s="17"/>
    </row>
    <row r="31" spans="1:7" x14ac:dyDescent="0.35">
      <c r="A31" s="14" t="s">
        <v>149</v>
      </c>
      <c r="B31" s="41"/>
      <c r="C31" s="41"/>
      <c r="D31" s="15"/>
      <c r="E31" s="45" t="s">
        <v>146</v>
      </c>
      <c r="F31" s="46" t="s">
        <v>146</v>
      </c>
      <c r="G31" s="17"/>
    </row>
    <row r="32" spans="1:7" x14ac:dyDescent="0.35">
      <c r="A32" s="13"/>
      <c r="B32" s="41"/>
      <c r="C32" s="41"/>
      <c r="D32" s="15"/>
      <c r="E32" s="16"/>
      <c r="F32" s="17"/>
      <c r="G32" s="17"/>
    </row>
    <row r="33" spans="1:7" x14ac:dyDescent="0.35">
      <c r="A33" s="22" t="s">
        <v>160</v>
      </c>
      <c r="B33" s="43"/>
      <c r="C33" s="43"/>
      <c r="D33" s="23"/>
      <c r="E33" s="36">
        <v>7858.28</v>
      </c>
      <c r="F33" s="37">
        <v>0.93440000000000001</v>
      </c>
      <c r="G33" s="21"/>
    </row>
    <row r="34" spans="1:7" x14ac:dyDescent="0.35">
      <c r="A34" s="13"/>
      <c r="B34" s="41"/>
      <c r="C34" s="41"/>
      <c r="D34" s="15"/>
      <c r="E34" s="16"/>
      <c r="F34" s="17"/>
      <c r="G34" s="17"/>
    </row>
    <row r="35" spans="1:7" x14ac:dyDescent="0.35">
      <c r="A35" s="13"/>
      <c r="B35" s="41"/>
      <c r="C35" s="41"/>
      <c r="D35" s="15"/>
      <c r="E35" s="16"/>
      <c r="F35" s="17"/>
      <c r="G35" s="17"/>
    </row>
    <row r="36" spans="1:7" x14ac:dyDescent="0.35">
      <c r="A36" s="14" t="s">
        <v>255</v>
      </c>
      <c r="B36" s="41"/>
      <c r="C36" s="41"/>
      <c r="D36" s="15"/>
      <c r="E36" s="16"/>
      <c r="F36" s="17"/>
      <c r="G36" s="17"/>
    </row>
    <row r="37" spans="1:7" x14ac:dyDescent="0.35">
      <c r="A37" s="13" t="s">
        <v>257</v>
      </c>
      <c r="B37" s="41"/>
      <c r="C37" s="41"/>
      <c r="D37" s="15"/>
      <c r="E37" s="16">
        <v>123.95</v>
      </c>
      <c r="F37" s="17">
        <v>1.47E-2</v>
      </c>
      <c r="G37" s="17">
        <v>5.1742000000000003E-2</v>
      </c>
    </row>
    <row r="38" spans="1:7" x14ac:dyDescent="0.35">
      <c r="A38" s="14" t="s">
        <v>149</v>
      </c>
      <c r="B38" s="42"/>
      <c r="C38" s="42"/>
      <c r="D38" s="18"/>
      <c r="E38" s="36">
        <v>123.95</v>
      </c>
      <c r="F38" s="37">
        <v>1.47E-2</v>
      </c>
      <c r="G38" s="21"/>
    </row>
    <row r="39" spans="1:7" x14ac:dyDescent="0.35">
      <c r="A39" s="13"/>
      <c r="B39" s="41"/>
      <c r="C39" s="41"/>
      <c r="D39" s="15"/>
      <c r="E39" s="16"/>
      <c r="F39" s="17"/>
      <c r="G39" s="17"/>
    </row>
    <row r="40" spans="1:7" x14ac:dyDescent="0.35">
      <c r="A40" s="22" t="s">
        <v>160</v>
      </c>
      <c r="B40" s="43"/>
      <c r="C40" s="43"/>
      <c r="D40" s="23"/>
      <c r="E40" s="36">
        <v>123.95</v>
      </c>
      <c r="F40" s="37">
        <v>1.47E-2</v>
      </c>
      <c r="G40" s="21"/>
    </row>
    <row r="41" spans="1:7" x14ac:dyDescent="0.35">
      <c r="A41" s="13" t="s">
        <v>258</v>
      </c>
      <c r="B41" s="41"/>
      <c r="C41" s="41"/>
      <c r="D41" s="15"/>
      <c r="E41" s="16">
        <v>428.14279759999999</v>
      </c>
      <c r="F41" s="17">
        <v>5.0910999999999998E-2</v>
      </c>
      <c r="G41" s="17"/>
    </row>
    <row r="42" spans="1:7" x14ac:dyDescent="0.35">
      <c r="A42" s="13" t="s">
        <v>259</v>
      </c>
      <c r="B42" s="41"/>
      <c r="C42" s="41"/>
      <c r="D42" s="15"/>
      <c r="E42" s="28">
        <v>-0.8027976</v>
      </c>
      <c r="F42" s="29">
        <v>-1.1E-5</v>
      </c>
      <c r="G42" s="17">
        <v>5.1742000000000003E-2</v>
      </c>
    </row>
    <row r="43" spans="1:7" x14ac:dyDescent="0.35">
      <c r="A43" s="38" t="s">
        <v>260</v>
      </c>
      <c r="B43" s="44"/>
      <c r="C43" s="44"/>
      <c r="D43" s="39"/>
      <c r="E43" s="24">
        <v>8409.57</v>
      </c>
      <c r="F43" s="25">
        <v>1</v>
      </c>
      <c r="G43" s="25"/>
    </row>
    <row r="45" spans="1:7" x14ac:dyDescent="0.35">
      <c r="A45" s="1" t="s">
        <v>262</v>
      </c>
    </row>
    <row r="46" spans="1:7" x14ac:dyDescent="0.35">
      <c r="A46" s="1" t="s">
        <v>751</v>
      </c>
    </row>
    <row r="48" spans="1:7" x14ac:dyDescent="0.35">
      <c r="A48" s="1" t="s">
        <v>263</v>
      </c>
    </row>
    <row r="49" spans="1:3" x14ac:dyDescent="0.35">
      <c r="A49" s="47" t="s">
        <v>264</v>
      </c>
      <c r="B49" s="3" t="s">
        <v>146</v>
      </c>
    </row>
    <row r="50" spans="1:3" x14ac:dyDescent="0.35">
      <c r="A50" t="s">
        <v>265</v>
      </c>
    </row>
    <row r="51" spans="1:3" x14ac:dyDescent="0.35">
      <c r="A51" t="s">
        <v>266</v>
      </c>
      <c r="B51" t="s">
        <v>267</v>
      </c>
      <c r="C51" t="s">
        <v>267</v>
      </c>
    </row>
    <row r="52" spans="1:3" x14ac:dyDescent="0.35">
      <c r="B52" s="49">
        <v>46022</v>
      </c>
      <c r="C52" s="49">
        <v>46052</v>
      </c>
    </row>
    <row r="53" spans="1:3" x14ac:dyDescent="0.35">
      <c r="A53" t="s">
        <v>752</v>
      </c>
      <c r="B53">
        <v>10.7491</v>
      </c>
      <c r="C53">
        <v>10.773</v>
      </c>
    </row>
    <row r="54" spans="1:3" x14ac:dyDescent="0.35">
      <c r="A54" t="s">
        <v>273</v>
      </c>
      <c r="B54">
        <v>10.7491</v>
      </c>
      <c r="C54">
        <v>10.773</v>
      </c>
    </row>
    <row r="55" spans="1:3" x14ac:dyDescent="0.35">
      <c r="A55" t="s">
        <v>753</v>
      </c>
      <c r="B55">
        <v>10.7303</v>
      </c>
      <c r="C55">
        <v>10.7524</v>
      </c>
    </row>
    <row r="56" spans="1:3" x14ac:dyDescent="0.35">
      <c r="A56" t="s">
        <v>709</v>
      </c>
      <c r="B56">
        <v>10.7303</v>
      </c>
      <c r="C56">
        <v>10.7524</v>
      </c>
    </row>
    <row r="58" spans="1:3" x14ac:dyDescent="0.35">
      <c r="A58" t="s">
        <v>283</v>
      </c>
      <c r="B58" s="3" t="s">
        <v>146</v>
      </c>
    </row>
    <row r="59" spans="1:3" x14ac:dyDescent="0.35">
      <c r="A59" t="s">
        <v>284</v>
      </c>
      <c r="B59" s="3" t="s">
        <v>146</v>
      </c>
    </row>
    <row r="60" spans="1:3" ht="29" customHeight="1" x14ac:dyDescent="0.35">
      <c r="A60" s="47" t="s">
        <v>285</v>
      </c>
      <c r="B60" s="3" t="s">
        <v>146</v>
      </c>
    </row>
    <row r="61" spans="1:3" ht="29" customHeight="1" x14ac:dyDescent="0.35">
      <c r="A61" s="47" t="s">
        <v>286</v>
      </c>
      <c r="B61" s="3" t="s">
        <v>146</v>
      </c>
    </row>
    <row r="62" spans="1:3" x14ac:dyDescent="0.35">
      <c r="A62" t="s">
        <v>287</v>
      </c>
      <c r="B62" s="48">
        <f>B77</f>
        <v>1.2924388453393161</v>
      </c>
    </row>
    <row r="63" spans="1:3" ht="43.5" customHeight="1" x14ac:dyDescent="0.35">
      <c r="A63" s="47" t="s">
        <v>288</v>
      </c>
      <c r="B63" s="3" t="s">
        <v>146</v>
      </c>
    </row>
    <row r="64" spans="1:3" x14ac:dyDescent="0.35">
      <c r="B64" s="3"/>
    </row>
    <row r="65" spans="1:2" ht="29" customHeight="1" x14ac:dyDescent="0.35">
      <c r="A65" s="47" t="s">
        <v>289</v>
      </c>
      <c r="B65" s="3" t="s">
        <v>146</v>
      </c>
    </row>
    <row r="66" spans="1:2" ht="29" customHeight="1" x14ac:dyDescent="0.35">
      <c r="A66" s="47" t="s">
        <v>290</v>
      </c>
      <c r="B66">
        <v>5086.53</v>
      </c>
    </row>
    <row r="67" spans="1:2" ht="29" customHeight="1" x14ac:dyDescent="0.35">
      <c r="A67" s="47" t="s">
        <v>291</v>
      </c>
      <c r="B67" s="3" t="s">
        <v>146</v>
      </c>
    </row>
    <row r="68" spans="1:2" ht="29" customHeight="1" x14ac:dyDescent="0.35">
      <c r="A68" s="47" t="s">
        <v>292</v>
      </c>
      <c r="B68" s="3" t="s">
        <v>146</v>
      </c>
    </row>
    <row r="70" spans="1:2" x14ac:dyDescent="0.35">
      <c r="A70" t="s">
        <v>293</v>
      </c>
    </row>
    <row r="71" spans="1:2" ht="58" customHeight="1" x14ac:dyDescent="0.35">
      <c r="A71" s="51" t="s">
        <v>295</v>
      </c>
      <c r="B71" s="55" t="s">
        <v>754</v>
      </c>
    </row>
    <row r="72" spans="1:2" ht="43.5" customHeight="1" x14ac:dyDescent="0.35">
      <c r="A72" s="51" t="s">
        <v>297</v>
      </c>
      <c r="B72" s="55" t="s">
        <v>755</v>
      </c>
    </row>
    <row r="73" spans="1:2" x14ac:dyDescent="0.35">
      <c r="A73" s="51"/>
      <c r="B73" s="51"/>
    </row>
    <row r="74" spans="1:2" x14ac:dyDescent="0.35">
      <c r="A74" s="51" t="s">
        <v>299</v>
      </c>
      <c r="B74" s="52">
        <v>7.4242649144703829</v>
      </c>
    </row>
    <row r="75" spans="1:2" x14ac:dyDescent="0.35">
      <c r="A75" s="51"/>
      <c r="B75" s="51"/>
    </row>
    <row r="76" spans="1:2" x14ac:dyDescent="0.35">
      <c r="A76" s="51" t="s">
        <v>300</v>
      </c>
      <c r="B76" s="53">
        <v>1.2161999999999999</v>
      </c>
    </row>
    <row r="77" spans="1:2" x14ac:dyDescent="0.35">
      <c r="A77" s="51" t="s">
        <v>301</v>
      </c>
      <c r="B77" s="53">
        <v>1.2924388453393161</v>
      </c>
    </row>
    <row r="78" spans="1:2" x14ac:dyDescent="0.35">
      <c r="A78" s="51"/>
      <c r="B78" s="51"/>
    </row>
    <row r="79" spans="1:2" x14ac:dyDescent="0.35">
      <c r="A79" s="51" t="s">
        <v>302</v>
      </c>
      <c r="B79" s="54">
        <v>46053</v>
      </c>
    </row>
    <row r="81" spans="1:4" ht="70" customHeight="1" x14ac:dyDescent="0.35">
      <c r="A81" s="70" t="s">
        <v>303</v>
      </c>
      <c r="B81" s="70" t="s">
        <v>304</v>
      </c>
      <c r="C81" s="70" t="s">
        <v>4</v>
      </c>
      <c r="D81" s="70" t="s">
        <v>5</v>
      </c>
    </row>
    <row r="82" spans="1:4" ht="70" customHeight="1" x14ac:dyDescent="0.35">
      <c r="A82" s="70" t="s">
        <v>754</v>
      </c>
      <c r="B82" s="70"/>
      <c r="C82" s="70" t="s">
        <v>22</v>
      </c>
      <c r="D82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82"/>
  <sheetViews>
    <sheetView showGridLines="0" workbookViewId="0">
      <pane ySplit="4" topLeftCell="A29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756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757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758</v>
      </c>
      <c r="B11" s="41" t="s">
        <v>759</v>
      </c>
      <c r="C11" s="41" t="s">
        <v>361</v>
      </c>
      <c r="D11" s="15">
        <v>1500000</v>
      </c>
      <c r="E11" s="16">
        <v>1513.77</v>
      </c>
      <c r="F11" s="17">
        <v>0.1426</v>
      </c>
      <c r="G11" s="17">
        <v>7.5850000000000001E-2</v>
      </c>
    </row>
    <row r="12" spans="1:7" x14ac:dyDescent="0.35">
      <c r="A12" s="13" t="s">
        <v>760</v>
      </c>
      <c r="B12" s="41" t="s">
        <v>761</v>
      </c>
      <c r="C12" s="41" t="s">
        <v>310</v>
      </c>
      <c r="D12" s="15">
        <v>1000000</v>
      </c>
      <c r="E12" s="16">
        <v>1010.07</v>
      </c>
      <c r="F12" s="17">
        <v>9.5100000000000004E-2</v>
      </c>
      <c r="G12" s="17">
        <v>7.6050000000000006E-2</v>
      </c>
    </row>
    <row r="13" spans="1:7" x14ac:dyDescent="0.35">
      <c r="A13" s="13" t="s">
        <v>762</v>
      </c>
      <c r="B13" s="41" t="s">
        <v>763</v>
      </c>
      <c r="C13" s="41" t="s">
        <v>310</v>
      </c>
      <c r="D13" s="15">
        <v>1000000</v>
      </c>
      <c r="E13" s="16">
        <v>1006.59</v>
      </c>
      <c r="F13" s="17">
        <v>9.4799999999999995E-2</v>
      </c>
      <c r="G13" s="17">
        <v>7.6082999999999998E-2</v>
      </c>
    </row>
    <row r="14" spans="1:7" x14ac:dyDescent="0.35">
      <c r="A14" s="13" t="s">
        <v>764</v>
      </c>
      <c r="B14" s="41" t="s">
        <v>765</v>
      </c>
      <c r="C14" s="41" t="s">
        <v>317</v>
      </c>
      <c r="D14" s="15">
        <v>1000000</v>
      </c>
      <c r="E14" s="16">
        <v>1006.34</v>
      </c>
      <c r="F14" s="17">
        <v>9.4799999999999995E-2</v>
      </c>
      <c r="G14" s="17">
        <v>7.535E-2</v>
      </c>
    </row>
    <row r="15" spans="1:7" x14ac:dyDescent="0.35">
      <c r="A15" s="13" t="s">
        <v>766</v>
      </c>
      <c r="B15" s="41" t="s">
        <v>767</v>
      </c>
      <c r="C15" s="41" t="s">
        <v>310</v>
      </c>
      <c r="D15" s="15">
        <v>1000000</v>
      </c>
      <c r="E15" s="16">
        <v>1005.71</v>
      </c>
      <c r="F15" s="17">
        <v>9.4700000000000006E-2</v>
      </c>
      <c r="G15" s="17">
        <v>7.3800000000000004E-2</v>
      </c>
    </row>
    <row r="16" spans="1:7" x14ac:dyDescent="0.35">
      <c r="A16" s="13" t="s">
        <v>768</v>
      </c>
      <c r="B16" s="41" t="s">
        <v>769</v>
      </c>
      <c r="C16" s="41" t="s">
        <v>310</v>
      </c>
      <c r="D16" s="15">
        <v>1000000</v>
      </c>
      <c r="E16" s="16">
        <v>1004.51</v>
      </c>
      <c r="F16" s="17">
        <v>9.4600000000000004E-2</v>
      </c>
      <c r="G16" s="17">
        <v>7.5050000000000006E-2</v>
      </c>
    </row>
    <row r="17" spans="1:7" x14ac:dyDescent="0.35">
      <c r="A17" s="13" t="s">
        <v>673</v>
      </c>
      <c r="B17" s="41" t="s">
        <v>674</v>
      </c>
      <c r="C17" s="41" t="s">
        <v>310</v>
      </c>
      <c r="D17" s="15">
        <v>500000</v>
      </c>
      <c r="E17" s="16">
        <v>505.75</v>
      </c>
      <c r="F17" s="17">
        <v>4.7600000000000003E-2</v>
      </c>
      <c r="G17" s="17">
        <v>7.0999999999999994E-2</v>
      </c>
    </row>
    <row r="18" spans="1:7" x14ac:dyDescent="0.35">
      <c r="A18" s="13" t="s">
        <v>770</v>
      </c>
      <c r="B18" s="41" t="s">
        <v>771</v>
      </c>
      <c r="C18" s="41" t="s">
        <v>310</v>
      </c>
      <c r="D18" s="15">
        <v>500000</v>
      </c>
      <c r="E18" s="16">
        <v>505.12</v>
      </c>
      <c r="F18" s="17">
        <v>4.7600000000000003E-2</v>
      </c>
      <c r="G18" s="17">
        <v>7.3224999999999998E-2</v>
      </c>
    </row>
    <row r="19" spans="1:7" x14ac:dyDescent="0.35">
      <c r="A19" s="13" t="s">
        <v>772</v>
      </c>
      <c r="B19" s="41" t="s">
        <v>773</v>
      </c>
      <c r="C19" s="41" t="s">
        <v>310</v>
      </c>
      <c r="D19" s="15">
        <v>500000</v>
      </c>
      <c r="E19" s="16">
        <v>504.57</v>
      </c>
      <c r="F19" s="17">
        <v>4.7500000000000001E-2</v>
      </c>
      <c r="G19" s="17">
        <v>7.1381E-2</v>
      </c>
    </row>
    <row r="20" spans="1:7" x14ac:dyDescent="0.35">
      <c r="A20" s="13" t="s">
        <v>774</v>
      </c>
      <c r="B20" s="41" t="s">
        <v>775</v>
      </c>
      <c r="C20" s="41" t="s">
        <v>310</v>
      </c>
      <c r="D20" s="15">
        <v>500000</v>
      </c>
      <c r="E20" s="16">
        <v>503.99</v>
      </c>
      <c r="F20" s="17">
        <v>4.7500000000000001E-2</v>
      </c>
      <c r="G20" s="17">
        <v>7.0302000000000003E-2</v>
      </c>
    </row>
    <row r="21" spans="1:7" x14ac:dyDescent="0.35">
      <c r="A21" s="13" t="s">
        <v>776</v>
      </c>
      <c r="B21" s="41" t="s">
        <v>777</v>
      </c>
      <c r="C21" s="41" t="s">
        <v>310</v>
      </c>
      <c r="D21" s="15">
        <v>500000</v>
      </c>
      <c r="E21" s="16">
        <v>503.94</v>
      </c>
      <c r="F21" s="17">
        <v>4.7500000000000001E-2</v>
      </c>
      <c r="G21" s="17">
        <v>7.1715000000000001E-2</v>
      </c>
    </row>
    <row r="22" spans="1:7" x14ac:dyDescent="0.35">
      <c r="A22" s="13" t="s">
        <v>778</v>
      </c>
      <c r="B22" s="41" t="s">
        <v>779</v>
      </c>
      <c r="C22" s="41" t="s">
        <v>310</v>
      </c>
      <c r="D22" s="15">
        <v>500000</v>
      </c>
      <c r="E22" s="16">
        <v>500.76</v>
      </c>
      <c r="F22" s="17">
        <v>4.7199999999999999E-2</v>
      </c>
      <c r="G22" s="17">
        <v>7.5300000000000006E-2</v>
      </c>
    </row>
    <row r="23" spans="1:7" x14ac:dyDescent="0.35">
      <c r="A23" s="13" t="s">
        <v>780</v>
      </c>
      <c r="B23" s="41" t="s">
        <v>781</v>
      </c>
      <c r="C23" s="41" t="s">
        <v>310</v>
      </c>
      <c r="D23" s="15">
        <v>500000</v>
      </c>
      <c r="E23" s="16">
        <v>500.52</v>
      </c>
      <c r="F23" s="17">
        <v>4.7100000000000003E-2</v>
      </c>
      <c r="G23" s="17">
        <v>7.535E-2</v>
      </c>
    </row>
    <row r="24" spans="1:7" x14ac:dyDescent="0.35">
      <c r="A24" s="13" t="s">
        <v>782</v>
      </c>
      <c r="B24" s="41" t="s">
        <v>783</v>
      </c>
      <c r="C24" s="41" t="s">
        <v>310</v>
      </c>
      <c r="D24" s="15">
        <v>300000</v>
      </c>
      <c r="E24" s="16">
        <v>302.27999999999997</v>
      </c>
      <c r="F24" s="17">
        <v>2.8500000000000001E-2</v>
      </c>
      <c r="G24" s="17">
        <v>7.22E-2</v>
      </c>
    </row>
    <row r="25" spans="1:7" x14ac:dyDescent="0.35">
      <c r="A25" s="14" t="s">
        <v>149</v>
      </c>
      <c r="B25" s="42"/>
      <c r="C25" s="42"/>
      <c r="D25" s="18"/>
      <c r="E25" s="36">
        <v>10373.92</v>
      </c>
      <c r="F25" s="37">
        <v>0.97709999999999997</v>
      </c>
      <c r="G25" s="21"/>
    </row>
    <row r="26" spans="1:7" x14ac:dyDescent="0.35">
      <c r="A26" s="13"/>
      <c r="B26" s="41"/>
      <c r="C26" s="41"/>
      <c r="D26" s="15"/>
      <c r="E26" s="16"/>
      <c r="F26" s="17"/>
      <c r="G26" s="17"/>
    </row>
    <row r="27" spans="1:7" x14ac:dyDescent="0.35">
      <c r="A27" s="14" t="s">
        <v>158</v>
      </c>
      <c r="B27" s="41"/>
      <c r="C27" s="41"/>
      <c r="D27" s="15"/>
      <c r="E27" s="16"/>
      <c r="F27" s="17"/>
      <c r="G27" s="17"/>
    </row>
    <row r="28" spans="1:7" x14ac:dyDescent="0.35">
      <c r="A28" s="14" t="s">
        <v>149</v>
      </c>
      <c r="B28" s="41"/>
      <c r="C28" s="41"/>
      <c r="D28" s="15"/>
      <c r="E28" s="45" t="s">
        <v>146</v>
      </c>
      <c r="F28" s="46" t="s">
        <v>146</v>
      </c>
      <c r="G28" s="17"/>
    </row>
    <row r="29" spans="1:7" x14ac:dyDescent="0.35">
      <c r="A29" s="13"/>
      <c r="B29" s="41"/>
      <c r="C29" s="41"/>
      <c r="D29" s="15"/>
      <c r="E29" s="16"/>
      <c r="F29" s="17"/>
      <c r="G29" s="17"/>
    </row>
    <row r="30" spans="1:7" x14ac:dyDescent="0.35">
      <c r="A30" s="14" t="s">
        <v>159</v>
      </c>
      <c r="B30" s="41"/>
      <c r="C30" s="41"/>
      <c r="D30" s="15"/>
      <c r="E30" s="16"/>
      <c r="F30" s="17"/>
      <c r="G30" s="17"/>
    </row>
    <row r="31" spans="1:7" x14ac:dyDescent="0.35">
      <c r="A31" s="14" t="s">
        <v>149</v>
      </c>
      <c r="B31" s="41"/>
      <c r="C31" s="41"/>
      <c r="D31" s="15"/>
      <c r="E31" s="45" t="s">
        <v>146</v>
      </c>
      <c r="F31" s="46" t="s">
        <v>146</v>
      </c>
      <c r="G31" s="17"/>
    </row>
    <row r="32" spans="1:7" x14ac:dyDescent="0.35">
      <c r="A32" s="13"/>
      <c r="B32" s="41"/>
      <c r="C32" s="41"/>
      <c r="D32" s="15"/>
      <c r="E32" s="16"/>
      <c r="F32" s="17"/>
      <c r="G32" s="17"/>
    </row>
    <row r="33" spans="1:7" x14ac:dyDescent="0.35">
      <c r="A33" s="22" t="s">
        <v>160</v>
      </c>
      <c r="B33" s="43"/>
      <c r="C33" s="43"/>
      <c r="D33" s="23"/>
      <c r="E33" s="36">
        <v>10373.92</v>
      </c>
      <c r="F33" s="37">
        <v>0.97709999999999997</v>
      </c>
      <c r="G33" s="21"/>
    </row>
    <row r="34" spans="1:7" x14ac:dyDescent="0.35">
      <c r="A34" s="13"/>
      <c r="B34" s="41"/>
      <c r="C34" s="41"/>
      <c r="D34" s="15"/>
      <c r="E34" s="16"/>
      <c r="F34" s="17"/>
      <c r="G34" s="17"/>
    </row>
    <row r="35" spans="1:7" x14ac:dyDescent="0.35">
      <c r="A35" s="13"/>
      <c r="B35" s="41"/>
      <c r="C35" s="41"/>
      <c r="D35" s="15"/>
      <c r="E35" s="16"/>
      <c r="F35" s="17"/>
      <c r="G35" s="17"/>
    </row>
    <row r="36" spans="1:7" x14ac:dyDescent="0.35">
      <c r="A36" s="14" t="s">
        <v>255</v>
      </c>
      <c r="B36" s="41"/>
      <c r="C36" s="41"/>
      <c r="D36" s="15"/>
      <c r="E36" s="16"/>
      <c r="F36" s="17"/>
      <c r="G36" s="17"/>
    </row>
    <row r="37" spans="1:7" x14ac:dyDescent="0.35">
      <c r="A37" s="13" t="s">
        <v>257</v>
      </c>
      <c r="B37" s="41"/>
      <c r="C37" s="41"/>
      <c r="D37" s="15"/>
      <c r="E37" s="16">
        <v>46.98</v>
      </c>
      <c r="F37" s="17">
        <v>4.4000000000000003E-3</v>
      </c>
      <c r="G37" s="17">
        <v>5.1742000000000003E-2</v>
      </c>
    </row>
    <row r="38" spans="1:7" x14ac:dyDescent="0.35">
      <c r="A38" s="14" t="s">
        <v>149</v>
      </c>
      <c r="B38" s="42"/>
      <c r="C38" s="42"/>
      <c r="D38" s="18"/>
      <c r="E38" s="36">
        <v>46.98</v>
      </c>
      <c r="F38" s="37">
        <v>4.4000000000000003E-3</v>
      </c>
      <c r="G38" s="21"/>
    </row>
    <row r="39" spans="1:7" x14ac:dyDescent="0.35">
      <c r="A39" s="13"/>
      <c r="B39" s="41"/>
      <c r="C39" s="41"/>
      <c r="D39" s="15"/>
      <c r="E39" s="16"/>
      <c r="F39" s="17"/>
      <c r="G39" s="17"/>
    </row>
    <row r="40" spans="1:7" x14ac:dyDescent="0.35">
      <c r="A40" s="22" t="s">
        <v>160</v>
      </c>
      <c r="B40" s="43"/>
      <c r="C40" s="43"/>
      <c r="D40" s="23"/>
      <c r="E40" s="36">
        <v>46.98</v>
      </c>
      <c r="F40" s="37">
        <v>4.4000000000000003E-3</v>
      </c>
      <c r="G40" s="21"/>
    </row>
    <row r="41" spans="1:7" x14ac:dyDescent="0.35">
      <c r="A41" s="13" t="s">
        <v>258</v>
      </c>
      <c r="B41" s="41"/>
      <c r="C41" s="41"/>
      <c r="D41" s="15"/>
      <c r="E41" s="16">
        <v>201.03043460000001</v>
      </c>
      <c r="F41" s="17">
        <v>1.8931E-2</v>
      </c>
      <c r="G41" s="17"/>
    </row>
    <row r="42" spans="1:7" x14ac:dyDescent="0.35">
      <c r="A42" s="13" t="s">
        <v>259</v>
      </c>
      <c r="B42" s="41"/>
      <c r="C42" s="41"/>
      <c r="D42" s="15"/>
      <c r="E42" s="28">
        <v>-3.2804346</v>
      </c>
      <c r="F42" s="29">
        <v>-4.3100000000000001E-4</v>
      </c>
      <c r="G42" s="17">
        <v>5.1741000000000002E-2</v>
      </c>
    </row>
    <row r="43" spans="1:7" x14ac:dyDescent="0.35">
      <c r="A43" s="38" t="s">
        <v>260</v>
      </c>
      <c r="B43" s="44"/>
      <c r="C43" s="44"/>
      <c r="D43" s="39"/>
      <c r="E43" s="24">
        <v>10618.65</v>
      </c>
      <c r="F43" s="25">
        <v>1</v>
      </c>
      <c r="G43" s="25"/>
    </row>
    <row r="45" spans="1:7" x14ac:dyDescent="0.35">
      <c r="A45" s="1" t="s">
        <v>262</v>
      </c>
    </row>
    <row r="46" spans="1:7" x14ac:dyDescent="0.35">
      <c r="A46" s="1" t="s">
        <v>784</v>
      </c>
    </row>
    <row r="48" spans="1:7" x14ac:dyDescent="0.35">
      <c r="A48" s="1" t="s">
        <v>263</v>
      </c>
    </row>
    <row r="49" spans="1:3" x14ac:dyDescent="0.35">
      <c r="A49" s="47" t="s">
        <v>264</v>
      </c>
      <c r="B49" s="3" t="s">
        <v>146</v>
      </c>
    </row>
    <row r="50" spans="1:3" x14ac:dyDescent="0.35">
      <c r="A50" t="s">
        <v>265</v>
      </c>
    </row>
    <row r="51" spans="1:3" x14ac:dyDescent="0.35">
      <c r="A51" t="s">
        <v>266</v>
      </c>
      <c r="B51" t="s">
        <v>267</v>
      </c>
      <c r="C51" t="s">
        <v>267</v>
      </c>
    </row>
    <row r="52" spans="1:3" x14ac:dyDescent="0.35">
      <c r="B52" s="49">
        <v>46022</v>
      </c>
      <c r="C52" s="49">
        <v>46052</v>
      </c>
    </row>
    <row r="53" spans="1:3" x14ac:dyDescent="0.35">
      <c r="A53" t="s">
        <v>752</v>
      </c>
      <c r="B53">
        <v>10.941000000000001</v>
      </c>
      <c r="C53">
        <v>10.95</v>
      </c>
    </row>
    <row r="54" spans="1:3" x14ac:dyDescent="0.35">
      <c r="A54" t="s">
        <v>273</v>
      </c>
      <c r="B54">
        <v>10.941000000000001</v>
      </c>
      <c r="C54">
        <v>10.95</v>
      </c>
    </row>
    <row r="55" spans="1:3" x14ac:dyDescent="0.35">
      <c r="A55" t="s">
        <v>753</v>
      </c>
      <c r="B55">
        <v>10.914999999999999</v>
      </c>
      <c r="C55">
        <v>10.922000000000001</v>
      </c>
    </row>
    <row r="56" spans="1:3" x14ac:dyDescent="0.35">
      <c r="A56" t="s">
        <v>709</v>
      </c>
      <c r="B56">
        <v>10.914999999999999</v>
      </c>
      <c r="C56">
        <v>10.922000000000001</v>
      </c>
    </row>
    <row r="58" spans="1:3" x14ac:dyDescent="0.35">
      <c r="A58" t="s">
        <v>283</v>
      </c>
      <c r="B58" s="3" t="s">
        <v>146</v>
      </c>
    </row>
    <row r="59" spans="1:3" x14ac:dyDescent="0.35">
      <c r="A59" t="s">
        <v>284</v>
      </c>
      <c r="B59" s="3" t="s">
        <v>146</v>
      </c>
    </row>
    <row r="60" spans="1:3" ht="29" customHeight="1" x14ac:dyDescent="0.35">
      <c r="A60" s="47" t="s">
        <v>285</v>
      </c>
      <c r="B60" s="3" t="s">
        <v>146</v>
      </c>
    </row>
    <row r="61" spans="1:3" ht="29" customHeight="1" x14ac:dyDescent="0.35">
      <c r="A61" s="47" t="s">
        <v>286</v>
      </c>
      <c r="B61" s="3" t="s">
        <v>146</v>
      </c>
    </row>
    <row r="62" spans="1:3" x14ac:dyDescent="0.35">
      <c r="A62" t="s">
        <v>287</v>
      </c>
      <c r="B62" s="48">
        <f>B77</f>
        <v>1.757553754298782</v>
      </c>
    </row>
    <row r="63" spans="1:3" ht="43.5" customHeight="1" x14ac:dyDescent="0.35">
      <c r="A63" s="47" t="s">
        <v>288</v>
      </c>
      <c r="B63" s="3" t="s">
        <v>146</v>
      </c>
    </row>
    <row r="64" spans="1:3" x14ac:dyDescent="0.35">
      <c r="B64" s="3"/>
    </row>
    <row r="65" spans="1:2" ht="29" customHeight="1" x14ac:dyDescent="0.35">
      <c r="A65" s="47" t="s">
        <v>289</v>
      </c>
      <c r="B65" s="3" t="s">
        <v>146</v>
      </c>
    </row>
    <row r="66" spans="1:2" ht="29" customHeight="1" x14ac:dyDescent="0.35">
      <c r="A66" s="47" t="s">
        <v>290</v>
      </c>
      <c r="B66">
        <v>6476.83</v>
      </c>
    </row>
    <row r="67" spans="1:2" ht="29" customHeight="1" x14ac:dyDescent="0.35">
      <c r="A67" s="47" t="s">
        <v>291</v>
      </c>
      <c r="B67" s="3" t="s">
        <v>146</v>
      </c>
    </row>
    <row r="68" spans="1:2" ht="29" customHeight="1" x14ac:dyDescent="0.35">
      <c r="A68" s="47" t="s">
        <v>292</v>
      </c>
      <c r="B68" s="3" t="s">
        <v>146</v>
      </c>
    </row>
    <row r="70" spans="1:2" x14ac:dyDescent="0.35">
      <c r="A70" t="s">
        <v>293</v>
      </c>
    </row>
    <row r="71" spans="1:2" ht="87" customHeight="1" x14ac:dyDescent="0.35">
      <c r="A71" s="51" t="s">
        <v>295</v>
      </c>
      <c r="B71" s="55" t="s">
        <v>785</v>
      </c>
    </row>
    <row r="72" spans="1:2" ht="58" customHeight="1" x14ac:dyDescent="0.35">
      <c r="A72" s="51" t="s">
        <v>297</v>
      </c>
      <c r="B72" s="55" t="s">
        <v>786</v>
      </c>
    </row>
    <row r="73" spans="1:2" x14ac:dyDescent="0.35">
      <c r="A73" s="51"/>
      <c r="B73" s="51"/>
    </row>
    <row r="74" spans="1:2" x14ac:dyDescent="0.35">
      <c r="A74" s="51" t="s">
        <v>299</v>
      </c>
      <c r="B74" s="52">
        <v>7.427092490452182</v>
      </c>
    </row>
    <row r="75" spans="1:2" x14ac:dyDescent="0.35">
      <c r="A75" s="51"/>
      <c r="B75" s="51"/>
    </row>
    <row r="76" spans="1:2" x14ac:dyDescent="0.35">
      <c r="A76" s="51" t="s">
        <v>300</v>
      </c>
      <c r="B76" s="53">
        <v>1.6833</v>
      </c>
    </row>
    <row r="77" spans="1:2" x14ac:dyDescent="0.35">
      <c r="A77" s="51" t="s">
        <v>301</v>
      </c>
      <c r="B77" s="53">
        <v>1.757553754298782</v>
      </c>
    </row>
    <row r="78" spans="1:2" x14ac:dyDescent="0.35">
      <c r="A78" s="51"/>
      <c r="B78" s="51"/>
    </row>
    <row r="79" spans="1:2" x14ac:dyDescent="0.35">
      <c r="A79" s="51" t="s">
        <v>302</v>
      </c>
      <c r="B79" s="54">
        <v>46053</v>
      </c>
    </row>
    <row r="81" spans="1:4" ht="70" customHeight="1" x14ac:dyDescent="0.35">
      <c r="A81" s="70" t="s">
        <v>303</v>
      </c>
      <c r="B81" s="70" t="s">
        <v>304</v>
      </c>
      <c r="C81" s="70" t="s">
        <v>4</v>
      </c>
      <c r="D81" s="70" t="s">
        <v>5</v>
      </c>
    </row>
    <row r="82" spans="1:4" ht="70" customHeight="1" x14ac:dyDescent="0.35">
      <c r="A82" s="70" t="s">
        <v>787</v>
      </c>
      <c r="B82" s="70"/>
      <c r="C82" s="70" t="s">
        <v>24</v>
      </c>
      <c r="D82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81"/>
  <sheetViews>
    <sheetView showGridLines="0" workbookViewId="0">
      <pane ySplit="4" topLeftCell="A30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788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789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4" t="s">
        <v>147</v>
      </c>
      <c r="B8" s="41"/>
      <c r="C8" s="41"/>
      <c r="D8" s="15"/>
      <c r="E8" s="16"/>
      <c r="F8" s="17"/>
      <c r="G8" s="17"/>
    </row>
    <row r="9" spans="1:7" x14ac:dyDescent="0.35">
      <c r="A9" s="14" t="s">
        <v>148</v>
      </c>
      <c r="B9" s="41"/>
      <c r="C9" s="41"/>
      <c r="D9" s="15"/>
      <c r="E9" s="16"/>
      <c r="F9" s="17"/>
      <c r="G9" s="17"/>
    </row>
    <row r="10" spans="1:7" x14ac:dyDescent="0.35">
      <c r="A10" s="14" t="s">
        <v>149</v>
      </c>
      <c r="B10" s="41"/>
      <c r="C10" s="41"/>
      <c r="D10" s="15"/>
      <c r="E10" s="45" t="s">
        <v>146</v>
      </c>
      <c r="F10" s="46" t="s">
        <v>146</v>
      </c>
      <c r="G10" s="17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14" t="s">
        <v>463</v>
      </c>
      <c r="B12" s="41"/>
      <c r="C12" s="41"/>
      <c r="D12" s="15"/>
      <c r="E12" s="16"/>
      <c r="F12" s="17"/>
      <c r="G12" s="17"/>
    </row>
    <row r="13" spans="1:7" x14ac:dyDescent="0.35">
      <c r="A13" s="13" t="s">
        <v>790</v>
      </c>
      <c r="B13" s="41" t="s">
        <v>791</v>
      </c>
      <c r="C13" s="41" t="s">
        <v>153</v>
      </c>
      <c r="D13" s="15">
        <v>4825000</v>
      </c>
      <c r="E13" s="16">
        <v>4931.1099999999997</v>
      </c>
      <c r="F13" s="17">
        <v>0.52310000000000001</v>
      </c>
      <c r="G13" s="17">
        <v>5.7818000000000001E-2</v>
      </c>
    </row>
    <row r="14" spans="1:7" x14ac:dyDescent="0.35">
      <c r="A14" s="14" t="s">
        <v>149</v>
      </c>
      <c r="B14" s="42"/>
      <c r="C14" s="42"/>
      <c r="D14" s="18"/>
      <c r="E14" s="36">
        <v>4931.1099999999997</v>
      </c>
      <c r="F14" s="37">
        <v>0.52310000000000001</v>
      </c>
      <c r="G14" s="21"/>
    </row>
    <row r="15" spans="1:7" x14ac:dyDescent="0.35">
      <c r="A15" s="13"/>
      <c r="B15" s="41"/>
      <c r="C15" s="41"/>
      <c r="D15" s="15"/>
      <c r="E15" s="16"/>
      <c r="F15" s="17"/>
      <c r="G15" s="17"/>
    </row>
    <row r="16" spans="1:7" x14ac:dyDescent="0.35">
      <c r="A16" s="14" t="s">
        <v>150</v>
      </c>
      <c r="B16" s="41"/>
      <c r="C16" s="41"/>
      <c r="D16" s="15"/>
      <c r="E16" s="16"/>
      <c r="F16" s="17"/>
      <c r="G16" s="17"/>
    </row>
    <row r="17" spans="1:7" x14ac:dyDescent="0.35">
      <c r="A17" s="13" t="s">
        <v>792</v>
      </c>
      <c r="B17" s="41" t="s">
        <v>793</v>
      </c>
      <c r="C17" s="41" t="s">
        <v>153</v>
      </c>
      <c r="D17" s="15">
        <v>1500000</v>
      </c>
      <c r="E17" s="16">
        <v>1517.03</v>
      </c>
      <c r="F17" s="17">
        <v>0.16089999999999999</v>
      </c>
      <c r="G17" s="17">
        <v>5.9875999999999999E-2</v>
      </c>
    </row>
    <row r="18" spans="1:7" x14ac:dyDescent="0.35">
      <c r="A18" s="13" t="s">
        <v>794</v>
      </c>
      <c r="B18" s="41" t="s">
        <v>795</v>
      </c>
      <c r="C18" s="41" t="s">
        <v>153</v>
      </c>
      <c r="D18" s="15">
        <v>1000000</v>
      </c>
      <c r="E18" s="16">
        <v>1017.96</v>
      </c>
      <c r="F18" s="17">
        <v>0.108</v>
      </c>
      <c r="G18" s="17">
        <v>6.0546000000000003E-2</v>
      </c>
    </row>
    <row r="19" spans="1:7" x14ac:dyDescent="0.35">
      <c r="A19" s="13" t="s">
        <v>796</v>
      </c>
      <c r="B19" s="41" t="s">
        <v>797</v>
      </c>
      <c r="C19" s="41" t="s">
        <v>153</v>
      </c>
      <c r="D19" s="15">
        <v>500000</v>
      </c>
      <c r="E19" s="16">
        <v>508.74</v>
      </c>
      <c r="F19" s="17">
        <v>5.3999999999999999E-2</v>
      </c>
      <c r="G19" s="17">
        <v>6.1981000000000001E-2</v>
      </c>
    </row>
    <row r="20" spans="1:7" x14ac:dyDescent="0.35">
      <c r="A20" s="13" t="s">
        <v>798</v>
      </c>
      <c r="B20" s="41" t="s">
        <v>799</v>
      </c>
      <c r="C20" s="41" t="s">
        <v>153</v>
      </c>
      <c r="D20" s="15">
        <v>500000</v>
      </c>
      <c r="E20" s="16">
        <v>508.68</v>
      </c>
      <c r="F20" s="17">
        <v>5.3999999999999999E-2</v>
      </c>
      <c r="G20" s="17">
        <v>6.1982000000000002E-2</v>
      </c>
    </row>
    <row r="21" spans="1:7" x14ac:dyDescent="0.35">
      <c r="A21" s="13" t="s">
        <v>800</v>
      </c>
      <c r="B21" s="41" t="s">
        <v>801</v>
      </c>
      <c r="C21" s="41" t="s">
        <v>153</v>
      </c>
      <c r="D21" s="15">
        <v>500000</v>
      </c>
      <c r="E21" s="16">
        <v>508.55</v>
      </c>
      <c r="F21" s="17">
        <v>5.3900000000000003E-2</v>
      </c>
      <c r="G21" s="17">
        <v>6.2295999999999997E-2</v>
      </c>
    </row>
    <row r="22" spans="1:7" x14ac:dyDescent="0.35">
      <c r="A22" s="13" t="s">
        <v>802</v>
      </c>
      <c r="B22" s="41" t="s">
        <v>803</v>
      </c>
      <c r="C22" s="41" t="s">
        <v>153</v>
      </c>
      <c r="D22" s="15">
        <v>200000</v>
      </c>
      <c r="E22" s="16">
        <v>203.46</v>
      </c>
      <c r="F22" s="17">
        <v>2.1600000000000001E-2</v>
      </c>
      <c r="G22" s="17">
        <v>6.2295000000000003E-2</v>
      </c>
    </row>
    <row r="23" spans="1:7" x14ac:dyDescent="0.35">
      <c r="A23" s="14" t="s">
        <v>149</v>
      </c>
      <c r="B23" s="42"/>
      <c r="C23" s="42"/>
      <c r="D23" s="18"/>
      <c r="E23" s="36">
        <v>4264.42</v>
      </c>
      <c r="F23" s="37">
        <v>0.45240000000000002</v>
      </c>
      <c r="G23" s="21"/>
    </row>
    <row r="24" spans="1:7" x14ac:dyDescent="0.35">
      <c r="A24" s="13"/>
      <c r="B24" s="41"/>
      <c r="C24" s="41"/>
      <c r="D24" s="15"/>
      <c r="E24" s="16"/>
      <c r="F24" s="17"/>
      <c r="G24" s="17"/>
    </row>
    <row r="25" spans="1:7" x14ac:dyDescent="0.35">
      <c r="A25" s="13"/>
      <c r="B25" s="41"/>
      <c r="C25" s="41"/>
      <c r="D25" s="15"/>
      <c r="E25" s="16"/>
      <c r="F25" s="17"/>
      <c r="G25" s="17"/>
    </row>
    <row r="26" spans="1:7" x14ac:dyDescent="0.35">
      <c r="A26" s="14" t="s">
        <v>158</v>
      </c>
      <c r="B26" s="41"/>
      <c r="C26" s="41"/>
      <c r="D26" s="15"/>
      <c r="E26" s="16"/>
      <c r="F26" s="17"/>
      <c r="G26" s="17"/>
    </row>
    <row r="27" spans="1:7" x14ac:dyDescent="0.35">
      <c r="A27" s="14" t="s">
        <v>149</v>
      </c>
      <c r="B27" s="41"/>
      <c r="C27" s="41"/>
      <c r="D27" s="15"/>
      <c r="E27" s="45" t="s">
        <v>146</v>
      </c>
      <c r="F27" s="46" t="s">
        <v>146</v>
      </c>
      <c r="G27" s="17"/>
    </row>
    <row r="28" spans="1:7" x14ac:dyDescent="0.35">
      <c r="A28" s="13"/>
      <c r="B28" s="41"/>
      <c r="C28" s="41"/>
      <c r="D28" s="15"/>
      <c r="E28" s="16"/>
      <c r="F28" s="17"/>
      <c r="G28" s="17"/>
    </row>
    <row r="29" spans="1:7" x14ac:dyDescent="0.35">
      <c r="A29" s="14" t="s">
        <v>159</v>
      </c>
      <c r="B29" s="41"/>
      <c r="C29" s="41"/>
      <c r="D29" s="15"/>
      <c r="E29" s="16"/>
      <c r="F29" s="17"/>
      <c r="G29" s="17"/>
    </row>
    <row r="30" spans="1:7" x14ac:dyDescent="0.35">
      <c r="A30" s="14" t="s">
        <v>149</v>
      </c>
      <c r="B30" s="41"/>
      <c r="C30" s="41"/>
      <c r="D30" s="15"/>
      <c r="E30" s="45" t="s">
        <v>146</v>
      </c>
      <c r="F30" s="46" t="s">
        <v>146</v>
      </c>
      <c r="G30" s="17"/>
    </row>
    <row r="31" spans="1:7" x14ac:dyDescent="0.35">
      <c r="A31" s="13"/>
      <c r="B31" s="41"/>
      <c r="C31" s="41"/>
      <c r="D31" s="15"/>
      <c r="E31" s="16"/>
      <c r="F31" s="17"/>
      <c r="G31" s="17"/>
    </row>
    <row r="32" spans="1:7" x14ac:dyDescent="0.35">
      <c r="A32" s="22" t="s">
        <v>160</v>
      </c>
      <c r="B32" s="43"/>
      <c r="C32" s="43"/>
      <c r="D32" s="23"/>
      <c r="E32" s="36">
        <v>9195.5300000000007</v>
      </c>
      <c r="F32" s="37">
        <v>0.97550000000000003</v>
      </c>
      <c r="G32" s="21"/>
    </row>
    <row r="33" spans="1:7" x14ac:dyDescent="0.35">
      <c r="A33" s="13"/>
      <c r="B33" s="41"/>
      <c r="C33" s="41"/>
      <c r="D33" s="15"/>
      <c r="E33" s="16"/>
      <c r="F33" s="17"/>
      <c r="G33" s="17"/>
    </row>
    <row r="34" spans="1:7" x14ac:dyDescent="0.35">
      <c r="A34" s="13"/>
      <c r="B34" s="41"/>
      <c r="C34" s="41"/>
      <c r="D34" s="15"/>
      <c r="E34" s="16"/>
      <c r="F34" s="17"/>
      <c r="G34" s="17"/>
    </row>
    <row r="35" spans="1:7" x14ac:dyDescent="0.35">
      <c r="A35" s="14" t="s">
        <v>255</v>
      </c>
      <c r="B35" s="41"/>
      <c r="C35" s="41"/>
      <c r="D35" s="15"/>
      <c r="E35" s="16"/>
      <c r="F35" s="17"/>
      <c r="G35" s="17"/>
    </row>
    <row r="36" spans="1:7" x14ac:dyDescent="0.35">
      <c r="A36" s="13" t="s">
        <v>257</v>
      </c>
      <c r="B36" s="41"/>
      <c r="C36" s="41"/>
      <c r="D36" s="15"/>
      <c r="E36" s="16">
        <v>128.94999999999999</v>
      </c>
      <c r="F36" s="17">
        <v>1.37E-2</v>
      </c>
      <c r="G36" s="17">
        <v>5.1742000000000003E-2</v>
      </c>
    </row>
    <row r="37" spans="1:7" x14ac:dyDescent="0.35">
      <c r="A37" s="14" t="s">
        <v>149</v>
      </c>
      <c r="B37" s="42"/>
      <c r="C37" s="42"/>
      <c r="D37" s="18"/>
      <c r="E37" s="36">
        <v>128.94999999999999</v>
      </c>
      <c r="F37" s="37">
        <v>1.37E-2</v>
      </c>
      <c r="G37" s="21"/>
    </row>
    <row r="38" spans="1:7" x14ac:dyDescent="0.35">
      <c r="A38" s="13"/>
      <c r="B38" s="41"/>
      <c r="C38" s="41"/>
      <c r="D38" s="15"/>
      <c r="E38" s="16"/>
      <c r="F38" s="17"/>
      <c r="G38" s="17"/>
    </row>
    <row r="39" spans="1:7" x14ac:dyDescent="0.35">
      <c r="A39" s="22" t="s">
        <v>160</v>
      </c>
      <c r="B39" s="43"/>
      <c r="C39" s="43"/>
      <c r="D39" s="23"/>
      <c r="E39" s="36">
        <v>128.94999999999999</v>
      </c>
      <c r="F39" s="37">
        <v>1.37E-2</v>
      </c>
      <c r="G39" s="21"/>
    </row>
    <row r="40" spans="1:7" x14ac:dyDescent="0.35">
      <c r="A40" s="13" t="s">
        <v>258</v>
      </c>
      <c r="B40" s="41"/>
      <c r="C40" s="41"/>
      <c r="D40" s="15"/>
      <c r="E40" s="16">
        <v>104.3109888</v>
      </c>
      <c r="F40" s="17">
        <v>1.1065E-2</v>
      </c>
      <c r="G40" s="17"/>
    </row>
    <row r="41" spans="1:7" x14ac:dyDescent="0.35">
      <c r="A41" s="13" t="s">
        <v>259</v>
      </c>
      <c r="B41" s="41"/>
      <c r="C41" s="41"/>
      <c r="D41" s="15"/>
      <c r="E41" s="28">
        <v>-2.0209888</v>
      </c>
      <c r="F41" s="29">
        <v>-2.6499999999999999E-4</v>
      </c>
      <c r="G41" s="17">
        <v>5.1742000000000003E-2</v>
      </c>
    </row>
    <row r="42" spans="1:7" x14ac:dyDescent="0.35">
      <c r="A42" s="38" t="s">
        <v>260</v>
      </c>
      <c r="B42" s="44"/>
      <c r="C42" s="44"/>
      <c r="D42" s="39"/>
      <c r="E42" s="24">
        <v>9426.77</v>
      </c>
      <c r="F42" s="25">
        <v>1</v>
      </c>
      <c r="G42" s="25"/>
    </row>
    <row r="44" spans="1:7" x14ac:dyDescent="0.35">
      <c r="A44" s="1" t="s">
        <v>262</v>
      </c>
    </row>
    <row r="45" spans="1:7" x14ac:dyDescent="0.35">
      <c r="A45" s="1" t="s">
        <v>804</v>
      </c>
    </row>
    <row r="47" spans="1:7" x14ac:dyDescent="0.35">
      <c r="A47" s="1" t="s">
        <v>263</v>
      </c>
    </row>
    <row r="48" spans="1:7" x14ac:dyDescent="0.35">
      <c r="A48" s="47" t="s">
        <v>264</v>
      </c>
      <c r="B48" s="3" t="s">
        <v>146</v>
      </c>
    </row>
    <row r="49" spans="1:3" x14ac:dyDescent="0.35">
      <c r="A49" t="s">
        <v>265</v>
      </c>
    </row>
    <row r="50" spans="1:3" x14ac:dyDescent="0.35">
      <c r="A50" t="s">
        <v>266</v>
      </c>
      <c r="B50" t="s">
        <v>267</v>
      </c>
      <c r="C50" t="s">
        <v>267</v>
      </c>
    </row>
    <row r="51" spans="1:3" x14ac:dyDescent="0.35">
      <c r="B51" s="49">
        <v>46022</v>
      </c>
      <c r="C51" s="49">
        <v>46052</v>
      </c>
    </row>
    <row r="52" spans="1:3" x14ac:dyDescent="0.35">
      <c r="A52" t="s">
        <v>752</v>
      </c>
      <c r="B52">
        <v>12.761799999999999</v>
      </c>
      <c r="C52">
        <v>12.816700000000001</v>
      </c>
    </row>
    <row r="53" spans="1:3" x14ac:dyDescent="0.35">
      <c r="A53" t="s">
        <v>273</v>
      </c>
      <c r="B53">
        <v>12.7613</v>
      </c>
      <c r="C53">
        <v>12.8162</v>
      </c>
    </row>
    <row r="54" spans="1:3" x14ac:dyDescent="0.35">
      <c r="A54" t="s">
        <v>753</v>
      </c>
      <c r="B54">
        <v>12.6617</v>
      </c>
      <c r="C54">
        <v>12.713699999999999</v>
      </c>
    </row>
    <row r="55" spans="1:3" x14ac:dyDescent="0.35">
      <c r="A55" t="s">
        <v>709</v>
      </c>
      <c r="B55">
        <v>12.6623</v>
      </c>
      <c r="C55">
        <v>12.7142</v>
      </c>
    </row>
    <row r="57" spans="1:3" x14ac:dyDescent="0.35">
      <c r="A57" t="s">
        <v>283</v>
      </c>
      <c r="B57" s="3" t="s">
        <v>146</v>
      </c>
    </row>
    <row r="58" spans="1:3" x14ac:dyDescent="0.35">
      <c r="A58" t="s">
        <v>284</v>
      </c>
      <c r="B58" s="3" t="s">
        <v>146</v>
      </c>
    </row>
    <row r="59" spans="1:3" ht="29" customHeight="1" x14ac:dyDescent="0.35">
      <c r="A59" s="47" t="s">
        <v>285</v>
      </c>
      <c r="B59" s="3" t="s">
        <v>146</v>
      </c>
    </row>
    <row r="60" spans="1:3" ht="29" customHeight="1" x14ac:dyDescent="0.35">
      <c r="A60" s="47" t="s">
        <v>286</v>
      </c>
      <c r="B60" s="3" t="s">
        <v>146</v>
      </c>
    </row>
    <row r="61" spans="1:3" x14ac:dyDescent="0.35">
      <c r="A61" t="s">
        <v>287</v>
      </c>
      <c r="B61" s="48">
        <f>B76</f>
        <v>1.24124978664005</v>
      </c>
    </row>
    <row r="62" spans="1:3" ht="43.5" customHeight="1" x14ac:dyDescent="0.35">
      <c r="A62" s="47" t="s">
        <v>288</v>
      </c>
      <c r="B62" s="3" t="s">
        <v>146</v>
      </c>
    </row>
    <row r="63" spans="1:3" x14ac:dyDescent="0.35">
      <c r="B63" s="3"/>
    </row>
    <row r="64" spans="1:3" ht="29" customHeight="1" x14ac:dyDescent="0.35">
      <c r="A64" s="47" t="s">
        <v>289</v>
      </c>
      <c r="B64" s="3" t="s">
        <v>146</v>
      </c>
    </row>
    <row r="65" spans="1:4" ht="29" customHeight="1" x14ac:dyDescent="0.35">
      <c r="A65" s="47" t="s">
        <v>290</v>
      </c>
      <c r="B65" t="s">
        <v>146</v>
      </c>
    </row>
    <row r="66" spans="1:4" ht="29" customHeight="1" x14ac:dyDescent="0.35">
      <c r="A66" s="47" t="s">
        <v>291</v>
      </c>
      <c r="B66" s="3" t="s">
        <v>146</v>
      </c>
    </row>
    <row r="67" spans="1:4" ht="29" customHeight="1" x14ac:dyDescent="0.35">
      <c r="A67" s="47" t="s">
        <v>292</v>
      </c>
      <c r="B67" s="3" t="s">
        <v>146</v>
      </c>
    </row>
    <row r="69" spans="1:4" x14ac:dyDescent="0.35">
      <c r="A69" t="s">
        <v>293</v>
      </c>
    </row>
    <row r="70" spans="1:4" ht="58" customHeight="1" x14ac:dyDescent="0.35">
      <c r="A70" s="51" t="s">
        <v>295</v>
      </c>
      <c r="B70" s="55" t="s">
        <v>805</v>
      </c>
    </row>
    <row r="71" spans="1:4" ht="43.5" customHeight="1" x14ac:dyDescent="0.35">
      <c r="A71" s="51" t="s">
        <v>297</v>
      </c>
      <c r="B71" s="55" t="s">
        <v>806</v>
      </c>
    </row>
    <row r="72" spans="1:4" x14ac:dyDescent="0.35">
      <c r="A72" s="51"/>
      <c r="B72" s="51"/>
    </row>
    <row r="73" spans="1:4" x14ac:dyDescent="0.35">
      <c r="A73" s="51" t="s">
        <v>299</v>
      </c>
      <c r="B73" s="52">
        <v>5.9170989386721491</v>
      </c>
    </row>
    <row r="74" spans="1:4" x14ac:dyDescent="0.35">
      <c r="A74" s="51"/>
      <c r="B74" s="51"/>
    </row>
    <row r="75" spans="1:4" x14ac:dyDescent="0.35">
      <c r="A75" s="51" t="s">
        <v>300</v>
      </c>
      <c r="B75" s="53">
        <v>1.2001999999999999</v>
      </c>
    </row>
    <row r="76" spans="1:4" x14ac:dyDescent="0.35">
      <c r="A76" s="51" t="s">
        <v>301</v>
      </c>
      <c r="B76" s="53">
        <v>1.24124978664005</v>
      </c>
    </row>
    <row r="77" spans="1:4" x14ac:dyDescent="0.35">
      <c r="A77" s="51"/>
      <c r="B77" s="51"/>
    </row>
    <row r="78" spans="1:4" x14ac:dyDescent="0.35">
      <c r="A78" s="51" t="s">
        <v>302</v>
      </c>
      <c r="B78" s="54">
        <v>46053</v>
      </c>
    </row>
    <row r="80" spans="1:4" ht="70" customHeight="1" x14ac:dyDescent="0.35">
      <c r="A80" s="70" t="s">
        <v>303</v>
      </c>
      <c r="B80" s="70" t="s">
        <v>304</v>
      </c>
      <c r="C80" s="70" t="s">
        <v>4</v>
      </c>
      <c r="D80" s="70" t="s">
        <v>5</v>
      </c>
    </row>
    <row r="81" spans="1:4" ht="70" customHeight="1" x14ac:dyDescent="0.35">
      <c r="A81" s="70" t="s">
        <v>807</v>
      </c>
      <c r="B81" s="70"/>
      <c r="C81" s="70" t="s">
        <v>26</v>
      </c>
      <c r="D81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79"/>
  <sheetViews>
    <sheetView showGridLines="0" workbookViewId="0">
      <pane ySplit="4" topLeftCell="A36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808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809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4" t="s">
        <v>147</v>
      </c>
      <c r="B8" s="41"/>
      <c r="C8" s="41"/>
      <c r="D8" s="15"/>
      <c r="E8" s="16"/>
      <c r="F8" s="17"/>
      <c r="G8" s="17"/>
    </row>
    <row r="9" spans="1:7" x14ac:dyDescent="0.35">
      <c r="A9" s="14" t="s">
        <v>148</v>
      </c>
      <c r="B9" s="41"/>
      <c r="C9" s="41"/>
      <c r="D9" s="15"/>
      <c r="E9" s="16"/>
      <c r="F9" s="17"/>
      <c r="G9" s="17"/>
    </row>
    <row r="10" spans="1:7" x14ac:dyDescent="0.35">
      <c r="A10" s="14" t="s">
        <v>149</v>
      </c>
      <c r="B10" s="41"/>
      <c r="C10" s="41"/>
      <c r="D10" s="15"/>
      <c r="E10" s="45" t="s">
        <v>146</v>
      </c>
      <c r="F10" s="46" t="s">
        <v>146</v>
      </c>
      <c r="G10" s="17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14" t="s">
        <v>463</v>
      </c>
      <c r="B12" s="41"/>
      <c r="C12" s="41"/>
      <c r="D12" s="15"/>
      <c r="E12" s="16"/>
      <c r="F12" s="17"/>
      <c r="G12" s="17"/>
    </row>
    <row r="13" spans="1:7" x14ac:dyDescent="0.35">
      <c r="A13" s="13" t="s">
        <v>810</v>
      </c>
      <c r="B13" s="41" t="s">
        <v>811</v>
      </c>
      <c r="C13" s="41" t="s">
        <v>153</v>
      </c>
      <c r="D13" s="15">
        <v>5500000</v>
      </c>
      <c r="E13" s="16">
        <v>5637.65</v>
      </c>
      <c r="F13" s="17">
        <v>0.4032</v>
      </c>
      <c r="G13" s="17">
        <v>5.9059E-2</v>
      </c>
    </row>
    <row r="14" spans="1:7" x14ac:dyDescent="0.35">
      <c r="A14" s="13" t="s">
        <v>812</v>
      </c>
      <c r="B14" s="41" t="s">
        <v>813</v>
      </c>
      <c r="C14" s="41" t="s">
        <v>153</v>
      </c>
      <c r="D14" s="15">
        <v>600000</v>
      </c>
      <c r="E14" s="16">
        <v>603.16</v>
      </c>
      <c r="F14" s="17">
        <v>4.3099999999999999E-2</v>
      </c>
      <c r="G14" s="17">
        <v>5.9679000000000003E-2</v>
      </c>
    </row>
    <row r="15" spans="1:7" x14ac:dyDescent="0.35">
      <c r="A15" s="14" t="s">
        <v>149</v>
      </c>
      <c r="B15" s="42"/>
      <c r="C15" s="42"/>
      <c r="D15" s="18"/>
      <c r="E15" s="36">
        <v>6240.81</v>
      </c>
      <c r="F15" s="37">
        <v>0.44629999999999997</v>
      </c>
      <c r="G15" s="21"/>
    </row>
    <row r="16" spans="1:7" x14ac:dyDescent="0.35">
      <c r="A16" s="13"/>
      <c r="B16" s="41"/>
      <c r="C16" s="41"/>
      <c r="D16" s="15"/>
      <c r="E16" s="16"/>
      <c r="F16" s="17"/>
      <c r="G16" s="17"/>
    </row>
    <row r="17" spans="1:7" x14ac:dyDescent="0.35">
      <c r="A17" s="14" t="s">
        <v>150</v>
      </c>
      <c r="B17" s="41"/>
      <c r="C17" s="41"/>
      <c r="D17" s="15"/>
      <c r="E17" s="16"/>
      <c r="F17" s="17"/>
      <c r="G17" s="17"/>
    </row>
    <row r="18" spans="1:7" x14ac:dyDescent="0.35">
      <c r="A18" s="13" t="s">
        <v>814</v>
      </c>
      <c r="B18" s="41" t="s">
        <v>815</v>
      </c>
      <c r="C18" s="41" t="s">
        <v>153</v>
      </c>
      <c r="D18" s="15">
        <v>5000000</v>
      </c>
      <c r="E18" s="16">
        <v>5224.24</v>
      </c>
      <c r="F18" s="17">
        <v>0.37359999999999999</v>
      </c>
      <c r="G18" s="17">
        <v>6.6397999999999999E-2</v>
      </c>
    </row>
    <row r="19" spans="1:7" x14ac:dyDescent="0.35">
      <c r="A19" s="13" t="s">
        <v>816</v>
      </c>
      <c r="B19" s="41" t="s">
        <v>817</v>
      </c>
      <c r="C19" s="41" t="s">
        <v>153</v>
      </c>
      <c r="D19" s="15">
        <v>1500000</v>
      </c>
      <c r="E19" s="16">
        <v>1552.23</v>
      </c>
      <c r="F19" s="17">
        <v>0.111</v>
      </c>
      <c r="G19" s="17">
        <v>6.5747E-2</v>
      </c>
    </row>
    <row r="20" spans="1:7" x14ac:dyDescent="0.35">
      <c r="A20" s="13" t="s">
        <v>818</v>
      </c>
      <c r="B20" s="41" t="s">
        <v>819</v>
      </c>
      <c r="C20" s="41" t="s">
        <v>153</v>
      </c>
      <c r="D20" s="15">
        <v>500000</v>
      </c>
      <c r="E20" s="16">
        <v>526.65</v>
      </c>
      <c r="F20" s="17">
        <v>3.7699999999999997E-2</v>
      </c>
      <c r="G20" s="17">
        <v>6.6399E-2</v>
      </c>
    </row>
    <row r="21" spans="1:7" x14ac:dyDescent="0.35">
      <c r="A21" s="14" t="s">
        <v>149</v>
      </c>
      <c r="B21" s="42"/>
      <c r="C21" s="42"/>
      <c r="D21" s="18"/>
      <c r="E21" s="36">
        <v>7303.12</v>
      </c>
      <c r="F21" s="37">
        <v>0.52229999999999999</v>
      </c>
      <c r="G21" s="21"/>
    </row>
    <row r="22" spans="1:7" x14ac:dyDescent="0.35">
      <c r="A22" s="13"/>
      <c r="B22" s="41"/>
      <c r="C22" s="41"/>
      <c r="D22" s="15"/>
      <c r="E22" s="16"/>
      <c r="F22" s="17"/>
      <c r="G22" s="17"/>
    </row>
    <row r="23" spans="1:7" x14ac:dyDescent="0.35">
      <c r="A23" s="13"/>
      <c r="B23" s="41"/>
      <c r="C23" s="41"/>
      <c r="D23" s="15"/>
      <c r="E23" s="16"/>
      <c r="F23" s="17"/>
      <c r="G23" s="17"/>
    </row>
    <row r="24" spans="1:7" x14ac:dyDescent="0.35">
      <c r="A24" s="14" t="s">
        <v>158</v>
      </c>
      <c r="B24" s="41"/>
      <c r="C24" s="41"/>
      <c r="D24" s="15"/>
      <c r="E24" s="16"/>
      <c r="F24" s="17"/>
      <c r="G24" s="17"/>
    </row>
    <row r="25" spans="1:7" x14ac:dyDescent="0.35">
      <c r="A25" s="14" t="s">
        <v>149</v>
      </c>
      <c r="B25" s="41"/>
      <c r="C25" s="41"/>
      <c r="D25" s="15"/>
      <c r="E25" s="45" t="s">
        <v>146</v>
      </c>
      <c r="F25" s="46" t="s">
        <v>146</v>
      </c>
      <c r="G25" s="17"/>
    </row>
    <row r="26" spans="1:7" x14ac:dyDescent="0.35">
      <c r="A26" s="13"/>
      <c r="B26" s="41"/>
      <c r="C26" s="41"/>
      <c r="D26" s="15"/>
      <c r="E26" s="16"/>
      <c r="F26" s="17"/>
      <c r="G26" s="17"/>
    </row>
    <row r="27" spans="1:7" x14ac:dyDescent="0.35">
      <c r="A27" s="14" t="s">
        <v>159</v>
      </c>
      <c r="B27" s="41"/>
      <c r="C27" s="41"/>
      <c r="D27" s="15"/>
      <c r="E27" s="16"/>
      <c r="F27" s="17"/>
      <c r="G27" s="17"/>
    </row>
    <row r="28" spans="1:7" x14ac:dyDescent="0.35">
      <c r="A28" s="14" t="s">
        <v>149</v>
      </c>
      <c r="B28" s="41"/>
      <c r="C28" s="41"/>
      <c r="D28" s="15"/>
      <c r="E28" s="45" t="s">
        <v>146</v>
      </c>
      <c r="F28" s="46" t="s">
        <v>146</v>
      </c>
      <c r="G28" s="17"/>
    </row>
    <row r="29" spans="1:7" x14ac:dyDescent="0.35">
      <c r="A29" s="13"/>
      <c r="B29" s="41"/>
      <c r="C29" s="41"/>
      <c r="D29" s="15"/>
      <c r="E29" s="16"/>
      <c r="F29" s="17"/>
      <c r="G29" s="17"/>
    </row>
    <row r="30" spans="1:7" x14ac:dyDescent="0.35">
      <c r="A30" s="22" t="s">
        <v>160</v>
      </c>
      <c r="B30" s="43"/>
      <c r="C30" s="43"/>
      <c r="D30" s="23"/>
      <c r="E30" s="36">
        <v>13543.93</v>
      </c>
      <c r="F30" s="37">
        <v>0.96860000000000002</v>
      </c>
      <c r="G30" s="21"/>
    </row>
    <row r="31" spans="1:7" x14ac:dyDescent="0.35">
      <c r="A31" s="13"/>
      <c r="B31" s="41"/>
      <c r="C31" s="41"/>
      <c r="D31" s="15"/>
      <c r="E31" s="16"/>
      <c r="F31" s="17"/>
      <c r="G31" s="17"/>
    </row>
    <row r="32" spans="1:7" x14ac:dyDescent="0.35">
      <c r="A32" s="13"/>
      <c r="B32" s="41"/>
      <c r="C32" s="41"/>
      <c r="D32" s="15"/>
      <c r="E32" s="16"/>
      <c r="F32" s="17"/>
      <c r="G32" s="17"/>
    </row>
    <row r="33" spans="1:7" x14ac:dyDescent="0.35">
      <c r="A33" s="14" t="s">
        <v>255</v>
      </c>
      <c r="B33" s="41"/>
      <c r="C33" s="41"/>
      <c r="D33" s="15"/>
      <c r="E33" s="16"/>
      <c r="F33" s="17"/>
      <c r="G33" s="17"/>
    </row>
    <row r="34" spans="1:7" x14ac:dyDescent="0.35">
      <c r="A34" s="13" t="s">
        <v>257</v>
      </c>
      <c r="B34" s="41"/>
      <c r="C34" s="41"/>
      <c r="D34" s="15"/>
      <c r="E34" s="16">
        <v>82.96</v>
      </c>
      <c r="F34" s="17">
        <v>5.8999999999999999E-3</v>
      </c>
      <c r="G34" s="17">
        <v>5.1742000000000003E-2</v>
      </c>
    </row>
    <row r="35" spans="1:7" x14ac:dyDescent="0.35">
      <c r="A35" s="14" t="s">
        <v>149</v>
      </c>
      <c r="B35" s="42"/>
      <c r="C35" s="42"/>
      <c r="D35" s="18"/>
      <c r="E35" s="36">
        <v>82.96</v>
      </c>
      <c r="F35" s="37">
        <v>5.8999999999999999E-3</v>
      </c>
      <c r="G35" s="21"/>
    </row>
    <row r="36" spans="1:7" x14ac:dyDescent="0.35">
      <c r="A36" s="13"/>
      <c r="B36" s="41"/>
      <c r="C36" s="41"/>
      <c r="D36" s="15"/>
      <c r="E36" s="16"/>
      <c r="F36" s="17"/>
      <c r="G36" s="17"/>
    </row>
    <row r="37" spans="1:7" x14ac:dyDescent="0.35">
      <c r="A37" s="22" t="s">
        <v>160</v>
      </c>
      <c r="B37" s="43"/>
      <c r="C37" s="43"/>
      <c r="D37" s="23"/>
      <c r="E37" s="36">
        <v>82.96</v>
      </c>
      <c r="F37" s="37">
        <v>5.8999999999999999E-3</v>
      </c>
      <c r="G37" s="21"/>
    </row>
    <row r="38" spans="1:7" x14ac:dyDescent="0.35">
      <c r="A38" s="13" t="s">
        <v>258</v>
      </c>
      <c r="B38" s="41"/>
      <c r="C38" s="41"/>
      <c r="D38" s="15"/>
      <c r="E38" s="16">
        <v>358.61049409999998</v>
      </c>
      <c r="F38" s="17">
        <v>2.5648000000000001E-2</v>
      </c>
      <c r="G38" s="17"/>
    </row>
    <row r="39" spans="1:7" x14ac:dyDescent="0.35">
      <c r="A39" s="13" t="s">
        <v>259</v>
      </c>
      <c r="B39" s="41"/>
      <c r="C39" s="41"/>
      <c r="D39" s="15"/>
      <c r="E39" s="28">
        <v>-3.5804941000000001</v>
      </c>
      <c r="F39" s="29">
        <v>-1.4799999999999999E-4</v>
      </c>
      <c r="G39" s="17">
        <v>5.1741000000000002E-2</v>
      </c>
    </row>
    <row r="40" spans="1:7" x14ac:dyDescent="0.35">
      <c r="A40" s="38" t="s">
        <v>260</v>
      </c>
      <c r="B40" s="44"/>
      <c r="C40" s="44"/>
      <c r="D40" s="39"/>
      <c r="E40" s="24">
        <v>13981.92</v>
      </c>
      <c r="F40" s="25">
        <v>1</v>
      </c>
      <c r="G40" s="25"/>
    </row>
    <row r="42" spans="1:7" x14ac:dyDescent="0.35">
      <c r="A42" s="1" t="s">
        <v>262</v>
      </c>
    </row>
    <row r="43" spans="1:7" x14ac:dyDescent="0.35">
      <c r="A43" s="1" t="s">
        <v>820</v>
      </c>
    </row>
    <row r="45" spans="1:7" x14ac:dyDescent="0.35">
      <c r="A45" s="1" t="s">
        <v>263</v>
      </c>
    </row>
    <row r="46" spans="1:7" x14ac:dyDescent="0.35">
      <c r="A46" s="47" t="s">
        <v>264</v>
      </c>
      <c r="B46" s="3" t="s">
        <v>146</v>
      </c>
    </row>
    <row r="47" spans="1:7" x14ac:dyDescent="0.35">
      <c r="A47" t="s">
        <v>265</v>
      </c>
    </row>
    <row r="48" spans="1:7" x14ac:dyDescent="0.35">
      <c r="A48" t="s">
        <v>266</v>
      </c>
      <c r="B48" t="s">
        <v>267</v>
      </c>
      <c r="C48" t="s">
        <v>267</v>
      </c>
    </row>
    <row r="49" spans="1:3" x14ac:dyDescent="0.35">
      <c r="B49" s="49">
        <v>46022</v>
      </c>
      <c r="C49" s="49">
        <v>46052</v>
      </c>
    </row>
    <row r="50" spans="1:3" x14ac:dyDescent="0.35">
      <c r="A50" t="s">
        <v>752</v>
      </c>
      <c r="B50">
        <v>12.8748</v>
      </c>
      <c r="C50">
        <v>12.896100000000001</v>
      </c>
    </row>
    <row r="51" spans="1:3" x14ac:dyDescent="0.35">
      <c r="A51" t="s">
        <v>273</v>
      </c>
      <c r="B51">
        <v>12.8751</v>
      </c>
      <c r="C51">
        <v>12.8963</v>
      </c>
    </row>
    <row r="52" spans="1:3" x14ac:dyDescent="0.35">
      <c r="A52" t="s">
        <v>753</v>
      </c>
      <c r="B52">
        <v>12.769500000000001</v>
      </c>
      <c r="C52">
        <v>12.7879</v>
      </c>
    </row>
    <row r="53" spans="1:3" x14ac:dyDescent="0.35">
      <c r="A53" t="s">
        <v>709</v>
      </c>
      <c r="B53">
        <v>12.769500000000001</v>
      </c>
      <c r="C53">
        <v>12.787800000000001</v>
      </c>
    </row>
    <row r="55" spans="1:3" x14ac:dyDescent="0.35">
      <c r="A55" t="s">
        <v>283</v>
      </c>
      <c r="B55" s="3" t="s">
        <v>146</v>
      </c>
    </row>
    <row r="56" spans="1:3" x14ac:dyDescent="0.35">
      <c r="A56" t="s">
        <v>284</v>
      </c>
      <c r="B56" s="3" t="s">
        <v>146</v>
      </c>
    </row>
    <row r="57" spans="1:3" ht="29" customHeight="1" x14ac:dyDescent="0.35">
      <c r="A57" s="47" t="s">
        <v>285</v>
      </c>
      <c r="B57" s="3" t="s">
        <v>146</v>
      </c>
    </row>
    <row r="58" spans="1:3" ht="29" customHeight="1" x14ac:dyDescent="0.35">
      <c r="A58" s="47" t="s">
        <v>286</v>
      </c>
      <c r="B58" s="3" t="s">
        <v>146</v>
      </c>
    </row>
    <row r="59" spans="1:3" x14ac:dyDescent="0.35">
      <c r="A59" t="s">
        <v>287</v>
      </c>
      <c r="B59" s="48">
        <f>B74</f>
        <v>2.3497321515118501</v>
      </c>
    </row>
    <row r="60" spans="1:3" ht="43.5" customHeight="1" x14ac:dyDescent="0.35">
      <c r="A60" s="47" t="s">
        <v>288</v>
      </c>
      <c r="B60" s="3" t="s">
        <v>146</v>
      </c>
    </row>
    <row r="61" spans="1:3" x14ac:dyDescent="0.35">
      <c r="B61" s="3"/>
    </row>
    <row r="62" spans="1:3" ht="29" customHeight="1" x14ac:dyDescent="0.35">
      <c r="A62" s="47" t="s">
        <v>289</v>
      </c>
      <c r="B62" s="3" t="s">
        <v>146</v>
      </c>
    </row>
    <row r="63" spans="1:3" ht="29" customHeight="1" x14ac:dyDescent="0.35">
      <c r="A63" s="47" t="s">
        <v>290</v>
      </c>
      <c r="B63" t="s">
        <v>146</v>
      </c>
    </row>
    <row r="64" spans="1:3" ht="29" customHeight="1" x14ac:dyDescent="0.35">
      <c r="A64" s="47" t="s">
        <v>291</v>
      </c>
      <c r="B64" s="3" t="s">
        <v>146</v>
      </c>
    </row>
    <row r="65" spans="1:4" ht="29" customHeight="1" x14ac:dyDescent="0.35">
      <c r="A65" s="47" t="s">
        <v>292</v>
      </c>
      <c r="B65" s="3" t="s">
        <v>146</v>
      </c>
    </row>
    <row r="67" spans="1:4" x14ac:dyDescent="0.35">
      <c r="A67" t="s">
        <v>293</v>
      </c>
    </row>
    <row r="68" spans="1:4" ht="58" customHeight="1" x14ac:dyDescent="0.35">
      <c r="A68" s="51" t="s">
        <v>295</v>
      </c>
      <c r="B68" s="55" t="s">
        <v>821</v>
      </c>
    </row>
    <row r="69" spans="1:4" ht="43.5" customHeight="1" x14ac:dyDescent="0.35">
      <c r="A69" s="51" t="s">
        <v>297</v>
      </c>
      <c r="B69" s="55" t="s">
        <v>822</v>
      </c>
    </row>
    <row r="70" spans="1:4" x14ac:dyDescent="0.35">
      <c r="A70" s="51"/>
      <c r="B70" s="51"/>
    </row>
    <row r="71" spans="1:4" x14ac:dyDescent="0.35">
      <c r="A71" s="51" t="s">
        <v>299</v>
      </c>
      <c r="B71" s="52">
        <v>6.2925795680603924</v>
      </c>
    </row>
    <row r="72" spans="1:4" x14ac:dyDescent="0.35">
      <c r="A72" s="51"/>
      <c r="B72" s="51"/>
    </row>
    <row r="73" spans="1:4" x14ac:dyDescent="0.35">
      <c r="A73" s="51" t="s">
        <v>300</v>
      </c>
      <c r="B73" s="53">
        <v>2.1385999999999998</v>
      </c>
    </row>
    <row r="74" spans="1:4" x14ac:dyDescent="0.35">
      <c r="A74" s="51" t="s">
        <v>301</v>
      </c>
      <c r="B74" s="53">
        <v>2.3497321515118501</v>
      </c>
    </row>
    <row r="75" spans="1:4" x14ac:dyDescent="0.35">
      <c r="A75" s="51"/>
      <c r="B75" s="51"/>
    </row>
    <row r="76" spans="1:4" x14ac:dyDescent="0.35">
      <c r="A76" s="51" t="s">
        <v>302</v>
      </c>
      <c r="B76" s="54">
        <v>46053</v>
      </c>
    </row>
    <row r="78" spans="1:4" ht="70" customHeight="1" x14ac:dyDescent="0.35">
      <c r="A78" s="70" t="s">
        <v>303</v>
      </c>
      <c r="B78" s="70" t="s">
        <v>304</v>
      </c>
      <c r="C78" s="70" t="s">
        <v>4</v>
      </c>
      <c r="D78" s="70" t="s">
        <v>5</v>
      </c>
    </row>
    <row r="79" spans="1:4" ht="70" customHeight="1" x14ac:dyDescent="0.35">
      <c r="A79" s="70" t="s">
        <v>823</v>
      </c>
      <c r="B79" s="70"/>
      <c r="C79" s="70" t="s">
        <v>28</v>
      </c>
      <c r="D7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90"/>
  <sheetViews>
    <sheetView showGridLines="0" workbookViewId="0">
      <pane ySplit="4" topLeftCell="A34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824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825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4" t="s">
        <v>147</v>
      </c>
      <c r="B8" s="41"/>
      <c r="C8" s="41"/>
      <c r="D8" s="15"/>
      <c r="E8" s="16"/>
      <c r="F8" s="17"/>
      <c r="G8" s="17"/>
    </row>
    <row r="9" spans="1:7" x14ac:dyDescent="0.35">
      <c r="A9" s="14" t="s">
        <v>148</v>
      </c>
      <c r="B9" s="41"/>
      <c r="C9" s="41"/>
      <c r="D9" s="15"/>
      <c r="E9" s="16"/>
      <c r="F9" s="17"/>
      <c r="G9" s="17"/>
    </row>
    <row r="10" spans="1:7" x14ac:dyDescent="0.35">
      <c r="A10" s="14" t="s">
        <v>149</v>
      </c>
      <c r="B10" s="41"/>
      <c r="C10" s="41"/>
      <c r="D10" s="15"/>
      <c r="E10" s="45" t="s">
        <v>146</v>
      </c>
      <c r="F10" s="46" t="s">
        <v>146</v>
      </c>
      <c r="G10" s="17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14" t="s">
        <v>463</v>
      </c>
      <c r="B12" s="41"/>
      <c r="C12" s="41"/>
      <c r="D12" s="15"/>
      <c r="E12" s="16"/>
      <c r="F12" s="17"/>
      <c r="G12" s="17"/>
    </row>
    <row r="13" spans="1:7" x14ac:dyDescent="0.35">
      <c r="A13" s="13" t="s">
        <v>826</v>
      </c>
      <c r="B13" s="41" t="s">
        <v>827</v>
      </c>
      <c r="C13" s="41" t="s">
        <v>153</v>
      </c>
      <c r="D13" s="15">
        <v>35500000</v>
      </c>
      <c r="E13" s="16">
        <v>36924.83</v>
      </c>
      <c r="F13" s="17">
        <v>0.38600000000000001</v>
      </c>
      <c r="G13" s="17">
        <v>6.9969000000000003E-2</v>
      </c>
    </row>
    <row r="14" spans="1:7" x14ac:dyDescent="0.35">
      <c r="A14" s="13" t="s">
        <v>828</v>
      </c>
      <c r="B14" s="41" t="s">
        <v>829</v>
      </c>
      <c r="C14" s="41" t="s">
        <v>153</v>
      </c>
      <c r="D14" s="15">
        <v>8500000</v>
      </c>
      <c r="E14" s="16">
        <v>8936.14</v>
      </c>
      <c r="F14" s="17">
        <v>9.3399999999999997E-2</v>
      </c>
      <c r="G14" s="17">
        <v>6.9531999999999997E-2</v>
      </c>
    </row>
    <row r="15" spans="1:7" x14ac:dyDescent="0.35">
      <c r="A15" s="14" t="s">
        <v>149</v>
      </c>
      <c r="B15" s="42"/>
      <c r="C15" s="42"/>
      <c r="D15" s="18"/>
      <c r="E15" s="36">
        <v>45860.97</v>
      </c>
      <c r="F15" s="37">
        <v>0.47939999999999999</v>
      </c>
      <c r="G15" s="21"/>
    </row>
    <row r="16" spans="1:7" x14ac:dyDescent="0.35">
      <c r="A16" s="13"/>
      <c r="B16" s="41"/>
      <c r="C16" s="41"/>
      <c r="D16" s="15"/>
      <c r="E16" s="16"/>
      <c r="F16" s="17"/>
      <c r="G16" s="17"/>
    </row>
    <row r="17" spans="1:7" x14ac:dyDescent="0.35">
      <c r="A17" s="14" t="s">
        <v>150</v>
      </c>
      <c r="B17" s="41"/>
      <c r="C17" s="41"/>
      <c r="D17" s="15"/>
      <c r="E17" s="16"/>
      <c r="F17" s="17"/>
      <c r="G17" s="17"/>
    </row>
    <row r="18" spans="1:7" x14ac:dyDescent="0.35">
      <c r="A18" s="13" t="s">
        <v>830</v>
      </c>
      <c r="B18" s="41" t="s">
        <v>831</v>
      </c>
      <c r="C18" s="41" t="s">
        <v>153</v>
      </c>
      <c r="D18" s="15">
        <v>12000000</v>
      </c>
      <c r="E18" s="16">
        <v>12315.8</v>
      </c>
      <c r="F18" s="17">
        <v>0.12870000000000001</v>
      </c>
      <c r="G18" s="17">
        <v>7.6134999999999994E-2</v>
      </c>
    </row>
    <row r="19" spans="1:7" x14ac:dyDescent="0.35">
      <c r="A19" s="13" t="s">
        <v>832</v>
      </c>
      <c r="B19" s="41" t="s">
        <v>833</v>
      </c>
      <c r="C19" s="41" t="s">
        <v>153</v>
      </c>
      <c r="D19" s="15">
        <v>9323700</v>
      </c>
      <c r="E19" s="16">
        <v>9494.67</v>
      </c>
      <c r="F19" s="17">
        <v>9.9299999999999999E-2</v>
      </c>
      <c r="G19" s="17">
        <v>7.6326000000000005E-2</v>
      </c>
    </row>
    <row r="20" spans="1:7" x14ac:dyDescent="0.35">
      <c r="A20" s="13" t="s">
        <v>834</v>
      </c>
      <c r="B20" s="41" t="s">
        <v>835</v>
      </c>
      <c r="C20" s="41" t="s">
        <v>153</v>
      </c>
      <c r="D20" s="15">
        <v>5000000</v>
      </c>
      <c r="E20" s="16">
        <v>5179.1499999999996</v>
      </c>
      <c r="F20" s="17">
        <v>5.4100000000000002E-2</v>
      </c>
      <c r="G20" s="17">
        <v>7.6703999999999994E-2</v>
      </c>
    </row>
    <row r="21" spans="1:7" x14ac:dyDescent="0.35">
      <c r="A21" s="13" t="s">
        <v>836</v>
      </c>
      <c r="B21" s="41" t="s">
        <v>837</v>
      </c>
      <c r="C21" s="41" t="s">
        <v>153</v>
      </c>
      <c r="D21" s="15">
        <v>5000000</v>
      </c>
      <c r="E21" s="16">
        <v>5150.8900000000003</v>
      </c>
      <c r="F21" s="17">
        <v>5.3800000000000001E-2</v>
      </c>
      <c r="G21" s="17">
        <v>7.6134999999999994E-2</v>
      </c>
    </row>
    <row r="22" spans="1:7" x14ac:dyDescent="0.35">
      <c r="A22" s="13" t="s">
        <v>838</v>
      </c>
      <c r="B22" s="41" t="s">
        <v>839</v>
      </c>
      <c r="C22" s="41" t="s">
        <v>153</v>
      </c>
      <c r="D22" s="15">
        <v>5000000</v>
      </c>
      <c r="E22" s="16">
        <v>5082.0600000000004</v>
      </c>
      <c r="F22" s="17">
        <v>5.3100000000000001E-2</v>
      </c>
      <c r="G22" s="17">
        <v>7.664E-2</v>
      </c>
    </row>
    <row r="23" spans="1:7" x14ac:dyDescent="0.35">
      <c r="A23" s="13" t="s">
        <v>840</v>
      </c>
      <c r="B23" s="41" t="s">
        <v>841</v>
      </c>
      <c r="C23" s="41" t="s">
        <v>153</v>
      </c>
      <c r="D23" s="15">
        <v>3107800</v>
      </c>
      <c r="E23" s="16">
        <v>3152.79</v>
      </c>
      <c r="F23" s="17">
        <v>3.3000000000000002E-2</v>
      </c>
      <c r="G23" s="17">
        <v>7.6600000000000001E-2</v>
      </c>
    </row>
    <row r="24" spans="1:7" x14ac:dyDescent="0.35">
      <c r="A24" s="13" t="s">
        <v>842</v>
      </c>
      <c r="B24" s="41" t="s">
        <v>843</v>
      </c>
      <c r="C24" s="41" t="s">
        <v>153</v>
      </c>
      <c r="D24" s="15">
        <v>3000000</v>
      </c>
      <c r="E24" s="16">
        <v>3077.15</v>
      </c>
      <c r="F24" s="17">
        <v>3.2199999999999999E-2</v>
      </c>
      <c r="G24" s="17">
        <v>7.6134999999999994E-2</v>
      </c>
    </row>
    <row r="25" spans="1:7" x14ac:dyDescent="0.35">
      <c r="A25" s="13" t="s">
        <v>844</v>
      </c>
      <c r="B25" s="41" t="s">
        <v>845</v>
      </c>
      <c r="C25" s="41" t="s">
        <v>153</v>
      </c>
      <c r="D25" s="15">
        <v>1000000</v>
      </c>
      <c r="E25" s="16">
        <v>995.06</v>
      </c>
      <c r="F25" s="17">
        <v>1.04E-2</v>
      </c>
      <c r="G25" s="17">
        <v>7.6756000000000005E-2</v>
      </c>
    </row>
    <row r="26" spans="1:7" x14ac:dyDescent="0.35">
      <c r="A26" s="13" t="s">
        <v>846</v>
      </c>
      <c r="B26" s="41" t="s">
        <v>847</v>
      </c>
      <c r="C26" s="41" t="s">
        <v>153</v>
      </c>
      <c r="D26" s="15">
        <v>1000000</v>
      </c>
      <c r="E26" s="16">
        <v>982.61</v>
      </c>
      <c r="F26" s="17">
        <v>1.03E-2</v>
      </c>
      <c r="G26" s="17">
        <v>7.6111999999999999E-2</v>
      </c>
    </row>
    <row r="27" spans="1:7" x14ac:dyDescent="0.35">
      <c r="A27" s="13" t="s">
        <v>848</v>
      </c>
      <c r="B27" s="41" t="s">
        <v>849</v>
      </c>
      <c r="C27" s="41" t="s">
        <v>153</v>
      </c>
      <c r="D27" s="15">
        <v>500000</v>
      </c>
      <c r="E27" s="16">
        <v>516.6</v>
      </c>
      <c r="F27" s="17">
        <v>5.4000000000000003E-3</v>
      </c>
      <c r="G27" s="17">
        <v>7.6134999999999994E-2</v>
      </c>
    </row>
    <row r="28" spans="1:7" x14ac:dyDescent="0.35">
      <c r="A28" s="13" t="s">
        <v>850</v>
      </c>
      <c r="B28" s="41" t="s">
        <v>851</v>
      </c>
      <c r="C28" s="41" t="s">
        <v>153</v>
      </c>
      <c r="D28" s="15">
        <v>500000</v>
      </c>
      <c r="E28" s="16">
        <v>516.20000000000005</v>
      </c>
      <c r="F28" s="17">
        <v>5.4000000000000003E-3</v>
      </c>
      <c r="G28" s="17">
        <v>7.6600000000000001E-2</v>
      </c>
    </row>
    <row r="29" spans="1:7" x14ac:dyDescent="0.35">
      <c r="A29" s="13" t="s">
        <v>852</v>
      </c>
      <c r="B29" s="41" t="s">
        <v>853</v>
      </c>
      <c r="C29" s="41" t="s">
        <v>153</v>
      </c>
      <c r="D29" s="15">
        <v>500000</v>
      </c>
      <c r="E29" s="16">
        <v>509.14</v>
      </c>
      <c r="F29" s="17">
        <v>5.3E-3</v>
      </c>
      <c r="G29" s="17">
        <v>7.6111999999999999E-2</v>
      </c>
    </row>
    <row r="30" spans="1:7" x14ac:dyDescent="0.35">
      <c r="A30" s="13" t="s">
        <v>854</v>
      </c>
      <c r="B30" s="41" t="s">
        <v>855</v>
      </c>
      <c r="C30" s="41" t="s">
        <v>153</v>
      </c>
      <c r="D30" s="15">
        <v>500000</v>
      </c>
      <c r="E30" s="16">
        <v>500.08</v>
      </c>
      <c r="F30" s="17">
        <v>5.1999999999999998E-3</v>
      </c>
      <c r="G30" s="17">
        <v>7.5845999999999997E-2</v>
      </c>
    </row>
    <row r="31" spans="1:7" x14ac:dyDescent="0.35">
      <c r="A31" s="13" t="s">
        <v>856</v>
      </c>
      <c r="B31" s="41" t="s">
        <v>857</v>
      </c>
      <c r="C31" s="41" t="s">
        <v>153</v>
      </c>
      <c r="D31" s="15">
        <v>500000</v>
      </c>
      <c r="E31" s="16">
        <v>499.07</v>
      </c>
      <c r="F31" s="17">
        <v>5.1999999999999998E-3</v>
      </c>
      <c r="G31" s="17">
        <v>7.6128000000000001E-2</v>
      </c>
    </row>
    <row r="32" spans="1:7" x14ac:dyDescent="0.35">
      <c r="A32" s="14" t="s">
        <v>149</v>
      </c>
      <c r="B32" s="42"/>
      <c r="C32" s="42"/>
      <c r="D32" s="18"/>
      <c r="E32" s="36">
        <v>47971.27</v>
      </c>
      <c r="F32" s="37">
        <v>0.50139999999999996</v>
      </c>
      <c r="G32" s="21"/>
    </row>
    <row r="33" spans="1:7" x14ac:dyDescent="0.35">
      <c r="A33" s="13"/>
      <c r="B33" s="41"/>
      <c r="C33" s="41"/>
      <c r="D33" s="15"/>
      <c r="E33" s="16"/>
      <c r="F33" s="17"/>
      <c r="G33" s="17"/>
    </row>
    <row r="34" spans="1:7" x14ac:dyDescent="0.35">
      <c r="A34" s="13"/>
      <c r="B34" s="41"/>
      <c r="C34" s="41"/>
      <c r="D34" s="15"/>
      <c r="E34" s="16"/>
      <c r="F34" s="17"/>
      <c r="G34" s="17"/>
    </row>
    <row r="35" spans="1:7" x14ac:dyDescent="0.35">
      <c r="A35" s="14" t="s">
        <v>158</v>
      </c>
      <c r="B35" s="41"/>
      <c r="C35" s="41"/>
      <c r="D35" s="15"/>
      <c r="E35" s="16"/>
      <c r="F35" s="17"/>
      <c r="G35" s="17"/>
    </row>
    <row r="36" spans="1:7" x14ac:dyDescent="0.35">
      <c r="A36" s="14" t="s">
        <v>149</v>
      </c>
      <c r="B36" s="41"/>
      <c r="C36" s="41"/>
      <c r="D36" s="15"/>
      <c r="E36" s="45" t="s">
        <v>146</v>
      </c>
      <c r="F36" s="46" t="s">
        <v>146</v>
      </c>
      <c r="G36" s="17"/>
    </row>
    <row r="37" spans="1:7" x14ac:dyDescent="0.35">
      <c r="A37" s="13"/>
      <c r="B37" s="41"/>
      <c r="C37" s="41"/>
      <c r="D37" s="15"/>
      <c r="E37" s="16"/>
      <c r="F37" s="17"/>
      <c r="G37" s="17"/>
    </row>
    <row r="38" spans="1:7" x14ac:dyDescent="0.35">
      <c r="A38" s="14" t="s">
        <v>159</v>
      </c>
      <c r="B38" s="41"/>
      <c r="C38" s="41"/>
      <c r="D38" s="15"/>
      <c r="E38" s="16"/>
      <c r="F38" s="17"/>
      <c r="G38" s="17"/>
    </row>
    <row r="39" spans="1:7" x14ac:dyDescent="0.35">
      <c r="A39" s="14" t="s">
        <v>149</v>
      </c>
      <c r="B39" s="41"/>
      <c r="C39" s="41"/>
      <c r="D39" s="15"/>
      <c r="E39" s="45" t="s">
        <v>146</v>
      </c>
      <c r="F39" s="46" t="s">
        <v>146</v>
      </c>
      <c r="G39" s="17"/>
    </row>
    <row r="40" spans="1:7" x14ac:dyDescent="0.35">
      <c r="A40" s="13"/>
      <c r="B40" s="41"/>
      <c r="C40" s="41"/>
      <c r="D40" s="15"/>
      <c r="E40" s="16"/>
      <c r="F40" s="17"/>
      <c r="G40" s="17"/>
    </row>
    <row r="41" spans="1:7" x14ac:dyDescent="0.35">
      <c r="A41" s="22" t="s">
        <v>160</v>
      </c>
      <c r="B41" s="43"/>
      <c r="C41" s="43"/>
      <c r="D41" s="23"/>
      <c r="E41" s="36">
        <v>93832.24</v>
      </c>
      <c r="F41" s="37">
        <v>0.98080000000000001</v>
      </c>
      <c r="G41" s="21"/>
    </row>
    <row r="42" spans="1:7" x14ac:dyDescent="0.35">
      <c r="A42" s="13"/>
      <c r="B42" s="41"/>
      <c r="C42" s="41"/>
      <c r="D42" s="15"/>
      <c r="E42" s="16"/>
      <c r="F42" s="17"/>
      <c r="G42" s="17"/>
    </row>
    <row r="43" spans="1:7" x14ac:dyDescent="0.35">
      <c r="A43" s="13"/>
      <c r="B43" s="41"/>
      <c r="C43" s="41"/>
      <c r="D43" s="15"/>
      <c r="E43" s="16"/>
      <c r="F43" s="17"/>
      <c r="G43" s="17"/>
    </row>
    <row r="44" spans="1:7" x14ac:dyDescent="0.35">
      <c r="A44" s="14" t="s">
        <v>255</v>
      </c>
      <c r="B44" s="41"/>
      <c r="C44" s="41"/>
      <c r="D44" s="15"/>
      <c r="E44" s="16"/>
      <c r="F44" s="17"/>
      <c r="G44" s="17"/>
    </row>
    <row r="45" spans="1:7" x14ac:dyDescent="0.35">
      <c r="A45" s="13" t="s">
        <v>257</v>
      </c>
      <c r="B45" s="41"/>
      <c r="C45" s="41"/>
      <c r="D45" s="15"/>
      <c r="E45" s="16">
        <v>237.9</v>
      </c>
      <c r="F45" s="17">
        <v>2.5000000000000001E-3</v>
      </c>
      <c r="G45" s="17">
        <v>5.1742000000000003E-2</v>
      </c>
    </row>
    <row r="46" spans="1:7" x14ac:dyDescent="0.35">
      <c r="A46" s="14" t="s">
        <v>149</v>
      </c>
      <c r="B46" s="42"/>
      <c r="C46" s="42"/>
      <c r="D46" s="18"/>
      <c r="E46" s="36">
        <v>237.9</v>
      </c>
      <c r="F46" s="37">
        <v>2.5000000000000001E-3</v>
      </c>
      <c r="G46" s="21"/>
    </row>
    <row r="47" spans="1:7" x14ac:dyDescent="0.35">
      <c r="A47" s="13"/>
      <c r="B47" s="41"/>
      <c r="C47" s="41"/>
      <c r="D47" s="15"/>
      <c r="E47" s="16"/>
      <c r="F47" s="17"/>
      <c r="G47" s="17"/>
    </row>
    <row r="48" spans="1:7" x14ac:dyDescent="0.35">
      <c r="A48" s="22" t="s">
        <v>160</v>
      </c>
      <c r="B48" s="43"/>
      <c r="C48" s="43"/>
      <c r="D48" s="23"/>
      <c r="E48" s="36">
        <v>237.9</v>
      </c>
      <c r="F48" s="37">
        <v>2.5000000000000001E-3</v>
      </c>
      <c r="G48" s="21"/>
    </row>
    <row r="49" spans="1:7" x14ac:dyDescent="0.35">
      <c r="A49" s="13" t="s">
        <v>258</v>
      </c>
      <c r="B49" s="41"/>
      <c r="C49" s="41"/>
      <c r="D49" s="15"/>
      <c r="E49" s="16">
        <v>1610.6487626999999</v>
      </c>
      <c r="F49" s="17">
        <v>1.6836E-2</v>
      </c>
      <c r="G49" s="17"/>
    </row>
    <row r="50" spans="1:7" x14ac:dyDescent="0.35">
      <c r="A50" s="13" t="s">
        <v>259</v>
      </c>
      <c r="B50" s="41"/>
      <c r="C50" s="41"/>
      <c r="D50" s="15"/>
      <c r="E50" s="28">
        <v>-18.9487627</v>
      </c>
      <c r="F50" s="29">
        <v>-1.36E-4</v>
      </c>
      <c r="G50" s="17">
        <v>5.1742000000000003E-2</v>
      </c>
    </row>
    <row r="51" spans="1:7" x14ac:dyDescent="0.35">
      <c r="A51" s="38" t="s">
        <v>260</v>
      </c>
      <c r="B51" s="44"/>
      <c r="C51" s="44"/>
      <c r="D51" s="39"/>
      <c r="E51" s="24">
        <v>95661.84</v>
      </c>
      <c r="F51" s="25">
        <v>1</v>
      </c>
      <c r="G51" s="25"/>
    </row>
    <row r="53" spans="1:7" x14ac:dyDescent="0.35">
      <c r="A53" s="1" t="s">
        <v>262</v>
      </c>
    </row>
    <row r="54" spans="1:7" x14ac:dyDescent="0.35">
      <c r="A54" s="1" t="s">
        <v>858</v>
      </c>
    </row>
    <row r="56" spans="1:7" x14ac:dyDescent="0.35">
      <c r="A56" s="1" t="s">
        <v>263</v>
      </c>
    </row>
    <row r="57" spans="1:7" x14ac:dyDescent="0.35">
      <c r="A57" s="47" t="s">
        <v>264</v>
      </c>
      <c r="B57" s="3" t="s">
        <v>146</v>
      </c>
    </row>
    <row r="58" spans="1:7" x14ac:dyDescent="0.35">
      <c r="A58" t="s">
        <v>265</v>
      </c>
    </row>
    <row r="59" spans="1:7" x14ac:dyDescent="0.35">
      <c r="A59" t="s">
        <v>266</v>
      </c>
      <c r="B59" t="s">
        <v>267</v>
      </c>
      <c r="C59" t="s">
        <v>267</v>
      </c>
    </row>
    <row r="60" spans="1:7" x14ac:dyDescent="0.35">
      <c r="B60" s="49">
        <v>46022</v>
      </c>
      <c r="C60" s="49">
        <v>46052</v>
      </c>
    </row>
    <row r="61" spans="1:7" x14ac:dyDescent="0.35">
      <c r="A61" t="s">
        <v>752</v>
      </c>
      <c r="B61">
        <v>13.029299999999999</v>
      </c>
      <c r="C61">
        <v>13.0548</v>
      </c>
    </row>
    <row r="62" spans="1:7" x14ac:dyDescent="0.35">
      <c r="A62" t="s">
        <v>273</v>
      </c>
      <c r="B62">
        <v>13.029299999999999</v>
      </c>
      <c r="C62">
        <v>13.0548</v>
      </c>
    </row>
    <row r="63" spans="1:7" x14ac:dyDescent="0.35">
      <c r="A63" t="s">
        <v>753</v>
      </c>
      <c r="B63">
        <v>12.913600000000001</v>
      </c>
      <c r="C63">
        <v>12.935600000000001</v>
      </c>
    </row>
    <row r="64" spans="1:7" x14ac:dyDescent="0.35">
      <c r="A64" t="s">
        <v>709</v>
      </c>
      <c r="B64">
        <v>12.9138</v>
      </c>
      <c r="C64">
        <v>12.9358</v>
      </c>
    </row>
    <row r="66" spans="1:2" x14ac:dyDescent="0.35">
      <c r="A66" t="s">
        <v>283</v>
      </c>
      <c r="B66" s="3" t="s">
        <v>146</v>
      </c>
    </row>
    <row r="67" spans="1:2" x14ac:dyDescent="0.35">
      <c r="A67" t="s">
        <v>284</v>
      </c>
      <c r="B67" s="3" t="s">
        <v>146</v>
      </c>
    </row>
    <row r="68" spans="1:2" ht="29" customHeight="1" x14ac:dyDescent="0.35">
      <c r="A68" s="47" t="s">
        <v>285</v>
      </c>
      <c r="B68" s="3" t="s">
        <v>146</v>
      </c>
    </row>
    <row r="69" spans="1:2" ht="29" customHeight="1" x14ac:dyDescent="0.35">
      <c r="A69" s="47" t="s">
        <v>286</v>
      </c>
      <c r="B69" s="3" t="s">
        <v>146</v>
      </c>
    </row>
    <row r="70" spans="1:2" x14ac:dyDescent="0.35">
      <c r="A70" t="s">
        <v>287</v>
      </c>
      <c r="B70" s="48">
        <f>B85</f>
        <v>10.737716841734111</v>
      </c>
    </row>
    <row r="71" spans="1:2" ht="43.5" customHeight="1" x14ac:dyDescent="0.35">
      <c r="A71" s="47" t="s">
        <v>288</v>
      </c>
      <c r="B71" s="3" t="s">
        <v>146</v>
      </c>
    </row>
    <row r="72" spans="1:2" x14ac:dyDescent="0.35">
      <c r="B72" s="3"/>
    </row>
    <row r="73" spans="1:2" ht="29" customHeight="1" x14ac:dyDescent="0.35">
      <c r="A73" s="47" t="s">
        <v>289</v>
      </c>
      <c r="B73" s="3" t="s">
        <v>146</v>
      </c>
    </row>
    <row r="74" spans="1:2" ht="29" customHeight="1" x14ac:dyDescent="0.35">
      <c r="A74" s="47" t="s">
        <v>290</v>
      </c>
      <c r="B74" t="s">
        <v>146</v>
      </c>
    </row>
    <row r="75" spans="1:2" ht="29" customHeight="1" x14ac:dyDescent="0.35">
      <c r="A75" s="47" t="s">
        <v>291</v>
      </c>
      <c r="B75" s="3" t="s">
        <v>146</v>
      </c>
    </row>
    <row r="76" spans="1:2" ht="29" customHeight="1" x14ac:dyDescent="0.35">
      <c r="A76" s="47" t="s">
        <v>292</v>
      </c>
      <c r="B76" s="3" t="s">
        <v>146</v>
      </c>
    </row>
    <row r="78" spans="1:2" x14ac:dyDescent="0.35">
      <c r="A78" t="s">
        <v>293</v>
      </c>
    </row>
    <row r="79" spans="1:2" ht="58" customHeight="1" x14ac:dyDescent="0.35">
      <c r="A79" s="51" t="s">
        <v>295</v>
      </c>
      <c r="B79" s="55" t="s">
        <v>859</v>
      </c>
    </row>
    <row r="80" spans="1:2" ht="43.5" customHeight="1" x14ac:dyDescent="0.35">
      <c r="A80" s="51" t="s">
        <v>297</v>
      </c>
      <c r="B80" s="55" t="s">
        <v>860</v>
      </c>
    </row>
    <row r="81" spans="1:4" x14ac:dyDescent="0.35">
      <c r="A81" s="51"/>
      <c r="B81" s="51"/>
    </row>
    <row r="82" spans="1:4" x14ac:dyDescent="0.35">
      <c r="A82" s="51" t="s">
        <v>299</v>
      </c>
      <c r="B82" s="52">
        <v>7.3153997588423207</v>
      </c>
    </row>
    <row r="83" spans="1:4" x14ac:dyDescent="0.35">
      <c r="A83" s="51"/>
      <c r="B83" s="51"/>
    </row>
    <row r="84" spans="1:4" x14ac:dyDescent="0.35">
      <c r="A84" s="51" t="s">
        <v>300</v>
      </c>
      <c r="B84" s="53">
        <v>7.4431000000000003</v>
      </c>
    </row>
    <row r="85" spans="1:4" x14ac:dyDescent="0.35">
      <c r="A85" s="51" t="s">
        <v>301</v>
      </c>
      <c r="B85" s="53">
        <v>10.737716841734111</v>
      </c>
    </row>
    <row r="86" spans="1:4" x14ac:dyDescent="0.35">
      <c r="A86" s="51"/>
      <c r="B86" s="51"/>
    </row>
    <row r="87" spans="1:4" x14ac:dyDescent="0.35">
      <c r="A87" s="51" t="s">
        <v>302</v>
      </c>
      <c r="B87" s="54">
        <v>46053</v>
      </c>
    </row>
    <row r="89" spans="1:4" ht="70" customHeight="1" x14ac:dyDescent="0.35">
      <c r="A89" s="70" t="s">
        <v>303</v>
      </c>
      <c r="B89" s="70" t="s">
        <v>304</v>
      </c>
      <c r="C89" s="70" t="s">
        <v>4</v>
      </c>
      <c r="D89" s="70" t="s">
        <v>5</v>
      </c>
    </row>
    <row r="90" spans="1:4" ht="70" customHeight="1" x14ac:dyDescent="0.35">
      <c r="A90" s="70" t="s">
        <v>861</v>
      </c>
      <c r="B90" s="70"/>
      <c r="C90" s="70" t="s">
        <v>30</v>
      </c>
      <c r="D9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86"/>
  <sheetViews>
    <sheetView showGridLines="0" workbookViewId="0">
      <pane ySplit="4" topLeftCell="A46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862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863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4" t="s">
        <v>147</v>
      </c>
      <c r="B8" s="41"/>
      <c r="C8" s="41"/>
      <c r="D8" s="15"/>
      <c r="E8" s="16"/>
      <c r="F8" s="17"/>
      <c r="G8" s="17"/>
    </row>
    <row r="9" spans="1:7" x14ac:dyDescent="0.35">
      <c r="A9" s="14" t="s">
        <v>148</v>
      </c>
      <c r="B9" s="41"/>
      <c r="C9" s="41"/>
      <c r="D9" s="15"/>
      <c r="E9" s="16"/>
      <c r="F9" s="17"/>
      <c r="G9" s="17"/>
    </row>
    <row r="10" spans="1:7" x14ac:dyDescent="0.35">
      <c r="A10" s="14" t="s">
        <v>149</v>
      </c>
      <c r="B10" s="41"/>
      <c r="C10" s="41"/>
      <c r="D10" s="15"/>
      <c r="E10" s="45" t="s">
        <v>146</v>
      </c>
      <c r="F10" s="46" t="s">
        <v>146</v>
      </c>
      <c r="G10" s="17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14" t="s">
        <v>463</v>
      </c>
      <c r="B12" s="41"/>
      <c r="C12" s="41"/>
      <c r="D12" s="15"/>
      <c r="E12" s="16"/>
      <c r="F12" s="17"/>
      <c r="G12" s="17"/>
    </row>
    <row r="13" spans="1:7" x14ac:dyDescent="0.35">
      <c r="A13" s="13" t="s">
        <v>554</v>
      </c>
      <c r="B13" s="41" t="s">
        <v>555</v>
      </c>
      <c r="C13" s="41" t="s">
        <v>153</v>
      </c>
      <c r="D13" s="15">
        <v>3000000</v>
      </c>
      <c r="E13" s="16">
        <v>3110.07</v>
      </c>
      <c r="F13" s="17">
        <v>0.19919999999999999</v>
      </c>
      <c r="G13" s="17">
        <v>6.5164E-2</v>
      </c>
    </row>
    <row r="14" spans="1:7" x14ac:dyDescent="0.35">
      <c r="A14" s="13" t="s">
        <v>864</v>
      </c>
      <c r="B14" s="41" t="s">
        <v>865</v>
      </c>
      <c r="C14" s="41" t="s">
        <v>153</v>
      </c>
      <c r="D14" s="15">
        <v>2500000</v>
      </c>
      <c r="E14" s="16">
        <v>2571.7600000000002</v>
      </c>
      <c r="F14" s="17">
        <v>0.16470000000000001</v>
      </c>
      <c r="G14" s="17">
        <v>6.4798999999999995E-2</v>
      </c>
    </row>
    <row r="15" spans="1:7" x14ac:dyDescent="0.35">
      <c r="A15" s="13" t="s">
        <v>466</v>
      </c>
      <c r="B15" s="41" t="s">
        <v>467</v>
      </c>
      <c r="C15" s="41" t="s">
        <v>153</v>
      </c>
      <c r="D15" s="15">
        <v>900000</v>
      </c>
      <c r="E15" s="16">
        <v>927.05</v>
      </c>
      <c r="F15" s="17">
        <v>5.9400000000000001E-2</v>
      </c>
      <c r="G15" s="17">
        <v>6.1441999999999997E-2</v>
      </c>
    </row>
    <row r="16" spans="1:7" x14ac:dyDescent="0.35">
      <c r="A16" s="13" t="s">
        <v>790</v>
      </c>
      <c r="B16" s="41" t="s">
        <v>791</v>
      </c>
      <c r="C16" s="41" t="s">
        <v>153</v>
      </c>
      <c r="D16" s="15">
        <v>675000</v>
      </c>
      <c r="E16" s="16">
        <v>689.84</v>
      </c>
      <c r="F16" s="17">
        <v>4.4200000000000003E-2</v>
      </c>
      <c r="G16" s="17">
        <v>5.7818000000000001E-2</v>
      </c>
    </row>
    <row r="17" spans="1:7" x14ac:dyDescent="0.35">
      <c r="A17" s="13" t="s">
        <v>464</v>
      </c>
      <c r="B17" s="41" t="s">
        <v>465</v>
      </c>
      <c r="C17" s="41" t="s">
        <v>153</v>
      </c>
      <c r="D17" s="15">
        <v>500000</v>
      </c>
      <c r="E17" s="16">
        <v>509.61</v>
      </c>
      <c r="F17" s="17">
        <v>3.2599999999999997E-2</v>
      </c>
      <c r="G17" s="17">
        <v>6.2799999999999995E-2</v>
      </c>
    </row>
    <row r="18" spans="1:7" x14ac:dyDescent="0.35">
      <c r="A18" s="13" t="s">
        <v>812</v>
      </c>
      <c r="B18" s="41" t="s">
        <v>813</v>
      </c>
      <c r="C18" s="41" t="s">
        <v>153</v>
      </c>
      <c r="D18" s="15">
        <v>100000</v>
      </c>
      <c r="E18" s="16">
        <v>100.53</v>
      </c>
      <c r="F18" s="17">
        <v>6.4000000000000003E-3</v>
      </c>
      <c r="G18" s="17">
        <v>5.9679000000000003E-2</v>
      </c>
    </row>
    <row r="19" spans="1:7" x14ac:dyDescent="0.35">
      <c r="A19" s="14" t="s">
        <v>149</v>
      </c>
      <c r="B19" s="42"/>
      <c r="C19" s="42"/>
      <c r="D19" s="18"/>
      <c r="E19" s="36">
        <v>7908.86</v>
      </c>
      <c r="F19" s="37">
        <v>0.50649999999999995</v>
      </c>
      <c r="G19" s="21"/>
    </row>
    <row r="20" spans="1:7" x14ac:dyDescent="0.35">
      <c r="A20" s="13"/>
      <c r="B20" s="41"/>
      <c r="C20" s="41"/>
      <c r="D20" s="15"/>
      <c r="E20" s="16"/>
      <c r="F20" s="17"/>
      <c r="G20" s="17"/>
    </row>
    <row r="21" spans="1:7" x14ac:dyDescent="0.35">
      <c r="A21" s="14" t="s">
        <v>150</v>
      </c>
      <c r="B21" s="41"/>
      <c r="C21" s="41"/>
      <c r="D21" s="15"/>
      <c r="E21" s="16"/>
      <c r="F21" s="17"/>
      <c r="G21" s="17"/>
    </row>
    <row r="22" spans="1:7" x14ac:dyDescent="0.35">
      <c r="A22" s="13" t="s">
        <v>866</v>
      </c>
      <c r="B22" s="41" t="s">
        <v>867</v>
      </c>
      <c r="C22" s="41" t="s">
        <v>153</v>
      </c>
      <c r="D22" s="15">
        <v>2500000</v>
      </c>
      <c r="E22" s="16">
        <v>2540.23</v>
      </c>
      <c r="F22" s="17">
        <v>0.16270000000000001</v>
      </c>
      <c r="G22" s="17">
        <v>6.0546000000000003E-2</v>
      </c>
    </row>
    <row r="23" spans="1:7" x14ac:dyDescent="0.35">
      <c r="A23" s="13" t="s">
        <v>868</v>
      </c>
      <c r="B23" s="41" t="s">
        <v>869</v>
      </c>
      <c r="C23" s="41" t="s">
        <v>153</v>
      </c>
      <c r="D23" s="15">
        <v>1500000</v>
      </c>
      <c r="E23" s="16">
        <v>1524.14</v>
      </c>
      <c r="F23" s="17">
        <v>9.7600000000000006E-2</v>
      </c>
      <c r="G23" s="17">
        <v>6.0546000000000003E-2</v>
      </c>
    </row>
    <row r="24" spans="1:7" x14ac:dyDescent="0.35">
      <c r="A24" s="13" t="s">
        <v>870</v>
      </c>
      <c r="B24" s="41" t="s">
        <v>871</v>
      </c>
      <c r="C24" s="41" t="s">
        <v>153</v>
      </c>
      <c r="D24" s="15">
        <v>1500000</v>
      </c>
      <c r="E24" s="16">
        <v>1508.78</v>
      </c>
      <c r="F24" s="17">
        <v>9.6600000000000005E-2</v>
      </c>
      <c r="G24" s="17">
        <v>7.1176000000000003E-2</v>
      </c>
    </row>
    <row r="25" spans="1:7" x14ac:dyDescent="0.35">
      <c r="A25" s="13" t="s">
        <v>872</v>
      </c>
      <c r="B25" s="41" t="s">
        <v>873</v>
      </c>
      <c r="C25" s="41" t="s">
        <v>153</v>
      </c>
      <c r="D25" s="15">
        <v>500000</v>
      </c>
      <c r="E25" s="16">
        <v>521.83000000000004</v>
      </c>
      <c r="F25" s="17">
        <v>3.3399999999999999E-2</v>
      </c>
      <c r="G25" s="17">
        <v>6.7761000000000002E-2</v>
      </c>
    </row>
    <row r="26" spans="1:7" x14ac:dyDescent="0.35">
      <c r="A26" s="13" t="s">
        <v>874</v>
      </c>
      <c r="B26" s="41" t="s">
        <v>875</v>
      </c>
      <c r="C26" s="41" t="s">
        <v>153</v>
      </c>
      <c r="D26" s="15">
        <v>500000</v>
      </c>
      <c r="E26" s="16">
        <v>513.36</v>
      </c>
      <c r="F26" s="17">
        <v>3.2899999999999999E-2</v>
      </c>
      <c r="G26" s="17">
        <v>6.3114000000000003E-2</v>
      </c>
    </row>
    <row r="27" spans="1:7" x14ac:dyDescent="0.35">
      <c r="A27" s="13" t="s">
        <v>876</v>
      </c>
      <c r="B27" s="41" t="s">
        <v>877</v>
      </c>
      <c r="C27" s="41" t="s">
        <v>153</v>
      </c>
      <c r="D27" s="15">
        <v>500000</v>
      </c>
      <c r="E27" s="16">
        <v>507.04</v>
      </c>
      <c r="F27" s="17">
        <v>3.2500000000000001E-2</v>
      </c>
      <c r="G27" s="17">
        <v>6.1981000000000001E-2</v>
      </c>
    </row>
    <row r="28" spans="1:7" x14ac:dyDescent="0.35">
      <c r="A28" s="14" t="s">
        <v>149</v>
      </c>
      <c r="B28" s="42"/>
      <c r="C28" s="42"/>
      <c r="D28" s="18"/>
      <c r="E28" s="36">
        <v>7115.38</v>
      </c>
      <c r="F28" s="37">
        <v>0.45569999999999999</v>
      </c>
      <c r="G28" s="21"/>
    </row>
    <row r="29" spans="1:7" x14ac:dyDescent="0.35">
      <c r="A29" s="13"/>
      <c r="B29" s="41"/>
      <c r="C29" s="41"/>
      <c r="D29" s="15"/>
      <c r="E29" s="16"/>
      <c r="F29" s="17"/>
      <c r="G29" s="17"/>
    </row>
    <row r="30" spans="1:7" x14ac:dyDescent="0.35">
      <c r="A30" s="13"/>
      <c r="B30" s="41"/>
      <c r="C30" s="41"/>
      <c r="D30" s="15"/>
      <c r="E30" s="16"/>
      <c r="F30" s="17"/>
      <c r="G30" s="17"/>
    </row>
    <row r="31" spans="1:7" x14ac:dyDescent="0.35">
      <c r="A31" s="14" t="s">
        <v>158</v>
      </c>
      <c r="B31" s="41"/>
      <c r="C31" s="41"/>
      <c r="D31" s="15"/>
      <c r="E31" s="16"/>
      <c r="F31" s="17"/>
      <c r="G31" s="17"/>
    </row>
    <row r="32" spans="1:7" x14ac:dyDescent="0.35">
      <c r="A32" s="14" t="s">
        <v>149</v>
      </c>
      <c r="B32" s="41"/>
      <c r="C32" s="41"/>
      <c r="D32" s="15"/>
      <c r="E32" s="45" t="s">
        <v>146</v>
      </c>
      <c r="F32" s="46" t="s">
        <v>146</v>
      </c>
      <c r="G32" s="17"/>
    </row>
    <row r="33" spans="1:7" x14ac:dyDescent="0.35">
      <c r="A33" s="13"/>
      <c r="B33" s="41"/>
      <c r="C33" s="41"/>
      <c r="D33" s="15"/>
      <c r="E33" s="16"/>
      <c r="F33" s="17"/>
      <c r="G33" s="17"/>
    </row>
    <row r="34" spans="1:7" x14ac:dyDescent="0.35">
      <c r="A34" s="14" t="s">
        <v>159</v>
      </c>
      <c r="B34" s="41"/>
      <c r="C34" s="41"/>
      <c r="D34" s="15"/>
      <c r="E34" s="16"/>
      <c r="F34" s="17"/>
      <c r="G34" s="17"/>
    </row>
    <row r="35" spans="1:7" x14ac:dyDescent="0.35">
      <c r="A35" s="14" t="s">
        <v>149</v>
      </c>
      <c r="B35" s="41"/>
      <c r="C35" s="41"/>
      <c r="D35" s="15"/>
      <c r="E35" s="45" t="s">
        <v>146</v>
      </c>
      <c r="F35" s="46" t="s">
        <v>146</v>
      </c>
      <c r="G35" s="17"/>
    </row>
    <row r="36" spans="1:7" x14ac:dyDescent="0.35">
      <c r="A36" s="13"/>
      <c r="B36" s="41"/>
      <c r="C36" s="41"/>
      <c r="D36" s="15"/>
      <c r="E36" s="16"/>
      <c r="F36" s="17"/>
      <c r="G36" s="17"/>
    </row>
    <row r="37" spans="1:7" x14ac:dyDescent="0.35">
      <c r="A37" s="22" t="s">
        <v>160</v>
      </c>
      <c r="B37" s="43"/>
      <c r="C37" s="43"/>
      <c r="D37" s="23"/>
      <c r="E37" s="36">
        <v>15024.24</v>
      </c>
      <c r="F37" s="37">
        <v>0.96220000000000006</v>
      </c>
      <c r="G37" s="21"/>
    </row>
    <row r="38" spans="1:7" x14ac:dyDescent="0.35">
      <c r="A38" s="13"/>
      <c r="B38" s="41"/>
      <c r="C38" s="41"/>
      <c r="D38" s="15"/>
      <c r="E38" s="16"/>
      <c r="F38" s="17"/>
      <c r="G38" s="17"/>
    </row>
    <row r="39" spans="1:7" x14ac:dyDescent="0.35">
      <c r="A39" s="13"/>
      <c r="B39" s="41"/>
      <c r="C39" s="41"/>
      <c r="D39" s="15"/>
      <c r="E39" s="16"/>
      <c r="F39" s="17"/>
      <c r="G39" s="17"/>
    </row>
    <row r="40" spans="1:7" x14ac:dyDescent="0.35">
      <c r="A40" s="14" t="s">
        <v>255</v>
      </c>
      <c r="B40" s="41"/>
      <c r="C40" s="41"/>
      <c r="D40" s="15"/>
      <c r="E40" s="16"/>
      <c r="F40" s="17"/>
      <c r="G40" s="17"/>
    </row>
    <row r="41" spans="1:7" x14ac:dyDescent="0.35">
      <c r="A41" s="13" t="s">
        <v>257</v>
      </c>
      <c r="B41" s="41"/>
      <c r="C41" s="41"/>
      <c r="D41" s="15"/>
      <c r="E41" s="16">
        <v>276.88</v>
      </c>
      <c r="F41" s="17">
        <v>1.77E-2</v>
      </c>
      <c r="G41" s="17">
        <v>5.1742000000000003E-2</v>
      </c>
    </row>
    <row r="42" spans="1:7" x14ac:dyDescent="0.35">
      <c r="A42" s="14" t="s">
        <v>149</v>
      </c>
      <c r="B42" s="42"/>
      <c r="C42" s="42"/>
      <c r="D42" s="18"/>
      <c r="E42" s="36">
        <v>276.88</v>
      </c>
      <c r="F42" s="37">
        <v>1.77E-2</v>
      </c>
      <c r="G42" s="21"/>
    </row>
    <row r="43" spans="1:7" x14ac:dyDescent="0.35">
      <c r="A43" s="13"/>
      <c r="B43" s="41"/>
      <c r="C43" s="41"/>
      <c r="D43" s="15"/>
      <c r="E43" s="16"/>
      <c r="F43" s="17"/>
      <c r="G43" s="17"/>
    </row>
    <row r="44" spans="1:7" x14ac:dyDescent="0.35">
      <c r="A44" s="22" t="s">
        <v>160</v>
      </c>
      <c r="B44" s="43"/>
      <c r="C44" s="43"/>
      <c r="D44" s="23"/>
      <c r="E44" s="36">
        <v>276.88</v>
      </c>
      <c r="F44" s="37">
        <v>1.77E-2</v>
      </c>
      <c r="G44" s="21"/>
    </row>
    <row r="45" spans="1:7" x14ac:dyDescent="0.35">
      <c r="A45" s="13" t="s">
        <v>258</v>
      </c>
      <c r="B45" s="41"/>
      <c r="C45" s="41"/>
      <c r="D45" s="15"/>
      <c r="E45" s="16">
        <v>303.98870920000002</v>
      </c>
      <c r="F45" s="17">
        <v>1.9467999999999999E-2</v>
      </c>
      <c r="G45" s="17"/>
    </row>
    <row r="46" spans="1:7" x14ac:dyDescent="0.35">
      <c r="A46" s="13" t="s">
        <v>259</v>
      </c>
      <c r="B46" s="41"/>
      <c r="C46" s="41"/>
      <c r="D46" s="15"/>
      <c r="E46" s="16">
        <v>8.8912908000000002</v>
      </c>
      <c r="F46" s="17">
        <v>6.3199999999999997E-4</v>
      </c>
      <c r="G46" s="17">
        <v>5.1742000000000003E-2</v>
      </c>
    </row>
    <row r="47" spans="1:7" x14ac:dyDescent="0.35">
      <c r="A47" s="38" t="s">
        <v>260</v>
      </c>
      <c r="B47" s="44"/>
      <c r="C47" s="44"/>
      <c r="D47" s="39"/>
      <c r="E47" s="24">
        <v>15614</v>
      </c>
      <c r="F47" s="25">
        <v>1</v>
      </c>
      <c r="G47" s="25"/>
    </row>
    <row r="49" spans="1:3" x14ac:dyDescent="0.35">
      <c r="A49" s="1" t="s">
        <v>262</v>
      </c>
    </row>
    <row r="50" spans="1:3" x14ac:dyDescent="0.35">
      <c r="A50" s="1" t="s">
        <v>878</v>
      </c>
    </row>
    <row r="52" spans="1:3" x14ac:dyDescent="0.35">
      <c r="A52" s="1" t="s">
        <v>263</v>
      </c>
    </row>
    <row r="53" spans="1:3" ht="29" customHeight="1" x14ac:dyDescent="0.35">
      <c r="A53" s="47" t="s">
        <v>264</v>
      </c>
      <c r="B53" s="3" t="s">
        <v>146</v>
      </c>
    </row>
    <row r="54" spans="1:3" x14ac:dyDescent="0.35">
      <c r="A54" t="s">
        <v>265</v>
      </c>
    </row>
    <row r="55" spans="1:3" x14ac:dyDescent="0.35">
      <c r="A55" t="s">
        <v>266</v>
      </c>
      <c r="B55" t="s">
        <v>267</v>
      </c>
      <c r="C55" t="s">
        <v>267</v>
      </c>
    </row>
    <row r="56" spans="1:3" x14ac:dyDescent="0.35">
      <c r="B56" s="49">
        <v>46022</v>
      </c>
      <c r="C56" s="49">
        <v>46052</v>
      </c>
    </row>
    <row r="57" spans="1:3" x14ac:dyDescent="0.35">
      <c r="A57" t="s">
        <v>752</v>
      </c>
      <c r="B57">
        <v>12.4542</v>
      </c>
      <c r="C57">
        <v>12.501899999999999</v>
      </c>
    </row>
    <row r="58" spans="1:3" x14ac:dyDescent="0.35">
      <c r="A58" t="s">
        <v>273</v>
      </c>
      <c r="B58">
        <v>12.454499999999999</v>
      </c>
      <c r="C58">
        <v>12.5022</v>
      </c>
    </row>
    <row r="59" spans="1:3" x14ac:dyDescent="0.35">
      <c r="A59" t="s">
        <v>753</v>
      </c>
      <c r="B59">
        <v>12.3005</v>
      </c>
      <c r="C59">
        <v>12.343500000000001</v>
      </c>
    </row>
    <row r="60" spans="1:3" x14ac:dyDescent="0.35">
      <c r="A60" t="s">
        <v>709</v>
      </c>
      <c r="B60">
        <v>12.301299999999999</v>
      </c>
      <c r="C60">
        <v>12.3444</v>
      </c>
    </row>
    <row r="62" spans="1:3" x14ac:dyDescent="0.35">
      <c r="A62" t="s">
        <v>283</v>
      </c>
      <c r="B62" s="3" t="s">
        <v>146</v>
      </c>
    </row>
    <row r="63" spans="1:3" x14ac:dyDescent="0.35">
      <c r="A63" t="s">
        <v>284</v>
      </c>
      <c r="B63" s="3" t="s">
        <v>146</v>
      </c>
    </row>
    <row r="64" spans="1:3" ht="58" customHeight="1" x14ac:dyDescent="0.35">
      <c r="A64" s="47" t="s">
        <v>285</v>
      </c>
      <c r="B64" s="3" t="s">
        <v>146</v>
      </c>
    </row>
    <row r="65" spans="1:2" ht="43.5" customHeight="1" x14ac:dyDescent="0.35">
      <c r="A65" s="47" t="s">
        <v>286</v>
      </c>
      <c r="B65" s="3" t="s">
        <v>146</v>
      </c>
    </row>
    <row r="66" spans="1:2" x14ac:dyDescent="0.35">
      <c r="A66" t="s">
        <v>287</v>
      </c>
      <c r="B66" s="48">
        <f>B81</f>
        <v>2.9471569112093641</v>
      </c>
    </row>
    <row r="67" spans="1:2" ht="72.5" customHeight="1" x14ac:dyDescent="0.35">
      <c r="A67" s="47" t="s">
        <v>288</v>
      </c>
      <c r="B67" s="3" t="s">
        <v>146</v>
      </c>
    </row>
    <row r="68" spans="1:2" x14ac:dyDescent="0.35">
      <c r="B68" s="3"/>
    </row>
    <row r="69" spans="1:2" ht="58" customHeight="1" x14ac:dyDescent="0.35">
      <c r="A69" s="47" t="s">
        <v>289</v>
      </c>
      <c r="B69" s="3" t="s">
        <v>146</v>
      </c>
    </row>
    <row r="70" spans="1:2" ht="58" customHeight="1" x14ac:dyDescent="0.35">
      <c r="A70" s="47" t="s">
        <v>290</v>
      </c>
      <c r="B70" t="s">
        <v>146</v>
      </c>
    </row>
    <row r="71" spans="1:2" ht="43.5" customHeight="1" x14ac:dyDescent="0.35">
      <c r="A71" s="47" t="s">
        <v>291</v>
      </c>
      <c r="B71" s="3" t="s">
        <v>146</v>
      </c>
    </row>
    <row r="72" spans="1:2" ht="43.5" customHeight="1" x14ac:dyDescent="0.35">
      <c r="A72" s="47" t="s">
        <v>292</v>
      </c>
      <c r="B72" s="3" t="s">
        <v>146</v>
      </c>
    </row>
    <row r="74" spans="1:2" x14ac:dyDescent="0.35">
      <c r="A74" t="s">
        <v>293</v>
      </c>
    </row>
    <row r="75" spans="1:2" ht="29" customHeight="1" x14ac:dyDescent="0.35">
      <c r="A75" s="51" t="s">
        <v>295</v>
      </c>
      <c r="B75" s="55" t="s">
        <v>879</v>
      </c>
    </row>
    <row r="76" spans="1:2" x14ac:dyDescent="0.35">
      <c r="A76" s="51" t="s">
        <v>297</v>
      </c>
      <c r="B76" s="51" t="s">
        <v>880</v>
      </c>
    </row>
    <row r="77" spans="1:2" x14ac:dyDescent="0.35">
      <c r="A77" s="51"/>
      <c r="B77" s="51"/>
    </row>
    <row r="78" spans="1:2" x14ac:dyDescent="0.35">
      <c r="A78" s="51" t="s">
        <v>299</v>
      </c>
      <c r="B78" s="52">
        <v>6.3448220591162636</v>
      </c>
    </row>
    <row r="79" spans="1:2" x14ac:dyDescent="0.35">
      <c r="A79" s="51"/>
      <c r="B79" s="51"/>
    </row>
    <row r="80" spans="1:2" x14ac:dyDescent="0.35">
      <c r="A80" s="51" t="s">
        <v>300</v>
      </c>
      <c r="B80" s="53">
        <v>2.5962999999999998</v>
      </c>
    </row>
    <row r="81" spans="1:4" x14ac:dyDescent="0.35">
      <c r="A81" s="51" t="s">
        <v>301</v>
      </c>
      <c r="B81" s="53">
        <v>2.9471569112093641</v>
      </c>
    </row>
    <row r="82" spans="1:4" x14ac:dyDescent="0.35">
      <c r="A82" s="51"/>
      <c r="B82" s="51"/>
    </row>
    <row r="83" spans="1:4" x14ac:dyDescent="0.35">
      <c r="A83" s="51" t="s">
        <v>302</v>
      </c>
      <c r="B83" s="54">
        <v>46053</v>
      </c>
    </row>
    <row r="85" spans="1:4" ht="70" customHeight="1" x14ac:dyDescent="0.35">
      <c r="A85" s="70" t="s">
        <v>303</v>
      </c>
      <c r="B85" s="70" t="s">
        <v>304</v>
      </c>
      <c r="C85" s="70" t="s">
        <v>4</v>
      </c>
      <c r="D85" s="70" t="s">
        <v>5</v>
      </c>
    </row>
    <row r="86" spans="1:4" ht="70" customHeight="1" x14ac:dyDescent="0.35">
      <c r="A86" s="70" t="s">
        <v>881</v>
      </c>
      <c r="B86" s="70"/>
      <c r="C86" s="70" t="s">
        <v>32</v>
      </c>
      <c r="D8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60"/>
  <sheetViews>
    <sheetView showGridLines="0" workbookViewId="0">
      <pane ySplit="4" topLeftCell="A44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882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883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3"/>
      <c r="B7" s="41"/>
      <c r="C7" s="41"/>
      <c r="D7" s="15"/>
      <c r="E7" s="16"/>
      <c r="F7" s="17"/>
      <c r="G7" s="17"/>
    </row>
    <row r="8" spans="1:7" x14ac:dyDescent="0.35">
      <c r="A8" s="14" t="s">
        <v>884</v>
      </c>
      <c r="B8" s="41"/>
      <c r="C8" s="41"/>
      <c r="D8" s="15"/>
      <c r="E8" s="16"/>
      <c r="F8" s="17"/>
      <c r="G8" s="17"/>
    </row>
    <row r="9" spans="1:7" x14ac:dyDescent="0.35">
      <c r="A9" s="13" t="s">
        <v>885</v>
      </c>
      <c r="B9" s="41" t="s">
        <v>886</v>
      </c>
      <c r="C9" s="41"/>
      <c r="D9" s="15">
        <v>59542876.002100013</v>
      </c>
      <c r="E9" s="16">
        <v>927118.31</v>
      </c>
      <c r="F9" s="17">
        <v>1.0033000000000001</v>
      </c>
      <c r="G9" s="17"/>
    </row>
    <row r="10" spans="1:7" x14ac:dyDescent="0.35">
      <c r="A10" s="14" t="s">
        <v>149</v>
      </c>
      <c r="B10" s="42"/>
      <c r="C10" s="42"/>
      <c r="D10" s="18"/>
      <c r="E10" s="36">
        <v>927118.31</v>
      </c>
      <c r="F10" s="37">
        <v>1.0033000000000001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927118.31</v>
      </c>
      <c r="F12" s="37">
        <v>1.0033000000000001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2514.9299999999998</v>
      </c>
      <c r="F15" s="17">
        <v>2.7000000000000001E-3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2514.9299999999998</v>
      </c>
      <c r="F16" s="37">
        <v>2.7000000000000001E-3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2514.9299999999998</v>
      </c>
      <c r="F18" s="37">
        <v>2.7000000000000001E-3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0.71302759999999998</v>
      </c>
      <c r="F19" s="17">
        <v>0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-5525.3130276000002</v>
      </c>
      <c r="F20" s="29">
        <v>-6.0000000000000001E-3</v>
      </c>
      <c r="G20" s="17">
        <v>5.1741000000000002E-2</v>
      </c>
    </row>
    <row r="21" spans="1:7" x14ac:dyDescent="0.35">
      <c r="A21" s="38" t="s">
        <v>260</v>
      </c>
      <c r="B21" s="44"/>
      <c r="C21" s="44"/>
      <c r="D21" s="39"/>
      <c r="E21" s="24">
        <v>924108.64</v>
      </c>
      <c r="F21" s="25">
        <v>1</v>
      </c>
      <c r="G21" s="25"/>
    </row>
    <row r="26" spans="1:7" x14ac:dyDescent="0.35">
      <c r="A26" s="1" t="s">
        <v>263</v>
      </c>
    </row>
    <row r="27" spans="1:7" ht="29" customHeight="1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46022</v>
      </c>
      <c r="C30" s="49">
        <v>46052</v>
      </c>
    </row>
    <row r="31" spans="1:7" x14ac:dyDescent="0.35">
      <c r="A31" t="s">
        <v>272</v>
      </c>
      <c r="B31">
        <v>15.5524</v>
      </c>
      <c r="C31">
        <v>15.4994</v>
      </c>
    </row>
    <row r="32" spans="1:7" x14ac:dyDescent="0.35">
      <c r="A32" t="s">
        <v>273</v>
      </c>
      <c r="B32">
        <v>15.5524</v>
      </c>
      <c r="C32">
        <v>15.4994</v>
      </c>
    </row>
    <row r="33" spans="1:3" x14ac:dyDescent="0.35">
      <c r="A33" t="s">
        <v>708</v>
      </c>
      <c r="B33">
        <v>15.5524</v>
      </c>
      <c r="C33">
        <v>15.4994</v>
      </c>
    </row>
    <row r="34" spans="1:3" x14ac:dyDescent="0.35">
      <c r="A34" t="s">
        <v>709</v>
      </c>
      <c r="B34">
        <v>15.5524</v>
      </c>
      <c r="C34">
        <v>15.4994</v>
      </c>
    </row>
    <row r="36" spans="1:3" x14ac:dyDescent="0.35">
      <c r="A36" t="s">
        <v>283</v>
      </c>
      <c r="B36" s="3" t="s">
        <v>146</v>
      </c>
    </row>
    <row r="37" spans="1:3" x14ac:dyDescent="0.35">
      <c r="A37" t="s">
        <v>284</v>
      </c>
      <c r="B37" s="3" t="s">
        <v>146</v>
      </c>
    </row>
    <row r="38" spans="1:3" ht="58" customHeight="1" x14ac:dyDescent="0.35">
      <c r="A38" s="47" t="s">
        <v>285</v>
      </c>
      <c r="B38" s="3" t="s">
        <v>146</v>
      </c>
    </row>
    <row r="39" spans="1:3" ht="43.5" customHeight="1" x14ac:dyDescent="0.35">
      <c r="A39" s="47" t="s">
        <v>286</v>
      </c>
      <c r="B39" s="3" t="s">
        <v>146</v>
      </c>
    </row>
    <row r="40" spans="1:3" x14ac:dyDescent="0.35">
      <c r="A40" t="s">
        <v>287</v>
      </c>
      <c r="B40" s="48">
        <f>B55</f>
        <v>3.8467758215525989</v>
      </c>
    </row>
    <row r="41" spans="1:3" ht="72.5" customHeight="1" x14ac:dyDescent="0.35">
      <c r="A41" s="47" t="s">
        <v>887</v>
      </c>
      <c r="B41" s="3" t="s">
        <v>146</v>
      </c>
    </row>
    <row r="42" spans="1:3" x14ac:dyDescent="0.35">
      <c r="B42" s="3"/>
    </row>
    <row r="43" spans="1:3" ht="58" customHeight="1" x14ac:dyDescent="0.35">
      <c r="A43" s="47" t="s">
        <v>888</v>
      </c>
      <c r="B43" s="3" t="s">
        <v>146</v>
      </c>
    </row>
    <row r="44" spans="1:3" ht="58" customHeight="1" x14ac:dyDescent="0.35">
      <c r="A44" s="47" t="s">
        <v>889</v>
      </c>
      <c r="B44" t="s">
        <v>146</v>
      </c>
    </row>
    <row r="45" spans="1:3" ht="43.5" customHeight="1" x14ac:dyDescent="0.35">
      <c r="A45" s="47" t="s">
        <v>890</v>
      </c>
      <c r="B45" s="3" t="s">
        <v>146</v>
      </c>
    </row>
    <row r="46" spans="1:3" ht="43.5" customHeight="1" x14ac:dyDescent="0.35">
      <c r="A46" s="47" t="s">
        <v>891</v>
      </c>
      <c r="B46" s="3" t="s">
        <v>146</v>
      </c>
    </row>
    <row r="48" spans="1:3" x14ac:dyDescent="0.35">
      <c r="A48" t="s">
        <v>293</v>
      </c>
    </row>
    <row r="49" spans="1:4" x14ac:dyDescent="0.35">
      <c r="A49" s="51" t="s">
        <v>295</v>
      </c>
      <c r="B49" s="51" t="s">
        <v>892</v>
      </c>
    </row>
    <row r="50" spans="1:4" x14ac:dyDescent="0.35">
      <c r="A50" s="51" t="s">
        <v>297</v>
      </c>
      <c r="B50" s="51" t="s">
        <v>893</v>
      </c>
    </row>
    <row r="51" spans="1:4" x14ac:dyDescent="0.35">
      <c r="A51" s="51"/>
      <c r="B51" s="51"/>
    </row>
    <row r="52" spans="1:4" x14ac:dyDescent="0.35">
      <c r="A52" s="51" t="s">
        <v>299</v>
      </c>
      <c r="B52" s="52">
        <v>7.1389231603102026</v>
      </c>
    </row>
    <row r="53" spans="1:4" x14ac:dyDescent="0.35">
      <c r="A53" s="51"/>
      <c r="B53" s="51"/>
    </row>
    <row r="54" spans="1:4" x14ac:dyDescent="0.35">
      <c r="A54" s="51" t="s">
        <v>300</v>
      </c>
      <c r="B54" s="53">
        <v>3.3645</v>
      </c>
    </row>
    <row r="55" spans="1:4" x14ac:dyDescent="0.35">
      <c r="A55" s="51" t="s">
        <v>301</v>
      </c>
      <c r="B55" s="53">
        <v>3.8467758215525989</v>
      </c>
    </row>
    <row r="56" spans="1:4" x14ac:dyDescent="0.35">
      <c r="A56" s="51"/>
      <c r="B56" s="51"/>
    </row>
    <row r="57" spans="1:4" x14ac:dyDescent="0.35">
      <c r="A57" s="51" t="s">
        <v>302</v>
      </c>
      <c r="B57" s="54">
        <v>46053</v>
      </c>
    </row>
    <row r="59" spans="1:4" ht="70" customHeight="1" x14ac:dyDescent="0.35">
      <c r="A59" s="70" t="s">
        <v>303</v>
      </c>
      <c r="B59" s="70" t="s">
        <v>304</v>
      </c>
      <c r="C59" s="70" t="s">
        <v>4</v>
      </c>
      <c r="D59" s="70" t="s">
        <v>5</v>
      </c>
    </row>
    <row r="60" spans="1:4" ht="70" customHeight="1" x14ac:dyDescent="0.35">
      <c r="A60" s="70" t="s">
        <v>892</v>
      </c>
      <c r="B60" s="70"/>
      <c r="C60" s="70" t="s">
        <v>10</v>
      </c>
      <c r="D6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60"/>
  <sheetViews>
    <sheetView showGridLines="0" workbookViewId="0">
      <pane ySplit="4" topLeftCell="A37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894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895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3"/>
      <c r="B7" s="41"/>
      <c r="C7" s="41"/>
      <c r="D7" s="15"/>
      <c r="E7" s="16"/>
      <c r="F7" s="17"/>
      <c r="G7" s="17"/>
    </row>
    <row r="8" spans="1:7" x14ac:dyDescent="0.35">
      <c r="A8" s="14" t="s">
        <v>884</v>
      </c>
      <c r="B8" s="41"/>
      <c r="C8" s="41"/>
      <c r="D8" s="15"/>
      <c r="E8" s="16"/>
      <c r="F8" s="17"/>
      <c r="G8" s="17"/>
    </row>
    <row r="9" spans="1:7" x14ac:dyDescent="0.35">
      <c r="A9" s="13" t="s">
        <v>896</v>
      </c>
      <c r="B9" s="41" t="s">
        <v>897</v>
      </c>
      <c r="C9" s="41"/>
      <c r="D9" s="15">
        <v>33356925</v>
      </c>
      <c r="E9" s="16">
        <v>462787.31</v>
      </c>
      <c r="F9" s="17">
        <v>0.99780000000000002</v>
      </c>
      <c r="G9" s="17"/>
    </row>
    <row r="10" spans="1:7" x14ac:dyDescent="0.35">
      <c r="A10" s="14" t="s">
        <v>149</v>
      </c>
      <c r="B10" s="42"/>
      <c r="C10" s="42"/>
      <c r="D10" s="18"/>
      <c r="E10" s="36">
        <v>462787.31</v>
      </c>
      <c r="F10" s="37">
        <v>0.99780000000000002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462787.31</v>
      </c>
      <c r="F12" s="37">
        <v>0.99780000000000002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1291.45</v>
      </c>
      <c r="F15" s="17">
        <v>2.8E-3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1291.45</v>
      </c>
      <c r="F16" s="37">
        <v>2.8E-3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1291.45</v>
      </c>
      <c r="F18" s="37">
        <v>2.8E-3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0.36614930000000001</v>
      </c>
      <c r="F19" s="17">
        <v>0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-293.65614929999998</v>
      </c>
      <c r="F20" s="29">
        <v>-5.9999999999999995E-4</v>
      </c>
      <c r="G20" s="17">
        <v>5.1742000000000003E-2</v>
      </c>
    </row>
    <row r="21" spans="1:7" x14ac:dyDescent="0.35">
      <c r="A21" s="38" t="s">
        <v>260</v>
      </c>
      <c r="B21" s="44"/>
      <c r="C21" s="44"/>
      <c r="D21" s="39"/>
      <c r="E21" s="24">
        <v>463785.47</v>
      </c>
      <c r="F21" s="25">
        <v>1</v>
      </c>
      <c r="G21" s="25"/>
    </row>
    <row r="26" spans="1:7" x14ac:dyDescent="0.35">
      <c r="A26" s="1" t="s">
        <v>263</v>
      </c>
    </row>
    <row r="27" spans="1:7" ht="29" customHeight="1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46022</v>
      </c>
      <c r="C30" s="49">
        <v>46052</v>
      </c>
    </row>
    <row r="31" spans="1:7" x14ac:dyDescent="0.35">
      <c r="A31" t="s">
        <v>272</v>
      </c>
      <c r="B31">
        <v>13.9168</v>
      </c>
      <c r="C31">
        <v>13.826499999999999</v>
      </c>
    </row>
    <row r="32" spans="1:7" x14ac:dyDescent="0.35">
      <c r="A32" t="s">
        <v>273</v>
      </c>
      <c r="B32">
        <v>13.9168</v>
      </c>
      <c r="C32">
        <v>13.826499999999999</v>
      </c>
    </row>
    <row r="33" spans="1:3" x14ac:dyDescent="0.35">
      <c r="A33" t="s">
        <v>708</v>
      </c>
      <c r="B33">
        <v>13.9168</v>
      </c>
      <c r="C33">
        <v>13.826499999999999</v>
      </c>
    </row>
    <row r="34" spans="1:3" x14ac:dyDescent="0.35">
      <c r="A34" t="s">
        <v>709</v>
      </c>
      <c r="B34">
        <v>13.9168</v>
      </c>
      <c r="C34">
        <v>13.826499999999999</v>
      </c>
    </row>
    <row r="36" spans="1:3" x14ac:dyDescent="0.35">
      <c r="A36" t="s">
        <v>283</v>
      </c>
      <c r="B36" s="3" t="s">
        <v>146</v>
      </c>
    </row>
    <row r="37" spans="1:3" x14ac:dyDescent="0.35">
      <c r="A37" t="s">
        <v>284</v>
      </c>
      <c r="B37" s="3" t="s">
        <v>146</v>
      </c>
    </row>
    <row r="38" spans="1:3" ht="58" customHeight="1" x14ac:dyDescent="0.35">
      <c r="A38" s="47" t="s">
        <v>285</v>
      </c>
      <c r="B38" s="3" t="s">
        <v>146</v>
      </c>
    </row>
    <row r="39" spans="1:3" ht="43.5" customHeight="1" x14ac:dyDescent="0.35">
      <c r="A39" s="47" t="s">
        <v>286</v>
      </c>
      <c r="B39" s="3" t="s">
        <v>146</v>
      </c>
    </row>
    <row r="40" spans="1:3" x14ac:dyDescent="0.35">
      <c r="A40" t="s">
        <v>287</v>
      </c>
      <c r="B40" s="48">
        <f>B55</f>
        <v>5.0190785494563848</v>
      </c>
    </row>
    <row r="41" spans="1:3" ht="72.5" customHeight="1" x14ac:dyDescent="0.35">
      <c r="A41" s="47" t="s">
        <v>887</v>
      </c>
      <c r="B41" s="3" t="s">
        <v>146</v>
      </c>
    </row>
    <row r="42" spans="1:3" x14ac:dyDescent="0.35">
      <c r="B42" s="3"/>
    </row>
    <row r="43" spans="1:3" ht="58" customHeight="1" x14ac:dyDescent="0.35">
      <c r="A43" s="47" t="s">
        <v>888</v>
      </c>
      <c r="B43" s="3" t="s">
        <v>146</v>
      </c>
    </row>
    <row r="44" spans="1:3" ht="58" customHeight="1" x14ac:dyDescent="0.35">
      <c r="A44" s="47" t="s">
        <v>889</v>
      </c>
      <c r="B44" t="s">
        <v>146</v>
      </c>
    </row>
    <row r="45" spans="1:3" ht="43.5" customHeight="1" x14ac:dyDescent="0.35">
      <c r="A45" s="47" t="s">
        <v>890</v>
      </c>
      <c r="B45" s="3" t="s">
        <v>146</v>
      </c>
    </row>
    <row r="46" spans="1:3" ht="43.5" customHeight="1" x14ac:dyDescent="0.35">
      <c r="A46" s="47" t="s">
        <v>891</v>
      </c>
      <c r="B46" s="3" t="s">
        <v>146</v>
      </c>
    </row>
    <row r="48" spans="1:3" x14ac:dyDescent="0.35">
      <c r="A48" t="s">
        <v>293</v>
      </c>
    </row>
    <row r="49" spans="1:4" x14ac:dyDescent="0.35">
      <c r="A49" s="51" t="s">
        <v>295</v>
      </c>
      <c r="B49" s="51" t="s">
        <v>898</v>
      </c>
    </row>
    <row r="50" spans="1:4" x14ac:dyDescent="0.35">
      <c r="A50" s="51" t="s">
        <v>297</v>
      </c>
      <c r="B50" s="51" t="s">
        <v>893</v>
      </c>
    </row>
    <row r="51" spans="1:4" x14ac:dyDescent="0.35">
      <c r="A51" s="51"/>
      <c r="B51" s="51"/>
    </row>
    <row r="52" spans="1:4" x14ac:dyDescent="0.35">
      <c r="A52" s="51" t="s">
        <v>299</v>
      </c>
      <c r="B52" s="52">
        <v>7.2099577114710138</v>
      </c>
    </row>
    <row r="53" spans="1:4" x14ac:dyDescent="0.35">
      <c r="A53" s="51"/>
      <c r="B53" s="51"/>
    </row>
    <row r="54" spans="1:4" x14ac:dyDescent="0.35">
      <c r="A54" s="51" t="s">
        <v>300</v>
      </c>
      <c r="B54" s="53">
        <v>4.2423999999999999</v>
      </c>
    </row>
    <row r="55" spans="1:4" x14ac:dyDescent="0.35">
      <c r="A55" s="51" t="s">
        <v>301</v>
      </c>
      <c r="B55" s="53">
        <v>5.0190785494563848</v>
      </c>
    </row>
    <row r="56" spans="1:4" x14ac:dyDescent="0.35">
      <c r="A56" s="51"/>
      <c r="B56" s="51"/>
    </row>
    <row r="57" spans="1:4" x14ac:dyDescent="0.35">
      <c r="A57" s="51" t="s">
        <v>302</v>
      </c>
      <c r="B57" s="54">
        <v>46053</v>
      </c>
    </row>
    <row r="59" spans="1:4" ht="70" customHeight="1" x14ac:dyDescent="0.35">
      <c r="A59" s="70" t="s">
        <v>303</v>
      </c>
      <c r="B59" s="70" t="s">
        <v>304</v>
      </c>
      <c r="C59" s="70" t="s">
        <v>4</v>
      </c>
      <c r="D59" s="70" t="s">
        <v>5</v>
      </c>
    </row>
    <row r="60" spans="1:4" ht="70" customHeight="1" x14ac:dyDescent="0.35">
      <c r="A60" s="70" t="s">
        <v>898</v>
      </c>
      <c r="B60" s="70"/>
      <c r="C60" s="70" t="s">
        <v>13</v>
      </c>
      <c r="D6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60"/>
  <sheetViews>
    <sheetView showGridLines="0" workbookViewId="0">
      <pane ySplit="4" topLeftCell="A37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899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900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3"/>
      <c r="B7" s="41"/>
      <c r="C7" s="41"/>
      <c r="D7" s="15"/>
      <c r="E7" s="16"/>
      <c r="F7" s="17"/>
      <c r="G7" s="17"/>
    </row>
    <row r="8" spans="1:7" x14ac:dyDescent="0.35">
      <c r="A8" s="14" t="s">
        <v>884</v>
      </c>
      <c r="B8" s="41"/>
      <c r="C8" s="41"/>
      <c r="D8" s="15"/>
      <c r="E8" s="16"/>
      <c r="F8" s="17"/>
      <c r="G8" s="17"/>
    </row>
    <row r="9" spans="1:7" x14ac:dyDescent="0.35">
      <c r="A9" s="13" t="s">
        <v>901</v>
      </c>
      <c r="B9" s="41" t="s">
        <v>902</v>
      </c>
      <c r="C9" s="41"/>
      <c r="D9" s="15">
        <v>33930229</v>
      </c>
      <c r="E9" s="16">
        <v>441581.57</v>
      </c>
      <c r="F9" s="17">
        <v>0.99790000000000001</v>
      </c>
      <c r="G9" s="17"/>
    </row>
    <row r="10" spans="1:7" x14ac:dyDescent="0.35">
      <c r="A10" s="14" t="s">
        <v>149</v>
      </c>
      <c r="B10" s="42"/>
      <c r="C10" s="42"/>
      <c r="D10" s="18"/>
      <c r="E10" s="36">
        <v>441581.57</v>
      </c>
      <c r="F10" s="37">
        <v>0.99790000000000001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441581.57</v>
      </c>
      <c r="F12" s="37">
        <v>0.99790000000000001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1000.57</v>
      </c>
      <c r="F15" s="17">
        <v>2.3E-3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1000.57</v>
      </c>
      <c r="F16" s="37">
        <v>2.3E-3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1000.57</v>
      </c>
      <c r="F18" s="37">
        <v>2.3E-3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0.28368070000000001</v>
      </c>
      <c r="F19" s="17">
        <v>0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-68.753680700000004</v>
      </c>
      <c r="F20" s="29">
        <v>-2.0000000000000001E-4</v>
      </c>
      <c r="G20" s="17">
        <v>5.1742000000000003E-2</v>
      </c>
    </row>
    <row r="21" spans="1:7" x14ac:dyDescent="0.35">
      <c r="A21" s="38" t="s">
        <v>260</v>
      </c>
      <c r="B21" s="44"/>
      <c r="C21" s="44"/>
      <c r="D21" s="39"/>
      <c r="E21" s="24">
        <v>442513.67</v>
      </c>
      <c r="F21" s="25">
        <v>1</v>
      </c>
      <c r="G21" s="25"/>
    </row>
    <row r="26" spans="1:7" x14ac:dyDescent="0.35">
      <c r="A26" s="1" t="s">
        <v>263</v>
      </c>
    </row>
    <row r="27" spans="1:7" ht="29" customHeight="1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46022</v>
      </c>
      <c r="C30" s="49">
        <v>46052</v>
      </c>
    </row>
    <row r="31" spans="1:7" x14ac:dyDescent="0.35">
      <c r="A31" t="s">
        <v>272</v>
      </c>
      <c r="B31">
        <v>13.092700000000001</v>
      </c>
      <c r="C31">
        <v>12.973699999999999</v>
      </c>
    </row>
    <row r="32" spans="1:7" x14ac:dyDescent="0.35">
      <c r="A32" t="s">
        <v>273</v>
      </c>
      <c r="B32">
        <v>13.092700000000001</v>
      </c>
      <c r="C32">
        <v>12.973699999999999</v>
      </c>
    </row>
    <row r="33" spans="1:3" x14ac:dyDescent="0.35">
      <c r="A33" t="s">
        <v>708</v>
      </c>
      <c r="B33">
        <v>13.092700000000001</v>
      </c>
      <c r="C33">
        <v>12.973699999999999</v>
      </c>
    </row>
    <row r="34" spans="1:3" x14ac:dyDescent="0.35">
      <c r="A34" t="s">
        <v>709</v>
      </c>
      <c r="B34">
        <v>13.092700000000001</v>
      </c>
      <c r="C34">
        <v>12.973699999999999</v>
      </c>
    </row>
    <row r="36" spans="1:3" x14ac:dyDescent="0.35">
      <c r="A36" t="s">
        <v>283</v>
      </c>
      <c r="B36" s="3" t="s">
        <v>146</v>
      </c>
    </row>
    <row r="37" spans="1:3" x14ac:dyDescent="0.35">
      <c r="A37" t="s">
        <v>284</v>
      </c>
      <c r="B37" s="3" t="s">
        <v>146</v>
      </c>
    </row>
    <row r="38" spans="1:3" ht="58" customHeight="1" x14ac:dyDescent="0.35">
      <c r="A38" s="47" t="s">
        <v>285</v>
      </c>
      <c r="B38" s="3" t="s">
        <v>146</v>
      </c>
    </row>
    <row r="39" spans="1:3" ht="43.5" customHeight="1" x14ac:dyDescent="0.35">
      <c r="A39" s="47" t="s">
        <v>286</v>
      </c>
      <c r="B39" s="3" t="s">
        <v>146</v>
      </c>
    </row>
    <row r="40" spans="1:3" x14ac:dyDescent="0.35">
      <c r="A40" t="s">
        <v>287</v>
      </c>
      <c r="B40" s="48">
        <f>B55</f>
        <v>6.0527039288548581</v>
      </c>
    </row>
    <row r="41" spans="1:3" ht="72.5" customHeight="1" x14ac:dyDescent="0.35">
      <c r="A41" s="47" t="s">
        <v>887</v>
      </c>
      <c r="B41" s="3" t="s">
        <v>146</v>
      </c>
    </row>
    <row r="42" spans="1:3" x14ac:dyDescent="0.35">
      <c r="B42" s="3"/>
    </row>
    <row r="43" spans="1:3" ht="58" customHeight="1" x14ac:dyDescent="0.35">
      <c r="A43" s="47" t="s">
        <v>888</v>
      </c>
      <c r="B43" s="3" t="s">
        <v>146</v>
      </c>
    </row>
    <row r="44" spans="1:3" ht="58" customHeight="1" x14ac:dyDescent="0.35">
      <c r="A44" s="47" t="s">
        <v>889</v>
      </c>
      <c r="B44" t="s">
        <v>146</v>
      </c>
    </row>
    <row r="45" spans="1:3" ht="43.5" customHeight="1" x14ac:dyDescent="0.35">
      <c r="A45" s="47" t="s">
        <v>890</v>
      </c>
      <c r="B45" s="3" t="s">
        <v>146</v>
      </c>
    </row>
    <row r="46" spans="1:3" ht="43.5" customHeight="1" x14ac:dyDescent="0.35">
      <c r="A46" s="47" t="s">
        <v>891</v>
      </c>
      <c r="B46" s="3" t="s">
        <v>146</v>
      </c>
    </row>
    <row r="48" spans="1:3" x14ac:dyDescent="0.35">
      <c r="A48" t="s">
        <v>293</v>
      </c>
    </row>
    <row r="49" spans="1:4" x14ac:dyDescent="0.35">
      <c r="A49" s="51" t="s">
        <v>295</v>
      </c>
      <c r="B49" s="51" t="s">
        <v>903</v>
      </c>
    </row>
    <row r="50" spans="1:4" x14ac:dyDescent="0.35">
      <c r="A50" s="51" t="s">
        <v>297</v>
      </c>
      <c r="B50" s="51" t="s">
        <v>893</v>
      </c>
    </row>
    <row r="51" spans="1:4" x14ac:dyDescent="0.35">
      <c r="A51" s="51"/>
      <c r="B51" s="51"/>
    </row>
    <row r="52" spans="1:4" x14ac:dyDescent="0.35">
      <c r="A52" s="51" t="s">
        <v>299</v>
      </c>
      <c r="B52" s="52">
        <v>7.2436125695437541</v>
      </c>
    </row>
    <row r="53" spans="1:4" x14ac:dyDescent="0.35">
      <c r="A53" s="51"/>
      <c r="B53" s="51"/>
    </row>
    <row r="54" spans="1:4" x14ac:dyDescent="0.35">
      <c r="A54" s="51" t="s">
        <v>300</v>
      </c>
      <c r="B54" s="53">
        <v>4.9706999999999999</v>
      </c>
    </row>
    <row r="55" spans="1:4" x14ac:dyDescent="0.35">
      <c r="A55" s="51" t="s">
        <v>301</v>
      </c>
      <c r="B55" s="53">
        <v>6.0527039288548581</v>
      </c>
    </row>
    <row r="56" spans="1:4" x14ac:dyDescent="0.35">
      <c r="A56" s="51"/>
      <c r="B56" s="51"/>
    </row>
    <row r="57" spans="1:4" x14ac:dyDescent="0.35">
      <c r="A57" s="51" t="s">
        <v>302</v>
      </c>
      <c r="B57" s="54">
        <v>46053</v>
      </c>
    </row>
    <row r="59" spans="1:4" ht="70" customHeight="1" x14ac:dyDescent="0.35">
      <c r="A59" s="70" t="s">
        <v>303</v>
      </c>
      <c r="B59" s="70" t="s">
        <v>304</v>
      </c>
      <c r="C59" s="70" t="s">
        <v>4</v>
      </c>
      <c r="D59" s="70" t="s">
        <v>5</v>
      </c>
    </row>
    <row r="60" spans="1:4" ht="70" customHeight="1" x14ac:dyDescent="0.35">
      <c r="A60" s="70" t="s">
        <v>904</v>
      </c>
      <c r="B60" s="70"/>
      <c r="C60" s="70" t="s">
        <v>15</v>
      </c>
      <c r="D6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60"/>
  <sheetViews>
    <sheetView showGridLines="0" workbookViewId="0">
      <pane ySplit="4" topLeftCell="A41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905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906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3"/>
      <c r="B7" s="41"/>
      <c r="C7" s="41"/>
      <c r="D7" s="15"/>
      <c r="E7" s="16"/>
      <c r="F7" s="17"/>
      <c r="G7" s="17"/>
    </row>
    <row r="8" spans="1:7" x14ac:dyDescent="0.35">
      <c r="A8" s="14" t="s">
        <v>884</v>
      </c>
      <c r="B8" s="41"/>
      <c r="C8" s="41"/>
      <c r="D8" s="15"/>
      <c r="E8" s="16"/>
      <c r="F8" s="17"/>
      <c r="G8" s="17"/>
    </row>
    <row r="9" spans="1:7" x14ac:dyDescent="0.35">
      <c r="A9" s="13" t="s">
        <v>907</v>
      </c>
      <c r="B9" s="41" t="s">
        <v>908</v>
      </c>
      <c r="C9" s="41"/>
      <c r="D9" s="15">
        <v>17312211</v>
      </c>
      <c r="E9" s="16">
        <v>218926.76</v>
      </c>
      <c r="F9" s="17">
        <v>0.99409999999999998</v>
      </c>
      <c r="G9" s="17"/>
    </row>
    <row r="10" spans="1:7" x14ac:dyDescent="0.35">
      <c r="A10" s="14" t="s">
        <v>149</v>
      </c>
      <c r="B10" s="42"/>
      <c r="C10" s="42"/>
      <c r="D10" s="18"/>
      <c r="E10" s="36">
        <v>218926.76</v>
      </c>
      <c r="F10" s="37">
        <v>0.99409999999999998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218926.76</v>
      </c>
      <c r="F12" s="37">
        <v>0.99409999999999998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1330.43</v>
      </c>
      <c r="F15" s="17">
        <v>6.0000000000000001E-3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1330.43</v>
      </c>
      <c r="F16" s="37">
        <v>6.0000000000000001E-3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1330.43</v>
      </c>
      <c r="F18" s="37">
        <v>6.0000000000000001E-3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0.37720179999999998</v>
      </c>
      <c r="F19" s="17">
        <v>9.9999999999999995E-7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-32.147201799999998</v>
      </c>
      <c r="F20" s="29">
        <v>-1.01E-4</v>
      </c>
      <c r="G20" s="17">
        <v>5.1741000000000002E-2</v>
      </c>
    </row>
    <row r="21" spans="1:7" x14ac:dyDescent="0.35">
      <c r="A21" s="38" t="s">
        <v>260</v>
      </c>
      <c r="B21" s="44"/>
      <c r="C21" s="44"/>
      <c r="D21" s="39"/>
      <c r="E21" s="24">
        <v>220225.42</v>
      </c>
      <c r="F21" s="25">
        <v>1</v>
      </c>
      <c r="G21" s="25"/>
    </row>
    <row r="26" spans="1:7" x14ac:dyDescent="0.35">
      <c r="A26" s="1" t="s">
        <v>263</v>
      </c>
    </row>
    <row r="27" spans="1:7" ht="29" customHeight="1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46022</v>
      </c>
      <c r="C30" s="49">
        <v>46052</v>
      </c>
    </row>
    <row r="31" spans="1:7" x14ac:dyDescent="0.35">
      <c r="A31" t="s">
        <v>752</v>
      </c>
      <c r="B31">
        <v>12.7547</v>
      </c>
      <c r="C31">
        <v>12.660299999999999</v>
      </c>
    </row>
    <row r="32" spans="1:7" x14ac:dyDescent="0.35">
      <c r="A32" t="s">
        <v>273</v>
      </c>
      <c r="B32">
        <v>12.7547</v>
      </c>
      <c r="C32">
        <v>12.660299999999999</v>
      </c>
    </row>
    <row r="33" spans="1:3" x14ac:dyDescent="0.35">
      <c r="A33" t="s">
        <v>753</v>
      </c>
      <c r="B33">
        <v>12.7547</v>
      </c>
      <c r="C33">
        <v>12.660299999999999</v>
      </c>
    </row>
    <row r="34" spans="1:3" x14ac:dyDescent="0.35">
      <c r="A34" t="s">
        <v>709</v>
      </c>
      <c r="B34">
        <v>12.754799999999999</v>
      </c>
      <c r="C34">
        <v>12.660299999999999</v>
      </c>
    </row>
    <row r="36" spans="1:3" x14ac:dyDescent="0.35">
      <c r="A36" t="s">
        <v>283</v>
      </c>
      <c r="B36" s="3" t="s">
        <v>146</v>
      </c>
    </row>
    <row r="37" spans="1:3" x14ac:dyDescent="0.35">
      <c r="A37" t="s">
        <v>284</v>
      </c>
      <c r="B37" s="3" t="s">
        <v>146</v>
      </c>
    </row>
    <row r="38" spans="1:3" ht="58" customHeight="1" x14ac:dyDescent="0.35">
      <c r="A38" s="47" t="s">
        <v>285</v>
      </c>
      <c r="B38" s="3" t="s">
        <v>146</v>
      </c>
    </row>
    <row r="39" spans="1:3" ht="43.5" customHeight="1" x14ac:dyDescent="0.35">
      <c r="A39" s="47" t="s">
        <v>286</v>
      </c>
      <c r="B39" s="3" t="s">
        <v>146</v>
      </c>
    </row>
    <row r="40" spans="1:3" x14ac:dyDescent="0.35">
      <c r="A40" t="s">
        <v>287</v>
      </c>
      <c r="B40" s="48">
        <f>B55</f>
        <v>6.9047319535685094</v>
      </c>
    </row>
    <row r="41" spans="1:3" ht="72.5" customHeight="1" x14ac:dyDescent="0.35">
      <c r="A41" s="47" t="s">
        <v>887</v>
      </c>
      <c r="B41" s="3" t="s">
        <v>146</v>
      </c>
    </row>
    <row r="42" spans="1:3" x14ac:dyDescent="0.35">
      <c r="B42" s="3"/>
    </row>
    <row r="43" spans="1:3" ht="58" customHeight="1" x14ac:dyDescent="0.35">
      <c r="A43" s="47" t="s">
        <v>888</v>
      </c>
      <c r="B43" s="3" t="s">
        <v>146</v>
      </c>
    </row>
    <row r="44" spans="1:3" ht="58" customHeight="1" x14ac:dyDescent="0.35">
      <c r="A44" s="47" t="s">
        <v>889</v>
      </c>
      <c r="B44" t="s">
        <v>146</v>
      </c>
    </row>
    <row r="45" spans="1:3" ht="43.5" customHeight="1" x14ac:dyDescent="0.35">
      <c r="A45" s="47" t="s">
        <v>890</v>
      </c>
      <c r="B45" s="3" t="s">
        <v>146</v>
      </c>
    </row>
    <row r="46" spans="1:3" ht="43.5" customHeight="1" x14ac:dyDescent="0.35">
      <c r="A46" s="47" t="s">
        <v>891</v>
      </c>
      <c r="B46" s="3" t="s">
        <v>146</v>
      </c>
    </row>
    <row r="48" spans="1:3" x14ac:dyDescent="0.35">
      <c r="A48" t="s">
        <v>293</v>
      </c>
    </row>
    <row r="49" spans="1:4" x14ac:dyDescent="0.35">
      <c r="A49" s="51" t="s">
        <v>295</v>
      </c>
      <c r="B49" s="51" t="s">
        <v>909</v>
      </c>
    </row>
    <row r="50" spans="1:4" x14ac:dyDescent="0.35">
      <c r="A50" s="51" t="s">
        <v>297</v>
      </c>
      <c r="B50" s="51" t="s">
        <v>893</v>
      </c>
    </row>
    <row r="51" spans="1:4" x14ac:dyDescent="0.35">
      <c r="A51" s="51"/>
      <c r="B51" s="51"/>
    </row>
    <row r="52" spans="1:4" x14ac:dyDescent="0.35">
      <c r="A52" s="51" t="s">
        <v>299</v>
      </c>
      <c r="B52" s="52">
        <v>7.2187372143068469</v>
      </c>
    </row>
    <row r="53" spans="1:4" x14ac:dyDescent="0.35">
      <c r="A53" s="51"/>
      <c r="B53" s="51"/>
    </row>
    <row r="54" spans="1:4" x14ac:dyDescent="0.35">
      <c r="A54" s="51" t="s">
        <v>300</v>
      </c>
      <c r="B54" s="53">
        <v>5.4527999999999999</v>
      </c>
    </row>
    <row r="55" spans="1:4" x14ac:dyDescent="0.35">
      <c r="A55" s="51" t="s">
        <v>301</v>
      </c>
      <c r="B55" s="53">
        <v>6.9047319535685094</v>
      </c>
    </row>
    <row r="56" spans="1:4" x14ac:dyDescent="0.35">
      <c r="A56" s="51"/>
      <c r="B56" s="51"/>
    </row>
    <row r="57" spans="1:4" x14ac:dyDescent="0.35">
      <c r="A57" s="51" t="s">
        <v>302</v>
      </c>
      <c r="B57" s="54">
        <v>46053</v>
      </c>
    </row>
    <row r="59" spans="1:4" ht="70" customHeight="1" x14ac:dyDescent="0.35">
      <c r="A59" s="70" t="s">
        <v>303</v>
      </c>
      <c r="B59" s="70" t="s">
        <v>304</v>
      </c>
      <c r="C59" s="70" t="s">
        <v>4</v>
      </c>
      <c r="D59" s="70" t="s">
        <v>5</v>
      </c>
    </row>
    <row r="60" spans="1:4" ht="70" customHeight="1" x14ac:dyDescent="0.35">
      <c r="A60" s="70" t="s">
        <v>910</v>
      </c>
      <c r="B60" s="70"/>
      <c r="C60" s="70" t="s">
        <v>17</v>
      </c>
      <c r="D6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07"/>
  <sheetViews>
    <sheetView showGridLines="0" workbookViewId="0">
      <pane ySplit="4" topLeftCell="A84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911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912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4" t="s">
        <v>147</v>
      </c>
      <c r="B8" s="41"/>
      <c r="C8" s="41"/>
      <c r="D8" s="15"/>
      <c r="E8" s="16"/>
      <c r="F8" s="17"/>
      <c r="G8" s="17"/>
    </row>
    <row r="9" spans="1:7" x14ac:dyDescent="0.35">
      <c r="A9" s="14" t="s">
        <v>148</v>
      </c>
      <c r="B9" s="41"/>
      <c r="C9" s="41"/>
      <c r="D9" s="15"/>
      <c r="E9" s="16"/>
      <c r="F9" s="17"/>
      <c r="G9" s="17"/>
    </row>
    <row r="10" spans="1:7" x14ac:dyDescent="0.35">
      <c r="A10" s="14" t="s">
        <v>149</v>
      </c>
      <c r="B10" s="41"/>
      <c r="C10" s="41"/>
      <c r="D10" s="15"/>
      <c r="E10" s="45" t="s">
        <v>146</v>
      </c>
      <c r="F10" s="46" t="s">
        <v>146</v>
      </c>
      <c r="G10" s="17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14" t="s">
        <v>463</v>
      </c>
      <c r="B12" s="41"/>
      <c r="C12" s="41"/>
      <c r="D12" s="15"/>
      <c r="E12" s="16"/>
      <c r="F12" s="17"/>
      <c r="G12" s="17"/>
    </row>
    <row r="13" spans="1:7" x14ac:dyDescent="0.35">
      <c r="A13" s="13" t="s">
        <v>913</v>
      </c>
      <c r="B13" s="41" t="s">
        <v>914</v>
      </c>
      <c r="C13" s="41" t="s">
        <v>153</v>
      </c>
      <c r="D13" s="15">
        <v>2500000</v>
      </c>
      <c r="E13" s="16">
        <v>2472.0100000000002</v>
      </c>
      <c r="F13" s="17">
        <v>0.16719999999999999</v>
      </c>
      <c r="G13" s="17">
        <v>7.5651999999999997E-2</v>
      </c>
    </row>
    <row r="14" spans="1:7" x14ac:dyDescent="0.35">
      <c r="A14" s="13" t="s">
        <v>915</v>
      </c>
      <c r="B14" s="41" t="s">
        <v>916</v>
      </c>
      <c r="C14" s="41" t="s">
        <v>153</v>
      </c>
      <c r="D14" s="15">
        <v>2500000</v>
      </c>
      <c r="E14" s="16">
        <v>2338.21</v>
      </c>
      <c r="F14" s="17">
        <v>0.15820000000000001</v>
      </c>
      <c r="G14" s="17">
        <v>7.5448000000000001E-2</v>
      </c>
    </row>
    <row r="15" spans="1:7" x14ac:dyDescent="0.35">
      <c r="A15" s="13" t="s">
        <v>917</v>
      </c>
      <c r="B15" s="41" t="s">
        <v>918</v>
      </c>
      <c r="C15" s="41" t="s">
        <v>153</v>
      </c>
      <c r="D15" s="15">
        <v>1500000</v>
      </c>
      <c r="E15" s="16">
        <v>1477.09</v>
      </c>
      <c r="F15" s="17">
        <v>9.9900000000000003E-2</v>
      </c>
      <c r="G15" s="17">
        <v>6.8072999999999995E-2</v>
      </c>
    </row>
    <row r="16" spans="1:7" x14ac:dyDescent="0.35">
      <c r="A16" s="13" t="s">
        <v>919</v>
      </c>
      <c r="B16" s="41" t="s">
        <v>920</v>
      </c>
      <c r="C16" s="41" t="s">
        <v>153</v>
      </c>
      <c r="D16" s="15">
        <v>1500000</v>
      </c>
      <c r="E16" s="16">
        <v>1444.76</v>
      </c>
      <c r="F16" s="17">
        <v>9.7699999999999995E-2</v>
      </c>
      <c r="G16" s="17">
        <v>7.2166999999999995E-2</v>
      </c>
    </row>
    <row r="17" spans="1:7" x14ac:dyDescent="0.35">
      <c r="A17" s="14" t="s">
        <v>149</v>
      </c>
      <c r="B17" s="42"/>
      <c r="C17" s="42"/>
      <c r="D17" s="18"/>
      <c r="E17" s="36">
        <v>7732.07</v>
      </c>
      <c r="F17" s="37">
        <v>0.52300000000000002</v>
      </c>
      <c r="G17" s="21"/>
    </row>
    <row r="18" spans="1:7" x14ac:dyDescent="0.35">
      <c r="A18" s="13"/>
      <c r="B18" s="41"/>
      <c r="C18" s="41"/>
      <c r="D18" s="15"/>
      <c r="E18" s="16"/>
      <c r="F18" s="17"/>
      <c r="G18" s="17"/>
    </row>
    <row r="19" spans="1:7" x14ac:dyDescent="0.35">
      <c r="A19" s="14" t="s">
        <v>150</v>
      </c>
      <c r="B19" s="41"/>
      <c r="C19" s="41"/>
      <c r="D19" s="15"/>
      <c r="E19" s="16"/>
      <c r="F19" s="17"/>
      <c r="G19" s="17"/>
    </row>
    <row r="20" spans="1:7" x14ac:dyDescent="0.35">
      <c r="A20" s="13" t="s">
        <v>921</v>
      </c>
      <c r="B20" s="41" t="s">
        <v>922</v>
      </c>
      <c r="C20" s="41" t="s">
        <v>153</v>
      </c>
      <c r="D20" s="15">
        <v>2500000</v>
      </c>
      <c r="E20" s="16">
        <v>2504.1799999999998</v>
      </c>
      <c r="F20" s="17">
        <v>0.1694</v>
      </c>
      <c r="G20" s="17">
        <v>7.5843999999999995E-2</v>
      </c>
    </row>
    <row r="21" spans="1:7" x14ac:dyDescent="0.35">
      <c r="A21" s="13" t="s">
        <v>923</v>
      </c>
      <c r="B21" s="41" t="s">
        <v>924</v>
      </c>
      <c r="C21" s="41" t="s">
        <v>153</v>
      </c>
      <c r="D21" s="15">
        <v>9100</v>
      </c>
      <c r="E21" s="16">
        <v>9.5299999999999994</v>
      </c>
      <c r="F21" s="17">
        <v>5.9999999999999995E-4</v>
      </c>
      <c r="G21" s="17">
        <v>6.7761000000000002E-2</v>
      </c>
    </row>
    <row r="22" spans="1:7" x14ac:dyDescent="0.35">
      <c r="A22" s="14" t="s">
        <v>149</v>
      </c>
      <c r="B22" s="42"/>
      <c r="C22" s="42"/>
      <c r="D22" s="18"/>
      <c r="E22" s="36">
        <v>2513.71</v>
      </c>
      <c r="F22" s="37">
        <v>0.17</v>
      </c>
      <c r="G22" s="21"/>
    </row>
    <row r="23" spans="1:7" x14ac:dyDescent="0.35">
      <c r="A23" s="13"/>
      <c r="B23" s="41"/>
      <c r="C23" s="41"/>
      <c r="D23" s="15"/>
      <c r="E23" s="16"/>
      <c r="F23" s="17"/>
      <c r="G23" s="17"/>
    </row>
    <row r="24" spans="1:7" x14ac:dyDescent="0.35">
      <c r="A24" s="13"/>
      <c r="B24" s="41"/>
      <c r="C24" s="41"/>
      <c r="D24" s="15"/>
      <c r="E24" s="16"/>
      <c r="F24" s="17"/>
      <c r="G24" s="17"/>
    </row>
    <row r="25" spans="1:7" x14ac:dyDescent="0.35">
      <c r="A25" s="14" t="s">
        <v>158</v>
      </c>
      <c r="B25" s="41"/>
      <c r="C25" s="41"/>
      <c r="D25" s="15"/>
      <c r="E25" s="16"/>
      <c r="F25" s="17"/>
      <c r="G25" s="17"/>
    </row>
    <row r="26" spans="1:7" x14ac:dyDescent="0.35">
      <c r="A26" s="14" t="s">
        <v>149</v>
      </c>
      <c r="B26" s="41"/>
      <c r="C26" s="41"/>
      <c r="D26" s="15"/>
      <c r="E26" s="45" t="s">
        <v>146</v>
      </c>
      <c r="F26" s="46" t="s">
        <v>146</v>
      </c>
      <c r="G26" s="17"/>
    </row>
    <row r="27" spans="1:7" x14ac:dyDescent="0.35">
      <c r="A27" s="13"/>
      <c r="B27" s="41"/>
      <c r="C27" s="41"/>
      <c r="D27" s="15"/>
      <c r="E27" s="16"/>
      <c r="F27" s="17"/>
      <c r="G27" s="17"/>
    </row>
    <row r="28" spans="1:7" x14ac:dyDescent="0.35">
      <c r="A28" s="14" t="s">
        <v>159</v>
      </c>
      <c r="B28" s="41"/>
      <c r="C28" s="41"/>
      <c r="D28" s="15"/>
      <c r="E28" s="16"/>
      <c r="F28" s="17"/>
      <c r="G28" s="17"/>
    </row>
    <row r="29" spans="1:7" x14ac:dyDescent="0.35">
      <c r="A29" s="14" t="s">
        <v>149</v>
      </c>
      <c r="B29" s="41"/>
      <c r="C29" s="41"/>
      <c r="D29" s="15"/>
      <c r="E29" s="45" t="s">
        <v>146</v>
      </c>
      <c r="F29" s="46" t="s">
        <v>146</v>
      </c>
      <c r="G29" s="17"/>
    </row>
    <row r="30" spans="1:7" x14ac:dyDescent="0.35">
      <c r="A30" s="13"/>
      <c r="B30" s="41"/>
      <c r="C30" s="41"/>
      <c r="D30" s="15"/>
      <c r="E30" s="16"/>
      <c r="F30" s="17"/>
      <c r="G30" s="17"/>
    </row>
    <row r="31" spans="1:7" x14ac:dyDescent="0.35">
      <c r="A31" s="22" t="s">
        <v>160</v>
      </c>
      <c r="B31" s="43"/>
      <c r="C31" s="43"/>
      <c r="D31" s="23"/>
      <c r="E31" s="36">
        <v>10245.780000000001</v>
      </c>
      <c r="F31" s="37">
        <v>0.69299999999999995</v>
      </c>
      <c r="G31" s="21"/>
    </row>
    <row r="32" spans="1:7" x14ac:dyDescent="0.35">
      <c r="A32" s="13"/>
      <c r="B32" s="41"/>
      <c r="C32" s="41"/>
      <c r="D32" s="15"/>
      <c r="E32" s="16"/>
      <c r="F32" s="17"/>
      <c r="G32" s="17"/>
    </row>
    <row r="33" spans="1:7" x14ac:dyDescent="0.35">
      <c r="A33" s="14" t="s">
        <v>161</v>
      </c>
      <c r="B33" s="41"/>
      <c r="C33" s="41"/>
      <c r="D33" s="15"/>
      <c r="E33" s="16"/>
      <c r="F33" s="17"/>
      <c r="G33" s="17"/>
    </row>
    <row r="34" spans="1:7" x14ac:dyDescent="0.35">
      <c r="A34" s="13"/>
      <c r="B34" s="41"/>
      <c r="C34" s="41"/>
      <c r="D34" s="15"/>
      <c r="E34" s="16"/>
      <c r="F34" s="17"/>
      <c r="G34" s="17"/>
    </row>
    <row r="35" spans="1:7" x14ac:dyDescent="0.35">
      <c r="A35" s="14" t="s">
        <v>162</v>
      </c>
      <c r="B35" s="41"/>
      <c r="C35" s="41"/>
      <c r="D35" s="15"/>
      <c r="E35" s="16"/>
      <c r="F35" s="17"/>
      <c r="G35" s="17"/>
    </row>
    <row r="36" spans="1:7" x14ac:dyDescent="0.35">
      <c r="A36" s="13" t="s">
        <v>925</v>
      </c>
      <c r="B36" s="41" t="s">
        <v>926</v>
      </c>
      <c r="C36" s="41" t="s">
        <v>153</v>
      </c>
      <c r="D36" s="15">
        <v>1000000</v>
      </c>
      <c r="E36" s="16">
        <v>999.44</v>
      </c>
      <c r="F36" s="17">
        <v>6.7599999999999993E-2</v>
      </c>
      <c r="G36" s="17">
        <v>5.0763000000000003E-2</v>
      </c>
    </row>
    <row r="37" spans="1:7" x14ac:dyDescent="0.35">
      <c r="A37" s="13" t="s">
        <v>927</v>
      </c>
      <c r="B37" s="41" t="s">
        <v>928</v>
      </c>
      <c r="C37" s="41" t="s">
        <v>153</v>
      </c>
      <c r="D37" s="15">
        <v>500000</v>
      </c>
      <c r="E37" s="16">
        <v>499.23</v>
      </c>
      <c r="F37" s="17">
        <v>3.3799999999999997E-2</v>
      </c>
      <c r="G37" s="17">
        <v>5.1012000000000002E-2</v>
      </c>
    </row>
    <row r="38" spans="1:7" x14ac:dyDescent="0.35">
      <c r="A38" s="13" t="s">
        <v>929</v>
      </c>
      <c r="B38" s="41" t="s">
        <v>930</v>
      </c>
      <c r="C38" s="41" t="s">
        <v>153</v>
      </c>
      <c r="D38" s="15">
        <v>500000</v>
      </c>
      <c r="E38" s="16">
        <v>499.23</v>
      </c>
      <c r="F38" s="17">
        <v>3.3799999999999997E-2</v>
      </c>
      <c r="G38" s="17">
        <v>5.1012000000000002E-2</v>
      </c>
    </row>
    <row r="39" spans="1:7" x14ac:dyDescent="0.35">
      <c r="A39" s="14" t="s">
        <v>149</v>
      </c>
      <c r="B39" s="42"/>
      <c r="C39" s="42"/>
      <c r="D39" s="18"/>
      <c r="E39" s="36">
        <v>1997.9</v>
      </c>
      <c r="F39" s="37">
        <v>0.13519999999999999</v>
      </c>
      <c r="G39" s="21"/>
    </row>
    <row r="40" spans="1:7" x14ac:dyDescent="0.35">
      <c r="A40" s="13"/>
      <c r="B40" s="41"/>
      <c r="C40" s="41"/>
      <c r="D40" s="15"/>
      <c r="E40" s="16"/>
      <c r="F40" s="17"/>
      <c r="G40" s="17"/>
    </row>
    <row r="41" spans="1:7" x14ac:dyDescent="0.35">
      <c r="A41" s="22" t="s">
        <v>160</v>
      </c>
      <c r="B41" s="43"/>
      <c r="C41" s="43"/>
      <c r="D41" s="23"/>
      <c r="E41" s="36">
        <v>1997.9</v>
      </c>
      <c r="F41" s="37">
        <v>0.13519999999999999</v>
      </c>
      <c r="G41" s="21"/>
    </row>
    <row r="42" spans="1:7" x14ac:dyDescent="0.35">
      <c r="A42" s="13"/>
      <c r="B42" s="41"/>
      <c r="C42" s="41"/>
      <c r="D42" s="15"/>
      <c r="E42" s="16"/>
      <c r="F42" s="17"/>
      <c r="G42" s="17"/>
    </row>
    <row r="43" spans="1:7" x14ac:dyDescent="0.35">
      <c r="A43" s="13"/>
      <c r="B43" s="41"/>
      <c r="C43" s="41"/>
      <c r="D43" s="15"/>
      <c r="E43" s="16"/>
      <c r="F43" s="17"/>
      <c r="G43" s="17"/>
    </row>
    <row r="44" spans="1:7" x14ac:dyDescent="0.35">
      <c r="A44" s="14" t="s">
        <v>255</v>
      </c>
      <c r="B44" s="41"/>
      <c r="C44" s="41"/>
      <c r="D44" s="15"/>
      <c r="E44" s="16"/>
      <c r="F44" s="17"/>
      <c r="G44" s="17"/>
    </row>
    <row r="45" spans="1:7" x14ac:dyDescent="0.35">
      <c r="A45" s="13" t="s">
        <v>257</v>
      </c>
      <c r="B45" s="41"/>
      <c r="C45" s="41"/>
      <c r="D45" s="15"/>
      <c r="E45" s="16">
        <v>2409.98</v>
      </c>
      <c r="F45" s="17">
        <v>0.16300000000000001</v>
      </c>
      <c r="G45" s="17">
        <v>5.1742000000000003E-2</v>
      </c>
    </row>
    <row r="46" spans="1:7" x14ac:dyDescent="0.35">
      <c r="A46" s="14" t="s">
        <v>149</v>
      </c>
      <c r="B46" s="42"/>
      <c r="C46" s="42"/>
      <c r="D46" s="18"/>
      <c r="E46" s="36">
        <v>2409.98</v>
      </c>
      <c r="F46" s="37">
        <v>0.16300000000000001</v>
      </c>
      <c r="G46" s="21"/>
    </row>
    <row r="47" spans="1:7" x14ac:dyDescent="0.35">
      <c r="A47" s="13"/>
      <c r="B47" s="41"/>
      <c r="C47" s="41"/>
      <c r="D47" s="15"/>
      <c r="E47" s="16"/>
      <c r="F47" s="17"/>
      <c r="G47" s="17"/>
    </row>
    <row r="48" spans="1:7" x14ac:dyDescent="0.35">
      <c r="A48" s="22" t="s">
        <v>160</v>
      </c>
      <c r="B48" s="43"/>
      <c r="C48" s="43"/>
      <c r="D48" s="23"/>
      <c r="E48" s="36">
        <v>2409.98</v>
      </c>
      <c r="F48" s="37">
        <v>0.16300000000000001</v>
      </c>
      <c r="G48" s="21"/>
    </row>
    <row r="49" spans="1:7" x14ac:dyDescent="0.35">
      <c r="A49" s="13" t="s">
        <v>258</v>
      </c>
      <c r="B49" s="41"/>
      <c r="C49" s="41"/>
      <c r="D49" s="15"/>
      <c r="E49" s="16">
        <v>141.54990240000001</v>
      </c>
      <c r="F49" s="17">
        <v>9.5750000000000002E-3</v>
      </c>
      <c r="G49" s="17"/>
    </row>
    <row r="50" spans="1:7" x14ac:dyDescent="0.35">
      <c r="A50" s="13" t="s">
        <v>259</v>
      </c>
      <c r="B50" s="41"/>
      <c r="C50" s="41"/>
      <c r="D50" s="15"/>
      <c r="E50" s="28">
        <v>-12.8099024</v>
      </c>
      <c r="F50" s="29">
        <v>-7.7499999999999997E-4</v>
      </c>
      <c r="G50" s="17">
        <v>5.1741000000000002E-2</v>
      </c>
    </row>
    <row r="51" spans="1:7" x14ac:dyDescent="0.35">
      <c r="A51" s="38" t="s">
        <v>260</v>
      </c>
      <c r="B51" s="44"/>
      <c r="C51" s="44"/>
      <c r="D51" s="39"/>
      <c r="E51" s="24">
        <v>14782.4</v>
      </c>
      <c r="F51" s="25">
        <v>1</v>
      </c>
      <c r="G51" s="25"/>
    </row>
    <row r="53" spans="1:7" x14ac:dyDescent="0.35">
      <c r="A53" s="1" t="s">
        <v>262</v>
      </c>
    </row>
    <row r="56" spans="1:7" x14ac:dyDescent="0.35">
      <c r="A56" s="1" t="s">
        <v>263</v>
      </c>
    </row>
    <row r="57" spans="1:7" ht="29" customHeight="1" x14ac:dyDescent="0.35">
      <c r="A57" s="47" t="s">
        <v>264</v>
      </c>
      <c r="B57" s="3" t="s">
        <v>146</v>
      </c>
    </row>
    <row r="58" spans="1:7" x14ac:dyDescent="0.35">
      <c r="A58" t="s">
        <v>265</v>
      </c>
    </row>
    <row r="59" spans="1:7" x14ac:dyDescent="0.35">
      <c r="A59" t="s">
        <v>266</v>
      </c>
      <c r="B59" t="s">
        <v>267</v>
      </c>
      <c r="C59" t="s">
        <v>267</v>
      </c>
    </row>
    <row r="60" spans="1:7" x14ac:dyDescent="0.35">
      <c r="B60" s="49">
        <v>46022</v>
      </c>
      <c r="C60" s="49">
        <v>46052</v>
      </c>
    </row>
    <row r="61" spans="1:7" x14ac:dyDescent="0.35">
      <c r="A61" t="s">
        <v>268</v>
      </c>
      <c r="B61">
        <v>26.243200000000002</v>
      </c>
      <c r="C61">
        <v>26.180599999999998</v>
      </c>
    </row>
    <row r="62" spans="1:7" x14ac:dyDescent="0.35">
      <c r="A62" t="s">
        <v>269</v>
      </c>
      <c r="B62" t="s">
        <v>270</v>
      </c>
      <c r="C62" t="s">
        <v>271</v>
      </c>
    </row>
    <row r="63" spans="1:7" x14ac:dyDescent="0.35">
      <c r="A63" t="s">
        <v>704</v>
      </c>
      <c r="B63">
        <v>23.15</v>
      </c>
      <c r="C63">
        <v>23.031199999999998</v>
      </c>
    </row>
    <row r="64" spans="1:7" x14ac:dyDescent="0.35">
      <c r="A64" t="s">
        <v>272</v>
      </c>
      <c r="B64">
        <v>26.234200000000001</v>
      </c>
      <c r="C64">
        <v>26.171299999999999</v>
      </c>
    </row>
    <row r="65" spans="1:4" x14ac:dyDescent="0.35">
      <c r="A65" t="s">
        <v>273</v>
      </c>
      <c r="B65">
        <v>26.129899999999999</v>
      </c>
      <c r="C65">
        <v>26.0671</v>
      </c>
    </row>
    <row r="66" spans="1:4" x14ac:dyDescent="0.35">
      <c r="A66" t="s">
        <v>705</v>
      </c>
      <c r="B66">
        <v>16.437899999999999</v>
      </c>
      <c r="C66">
        <v>16.398399999999999</v>
      </c>
    </row>
    <row r="67" spans="1:4" x14ac:dyDescent="0.35">
      <c r="A67" t="s">
        <v>706</v>
      </c>
      <c r="B67">
        <v>14.252599999999999</v>
      </c>
      <c r="C67">
        <v>14.207100000000001</v>
      </c>
    </row>
    <row r="68" spans="1:4" x14ac:dyDescent="0.35">
      <c r="A68" t="s">
        <v>277</v>
      </c>
      <c r="B68">
        <v>24.588899999999999</v>
      </c>
      <c r="C68">
        <v>24.5167</v>
      </c>
    </row>
    <row r="69" spans="1:4" x14ac:dyDescent="0.35">
      <c r="A69" t="s">
        <v>281</v>
      </c>
      <c r="B69" t="s">
        <v>270</v>
      </c>
      <c r="C69" t="s">
        <v>271</v>
      </c>
    </row>
    <row r="70" spans="1:4" x14ac:dyDescent="0.35">
      <c r="A70" t="s">
        <v>707</v>
      </c>
      <c r="B70" t="s">
        <v>270</v>
      </c>
      <c r="C70">
        <v>24.485800000000001</v>
      </c>
    </row>
    <row r="71" spans="1:4" x14ac:dyDescent="0.35">
      <c r="A71" t="s">
        <v>708</v>
      </c>
      <c r="B71">
        <v>24.5779</v>
      </c>
      <c r="C71">
        <v>24.505700000000001</v>
      </c>
    </row>
    <row r="72" spans="1:4" x14ac:dyDescent="0.35">
      <c r="A72" t="s">
        <v>709</v>
      </c>
      <c r="B72">
        <v>24.5943</v>
      </c>
      <c r="C72">
        <v>24.521999999999998</v>
      </c>
    </row>
    <row r="73" spans="1:4" x14ac:dyDescent="0.35">
      <c r="A73" t="s">
        <v>710</v>
      </c>
      <c r="B73">
        <v>10.2706</v>
      </c>
      <c r="C73">
        <v>10.240399999999999</v>
      </c>
    </row>
    <row r="74" spans="1:4" x14ac:dyDescent="0.35">
      <c r="A74" t="s">
        <v>711</v>
      </c>
      <c r="B74">
        <v>10.1492</v>
      </c>
      <c r="C74">
        <v>10.119400000000001</v>
      </c>
    </row>
    <row r="75" spans="1:4" x14ac:dyDescent="0.35">
      <c r="A75" t="s">
        <v>282</v>
      </c>
    </row>
    <row r="77" spans="1:4" x14ac:dyDescent="0.35">
      <c r="A77" t="s">
        <v>712</v>
      </c>
    </row>
    <row r="79" spans="1:4" x14ac:dyDescent="0.35">
      <c r="A79" s="50" t="s">
        <v>713</v>
      </c>
      <c r="B79" s="50" t="s">
        <v>714</v>
      </c>
      <c r="C79" s="50" t="s">
        <v>715</v>
      </c>
      <c r="D79" s="50" t="s">
        <v>716</v>
      </c>
    </row>
    <row r="80" spans="1:4" x14ac:dyDescent="0.35">
      <c r="A80" s="50" t="s">
        <v>717</v>
      </c>
      <c r="B80" s="50"/>
      <c r="C80" s="50">
        <v>6.3645999999999994E-2</v>
      </c>
      <c r="D80" s="50">
        <v>6.3645999999999994E-2</v>
      </c>
    </row>
    <row r="81" spans="1:4" x14ac:dyDescent="0.35">
      <c r="A81" s="50" t="s">
        <v>931</v>
      </c>
      <c r="B81" s="50"/>
      <c r="C81" s="50">
        <v>1.1282199999999999E-2</v>
      </c>
      <c r="D81" s="50">
        <v>1.1282199999999999E-2</v>
      </c>
    </row>
    <row r="82" spans="1:4" x14ac:dyDescent="0.35">
      <c r="A82" s="50" t="s">
        <v>718</v>
      </c>
      <c r="B82" s="50"/>
      <c r="C82" s="50">
        <v>1.9838600000000001E-2</v>
      </c>
      <c r="D82" s="50">
        <v>1.9838600000000001E-2</v>
      </c>
    </row>
    <row r="84" spans="1:4" x14ac:dyDescent="0.35">
      <c r="A84" t="s">
        <v>284</v>
      </c>
      <c r="B84" s="3" t="s">
        <v>146</v>
      </c>
    </row>
    <row r="85" spans="1:4" ht="58" customHeight="1" x14ac:dyDescent="0.35">
      <c r="A85" s="47" t="s">
        <v>285</v>
      </c>
      <c r="B85" s="3" t="s">
        <v>146</v>
      </c>
    </row>
    <row r="86" spans="1:4" ht="43.5" customHeight="1" x14ac:dyDescent="0.35">
      <c r="A86" s="47" t="s">
        <v>286</v>
      </c>
      <c r="B86" s="3" t="s">
        <v>146</v>
      </c>
    </row>
    <row r="87" spans="1:4" x14ac:dyDescent="0.35">
      <c r="A87" t="s">
        <v>287</v>
      </c>
      <c r="B87" s="48">
        <f>B102</f>
        <v>16.970866213761511</v>
      </c>
    </row>
    <row r="88" spans="1:4" ht="72.5" customHeight="1" x14ac:dyDescent="0.35">
      <c r="A88" s="47" t="s">
        <v>288</v>
      </c>
      <c r="B88" s="3" t="s">
        <v>146</v>
      </c>
    </row>
    <row r="89" spans="1:4" x14ac:dyDescent="0.35">
      <c r="B89" s="3"/>
    </row>
    <row r="90" spans="1:4" ht="58" customHeight="1" x14ac:dyDescent="0.35">
      <c r="A90" s="47" t="s">
        <v>289</v>
      </c>
      <c r="B90" s="3" t="s">
        <v>146</v>
      </c>
    </row>
    <row r="91" spans="1:4" ht="58" customHeight="1" x14ac:dyDescent="0.35">
      <c r="A91" s="47" t="s">
        <v>290</v>
      </c>
      <c r="B91" t="s">
        <v>146</v>
      </c>
    </row>
    <row r="92" spans="1:4" ht="43.5" customHeight="1" x14ac:dyDescent="0.35">
      <c r="A92" s="47" t="s">
        <v>291</v>
      </c>
      <c r="B92" s="3" t="s">
        <v>146</v>
      </c>
    </row>
    <row r="93" spans="1:4" ht="43.5" customHeight="1" x14ac:dyDescent="0.35">
      <c r="A93" s="47" t="s">
        <v>292</v>
      </c>
      <c r="B93" s="3" t="s">
        <v>146</v>
      </c>
    </row>
    <row r="95" spans="1:4" x14ac:dyDescent="0.35">
      <c r="A95" t="s">
        <v>293</v>
      </c>
    </row>
    <row r="96" spans="1:4" x14ac:dyDescent="0.35">
      <c r="A96" s="51" t="s">
        <v>295</v>
      </c>
      <c r="B96" s="51" t="s">
        <v>932</v>
      </c>
    </row>
    <row r="97" spans="1:6" x14ac:dyDescent="0.35">
      <c r="A97" s="51" t="s">
        <v>297</v>
      </c>
      <c r="B97" s="51" t="s">
        <v>933</v>
      </c>
    </row>
    <row r="98" spans="1:6" x14ac:dyDescent="0.35">
      <c r="A98" s="51"/>
      <c r="B98" s="51"/>
    </row>
    <row r="99" spans="1:6" x14ac:dyDescent="0.35">
      <c r="A99" s="51" t="s">
        <v>299</v>
      </c>
      <c r="B99" s="52">
        <v>6.7297864035255914</v>
      </c>
    </row>
    <row r="100" spans="1:6" x14ac:dyDescent="0.35">
      <c r="A100" s="51"/>
      <c r="B100" s="51"/>
    </row>
    <row r="101" spans="1:6" x14ac:dyDescent="0.35">
      <c r="A101" s="51" t="s">
        <v>300</v>
      </c>
      <c r="B101" s="53">
        <v>7.1760000000000002</v>
      </c>
    </row>
    <row r="102" spans="1:6" x14ac:dyDescent="0.35">
      <c r="A102" s="51" t="s">
        <v>301</v>
      </c>
      <c r="B102" s="45">
        <v>16.970866213761511</v>
      </c>
    </row>
    <row r="103" spans="1:6" x14ac:dyDescent="0.35">
      <c r="A103" s="51"/>
      <c r="B103" s="51"/>
    </row>
    <row r="104" spans="1:6" x14ac:dyDescent="0.35">
      <c r="A104" s="51" t="s">
        <v>302</v>
      </c>
      <c r="B104" s="54">
        <v>46053</v>
      </c>
    </row>
    <row r="106" spans="1:6" ht="70" customHeight="1" x14ac:dyDescent="0.35">
      <c r="A106" s="70" t="s">
        <v>303</v>
      </c>
      <c r="B106" s="70" t="s">
        <v>304</v>
      </c>
      <c r="C106" s="70" t="s">
        <v>4</v>
      </c>
      <c r="D106" s="70" t="s">
        <v>5</v>
      </c>
      <c r="E106" s="70" t="s">
        <v>4</v>
      </c>
      <c r="F106" s="70" t="s">
        <v>5</v>
      </c>
    </row>
    <row r="107" spans="1:6" ht="70" customHeight="1" x14ac:dyDescent="0.35">
      <c r="A107" s="70" t="s">
        <v>932</v>
      </c>
      <c r="B107" s="70"/>
      <c r="C107" s="70" t="s">
        <v>38</v>
      </c>
      <c r="D107" s="70"/>
      <c r="E107" s="70" t="s">
        <v>39</v>
      </c>
      <c r="F107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109"/>
  <sheetViews>
    <sheetView showGridLines="0" workbookViewId="0">
      <pane ySplit="4" topLeftCell="A55" activePane="bottomLeft" state="frozen"/>
      <selection activeCell="H1" sqref="H1:H1048576"/>
      <selection pane="bottomLeft" activeCell="A59" sqref="A59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934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935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936</v>
      </c>
      <c r="B11" s="41" t="s">
        <v>937</v>
      </c>
      <c r="C11" s="41" t="s">
        <v>317</v>
      </c>
      <c r="D11" s="15">
        <v>2500000</v>
      </c>
      <c r="E11" s="16">
        <v>2515.11</v>
      </c>
      <c r="F11" s="17">
        <v>4.7100000000000003E-2</v>
      </c>
      <c r="G11" s="17">
        <v>7.1900000000000006E-2</v>
      </c>
    </row>
    <row r="12" spans="1:7" x14ac:dyDescent="0.35">
      <c r="A12" s="13" t="s">
        <v>938</v>
      </c>
      <c r="B12" s="41" t="s">
        <v>939</v>
      </c>
      <c r="C12" s="41" t="s">
        <v>310</v>
      </c>
      <c r="D12" s="15">
        <v>2500000</v>
      </c>
      <c r="E12" s="16">
        <v>2511.71</v>
      </c>
      <c r="F12" s="17">
        <v>4.7100000000000003E-2</v>
      </c>
      <c r="G12" s="17">
        <v>7.1599999999999997E-2</v>
      </c>
    </row>
    <row r="13" spans="1:7" x14ac:dyDescent="0.35">
      <c r="A13" s="13" t="s">
        <v>940</v>
      </c>
      <c r="B13" s="41" t="s">
        <v>941</v>
      </c>
      <c r="C13" s="41" t="s">
        <v>310</v>
      </c>
      <c r="D13" s="15">
        <v>2500000</v>
      </c>
      <c r="E13" s="16">
        <v>2491.14</v>
      </c>
      <c r="F13" s="17">
        <v>4.6699999999999998E-2</v>
      </c>
      <c r="G13" s="17">
        <v>7.3400000000000007E-2</v>
      </c>
    </row>
    <row r="14" spans="1:7" x14ac:dyDescent="0.35">
      <c r="A14" s="13" t="s">
        <v>942</v>
      </c>
      <c r="B14" s="41" t="s">
        <v>943</v>
      </c>
      <c r="C14" s="41" t="s">
        <v>310</v>
      </c>
      <c r="D14" s="15">
        <v>2500000</v>
      </c>
      <c r="E14" s="16">
        <v>2489.0700000000002</v>
      </c>
      <c r="F14" s="17">
        <v>4.6600000000000003E-2</v>
      </c>
      <c r="G14" s="17">
        <v>7.4149999999999994E-2</v>
      </c>
    </row>
    <row r="15" spans="1:7" x14ac:dyDescent="0.35">
      <c r="A15" s="13" t="s">
        <v>944</v>
      </c>
      <c r="B15" s="41" t="s">
        <v>945</v>
      </c>
      <c r="C15" s="41" t="s">
        <v>317</v>
      </c>
      <c r="D15" s="15">
        <v>2500000</v>
      </c>
      <c r="E15" s="16">
        <v>2480.41</v>
      </c>
      <c r="F15" s="17">
        <v>4.65E-2</v>
      </c>
      <c r="G15" s="17">
        <v>7.1599999999999997E-2</v>
      </c>
    </row>
    <row r="16" spans="1:7" x14ac:dyDescent="0.35">
      <c r="A16" s="13" t="s">
        <v>946</v>
      </c>
      <c r="B16" s="41" t="s">
        <v>947</v>
      </c>
      <c r="C16" s="41" t="s">
        <v>948</v>
      </c>
      <c r="D16" s="15">
        <v>1000000</v>
      </c>
      <c r="E16" s="16">
        <v>1001.46</v>
      </c>
      <c r="F16" s="17">
        <v>1.8800000000000001E-2</v>
      </c>
      <c r="G16" s="17">
        <v>8.8858000000000006E-2</v>
      </c>
    </row>
    <row r="17" spans="1:7" x14ac:dyDescent="0.35">
      <c r="A17" s="13" t="s">
        <v>949</v>
      </c>
      <c r="B17" s="41" t="s">
        <v>950</v>
      </c>
      <c r="C17" s="41" t="s">
        <v>951</v>
      </c>
      <c r="D17" s="15">
        <v>1000000</v>
      </c>
      <c r="E17" s="16">
        <v>1000.19</v>
      </c>
      <c r="F17" s="17">
        <v>1.8700000000000001E-2</v>
      </c>
      <c r="G17" s="17">
        <v>8.0100000000000005E-2</v>
      </c>
    </row>
    <row r="18" spans="1:7" x14ac:dyDescent="0.35">
      <c r="A18" s="13" t="s">
        <v>952</v>
      </c>
      <c r="B18" s="41" t="s">
        <v>953</v>
      </c>
      <c r="C18" s="41" t="s">
        <v>954</v>
      </c>
      <c r="D18" s="15">
        <v>1000000</v>
      </c>
      <c r="E18" s="16">
        <v>997.93</v>
      </c>
      <c r="F18" s="17">
        <v>1.8700000000000001E-2</v>
      </c>
      <c r="G18" s="17">
        <v>8.8348999999999997E-2</v>
      </c>
    </row>
    <row r="19" spans="1:7" x14ac:dyDescent="0.35">
      <c r="A19" s="14" t="s">
        <v>149</v>
      </c>
      <c r="B19" s="42"/>
      <c r="C19" s="42"/>
      <c r="D19" s="18"/>
      <c r="E19" s="36">
        <v>15487.02</v>
      </c>
      <c r="F19" s="37">
        <v>0.29020000000000001</v>
      </c>
      <c r="G19" s="21"/>
    </row>
    <row r="20" spans="1:7" x14ac:dyDescent="0.35">
      <c r="A20" s="14" t="s">
        <v>150</v>
      </c>
      <c r="B20" s="41"/>
      <c r="C20" s="41"/>
      <c r="D20" s="15"/>
      <c r="E20" s="16"/>
      <c r="F20" s="17"/>
      <c r="G20" s="17"/>
    </row>
    <row r="21" spans="1:7" x14ac:dyDescent="0.35">
      <c r="A21" s="13" t="s">
        <v>955</v>
      </c>
      <c r="B21" s="41" t="s">
        <v>956</v>
      </c>
      <c r="C21" s="41" t="s">
        <v>153</v>
      </c>
      <c r="D21" s="15">
        <v>500000</v>
      </c>
      <c r="E21" s="16">
        <v>504.43</v>
      </c>
      <c r="F21" s="17">
        <v>9.4999999999999998E-3</v>
      </c>
      <c r="G21" s="17">
        <v>5.7528000000000003E-2</v>
      </c>
    </row>
    <row r="22" spans="1:7" x14ac:dyDescent="0.35">
      <c r="A22" s="14" t="s">
        <v>149</v>
      </c>
      <c r="B22" s="42"/>
      <c r="C22" s="42"/>
      <c r="D22" s="18"/>
      <c r="E22" s="36">
        <v>504.43</v>
      </c>
      <c r="F22" s="37">
        <v>9.4999999999999998E-3</v>
      </c>
      <c r="G22" s="21"/>
    </row>
    <row r="23" spans="1:7" x14ac:dyDescent="0.35">
      <c r="A23" s="13"/>
      <c r="B23" s="41"/>
      <c r="C23" s="41"/>
      <c r="D23" s="15"/>
      <c r="E23" s="16"/>
      <c r="F23" s="17"/>
      <c r="G23" s="17"/>
    </row>
    <row r="24" spans="1:7" x14ac:dyDescent="0.35">
      <c r="A24" s="13"/>
      <c r="B24" s="41"/>
      <c r="C24" s="41"/>
      <c r="D24" s="15"/>
      <c r="E24" s="16"/>
      <c r="F24" s="17"/>
      <c r="G24" s="17"/>
    </row>
    <row r="25" spans="1:7" x14ac:dyDescent="0.35">
      <c r="A25" s="14" t="s">
        <v>158</v>
      </c>
      <c r="B25" s="41"/>
      <c r="C25" s="41"/>
      <c r="D25" s="15"/>
      <c r="E25" s="16"/>
      <c r="F25" s="17"/>
      <c r="G25" s="17"/>
    </row>
    <row r="26" spans="1:7" x14ac:dyDescent="0.35">
      <c r="A26" s="14" t="s">
        <v>149</v>
      </c>
      <c r="B26" s="41"/>
      <c r="C26" s="41"/>
      <c r="D26" s="15"/>
      <c r="E26" s="45" t="s">
        <v>146</v>
      </c>
      <c r="F26" s="46" t="s">
        <v>146</v>
      </c>
      <c r="G26" s="17"/>
    </row>
    <row r="27" spans="1:7" x14ac:dyDescent="0.35">
      <c r="A27" s="13"/>
      <c r="B27" s="41"/>
      <c r="C27" s="41"/>
      <c r="D27" s="15"/>
      <c r="E27" s="16"/>
      <c r="F27" s="17"/>
      <c r="G27" s="17"/>
    </row>
    <row r="28" spans="1:7" x14ac:dyDescent="0.35">
      <c r="A28" s="14" t="s">
        <v>159</v>
      </c>
      <c r="B28" s="41"/>
      <c r="C28" s="41"/>
      <c r="D28" s="15"/>
      <c r="E28" s="16"/>
      <c r="F28" s="17"/>
      <c r="G28" s="17"/>
    </row>
    <row r="29" spans="1:7" x14ac:dyDescent="0.35">
      <c r="A29" s="14" t="s">
        <v>149</v>
      </c>
      <c r="B29" s="41"/>
      <c r="C29" s="41"/>
      <c r="D29" s="15"/>
      <c r="E29" s="45" t="s">
        <v>146</v>
      </c>
      <c r="F29" s="46" t="s">
        <v>146</v>
      </c>
      <c r="G29" s="17"/>
    </row>
    <row r="30" spans="1:7" x14ac:dyDescent="0.35">
      <c r="A30" s="13"/>
      <c r="B30" s="41"/>
      <c r="C30" s="41"/>
      <c r="D30" s="15"/>
      <c r="E30" s="16"/>
      <c r="F30" s="17"/>
      <c r="G30" s="17"/>
    </row>
    <row r="31" spans="1:7" x14ac:dyDescent="0.35">
      <c r="A31" s="22" t="s">
        <v>160</v>
      </c>
      <c r="B31" s="43"/>
      <c r="C31" s="43"/>
      <c r="D31" s="23"/>
      <c r="E31" s="36">
        <v>15991.45</v>
      </c>
      <c r="F31" s="37">
        <v>0.29970000000000002</v>
      </c>
      <c r="G31" s="21"/>
    </row>
    <row r="32" spans="1:7" x14ac:dyDescent="0.35">
      <c r="A32" s="13"/>
      <c r="B32" s="41"/>
      <c r="C32" s="41"/>
      <c r="D32" s="15"/>
      <c r="E32" s="16"/>
      <c r="F32" s="17"/>
      <c r="G32" s="17"/>
    </row>
    <row r="33" spans="1:7" x14ac:dyDescent="0.35">
      <c r="A33" s="14" t="s">
        <v>161</v>
      </c>
      <c r="B33" s="41"/>
      <c r="C33" s="41"/>
      <c r="D33" s="15"/>
      <c r="E33" s="16"/>
      <c r="F33" s="17"/>
      <c r="G33" s="17"/>
    </row>
    <row r="34" spans="1:7" x14ac:dyDescent="0.35">
      <c r="A34" s="13"/>
      <c r="B34" s="41"/>
      <c r="C34" s="41"/>
      <c r="D34" s="15"/>
      <c r="E34" s="16"/>
      <c r="F34" s="17"/>
      <c r="G34" s="17"/>
    </row>
    <row r="35" spans="1:7" x14ac:dyDescent="0.35">
      <c r="A35" s="14" t="s">
        <v>162</v>
      </c>
      <c r="B35" s="41"/>
      <c r="C35" s="41"/>
      <c r="D35" s="15"/>
      <c r="E35" s="16"/>
      <c r="F35" s="17"/>
      <c r="G35" s="17"/>
    </row>
    <row r="36" spans="1:7" x14ac:dyDescent="0.35">
      <c r="A36" s="13" t="s">
        <v>957</v>
      </c>
      <c r="B36" s="41" t="s">
        <v>958</v>
      </c>
      <c r="C36" s="41" t="s">
        <v>153</v>
      </c>
      <c r="D36" s="15">
        <v>5000000</v>
      </c>
      <c r="E36" s="16">
        <v>4950.75</v>
      </c>
      <c r="F36" s="17">
        <v>9.2799999999999994E-2</v>
      </c>
      <c r="G36" s="17">
        <v>5.4199999999999998E-2</v>
      </c>
    </row>
    <row r="37" spans="1:7" x14ac:dyDescent="0.35">
      <c r="A37" s="14" t="s">
        <v>149</v>
      </c>
      <c r="B37" s="42"/>
      <c r="C37" s="42"/>
      <c r="D37" s="18"/>
      <c r="E37" s="36">
        <v>4950.75</v>
      </c>
      <c r="F37" s="37">
        <v>9.2799999999999994E-2</v>
      </c>
      <c r="G37" s="21"/>
    </row>
    <row r="38" spans="1:7" x14ac:dyDescent="0.35">
      <c r="A38" s="14" t="s">
        <v>173</v>
      </c>
      <c r="B38" s="41"/>
      <c r="C38" s="41"/>
      <c r="D38" s="15"/>
      <c r="E38" s="16"/>
      <c r="F38" s="17"/>
      <c r="G38" s="17"/>
    </row>
    <row r="39" spans="1:7" x14ac:dyDescent="0.35">
      <c r="A39" s="13" t="s">
        <v>959</v>
      </c>
      <c r="B39" s="41" t="s">
        <v>960</v>
      </c>
      <c r="C39" s="41" t="s">
        <v>176</v>
      </c>
      <c r="D39" s="15">
        <v>5000000</v>
      </c>
      <c r="E39" s="16">
        <v>4708.63</v>
      </c>
      <c r="F39" s="17">
        <v>8.8200000000000001E-2</v>
      </c>
      <c r="G39" s="17">
        <v>7.1249999999999994E-2</v>
      </c>
    </row>
    <row r="40" spans="1:7" x14ac:dyDescent="0.35">
      <c r="A40" s="13" t="s">
        <v>961</v>
      </c>
      <c r="B40" s="41" t="s">
        <v>962</v>
      </c>
      <c r="C40" s="41" t="s">
        <v>703</v>
      </c>
      <c r="D40" s="15">
        <v>4500000</v>
      </c>
      <c r="E40" s="16">
        <v>4314.22</v>
      </c>
      <c r="F40" s="17">
        <v>8.0799999999999997E-2</v>
      </c>
      <c r="G40" s="17">
        <v>7.0800000000000002E-2</v>
      </c>
    </row>
    <row r="41" spans="1:7" x14ac:dyDescent="0.35">
      <c r="A41" s="13" t="s">
        <v>963</v>
      </c>
      <c r="B41" s="41" t="s">
        <v>964</v>
      </c>
      <c r="C41" s="41" t="s">
        <v>176</v>
      </c>
      <c r="D41" s="15">
        <v>2500000</v>
      </c>
      <c r="E41" s="16">
        <v>2436.14</v>
      </c>
      <c r="F41" s="17">
        <v>4.5600000000000002E-2</v>
      </c>
      <c r="G41" s="17">
        <v>7.3036000000000004E-2</v>
      </c>
    </row>
    <row r="42" spans="1:7" x14ac:dyDescent="0.35">
      <c r="A42" s="13" t="s">
        <v>174</v>
      </c>
      <c r="B42" s="41" t="s">
        <v>175</v>
      </c>
      <c r="C42" s="41" t="s">
        <v>176</v>
      </c>
      <c r="D42" s="15">
        <v>2500000</v>
      </c>
      <c r="E42" s="16">
        <v>2435.5100000000002</v>
      </c>
      <c r="F42" s="17">
        <v>4.5600000000000002E-2</v>
      </c>
      <c r="G42" s="17">
        <v>7.2123999999999994E-2</v>
      </c>
    </row>
    <row r="43" spans="1:7" x14ac:dyDescent="0.35">
      <c r="A43" s="13" t="s">
        <v>965</v>
      </c>
      <c r="B43" s="41" t="s">
        <v>966</v>
      </c>
      <c r="C43" s="41" t="s">
        <v>176</v>
      </c>
      <c r="D43" s="15">
        <v>2500000</v>
      </c>
      <c r="E43" s="16">
        <v>2367.0100000000002</v>
      </c>
      <c r="F43" s="17">
        <v>4.4299999999999999E-2</v>
      </c>
      <c r="G43" s="17">
        <v>7.2724999999999998E-2</v>
      </c>
    </row>
    <row r="44" spans="1:7" x14ac:dyDescent="0.35">
      <c r="A44" s="13" t="s">
        <v>967</v>
      </c>
      <c r="B44" s="41" t="s">
        <v>968</v>
      </c>
      <c r="C44" s="41" t="s">
        <v>183</v>
      </c>
      <c r="D44" s="15">
        <v>2500000</v>
      </c>
      <c r="E44" s="16">
        <v>2347.39</v>
      </c>
      <c r="F44" s="17">
        <v>4.3999999999999997E-2</v>
      </c>
      <c r="G44" s="17">
        <v>7.0000000000000007E-2</v>
      </c>
    </row>
    <row r="45" spans="1:7" x14ac:dyDescent="0.35">
      <c r="A45" s="13" t="s">
        <v>969</v>
      </c>
      <c r="B45" s="41" t="s">
        <v>970</v>
      </c>
      <c r="C45" s="41" t="s">
        <v>703</v>
      </c>
      <c r="D45" s="15">
        <v>2500000</v>
      </c>
      <c r="E45" s="16">
        <v>2338.7600000000002</v>
      </c>
      <c r="F45" s="17">
        <v>4.3799999999999999E-2</v>
      </c>
      <c r="G45" s="17">
        <v>6.9900000000000004E-2</v>
      </c>
    </row>
    <row r="46" spans="1:7" x14ac:dyDescent="0.35">
      <c r="A46" s="13" t="s">
        <v>971</v>
      </c>
      <c r="B46" s="41" t="s">
        <v>972</v>
      </c>
      <c r="C46" s="41" t="s">
        <v>188</v>
      </c>
      <c r="D46" s="15">
        <v>2000000</v>
      </c>
      <c r="E46" s="16">
        <v>1887.27</v>
      </c>
      <c r="F46" s="17">
        <v>3.5400000000000001E-2</v>
      </c>
      <c r="G46" s="17">
        <v>7.1249999999999994E-2</v>
      </c>
    </row>
    <row r="47" spans="1:7" x14ac:dyDescent="0.35">
      <c r="A47" s="14" t="s">
        <v>149</v>
      </c>
      <c r="B47" s="42"/>
      <c r="C47" s="42"/>
      <c r="D47" s="18"/>
      <c r="E47" s="36">
        <v>22834.93</v>
      </c>
      <c r="F47" s="37">
        <v>0.42770000000000002</v>
      </c>
      <c r="G47" s="21"/>
    </row>
    <row r="48" spans="1:7" x14ac:dyDescent="0.35">
      <c r="A48" s="13"/>
      <c r="B48" s="41"/>
      <c r="C48" s="41"/>
      <c r="D48" s="15"/>
      <c r="E48" s="16"/>
      <c r="F48" s="17"/>
      <c r="G48" s="17"/>
    </row>
    <row r="49" spans="1:7" x14ac:dyDescent="0.35">
      <c r="A49" s="14" t="s">
        <v>225</v>
      </c>
      <c r="B49" s="41"/>
      <c r="C49" s="41"/>
      <c r="D49" s="15"/>
      <c r="E49" s="16"/>
      <c r="F49" s="17"/>
      <c r="G49" s="17"/>
    </row>
    <row r="50" spans="1:7" x14ac:dyDescent="0.35">
      <c r="A50" s="13" t="s">
        <v>236</v>
      </c>
      <c r="B50" s="41" t="s">
        <v>237</v>
      </c>
      <c r="C50" s="41" t="s">
        <v>176</v>
      </c>
      <c r="D50" s="15">
        <v>2500000</v>
      </c>
      <c r="E50" s="16">
        <v>2480</v>
      </c>
      <c r="F50" s="17">
        <v>4.65E-2</v>
      </c>
      <c r="G50" s="17">
        <v>7.9549999999999996E-2</v>
      </c>
    </row>
    <row r="51" spans="1:7" x14ac:dyDescent="0.35">
      <c r="A51" s="13" t="s">
        <v>228</v>
      </c>
      <c r="B51" s="41" t="s">
        <v>229</v>
      </c>
      <c r="C51" s="41" t="s">
        <v>176</v>
      </c>
      <c r="D51" s="15">
        <v>2500000</v>
      </c>
      <c r="E51" s="16">
        <v>2479.44</v>
      </c>
      <c r="F51" s="17">
        <v>4.65E-2</v>
      </c>
      <c r="G51" s="17">
        <v>7.0400000000000004E-2</v>
      </c>
    </row>
    <row r="52" spans="1:7" x14ac:dyDescent="0.35">
      <c r="A52" s="13" t="s">
        <v>248</v>
      </c>
      <c r="B52" s="41" t="s">
        <v>249</v>
      </c>
      <c r="C52" s="41" t="s">
        <v>183</v>
      </c>
      <c r="D52" s="15">
        <v>2500000</v>
      </c>
      <c r="E52" s="16">
        <v>2432.5700000000002</v>
      </c>
      <c r="F52" s="17">
        <v>4.5600000000000002E-2</v>
      </c>
      <c r="G52" s="17">
        <v>8.6473999999999995E-2</v>
      </c>
    </row>
    <row r="53" spans="1:7" x14ac:dyDescent="0.35">
      <c r="A53" s="14" t="s">
        <v>149</v>
      </c>
      <c r="B53" s="42"/>
      <c r="C53" s="42"/>
      <c r="D53" s="18"/>
      <c r="E53" s="36">
        <v>7392.01</v>
      </c>
      <c r="F53" s="37">
        <v>0.1386</v>
      </c>
      <c r="G53" s="21"/>
    </row>
    <row r="54" spans="1:7" x14ac:dyDescent="0.35">
      <c r="A54" s="13"/>
      <c r="B54" s="41"/>
      <c r="C54" s="41"/>
      <c r="D54" s="15"/>
      <c r="E54" s="16"/>
      <c r="F54" s="17"/>
      <c r="G54" s="17"/>
    </row>
    <row r="55" spans="1:7" x14ac:dyDescent="0.35">
      <c r="A55" s="22" t="s">
        <v>160</v>
      </c>
      <c r="B55" s="43"/>
      <c r="C55" s="43"/>
      <c r="D55" s="23"/>
      <c r="E55" s="36">
        <v>35177.69</v>
      </c>
      <c r="F55" s="37">
        <v>0.65910000000000002</v>
      </c>
      <c r="G55" s="21"/>
    </row>
    <row r="56" spans="1:7" x14ac:dyDescent="0.35">
      <c r="A56" s="13"/>
      <c r="B56" s="41"/>
      <c r="C56" s="41"/>
      <c r="D56" s="15"/>
      <c r="E56" s="16"/>
      <c r="F56" s="17"/>
      <c r="G56" s="17"/>
    </row>
    <row r="57" spans="1:7" x14ac:dyDescent="0.35">
      <c r="A57" s="13"/>
      <c r="B57" s="41"/>
      <c r="C57" s="41"/>
      <c r="D57" s="15"/>
      <c r="E57" s="16"/>
      <c r="F57" s="17"/>
      <c r="G57" s="17"/>
    </row>
    <row r="58" spans="1:7" x14ac:dyDescent="0.35">
      <c r="A58" s="14" t="s">
        <v>252</v>
      </c>
      <c r="B58" s="41"/>
      <c r="C58" s="41"/>
      <c r="D58" s="15"/>
      <c r="E58" s="16"/>
      <c r="F58" s="17"/>
      <c r="G58" s="17"/>
    </row>
    <row r="59" spans="1:7" x14ac:dyDescent="0.35">
      <c r="A59" s="13" t="s">
        <v>253</v>
      </c>
      <c r="B59" s="41" t="s">
        <v>254</v>
      </c>
      <c r="C59" s="41"/>
      <c r="D59" s="15">
        <v>1153.2180000000001</v>
      </c>
      <c r="E59" s="16">
        <v>133.76</v>
      </c>
      <c r="F59" s="17">
        <v>2.5000000000000001E-3</v>
      </c>
      <c r="G59" s="17"/>
    </row>
    <row r="60" spans="1:7" x14ac:dyDescent="0.35">
      <c r="A60" s="13"/>
      <c r="B60" s="41"/>
      <c r="C60" s="41"/>
      <c r="D60" s="15"/>
      <c r="E60" s="16"/>
      <c r="F60" s="17"/>
      <c r="G60" s="17"/>
    </row>
    <row r="61" spans="1:7" x14ac:dyDescent="0.35">
      <c r="A61" s="22" t="s">
        <v>160</v>
      </c>
      <c r="B61" s="43"/>
      <c r="C61" s="43"/>
      <c r="D61" s="23"/>
      <c r="E61" s="36">
        <v>133.76</v>
      </c>
      <c r="F61" s="37">
        <v>2.5000000000000001E-3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4" t="s">
        <v>255</v>
      </c>
      <c r="B63" s="41"/>
      <c r="C63" s="41"/>
      <c r="D63" s="15"/>
      <c r="E63" s="16"/>
      <c r="F63" s="17"/>
      <c r="G63" s="17"/>
    </row>
    <row r="64" spans="1:7" x14ac:dyDescent="0.35">
      <c r="A64" s="13" t="s">
        <v>257</v>
      </c>
      <c r="B64" s="41"/>
      <c r="C64" s="41"/>
      <c r="D64" s="15"/>
      <c r="E64" s="16">
        <v>1433.39</v>
      </c>
      <c r="F64" s="17">
        <v>2.69E-2</v>
      </c>
      <c r="G64" s="17">
        <v>5.1742000000000003E-2</v>
      </c>
    </row>
    <row r="65" spans="1:7" x14ac:dyDescent="0.35">
      <c r="A65" s="14" t="s">
        <v>149</v>
      </c>
      <c r="B65" s="42"/>
      <c r="C65" s="42"/>
      <c r="D65" s="18"/>
      <c r="E65" s="36">
        <v>1433.39</v>
      </c>
      <c r="F65" s="37">
        <v>2.69E-2</v>
      </c>
      <c r="G65" s="21"/>
    </row>
    <row r="66" spans="1:7" x14ac:dyDescent="0.35">
      <c r="A66" s="13"/>
      <c r="B66" s="41"/>
      <c r="C66" s="41"/>
      <c r="D66" s="15"/>
      <c r="E66" s="16"/>
      <c r="F66" s="17"/>
      <c r="G66" s="17"/>
    </row>
    <row r="67" spans="1:7" x14ac:dyDescent="0.35">
      <c r="A67" s="22" t="s">
        <v>160</v>
      </c>
      <c r="B67" s="43"/>
      <c r="C67" s="43"/>
      <c r="D67" s="23"/>
      <c r="E67" s="36">
        <v>1433.39</v>
      </c>
      <c r="F67" s="37">
        <v>2.69E-2</v>
      </c>
      <c r="G67" s="21"/>
    </row>
    <row r="68" spans="1:7" x14ac:dyDescent="0.35">
      <c r="A68" s="13" t="s">
        <v>258</v>
      </c>
      <c r="B68" s="41"/>
      <c r="C68" s="41"/>
      <c r="D68" s="15"/>
      <c r="E68" s="16">
        <v>622.39153169999997</v>
      </c>
      <c r="F68" s="17">
        <v>1.1660999999999999E-2</v>
      </c>
      <c r="G68" s="17"/>
    </row>
    <row r="69" spans="1:7" x14ac:dyDescent="0.35">
      <c r="A69" s="13" t="s">
        <v>259</v>
      </c>
      <c r="B69" s="41"/>
      <c r="C69" s="41"/>
      <c r="D69" s="15"/>
      <c r="E69" s="16">
        <v>13.148468299999999</v>
      </c>
      <c r="F69" s="17">
        <v>1.3899999999999999E-4</v>
      </c>
      <c r="G69" s="17">
        <v>5.1741000000000002E-2</v>
      </c>
    </row>
    <row r="70" spans="1:7" x14ac:dyDescent="0.35">
      <c r="A70" s="38" t="s">
        <v>260</v>
      </c>
      <c r="B70" s="44"/>
      <c r="C70" s="44"/>
      <c r="D70" s="39"/>
      <c r="E70" s="24">
        <v>53371.83</v>
      </c>
      <c r="F70" s="25">
        <v>1</v>
      </c>
      <c r="G70" s="25"/>
    </row>
    <row r="72" spans="1:7" x14ac:dyDescent="0.35">
      <c r="A72" s="1" t="s">
        <v>261</v>
      </c>
    </row>
    <row r="73" spans="1:7" x14ac:dyDescent="0.35">
      <c r="A73" s="1" t="s">
        <v>262</v>
      </c>
    </row>
    <row r="75" spans="1:7" x14ac:dyDescent="0.35">
      <c r="A75" s="1" t="s">
        <v>263</v>
      </c>
    </row>
    <row r="76" spans="1:7" x14ac:dyDescent="0.35">
      <c r="A76" s="47" t="s">
        <v>264</v>
      </c>
      <c r="B76" s="3" t="s">
        <v>146</v>
      </c>
    </row>
    <row r="77" spans="1:7" x14ac:dyDescent="0.35">
      <c r="A77" t="s">
        <v>265</v>
      </c>
    </row>
    <row r="78" spans="1:7" x14ac:dyDescent="0.35">
      <c r="A78" t="s">
        <v>471</v>
      </c>
      <c r="B78" t="s">
        <v>267</v>
      </c>
      <c r="C78" t="s">
        <v>267</v>
      </c>
    </row>
    <row r="79" spans="1:7" x14ac:dyDescent="0.35">
      <c r="B79" s="49">
        <v>46022</v>
      </c>
      <c r="C79" s="49">
        <v>46052</v>
      </c>
    </row>
    <row r="80" spans="1:7" x14ac:dyDescent="0.35">
      <c r="A80" t="s">
        <v>752</v>
      </c>
      <c r="B80">
        <v>1059.3601000000001</v>
      </c>
      <c r="C80">
        <v>1061.7574999999999</v>
      </c>
    </row>
    <row r="81" spans="1:3" x14ac:dyDescent="0.35">
      <c r="A81" t="s">
        <v>273</v>
      </c>
      <c r="B81">
        <v>1059.3492000000001</v>
      </c>
      <c r="C81">
        <v>1061.7409</v>
      </c>
    </row>
    <row r="82" spans="1:3" x14ac:dyDescent="0.35">
      <c r="A82" t="s">
        <v>753</v>
      </c>
      <c r="B82">
        <v>1052.3025</v>
      </c>
      <c r="C82">
        <v>1053.9704999999999</v>
      </c>
    </row>
    <row r="83" spans="1:3" x14ac:dyDescent="0.35">
      <c r="A83" t="s">
        <v>709</v>
      </c>
      <c r="B83">
        <v>1052.3018</v>
      </c>
      <c r="C83">
        <v>1053.9695999999999</v>
      </c>
    </row>
    <row r="85" spans="1:3" x14ac:dyDescent="0.35">
      <c r="A85" t="s">
        <v>283</v>
      </c>
      <c r="B85" s="3" t="s">
        <v>146</v>
      </c>
    </row>
    <row r="86" spans="1:3" x14ac:dyDescent="0.35">
      <c r="A86" t="s">
        <v>284</v>
      </c>
      <c r="B86" s="3" t="s">
        <v>146</v>
      </c>
    </row>
    <row r="87" spans="1:3" ht="29" customHeight="1" x14ac:dyDescent="0.35">
      <c r="A87" s="47" t="s">
        <v>285</v>
      </c>
      <c r="B87" s="3" t="s">
        <v>146</v>
      </c>
    </row>
    <row r="88" spans="1:3" ht="29" customHeight="1" x14ac:dyDescent="0.35">
      <c r="A88" s="47" t="s">
        <v>286</v>
      </c>
      <c r="B88" s="3" t="s">
        <v>146</v>
      </c>
    </row>
    <row r="89" spans="1:3" x14ac:dyDescent="0.35">
      <c r="A89" t="s">
        <v>287</v>
      </c>
      <c r="B89" s="48">
        <f>B104</f>
        <v>0.79695038929890194</v>
      </c>
    </row>
    <row r="90" spans="1:3" ht="43.5" customHeight="1" x14ac:dyDescent="0.35">
      <c r="A90" s="47" t="s">
        <v>288</v>
      </c>
      <c r="B90" s="3" t="s">
        <v>146</v>
      </c>
    </row>
    <row r="91" spans="1:3" x14ac:dyDescent="0.35">
      <c r="B91" s="3"/>
    </row>
    <row r="92" spans="1:3" ht="29" customHeight="1" x14ac:dyDescent="0.35">
      <c r="A92" s="47" t="s">
        <v>289</v>
      </c>
      <c r="B92" s="3" t="s">
        <v>146</v>
      </c>
    </row>
    <row r="93" spans="1:3" ht="29" customHeight="1" x14ac:dyDescent="0.35">
      <c r="A93" s="47" t="s">
        <v>290</v>
      </c>
      <c r="B93">
        <v>20245.009999999998</v>
      </c>
    </row>
    <row r="94" spans="1:3" ht="29" customHeight="1" x14ac:dyDescent="0.35">
      <c r="A94" s="47" t="s">
        <v>291</v>
      </c>
      <c r="B94" s="3" t="s">
        <v>146</v>
      </c>
    </row>
    <row r="95" spans="1:3" ht="29" customHeight="1" x14ac:dyDescent="0.35">
      <c r="A95" s="47" t="s">
        <v>292</v>
      </c>
      <c r="B95" s="3" t="s">
        <v>146</v>
      </c>
    </row>
    <row r="97" spans="1:4" x14ac:dyDescent="0.35">
      <c r="A97" s="56" t="s">
        <v>293</v>
      </c>
      <c r="B97" s="56"/>
    </row>
    <row r="98" spans="1:4" ht="29" customHeight="1" x14ac:dyDescent="0.35">
      <c r="A98" s="56" t="s">
        <v>295</v>
      </c>
      <c r="B98" s="56" t="s">
        <v>973</v>
      </c>
    </row>
    <row r="99" spans="1:4" ht="29" customHeight="1" x14ac:dyDescent="0.35">
      <c r="A99" s="56" t="s">
        <v>297</v>
      </c>
      <c r="B99" s="68" t="s">
        <v>974</v>
      </c>
    </row>
    <row r="100" spans="1:4" x14ac:dyDescent="0.35">
      <c r="A100" s="56"/>
      <c r="B100" s="56"/>
    </row>
    <row r="101" spans="1:4" x14ac:dyDescent="0.35">
      <c r="A101" s="56" t="s">
        <v>299</v>
      </c>
      <c r="B101" s="52">
        <v>7.1095323559682537</v>
      </c>
    </row>
    <row r="102" spans="1:4" x14ac:dyDescent="0.35">
      <c r="A102" s="56"/>
      <c r="B102" s="56"/>
    </row>
    <row r="103" spans="1:4" x14ac:dyDescent="0.35">
      <c r="A103" s="56" t="s">
        <v>300</v>
      </c>
      <c r="B103" s="57">
        <v>0.77669999999999995</v>
      </c>
    </row>
    <row r="104" spans="1:4" x14ac:dyDescent="0.35">
      <c r="A104" s="56" t="s">
        <v>301</v>
      </c>
      <c r="B104" s="57">
        <v>0.79695038929890194</v>
      </c>
    </row>
    <row r="105" spans="1:4" x14ac:dyDescent="0.35">
      <c r="A105" s="56"/>
      <c r="B105" s="56"/>
    </row>
    <row r="106" spans="1:4" x14ac:dyDescent="0.35">
      <c r="A106" s="56" t="s">
        <v>975</v>
      </c>
      <c r="B106" s="54">
        <v>46053</v>
      </c>
    </row>
    <row r="108" spans="1:4" ht="70" customHeight="1" x14ac:dyDescent="0.35">
      <c r="A108" s="70" t="s">
        <v>303</v>
      </c>
      <c r="B108" s="70" t="s">
        <v>304</v>
      </c>
      <c r="C108" s="70" t="s">
        <v>4</v>
      </c>
      <c r="D108" s="70" t="s">
        <v>5</v>
      </c>
    </row>
    <row r="109" spans="1:4" ht="70" customHeight="1" x14ac:dyDescent="0.35">
      <c r="A109" s="70" t="s">
        <v>973</v>
      </c>
      <c r="B109" s="70"/>
      <c r="C109" s="70" t="s">
        <v>41</v>
      </c>
      <c r="D10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53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976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977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3"/>
      <c r="B9" s="41"/>
      <c r="C9" s="41"/>
      <c r="D9" s="15"/>
      <c r="E9" s="16"/>
      <c r="F9" s="17"/>
      <c r="G9" s="17"/>
    </row>
    <row r="10" spans="1:7" x14ac:dyDescent="0.35">
      <c r="A10" s="14" t="s">
        <v>255</v>
      </c>
      <c r="B10" s="41"/>
      <c r="C10" s="41"/>
      <c r="D10" s="15"/>
      <c r="E10" s="16"/>
      <c r="F10" s="17"/>
      <c r="G10" s="17"/>
    </row>
    <row r="11" spans="1:7" x14ac:dyDescent="0.35">
      <c r="A11" s="13" t="s">
        <v>257</v>
      </c>
      <c r="B11" s="41"/>
      <c r="C11" s="41"/>
      <c r="D11" s="15"/>
      <c r="E11" s="16">
        <v>10741.43</v>
      </c>
      <c r="F11" s="17">
        <v>0.99329999999999996</v>
      </c>
      <c r="G11" s="17">
        <v>5.1742000000000003E-2</v>
      </c>
    </row>
    <row r="12" spans="1:7" x14ac:dyDescent="0.35">
      <c r="A12" s="14" t="s">
        <v>149</v>
      </c>
      <c r="B12" s="42"/>
      <c r="C12" s="42"/>
      <c r="D12" s="18"/>
      <c r="E12" s="36">
        <v>10741.43</v>
      </c>
      <c r="F12" s="37">
        <v>0.99329999999999996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22" t="s">
        <v>160</v>
      </c>
      <c r="B14" s="43"/>
      <c r="C14" s="43"/>
      <c r="D14" s="23"/>
      <c r="E14" s="36">
        <v>10741.43</v>
      </c>
      <c r="F14" s="37">
        <v>0.99329999999999996</v>
      </c>
      <c r="G14" s="21"/>
    </row>
    <row r="15" spans="1:7" x14ac:dyDescent="0.35">
      <c r="A15" s="13" t="s">
        <v>258</v>
      </c>
      <c r="B15" s="41"/>
      <c r="C15" s="41"/>
      <c r="D15" s="15"/>
      <c r="E15" s="16">
        <v>3.0453872</v>
      </c>
      <c r="F15" s="17">
        <v>2.81E-4</v>
      </c>
      <c r="G15" s="17"/>
    </row>
    <row r="16" spans="1:7" x14ac:dyDescent="0.35">
      <c r="A16" s="13" t="s">
        <v>259</v>
      </c>
      <c r="B16" s="41"/>
      <c r="C16" s="41"/>
      <c r="D16" s="15"/>
      <c r="E16" s="16">
        <v>69.144612800000004</v>
      </c>
      <c r="F16" s="17">
        <v>6.4190000000000002E-3</v>
      </c>
      <c r="G16" s="17">
        <v>5.1741000000000002E-2</v>
      </c>
    </row>
    <row r="17" spans="1:7" x14ac:dyDescent="0.35">
      <c r="A17" s="38" t="s">
        <v>260</v>
      </c>
      <c r="B17" s="44"/>
      <c r="C17" s="44"/>
      <c r="D17" s="39"/>
      <c r="E17" s="24">
        <v>10813.62</v>
      </c>
      <c r="F17" s="25">
        <v>1</v>
      </c>
      <c r="G17" s="25"/>
    </row>
    <row r="19" spans="1:7" x14ac:dyDescent="0.35">
      <c r="A19" s="1" t="s">
        <v>978</v>
      </c>
    </row>
    <row r="22" spans="1:7" x14ac:dyDescent="0.35">
      <c r="A22" s="1" t="s">
        <v>263</v>
      </c>
    </row>
    <row r="23" spans="1:7" x14ac:dyDescent="0.35">
      <c r="A23" s="47" t="s">
        <v>264</v>
      </c>
      <c r="B23" s="3" t="s">
        <v>146</v>
      </c>
    </row>
    <row r="24" spans="1:7" x14ac:dyDescent="0.35">
      <c r="A24" t="s">
        <v>265</v>
      </c>
    </row>
    <row r="25" spans="1:7" x14ac:dyDescent="0.35">
      <c r="A25" t="s">
        <v>471</v>
      </c>
      <c r="B25" t="s">
        <v>267</v>
      </c>
      <c r="C25" t="s">
        <v>267</v>
      </c>
    </row>
    <row r="26" spans="1:7" x14ac:dyDescent="0.35">
      <c r="B26" s="49">
        <v>46022</v>
      </c>
      <c r="C26" s="49">
        <v>46053</v>
      </c>
    </row>
    <row r="27" spans="1:7" x14ac:dyDescent="0.35">
      <c r="A27" t="s">
        <v>753</v>
      </c>
      <c r="B27">
        <v>1012.5273999999999</v>
      </c>
      <c r="C27">
        <v>1016.8366</v>
      </c>
    </row>
    <row r="29" spans="1:7" x14ac:dyDescent="0.35">
      <c r="A29" t="s">
        <v>283</v>
      </c>
      <c r="B29" s="3" t="s">
        <v>146</v>
      </c>
    </row>
    <row r="30" spans="1:7" x14ac:dyDescent="0.35">
      <c r="A30" t="s">
        <v>284</v>
      </c>
      <c r="B30" s="3" t="s">
        <v>146</v>
      </c>
    </row>
    <row r="31" spans="1:7" ht="29" customHeight="1" x14ac:dyDescent="0.35">
      <c r="A31" s="47" t="s">
        <v>285</v>
      </c>
      <c r="B31" s="3" t="s">
        <v>146</v>
      </c>
    </row>
    <row r="32" spans="1:7" ht="29" customHeight="1" x14ac:dyDescent="0.35">
      <c r="A32" s="47" t="s">
        <v>286</v>
      </c>
      <c r="B32" s="3" t="s">
        <v>146</v>
      </c>
    </row>
    <row r="33" spans="1:2" x14ac:dyDescent="0.35">
      <c r="A33" t="s">
        <v>287</v>
      </c>
      <c r="B33" s="48">
        <f>B48</f>
        <v>2.7572438362188042E-3</v>
      </c>
    </row>
    <row r="34" spans="1:2" ht="43.5" customHeight="1" x14ac:dyDescent="0.35">
      <c r="A34" s="47" t="s">
        <v>288</v>
      </c>
      <c r="B34" s="3" t="s">
        <v>146</v>
      </c>
    </row>
    <row r="35" spans="1:2" x14ac:dyDescent="0.35">
      <c r="B35" s="3"/>
    </row>
    <row r="36" spans="1:2" ht="29" customHeight="1" x14ac:dyDescent="0.35">
      <c r="A36" s="47" t="s">
        <v>289</v>
      </c>
      <c r="B36" s="3" t="s">
        <v>146</v>
      </c>
    </row>
    <row r="37" spans="1:2" ht="29" customHeight="1" x14ac:dyDescent="0.35">
      <c r="A37" s="47" t="s">
        <v>290</v>
      </c>
      <c r="B37" t="s">
        <v>146</v>
      </c>
    </row>
    <row r="38" spans="1:2" ht="29" customHeight="1" x14ac:dyDescent="0.35">
      <c r="A38" s="47" t="s">
        <v>291</v>
      </c>
      <c r="B38" s="3" t="s">
        <v>146</v>
      </c>
    </row>
    <row r="39" spans="1:2" ht="29" customHeight="1" x14ac:dyDescent="0.35">
      <c r="A39" s="47" t="s">
        <v>292</v>
      </c>
      <c r="B39" s="3" t="s">
        <v>146</v>
      </c>
    </row>
    <row r="41" spans="1:2" x14ac:dyDescent="0.35">
      <c r="A41" t="s">
        <v>293</v>
      </c>
    </row>
    <row r="42" spans="1:2" ht="43.5" customHeight="1" x14ac:dyDescent="0.35">
      <c r="A42" s="51" t="s">
        <v>295</v>
      </c>
      <c r="B42" s="55" t="s">
        <v>979</v>
      </c>
    </row>
    <row r="43" spans="1:2" ht="29" customHeight="1" x14ac:dyDescent="0.35">
      <c r="A43" s="51" t="s">
        <v>297</v>
      </c>
      <c r="B43" s="55" t="s">
        <v>43</v>
      </c>
    </row>
    <row r="44" spans="1:2" x14ac:dyDescent="0.35">
      <c r="A44" s="51"/>
      <c r="B44" s="51"/>
    </row>
    <row r="45" spans="1:2" x14ac:dyDescent="0.35">
      <c r="A45" s="51" t="s">
        <v>299</v>
      </c>
      <c r="B45" s="52">
        <v>5.1704271192242786</v>
      </c>
    </row>
    <row r="46" spans="1:2" x14ac:dyDescent="0.35">
      <c r="A46" s="51"/>
      <c r="B46" s="51"/>
    </row>
    <row r="47" spans="1:2" x14ac:dyDescent="0.35">
      <c r="A47" s="51" t="s">
        <v>300</v>
      </c>
      <c r="B47" s="53">
        <v>5.4999999999999997E-3</v>
      </c>
    </row>
    <row r="48" spans="1:2" x14ac:dyDescent="0.35">
      <c r="A48" s="51" t="s">
        <v>301</v>
      </c>
      <c r="B48" s="53">
        <v>2.7572438362188042E-3</v>
      </c>
    </row>
    <row r="49" spans="1:4" x14ac:dyDescent="0.35">
      <c r="A49" s="51"/>
      <c r="B49" s="51"/>
    </row>
    <row r="50" spans="1:4" x14ac:dyDescent="0.35">
      <c r="A50" s="51" t="s">
        <v>302</v>
      </c>
      <c r="B50" s="54">
        <v>46053</v>
      </c>
    </row>
    <row r="52" spans="1:4" ht="70" customHeight="1" x14ac:dyDescent="0.35">
      <c r="A52" s="70" t="s">
        <v>303</v>
      </c>
      <c r="B52" s="70" t="s">
        <v>304</v>
      </c>
      <c r="C52" s="70" t="s">
        <v>4</v>
      </c>
      <c r="D52" s="70" t="s">
        <v>5</v>
      </c>
    </row>
    <row r="53" spans="1:4" ht="70" customHeight="1" x14ac:dyDescent="0.35">
      <c r="A53" s="70" t="s">
        <v>980</v>
      </c>
      <c r="B53" s="70"/>
      <c r="C53" s="70" t="s">
        <v>43</v>
      </c>
      <c r="D53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102"/>
  <sheetViews>
    <sheetView showGridLines="0" workbookViewId="0">
      <pane ySplit="4" topLeftCell="A56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981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982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983</v>
      </c>
      <c r="B11" s="41" t="s">
        <v>984</v>
      </c>
      <c r="C11" s="41" t="s">
        <v>310</v>
      </c>
      <c r="D11" s="15">
        <v>21000000</v>
      </c>
      <c r="E11" s="16">
        <v>20822.7</v>
      </c>
      <c r="F11" s="17">
        <v>9.2299999999999993E-2</v>
      </c>
      <c r="G11" s="17">
        <v>6.9949999999999998E-2</v>
      </c>
    </row>
    <row r="12" spans="1:7" x14ac:dyDescent="0.35">
      <c r="A12" s="13" t="s">
        <v>985</v>
      </c>
      <c r="B12" s="41" t="s">
        <v>986</v>
      </c>
      <c r="C12" s="41" t="s">
        <v>310</v>
      </c>
      <c r="D12" s="15">
        <v>19500000</v>
      </c>
      <c r="E12" s="16">
        <v>19633.240000000002</v>
      </c>
      <c r="F12" s="17">
        <v>8.7099999999999997E-2</v>
      </c>
      <c r="G12" s="17">
        <v>7.1812000000000001E-2</v>
      </c>
    </row>
    <row r="13" spans="1:7" x14ac:dyDescent="0.35">
      <c r="A13" s="13" t="s">
        <v>987</v>
      </c>
      <c r="B13" s="41" t="s">
        <v>988</v>
      </c>
      <c r="C13" s="41" t="s">
        <v>310</v>
      </c>
      <c r="D13" s="15">
        <v>15000000</v>
      </c>
      <c r="E13" s="16">
        <v>15101.91</v>
      </c>
      <c r="F13" s="17">
        <v>6.7000000000000004E-2</v>
      </c>
      <c r="G13" s="17">
        <v>7.2593000000000005E-2</v>
      </c>
    </row>
    <row r="14" spans="1:7" x14ac:dyDescent="0.35">
      <c r="A14" s="13" t="s">
        <v>936</v>
      </c>
      <c r="B14" s="41" t="s">
        <v>937</v>
      </c>
      <c r="C14" s="41" t="s">
        <v>317</v>
      </c>
      <c r="D14" s="15">
        <v>11500000</v>
      </c>
      <c r="E14" s="16">
        <v>11569.49</v>
      </c>
      <c r="F14" s="17">
        <v>5.1299999999999998E-2</v>
      </c>
      <c r="G14" s="17">
        <v>7.1900000000000006E-2</v>
      </c>
    </row>
    <row r="15" spans="1:7" x14ac:dyDescent="0.35">
      <c r="A15" s="13" t="s">
        <v>989</v>
      </c>
      <c r="B15" s="41" t="s">
        <v>990</v>
      </c>
      <c r="C15" s="41" t="s">
        <v>310</v>
      </c>
      <c r="D15" s="15">
        <v>11000000</v>
      </c>
      <c r="E15" s="16">
        <v>11102.69</v>
      </c>
      <c r="F15" s="17">
        <v>4.9200000000000001E-2</v>
      </c>
      <c r="G15" s="17">
        <v>6.9550000000000001E-2</v>
      </c>
    </row>
    <row r="16" spans="1:7" x14ac:dyDescent="0.35">
      <c r="A16" s="13" t="s">
        <v>991</v>
      </c>
      <c r="B16" s="41" t="s">
        <v>992</v>
      </c>
      <c r="C16" s="41" t="s">
        <v>310</v>
      </c>
      <c r="D16" s="15">
        <v>10500000</v>
      </c>
      <c r="E16" s="16">
        <v>10565.48</v>
      </c>
      <c r="F16" s="17">
        <v>4.6899999999999997E-2</v>
      </c>
      <c r="G16" s="17">
        <v>7.2400000000000006E-2</v>
      </c>
    </row>
    <row r="17" spans="1:7" x14ac:dyDescent="0.35">
      <c r="A17" s="13" t="s">
        <v>993</v>
      </c>
      <c r="B17" s="41" t="s">
        <v>994</v>
      </c>
      <c r="C17" s="41" t="s">
        <v>310</v>
      </c>
      <c r="D17" s="15">
        <v>9200000</v>
      </c>
      <c r="E17" s="16">
        <v>9272.5499999999993</v>
      </c>
      <c r="F17" s="17">
        <v>4.1099999999999998E-2</v>
      </c>
      <c r="G17" s="17">
        <v>7.1599999999999997E-2</v>
      </c>
    </row>
    <row r="18" spans="1:7" x14ac:dyDescent="0.35">
      <c r="A18" s="13" t="s">
        <v>995</v>
      </c>
      <c r="B18" s="41" t="s">
        <v>996</v>
      </c>
      <c r="C18" s="41" t="s">
        <v>310</v>
      </c>
      <c r="D18" s="15">
        <v>3000000</v>
      </c>
      <c r="E18" s="16">
        <v>3006.17</v>
      </c>
      <c r="F18" s="17">
        <v>1.3299999999999999E-2</v>
      </c>
      <c r="G18" s="17">
        <v>7.0300000000000001E-2</v>
      </c>
    </row>
    <row r="19" spans="1:7" x14ac:dyDescent="0.35">
      <c r="A19" s="13" t="s">
        <v>997</v>
      </c>
      <c r="B19" s="41" t="s">
        <v>998</v>
      </c>
      <c r="C19" s="41" t="s">
        <v>361</v>
      </c>
      <c r="D19" s="15">
        <v>3000000</v>
      </c>
      <c r="E19" s="16">
        <v>3003.62</v>
      </c>
      <c r="F19" s="17">
        <v>1.3299999999999999E-2</v>
      </c>
      <c r="G19" s="17">
        <v>6.9974999999999996E-2</v>
      </c>
    </row>
    <row r="20" spans="1:7" x14ac:dyDescent="0.35">
      <c r="A20" s="13" t="s">
        <v>999</v>
      </c>
      <c r="B20" s="41" t="s">
        <v>1000</v>
      </c>
      <c r="C20" s="41" t="s">
        <v>310</v>
      </c>
      <c r="D20" s="15">
        <v>2700000</v>
      </c>
      <c r="E20" s="16">
        <v>2735.05</v>
      </c>
      <c r="F20" s="17">
        <v>1.21E-2</v>
      </c>
      <c r="G20" s="17">
        <v>7.0457000000000006E-2</v>
      </c>
    </row>
    <row r="21" spans="1:7" x14ac:dyDescent="0.35">
      <c r="A21" s="13" t="s">
        <v>1001</v>
      </c>
      <c r="B21" s="41" t="s">
        <v>1002</v>
      </c>
      <c r="C21" s="41" t="s">
        <v>310</v>
      </c>
      <c r="D21" s="15">
        <v>2500000</v>
      </c>
      <c r="E21" s="16">
        <v>2522.66</v>
      </c>
      <c r="F21" s="17">
        <v>1.12E-2</v>
      </c>
      <c r="G21" s="17">
        <v>7.3249999999999996E-2</v>
      </c>
    </row>
    <row r="22" spans="1:7" x14ac:dyDescent="0.35">
      <c r="A22" s="13" t="s">
        <v>1003</v>
      </c>
      <c r="B22" s="41" t="s">
        <v>1004</v>
      </c>
      <c r="C22" s="41" t="s">
        <v>317</v>
      </c>
      <c r="D22" s="15">
        <v>2060000</v>
      </c>
      <c r="E22" s="16">
        <v>2107.83</v>
      </c>
      <c r="F22" s="17">
        <v>9.2999999999999992E-3</v>
      </c>
      <c r="G22" s="17">
        <v>6.9550000000000001E-2</v>
      </c>
    </row>
    <row r="23" spans="1:7" x14ac:dyDescent="0.35">
      <c r="A23" s="13" t="s">
        <v>1005</v>
      </c>
      <c r="B23" s="41" t="s">
        <v>1006</v>
      </c>
      <c r="C23" s="41" t="s">
        <v>317</v>
      </c>
      <c r="D23" s="15">
        <v>2000000</v>
      </c>
      <c r="E23" s="16">
        <v>2002.21</v>
      </c>
      <c r="F23" s="17">
        <v>8.8999999999999999E-3</v>
      </c>
      <c r="G23" s="17">
        <v>7.1575E-2</v>
      </c>
    </row>
    <row r="24" spans="1:7" x14ac:dyDescent="0.35">
      <c r="A24" s="13" t="s">
        <v>1007</v>
      </c>
      <c r="B24" s="41" t="s">
        <v>1008</v>
      </c>
      <c r="C24" s="41" t="s">
        <v>310</v>
      </c>
      <c r="D24" s="15">
        <v>500000</v>
      </c>
      <c r="E24" s="16">
        <v>509.05</v>
      </c>
      <c r="F24" s="17">
        <v>2.3E-3</v>
      </c>
      <c r="G24" s="17">
        <v>7.0150000000000004E-2</v>
      </c>
    </row>
    <row r="25" spans="1:7" x14ac:dyDescent="0.35">
      <c r="A25" s="13" t="s">
        <v>1009</v>
      </c>
      <c r="B25" s="41" t="s">
        <v>1010</v>
      </c>
      <c r="C25" s="41" t="s">
        <v>310</v>
      </c>
      <c r="D25" s="15">
        <v>500000</v>
      </c>
      <c r="E25" s="16">
        <v>495.53</v>
      </c>
      <c r="F25" s="17">
        <v>2.2000000000000001E-3</v>
      </c>
      <c r="G25" s="17">
        <v>6.9750000000000006E-2</v>
      </c>
    </row>
    <row r="26" spans="1:7" x14ac:dyDescent="0.35">
      <c r="A26" s="14" t="s">
        <v>149</v>
      </c>
      <c r="B26" s="42"/>
      <c r="C26" s="42"/>
      <c r="D26" s="18"/>
      <c r="E26" s="36">
        <v>114450.18</v>
      </c>
      <c r="F26" s="37">
        <v>0.50749999999999995</v>
      </c>
      <c r="G26" s="21"/>
    </row>
    <row r="27" spans="1:7" x14ac:dyDescent="0.35">
      <c r="A27" s="14" t="s">
        <v>150</v>
      </c>
      <c r="B27" s="41"/>
      <c r="C27" s="41"/>
      <c r="D27" s="15"/>
      <c r="E27" s="16"/>
      <c r="F27" s="17"/>
      <c r="G27" s="17"/>
    </row>
    <row r="28" spans="1:7" x14ac:dyDescent="0.35">
      <c r="A28" s="13" t="s">
        <v>1011</v>
      </c>
      <c r="B28" s="41" t="s">
        <v>1012</v>
      </c>
      <c r="C28" s="41" t="s">
        <v>153</v>
      </c>
      <c r="D28" s="15">
        <v>22000000</v>
      </c>
      <c r="E28" s="16">
        <v>22149.95</v>
      </c>
      <c r="F28" s="17">
        <v>9.8199999999999996E-2</v>
      </c>
      <c r="G28" s="17">
        <v>6.0442999999999997E-2</v>
      </c>
    </row>
    <row r="29" spans="1:7" x14ac:dyDescent="0.35">
      <c r="A29" s="13" t="s">
        <v>1013</v>
      </c>
      <c r="B29" s="41" t="s">
        <v>1014</v>
      </c>
      <c r="C29" s="41" t="s">
        <v>153</v>
      </c>
      <c r="D29" s="15">
        <v>10500000</v>
      </c>
      <c r="E29" s="16">
        <v>10686.28</v>
      </c>
      <c r="F29" s="17">
        <v>4.7399999999999998E-2</v>
      </c>
      <c r="G29" s="17">
        <v>6.1473E-2</v>
      </c>
    </row>
    <row r="30" spans="1:7" x14ac:dyDescent="0.35">
      <c r="A30" s="13" t="s">
        <v>1015</v>
      </c>
      <c r="B30" s="41" t="s">
        <v>1016</v>
      </c>
      <c r="C30" s="41" t="s">
        <v>153</v>
      </c>
      <c r="D30" s="15">
        <v>9000000</v>
      </c>
      <c r="E30" s="16">
        <v>9181.49</v>
      </c>
      <c r="F30" s="17">
        <v>4.07E-2</v>
      </c>
      <c r="G30" s="17">
        <v>6.0546000000000003E-2</v>
      </c>
    </row>
    <row r="31" spans="1:7" x14ac:dyDescent="0.35">
      <c r="A31" s="13" t="s">
        <v>1017</v>
      </c>
      <c r="B31" s="41" t="s">
        <v>1018</v>
      </c>
      <c r="C31" s="41" t="s">
        <v>153</v>
      </c>
      <c r="D31" s="15">
        <v>7500000</v>
      </c>
      <c r="E31" s="16">
        <v>7680.06</v>
      </c>
      <c r="F31" s="17">
        <v>3.4099999999999998E-2</v>
      </c>
      <c r="G31" s="17">
        <v>6.2618999999999994E-2</v>
      </c>
    </row>
    <row r="32" spans="1:7" x14ac:dyDescent="0.35">
      <c r="A32" s="13" t="s">
        <v>1019</v>
      </c>
      <c r="B32" s="41" t="s">
        <v>1020</v>
      </c>
      <c r="C32" s="41" t="s">
        <v>153</v>
      </c>
      <c r="D32" s="15">
        <v>7500000</v>
      </c>
      <c r="E32" s="16">
        <v>7637.81</v>
      </c>
      <c r="F32" s="17">
        <v>3.39E-2</v>
      </c>
      <c r="G32" s="17">
        <v>6.0546000000000003E-2</v>
      </c>
    </row>
    <row r="33" spans="1:7" x14ac:dyDescent="0.35">
      <c r="A33" s="13" t="s">
        <v>1021</v>
      </c>
      <c r="B33" s="41" t="s">
        <v>1022</v>
      </c>
      <c r="C33" s="41" t="s">
        <v>153</v>
      </c>
      <c r="D33" s="15">
        <v>6500000</v>
      </c>
      <c r="E33" s="16">
        <v>6630.83</v>
      </c>
      <c r="F33" s="17">
        <v>2.9399999999999999E-2</v>
      </c>
      <c r="G33" s="17">
        <v>6.1189E-2</v>
      </c>
    </row>
    <row r="34" spans="1:7" x14ac:dyDescent="0.35">
      <c r="A34" s="13" t="s">
        <v>1023</v>
      </c>
      <c r="B34" s="41" t="s">
        <v>1024</v>
      </c>
      <c r="C34" s="41" t="s">
        <v>153</v>
      </c>
      <c r="D34" s="15">
        <v>6000000</v>
      </c>
      <c r="E34" s="16">
        <v>6106.91</v>
      </c>
      <c r="F34" s="17">
        <v>2.7099999999999999E-2</v>
      </c>
      <c r="G34" s="17">
        <v>6.1394999999999998E-2</v>
      </c>
    </row>
    <row r="35" spans="1:7" x14ac:dyDescent="0.35">
      <c r="A35" s="13" t="s">
        <v>1025</v>
      </c>
      <c r="B35" s="41" t="s">
        <v>1026</v>
      </c>
      <c r="C35" s="41" t="s">
        <v>153</v>
      </c>
      <c r="D35" s="15">
        <v>5000000</v>
      </c>
      <c r="E35" s="16">
        <v>5091.3599999999997</v>
      </c>
      <c r="F35" s="17">
        <v>2.2599999999999999E-2</v>
      </c>
      <c r="G35" s="17">
        <v>6.0546000000000003E-2</v>
      </c>
    </row>
    <row r="36" spans="1:7" x14ac:dyDescent="0.35">
      <c r="A36" s="13" t="s">
        <v>1027</v>
      </c>
      <c r="B36" s="41" t="s">
        <v>1028</v>
      </c>
      <c r="C36" s="41" t="s">
        <v>153</v>
      </c>
      <c r="D36" s="15">
        <v>5000000</v>
      </c>
      <c r="E36" s="16">
        <v>5088.33</v>
      </c>
      <c r="F36" s="17">
        <v>2.2599999999999999E-2</v>
      </c>
      <c r="G36" s="17">
        <v>6.1214999999999999E-2</v>
      </c>
    </row>
    <row r="37" spans="1:7" x14ac:dyDescent="0.35">
      <c r="A37" s="13" t="s">
        <v>1029</v>
      </c>
      <c r="B37" s="41" t="s">
        <v>1030</v>
      </c>
      <c r="C37" s="41" t="s">
        <v>153</v>
      </c>
      <c r="D37" s="15">
        <v>4500000</v>
      </c>
      <c r="E37" s="16">
        <v>4573.3100000000004</v>
      </c>
      <c r="F37" s="17">
        <v>2.0299999999999999E-2</v>
      </c>
      <c r="G37" s="17">
        <v>6.0546000000000003E-2</v>
      </c>
    </row>
    <row r="38" spans="1:7" x14ac:dyDescent="0.35">
      <c r="A38" s="13" t="s">
        <v>1031</v>
      </c>
      <c r="B38" s="41" t="s">
        <v>1032</v>
      </c>
      <c r="C38" s="41" t="s">
        <v>153</v>
      </c>
      <c r="D38" s="15">
        <v>4500000</v>
      </c>
      <c r="E38" s="16">
        <v>4568.34</v>
      </c>
      <c r="F38" s="17">
        <v>2.0299999999999999E-2</v>
      </c>
      <c r="G38" s="17">
        <v>6.1473E-2</v>
      </c>
    </row>
    <row r="39" spans="1:7" x14ac:dyDescent="0.35">
      <c r="A39" s="13" t="s">
        <v>1033</v>
      </c>
      <c r="B39" s="41" t="s">
        <v>1034</v>
      </c>
      <c r="C39" s="41" t="s">
        <v>153</v>
      </c>
      <c r="D39" s="15">
        <v>4000000</v>
      </c>
      <c r="E39" s="16">
        <v>4064.55</v>
      </c>
      <c r="F39" s="17">
        <v>1.7999999999999999E-2</v>
      </c>
      <c r="G39" s="17">
        <v>6.0803000000000003E-2</v>
      </c>
    </row>
    <row r="40" spans="1:7" x14ac:dyDescent="0.35">
      <c r="A40" s="13" t="s">
        <v>1035</v>
      </c>
      <c r="B40" s="41" t="s">
        <v>1036</v>
      </c>
      <c r="C40" s="41" t="s">
        <v>153</v>
      </c>
      <c r="D40" s="15">
        <v>2500000</v>
      </c>
      <c r="E40" s="16">
        <v>2550.15</v>
      </c>
      <c r="F40" s="17">
        <v>1.1299999999999999E-2</v>
      </c>
      <c r="G40" s="17">
        <v>6.0546000000000003E-2</v>
      </c>
    </row>
    <row r="41" spans="1:7" x14ac:dyDescent="0.35">
      <c r="A41" s="13" t="s">
        <v>1037</v>
      </c>
      <c r="B41" s="41" t="s">
        <v>1038</v>
      </c>
      <c r="C41" s="41" t="s">
        <v>153</v>
      </c>
      <c r="D41" s="15">
        <v>2500000</v>
      </c>
      <c r="E41" s="16">
        <v>2544.61</v>
      </c>
      <c r="F41" s="17">
        <v>1.1299999999999999E-2</v>
      </c>
      <c r="G41" s="17">
        <v>6.0546000000000003E-2</v>
      </c>
    </row>
    <row r="42" spans="1:7" x14ac:dyDescent="0.35">
      <c r="A42" s="13" t="s">
        <v>1039</v>
      </c>
      <c r="B42" s="41" t="s">
        <v>1040</v>
      </c>
      <c r="C42" s="41" t="s">
        <v>153</v>
      </c>
      <c r="D42" s="15">
        <v>2000000</v>
      </c>
      <c r="E42" s="16">
        <v>2036.35</v>
      </c>
      <c r="F42" s="17">
        <v>8.9999999999999993E-3</v>
      </c>
      <c r="G42" s="17">
        <v>6.0546000000000003E-2</v>
      </c>
    </row>
    <row r="43" spans="1:7" x14ac:dyDescent="0.35">
      <c r="A43" s="13" t="s">
        <v>1041</v>
      </c>
      <c r="B43" s="41" t="s">
        <v>1042</v>
      </c>
      <c r="C43" s="41" t="s">
        <v>153</v>
      </c>
      <c r="D43" s="15">
        <v>1000000</v>
      </c>
      <c r="E43" s="16">
        <v>1017.47</v>
      </c>
      <c r="F43" s="17">
        <v>4.4999999999999997E-3</v>
      </c>
      <c r="G43" s="17">
        <v>6.1394999999999998E-2</v>
      </c>
    </row>
    <row r="44" spans="1:7" x14ac:dyDescent="0.35">
      <c r="A44" s="14" t="s">
        <v>149</v>
      </c>
      <c r="B44" s="42"/>
      <c r="C44" s="42"/>
      <c r="D44" s="18"/>
      <c r="E44" s="36">
        <v>101607.8</v>
      </c>
      <c r="F44" s="37">
        <v>0.45069999999999999</v>
      </c>
      <c r="G44" s="21"/>
    </row>
    <row r="45" spans="1:7" x14ac:dyDescent="0.35">
      <c r="A45" s="13"/>
      <c r="B45" s="41"/>
      <c r="C45" s="41"/>
      <c r="D45" s="15"/>
      <c r="E45" s="16"/>
      <c r="F45" s="17"/>
      <c r="G45" s="17"/>
    </row>
    <row r="46" spans="1:7" x14ac:dyDescent="0.35">
      <c r="A46" s="13"/>
      <c r="B46" s="41"/>
      <c r="C46" s="41"/>
      <c r="D46" s="15"/>
      <c r="E46" s="16"/>
      <c r="F46" s="17"/>
      <c r="G46" s="17"/>
    </row>
    <row r="47" spans="1:7" x14ac:dyDescent="0.35">
      <c r="A47" s="14" t="s">
        <v>158</v>
      </c>
      <c r="B47" s="41"/>
      <c r="C47" s="41"/>
      <c r="D47" s="15"/>
      <c r="E47" s="16"/>
      <c r="F47" s="17"/>
      <c r="G47" s="17"/>
    </row>
    <row r="48" spans="1:7" x14ac:dyDescent="0.35">
      <c r="A48" s="14" t="s">
        <v>149</v>
      </c>
      <c r="B48" s="41"/>
      <c r="C48" s="41"/>
      <c r="D48" s="15"/>
      <c r="E48" s="45" t="s">
        <v>146</v>
      </c>
      <c r="F48" s="46" t="s">
        <v>146</v>
      </c>
      <c r="G48" s="17"/>
    </row>
    <row r="49" spans="1:7" x14ac:dyDescent="0.35">
      <c r="A49" s="13"/>
      <c r="B49" s="41"/>
      <c r="C49" s="41"/>
      <c r="D49" s="15"/>
      <c r="E49" s="16"/>
      <c r="F49" s="17"/>
      <c r="G49" s="17"/>
    </row>
    <row r="50" spans="1:7" x14ac:dyDescent="0.35">
      <c r="A50" s="14" t="s">
        <v>159</v>
      </c>
      <c r="B50" s="41"/>
      <c r="C50" s="41"/>
      <c r="D50" s="15"/>
      <c r="E50" s="16"/>
      <c r="F50" s="17"/>
      <c r="G50" s="17"/>
    </row>
    <row r="51" spans="1:7" x14ac:dyDescent="0.35">
      <c r="A51" s="14" t="s">
        <v>149</v>
      </c>
      <c r="B51" s="41"/>
      <c r="C51" s="41"/>
      <c r="D51" s="15"/>
      <c r="E51" s="45" t="s">
        <v>146</v>
      </c>
      <c r="F51" s="46" t="s">
        <v>146</v>
      </c>
      <c r="G51" s="17"/>
    </row>
    <row r="52" spans="1:7" x14ac:dyDescent="0.35">
      <c r="A52" s="13"/>
      <c r="B52" s="41"/>
      <c r="C52" s="41"/>
      <c r="D52" s="15"/>
      <c r="E52" s="16"/>
      <c r="F52" s="17"/>
      <c r="G52" s="17"/>
    </row>
    <row r="53" spans="1:7" x14ac:dyDescent="0.35">
      <c r="A53" s="22" t="s">
        <v>160</v>
      </c>
      <c r="B53" s="43"/>
      <c r="C53" s="43"/>
      <c r="D53" s="23"/>
      <c r="E53" s="36">
        <v>216057.98</v>
      </c>
      <c r="F53" s="37">
        <v>0.95820000000000005</v>
      </c>
      <c r="G53" s="21"/>
    </row>
    <row r="54" spans="1:7" x14ac:dyDescent="0.35">
      <c r="A54" s="13"/>
      <c r="B54" s="41"/>
      <c r="C54" s="41"/>
      <c r="D54" s="15"/>
      <c r="E54" s="16"/>
      <c r="F54" s="17"/>
      <c r="G54" s="17"/>
    </row>
    <row r="55" spans="1:7" x14ac:dyDescent="0.35">
      <c r="A55" s="13"/>
      <c r="B55" s="41"/>
      <c r="C55" s="41"/>
      <c r="D55" s="15"/>
      <c r="E55" s="16"/>
      <c r="F55" s="17"/>
      <c r="G55" s="17"/>
    </row>
    <row r="56" spans="1:7" x14ac:dyDescent="0.35">
      <c r="A56" s="14" t="s">
        <v>255</v>
      </c>
      <c r="B56" s="41"/>
      <c r="C56" s="41"/>
      <c r="D56" s="15"/>
      <c r="E56" s="16"/>
      <c r="F56" s="17"/>
      <c r="G56" s="17"/>
    </row>
    <row r="57" spans="1:7" x14ac:dyDescent="0.35">
      <c r="A57" s="13" t="s">
        <v>257</v>
      </c>
      <c r="B57" s="41"/>
      <c r="C57" s="41"/>
      <c r="D57" s="15"/>
      <c r="E57" s="16">
        <v>1284.45</v>
      </c>
      <c r="F57" s="17">
        <v>5.7000000000000002E-3</v>
      </c>
      <c r="G57" s="17">
        <v>5.1742000000000003E-2</v>
      </c>
    </row>
    <row r="58" spans="1:7" x14ac:dyDescent="0.35">
      <c r="A58" s="14" t="s">
        <v>149</v>
      </c>
      <c r="B58" s="42"/>
      <c r="C58" s="42"/>
      <c r="D58" s="18"/>
      <c r="E58" s="36">
        <v>1284.45</v>
      </c>
      <c r="F58" s="37">
        <v>5.7000000000000002E-3</v>
      </c>
      <c r="G58" s="21"/>
    </row>
    <row r="59" spans="1:7" x14ac:dyDescent="0.35">
      <c r="A59" s="13"/>
      <c r="B59" s="41"/>
      <c r="C59" s="41"/>
      <c r="D59" s="15"/>
      <c r="E59" s="16"/>
      <c r="F59" s="17"/>
      <c r="G59" s="17"/>
    </row>
    <row r="60" spans="1:7" x14ac:dyDescent="0.35">
      <c r="A60" s="22" t="s">
        <v>160</v>
      </c>
      <c r="B60" s="43"/>
      <c r="C60" s="43"/>
      <c r="D60" s="23"/>
      <c r="E60" s="36">
        <v>1284.45</v>
      </c>
      <c r="F60" s="37">
        <v>5.7000000000000002E-3</v>
      </c>
      <c r="G60" s="21"/>
    </row>
    <row r="61" spans="1:7" x14ac:dyDescent="0.35">
      <c r="A61" s="13" t="s">
        <v>258</v>
      </c>
      <c r="B61" s="41"/>
      <c r="C61" s="41"/>
      <c r="D61" s="15"/>
      <c r="E61" s="16">
        <v>8234.2580730000009</v>
      </c>
      <c r="F61" s="17">
        <v>3.6512999999999997E-2</v>
      </c>
      <c r="G61" s="17"/>
    </row>
    <row r="62" spans="1:7" x14ac:dyDescent="0.35">
      <c r="A62" s="13" t="s">
        <v>259</v>
      </c>
      <c r="B62" s="41"/>
      <c r="C62" s="41"/>
      <c r="D62" s="15"/>
      <c r="E62" s="28">
        <v>-61.108072999999997</v>
      </c>
      <c r="F62" s="29">
        <v>-4.1300000000000001E-4</v>
      </c>
      <c r="G62" s="17">
        <v>5.1742000000000003E-2</v>
      </c>
    </row>
    <row r="63" spans="1:7" x14ac:dyDescent="0.35">
      <c r="A63" s="38" t="s">
        <v>260</v>
      </c>
      <c r="B63" s="44"/>
      <c r="C63" s="44"/>
      <c r="D63" s="39"/>
      <c r="E63" s="24">
        <v>225515.58</v>
      </c>
      <c r="F63" s="25">
        <v>1</v>
      </c>
      <c r="G63" s="25"/>
    </row>
    <row r="65" spans="1:3" x14ac:dyDescent="0.35">
      <c r="A65" s="1" t="s">
        <v>262</v>
      </c>
    </row>
    <row r="66" spans="1:3" x14ac:dyDescent="0.35">
      <c r="A66" s="1" t="s">
        <v>1043</v>
      </c>
    </row>
    <row r="68" spans="1:3" x14ac:dyDescent="0.35">
      <c r="A68" s="1" t="s">
        <v>263</v>
      </c>
    </row>
    <row r="69" spans="1:3" x14ac:dyDescent="0.35">
      <c r="A69" s="47" t="s">
        <v>264</v>
      </c>
      <c r="B69" s="3" t="s">
        <v>146</v>
      </c>
    </row>
    <row r="70" spans="1:3" x14ac:dyDescent="0.35">
      <c r="A70" t="s">
        <v>265</v>
      </c>
    </row>
    <row r="71" spans="1:3" x14ac:dyDescent="0.35">
      <c r="A71" t="s">
        <v>266</v>
      </c>
      <c r="B71" t="s">
        <v>267</v>
      </c>
      <c r="C71" t="s">
        <v>267</v>
      </c>
    </row>
    <row r="72" spans="1:3" x14ac:dyDescent="0.35">
      <c r="B72" s="49">
        <v>46022</v>
      </c>
      <c r="C72" s="49">
        <v>46052</v>
      </c>
    </row>
    <row r="73" spans="1:3" x14ac:dyDescent="0.35">
      <c r="A73" t="s">
        <v>272</v>
      </c>
      <c r="B73">
        <v>12.8796</v>
      </c>
      <c r="C73">
        <v>12.9163</v>
      </c>
    </row>
    <row r="74" spans="1:3" x14ac:dyDescent="0.35">
      <c r="A74" t="s">
        <v>273</v>
      </c>
      <c r="B74">
        <v>12.8779</v>
      </c>
      <c r="C74">
        <v>12.9146</v>
      </c>
    </row>
    <row r="75" spans="1:3" x14ac:dyDescent="0.35">
      <c r="A75" t="s">
        <v>708</v>
      </c>
      <c r="B75">
        <v>12.775399999999999</v>
      </c>
      <c r="C75">
        <v>12.809699999999999</v>
      </c>
    </row>
    <row r="76" spans="1:3" x14ac:dyDescent="0.35">
      <c r="A76" t="s">
        <v>709</v>
      </c>
      <c r="B76">
        <v>12.776</v>
      </c>
      <c r="C76">
        <v>12.8103</v>
      </c>
    </row>
    <row r="78" spans="1:3" x14ac:dyDescent="0.35">
      <c r="A78" t="s">
        <v>283</v>
      </c>
      <c r="B78" s="3" t="s">
        <v>146</v>
      </c>
    </row>
    <row r="79" spans="1:3" x14ac:dyDescent="0.35">
      <c r="A79" t="s">
        <v>284</v>
      </c>
      <c r="B79" s="3" t="s">
        <v>146</v>
      </c>
    </row>
    <row r="80" spans="1:3" ht="29" customHeight="1" x14ac:dyDescent="0.35">
      <c r="A80" s="47" t="s">
        <v>285</v>
      </c>
      <c r="B80" s="3" t="s">
        <v>146</v>
      </c>
    </row>
    <row r="81" spans="1:2" ht="29" customHeight="1" x14ac:dyDescent="0.35">
      <c r="A81" s="47" t="s">
        <v>286</v>
      </c>
      <c r="B81" s="3" t="s">
        <v>146</v>
      </c>
    </row>
    <row r="82" spans="1:2" x14ac:dyDescent="0.35">
      <c r="A82" t="s">
        <v>287</v>
      </c>
      <c r="B82" s="48">
        <f>B97</f>
        <v>1.095019351925749</v>
      </c>
    </row>
    <row r="83" spans="1:2" ht="43.5" customHeight="1" x14ac:dyDescent="0.35">
      <c r="A83" s="47" t="s">
        <v>288</v>
      </c>
      <c r="B83" s="3" t="s">
        <v>146</v>
      </c>
    </row>
    <row r="84" spans="1:2" x14ac:dyDescent="0.35">
      <c r="B84" s="3"/>
    </row>
    <row r="85" spans="1:2" ht="29" customHeight="1" x14ac:dyDescent="0.35">
      <c r="A85" s="47" t="s">
        <v>289</v>
      </c>
      <c r="B85" s="3" t="s">
        <v>146</v>
      </c>
    </row>
    <row r="86" spans="1:2" ht="29" customHeight="1" x14ac:dyDescent="0.35">
      <c r="A86" s="47" t="s">
        <v>290</v>
      </c>
      <c r="B86" t="s">
        <v>146</v>
      </c>
    </row>
    <row r="87" spans="1:2" ht="29" customHeight="1" x14ac:dyDescent="0.35">
      <c r="A87" s="47" t="s">
        <v>291</v>
      </c>
      <c r="B87" s="3" t="s">
        <v>146</v>
      </c>
    </row>
    <row r="88" spans="1:2" ht="29" customHeight="1" x14ac:dyDescent="0.35">
      <c r="A88" s="47" t="s">
        <v>292</v>
      </c>
      <c r="B88" s="3" t="s">
        <v>146</v>
      </c>
    </row>
    <row r="90" spans="1:2" x14ac:dyDescent="0.35">
      <c r="A90" t="s">
        <v>293</v>
      </c>
    </row>
    <row r="91" spans="1:2" ht="58" customHeight="1" x14ac:dyDescent="0.35">
      <c r="A91" s="51" t="s">
        <v>295</v>
      </c>
      <c r="B91" s="55" t="s">
        <v>1044</v>
      </c>
    </row>
    <row r="92" spans="1:2" ht="29" customHeight="1" x14ac:dyDescent="0.35">
      <c r="A92" s="51" t="s">
        <v>297</v>
      </c>
      <c r="B92" s="55" t="s">
        <v>1045</v>
      </c>
    </row>
    <row r="93" spans="1:2" x14ac:dyDescent="0.35">
      <c r="A93" s="51"/>
      <c r="B93" s="51"/>
    </row>
    <row r="94" spans="1:2" x14ac:dyDescent="0.35">
      <c r="A94" s="51" t="s">
        <v>299</v>
      </c>
      <c r="B94" s="52">
        <v>6.6371181412097133</v>
      </c>
    </row>
    <row r="95" spans="1:2" x14ac:dyDescent="0.35">
      <c r="A95" s="51"/>
      <c r="B95" s="51"/>
    </row>
    <row r="96" spans="1:2" x14ac:dyDescent="0.35">
      <c r="A96" s="51" t="s">
        <v>300</v>
      </c>
      <c r="B96" s="53">
        <v>1.0446</v>
      </c>
    </row>
    <row r="97" spans="1:4" x14ac:dyDescent="0.35">
      <c r="A97" s="51" t="s">
        <v>301</v>
      </c>
      <c r="B97" s="53">
        <v>1.095019351925749</v>
      </c>
    </row>
    <row r="98" spans="1:4" x14ac:dyDescent="0.35">
      <c r="A98" s="51"/>
      <c r="B98" s="51"/>
    </row>
    <row r="99" spans="1:4" x14ac:dyDescent="0.35">
      <c r="A99" s="51" t="s">
        <v>302</v>
      </c>
      <c r="B99" s="54">
        <v>46053</v>
      </c>
    </row>
    <row r="101" spans="1:4" ht="70" customHeight="1" x14ac:dyDescent="0.35">
      <c r="A101" s="70" t="s">
        <v>303</v>
      </c>
      <c r="B101" s="70" t="s">
        <v>304</v>
      </c>
      <c r="C101" s="70" t="s">
        <v>4</v>
      </c>
      <c r="D101" s="70" t="s">
        <v>5</v>
      </c>
    </row>
    <row r="102" spans="1:4" ht="70" customHeight="1" x14ac:dyDescent="0.35">
      <c r="A102" s="70" t="s">
        <v>1046</v>
      </c>
      <c r="B102" s="70"/>
      <c r="C102" s="70" t="s">
        <v>45</v>
      </c>
      <c r="D102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32"/>
  <sheetViews>
    <sheetView showGridLines="0" workbookViewId="0">
      <pane ySplit="4" topLeftCell="A96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1047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1048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1049</v>
      </c>
      <c r="B11" s="41" t="s">
        <v>1050</v>
      </c>
      <c r="C11" s="41" t="s">
        <v>310</v>
      </c>
      <c r="D11" s="15">
        <v>50500000</v>
      </c>
      <c r="E11" s="16">
        <v>50517.02</v>
      </c>
      <c r="F11" s="17">
        <v>8.0699999999999994E-2</v>
      </c>
      <c r="G11" s="17">
        <v>6.5998000000000001E-2</v>
      </c>
    </row>
    <row r="12" spans="1:7" x14ac:dyDescent="0.35">
      <c r="A12" s="13" t="s">
        <v>1051</v>
      </c>
      <c r="B12" s="41" t="s">
        <v>1052</v>
      </c>
      <c r="C12" s="41" t="s">
        <v>317</v>
      </c>
      <c r="D12" s="15">
        <v>40000000</v>
      </c>
      <c r="E12" s="16">
        <v>40004.32</v>
      </c>
      <c r="F12" s="17">
        <v>6.3899999999999998E-2</v>
      </c>
      <c r="G12" s="17">
        <v>6.9200999999999999E-2</v>
      </c>
    </row>
    <row r="13" spans="1:7" x14ac:dyDescent="0.35">
      <c r="A13" s="13" t="s">
        <v>1053</v>
      </c>
      <c r="B13" s="41" t="s">
        <v>1054</v>
      </c>
      <c r="C13" s="41" t="s">
        <v>310</v>
      </c>
      <c r="D13" s="15">
        <v>31300000</v>
      </c>
      <c r="E13" s="16">
        <v>31278.5</v>
      </c>
      <c r="F13" s="17">
        <v>0.05</v>
      </c>
      <c r="G13" s="17">
        <v>7.2650999999999993E-2</v>
      </c>
    </row>
    <row r="14" spans="1:7" x14ac:dyDescent="0.35">
      <c r="A14" s="13" t="s">
        <v>1055</v>
      </c>
      <c r="B14" s="41" t="s">
        <v>1056</v>
      </c>
      <c r="C14" s="41" t="s">
        <v>310</v>
      </c>
      <c r="D14" s="15">
        <v>30000000</v>
      </c>
      <c r="E14" s="16">
        <v>29984.880000000001</v>
      </c>
      <c r="F14" s="17">
        <v>4.7899999999999998E-2</v>
      </c>
      <c r="G14" s="17">
        <v>7.3300000000000004E-2</v>
      </c>
    </row>
    <row r="15" spans="1:7" x14ac:dyDescent="0.35">
      <c r="A15" s="13" t="s">
        <v>1057</v>
      </c>
      <c r="B15" s="41" t="s">
        <v>1058</v>
      </c>
      <c r="C15" s="41" t="s">
        <v>310</v>
      </c>
      <c r="D15" s="15">
        <v>27500000</v>
      </c>
      <c r="E15" s="16">
        <v>27500.3</v>
      </c>
      <c r="F15" s="17">
        <v>4.3900000000000002E-2</v>
      </c>
      <c r="G15" s="17">
        <v>7.3400999999999994E-2</v>
      </c>
    </row>
    <row r="16" spans="1:7" x14ac:dyDescent="0.35">
      <c r="A16" s="13" t="s">
        <v>1059</v>
      </c>
      <c r="B16" s="41" t="s">
        <v>1060</v>
      </c>
      <c r="C16" s="41" t="s">
        <v>310</v>
      </c>
      <c r="D16" s="15">
        <v>24000000</v>
      </c>
      <c r="E16" s="16">
        <v>24001.18</v>
      </c>
      <c r="F16" s="17">
        <v>3.8300000000000001E-2</v>
      </c>
      <c r="G16" s="17">
        <v>7.2537000000000004E-2</v>
      </c>
    </row>
    <row r="17" spans="1:7" x14ac:dyDescent="0.35">
      <c r="A17" s="13" t="s">
        <v>1061</v>
      </c>
      <c r="B17" s="41" t="s">
        <v>1062</v>
      </c>
      <c r="C17" s="41" t="s">
        <v>310</v>
      </c>
      <c r="D17" s="15">
        <v>20000000</v>
      </c>
      <c r="E17" s="16">
        <v>20006.400000000001</v>
      </c>
      <c r="F17" s="17">
        <v>3.2000000000000001E-2</v>
      </c>
      <c r="G17" s="17">
        <v>6.8599999999999994E-2</v>
      </c>
    </row>
    <row r="18" spans="1:7" x14ac:dyDescent="0.35">
      <c r="A18" s="13" t="s">
        <v>1063</v>
      </c>
      <c r="B18" s="41" t="s">
        <v>1064</v>
      </c>
      <c r="C18" s="41" t="s">
        <v>317</v>
      </c>
      <c r="D18" s="15">
        <v>17500000</v>
      </c>
      <c r="E18" s="16">
        <v>17502.080000000002</v>
      </c>
      <c r="F18" s="17">
        <v>2.8000000000000001E-2</v>
      </c>
      <c r="G18" s="17">
        <v>6.6194000000000003E-2</v>
      </c>
    </row>
    <row r="19" spans="1:7" x14ac:dyDescent="0.35">
      <c r="A19" s="13" t="s">
        <v>1065</v>
      </c>
      <c r="B19" s="41" t="s">
        <v>1066</v>
      </c>
      <c r="C19" s="41" t="s">
        <v>310</v>
      </c>
      <c r="D19" s="15">
        <v>15000000</v>
      </c>
      <c r="E19" s="16">
        <v>15002.51</v>
      </c>
      <c r="F19" s="17">
        <v>2.4E-2</v>
      </c>
      <c r="G19" s="17">
        <v>6.8802000000000002E-2</v>
      </c>
    </row>
    <row r="20" spans="1:7" x14ac:dyDescent="0.35">
      <c r="A20" s="13" t="s">
        <v>1067</v>
      </c>
      <c r="B20" s="41" t="s">
        <v>1068</v>
      </c>
      <c r="C20" s="41" t="s">
        <v>310</v>
      </c>
      <c r="D20" s="15">
        <v>9000000</v>
      </c>
      <c r="E20" s="16">
        <v>9003.41</v>
      </c>
      <c r="F20" s="17">
        <v>1.44E-2</v>
      </c>
      <c r="G20" s="17">
        <v>7.3749999999999996E-2</v>
      </c>
    </row>
    <row r="21" spans="1:7" x14ac:dyDescent="0.35">
      <c r="A21" s="13" t="s">
        <v>1069</v>
      </c>
      <c r="B21" s="41" t="s">
        <v>1070</v>
      </c>
      <c r="C21" s="41" t="s">
        <v>361</v>
      </c>
      <c r="D21" s="15">
        <v>7600000</v>
      </c>
      <c r="E21" s="16">
        <v>7600.34</v>
      </c>
      <c r="F21" s="17">
        <v>1.21E-2</v>
      </c>
      <c r="G21" s="17">
        <v>6.5155000000000005E-2</v>
      </c>
    </row>
    <row r="22" spans="1:7" x14ac:dyDescent="0.35">
      <c r="A22" s="13" t="s">
        <v>1071</v>
      </c>
      <c r="B22" s="41" t="s">
        <v>1072</v>
      </c>
      <c r="C22" s="41" t="s">
        <v>310</v>
      </c>
      <c r="D22" s="15">
        <v>6000000</v>
      </c>
      <c r="E22" s="16">
        <v>6019.75</v>
      </c>
      <c r="F22" s="17">
        <v>9.5999999999999992E-3</v>
      </c>
      <c r="G22" s="17">
        <v>6.7398E-2</v>
      </c>
    </row>
    <row r="23" spans="1:7" x14ac:dyDescent="0.35">
      <c r="A23" s="13" t="s">
        <v>1073</v>
      </c>
      <c r="B23" s="41" t="s">
        <v>1074</v>
      </c>
      <c r="C23" s="41" t="s">
        <v>361</v>
      </c>
      <c r="D23" s="15">
        <v>4000000</v>
      </c>
      <c r="E23" s="16">
        <v>3999.19</v>
      </c>
      <c r="F23" s="17">
        <v>6.4000000000000003E-3</v>
      </c>
      <c r="G23" s="17">
        <v>6.6748000000000002E-2</v>
      </c>
    </row>
    <row r="24" spans="1:7" x14ac:dyDescent="0.35">
      <c r="A24" s="13" t="s">
        <v>1075</v>
      </c>
      <c r="B24" s="41" t="s">
        <v>1076</v>
      </c>
      <c r="C24" s="41" t="s">
        <v>310</v>
      </c>
      <c r="D24" s="15">
        <v>2700000</v>
      </c>
      <c r="E24" s="16">
        <v>2704.25</v>
      </c>
      <c r="F24" s="17">
        <v>4.3E-3</v>
      </c>
      <c r="G24" s="17">
        <v>6.8276000000000003E-2</v>
      </c>
    </row>
    <row r="25" spans="1:7" x14ac:dyDescent="0.35">
      <c r="A25" s="13" t="s">
        <v>1077</v>
      </c>
      <c r="B25" s="41" t="s">
        <v>1078</v>
      </c>
      <c r="C25" s="41" t="s">
        <v>310</v>
      </c>
      <c r="D25" s="15">
        <v>2500000</v>
      </c>
      <c r="E25" s="16">
        <v>2508.46</v>
      </c>
      <c r="F25" s="17">
        <v>4.0000000000000001E-3</v>
      </c>
      <c r="G25" s="17">
        <v>6.7551E-2</v>
      </c>
    </row>
    <row r="26" spans="1:7" x14ac:dyDescent="0.35">
      <c r="A26" s="13" t="s">
        <v>1079</v>
      </c>
      <c r="B26" s="41" t="s">
        <v>1080</v>
      </c>
      <c r="C26" s="41" t="s">
        <v>310</v>
      </c>
      <c r="D26" s="15">
        <v>2500000</v>
      </c>
      <c r="E26" s="16">
        <v>2502.06</v>
      </c>
      <c r="F26" s="17">
        <v>4.0000000000000001E-3</v>
      </c>
      <c r="G26" s="17">
        <v>7.2997999999999993E-2</v>
      </c>
    </row>
    <row r="27" spans="1:7" x14ac:dyDescent="0.35">
      <c r="A27" s="13" t="s">
        <v>1081</v>
      </c>
      <c r="B27" s="41" t="s">
        <v>1082</v>
      </c>
      <c r="C27" s="41" t="s">
        <v>310</v>
      </c>
      <c r="D27" s="15">
        <v>1500000</v>
      </c>
      <c r="E27" s="16">
        <v>1499.6</v>
      </c>
      <c r="F27" s="17">
        <v>2.3999999999999998E-3</v>
      </c>
      <c r="G27" s="17">
        <v>6.5532000000000007E-2</v>
      </c>
    </row>
    <row r="28" spans="1:7" x14ac:dyDescent="0.35">
      <c r="A28" s="13" t="s">
        <v>1083</v>
      </c>
      <c r="B28" s="41" t="s">
        <v>1084</v>
      </c>
      <c r="C28" s="41" t="s">
        <v>317</v>
      </c>
      <c r="D28" s="15">
        <v>1109000</v>
      </c>
      <c r="E28" s="16">
        <v>1109.54</v>
      </c>
      <c r="F28" s="17">
        <v>1.8E-3</v>
      </c>
      <c r="G28" s="17">
        <v>6.5141000000000004E-2</v>
      </c>
    </row>
    <row r="29" spans="1:7" x14ac:dyDescent="0.35">
      <c r="A29" s="13" t="s">
        <v>1085</v>
      </c>
      <c r="B29" s="41" t="s">
        <v>1086</v>
      </c>
      <c r="C29" s="41" t="s">
        <v>317</v>
      </c>
      <c r="D29" s="15">
        <v>1000000</v>
      </c>
      <c r="E29" s="16">
        <v>1000.47</v>
      </c>
      <c r="F29" s="17">
        <v>1.6000000000000001E-3</v>
      </c>
      <c r="G29" s="17">
        <v>6.5143000000000006E-2</v>
      </c>
    </row>
    <row r="30" spans="1:7" x14ac:dyDescent="0.35">
      <c r="A30" s="14" t="s">
        <v>149</v>
      </c>
      <c r="B30" s="42"/>
      <c r="C30" s="42"/>
      <c r="D30" s="18"/>
      <c r="E30" s="36">
        <v>293744.26</v>
      </c>
      <c r="F30" s="37">
        <v>0.46929999999999999</v>
      </c>
      <c r="G30" s="21"/>
    </row>
    <row r="31" spans="1:7" x14ac:dyDescent="0.35">
      <c r="A31" s="14" t="s">
        <v>150</v>
      </c>
      <c r="B31" s="41"/>
      <c r="C31" s="41"/>
      <c r="D31" s="15"/>
      <c r="E31" s="16"/>
      <c r="F31" s="17"/>
      <c r="G31" s="17"/>
    </row>
    <row r="32" spans="1:7" x14ac:dyDescent="0.35">
      <c r="A32" s="13" t="s">
        <v>1087</v>
      </c>
      <c r="B32" s="41" t="s">
        <v>1088</v>
      </c>
      <c r="C32" s="41" t="s">
        <v>153</v>
      </c>
      <c r="D32" s="15">
        <v>30000000</v>
      </c>
      <c r="E32" s="16">
        <v>30043.17</v>
      </c>
      <c r="F32" s="17">
        <v>4.8000000000000001E-2</v>
      </c>
      <c r="G32" s="17">
        <v>5.4213999999999998E-2</v>
      </c>
    </row>
    <row r="33" spans="1:7" x14ac:dyDescent="0.35">
      <c r="A33" s="13" t="s">
        <v>1089</v>
      </c>
      <c r="B33" s="41" t="s">
        <v>1090</v>
      </c>
      <c r="C33" s="41" t="s">
        <v>153</v>
      </c>
      <c r="D33" s="15">
        <v>26500000</v>
      </c>
      <c r="E33" s="16">
        <v>26592.51</v>
      </c>
      <c r="F33" s="17">
        <v>4.2500000000000003E-2</v>
      </c>
      <c r="G33" s="17">
        <v>5.4417E-2</v>
      </c>
    </row>
    <row r="34" spans="1:7" x14ac:dyDescent="0.35">
      <c r="A34" s="13" t="s">
        <v>1091</v>
      </c>
      <c r="B34" s="41" t="s">
        <v>1092</v>
      </c>
      <c r="C34" s="41" t="s">
        <v>153</v>
      </c>
      <c r="D34" s="15">
        <v>25500000</v>
      </c>
      <c r="E34" s="16">
        <v>25576.98</v>
      </c>
      <c r="F34" s="17">
        <v>4.0899999999999999E-2</v>
      </c>
      <c r="G34" s="17">
        <v>5.4413999999999997E-2</v>
      </c>
    </row>
    <row r="35" spans="1:7" x14ac:dyDescent="0.35">
      <c r="A35" s="13" t="s">
        <v>1093</v>
      </c>
      <c r="B35" s="41" t="s">
        <v>1094</v>
      </c>
      <c r="C35" s="41" t="s">
        <v>153</v>
      </c>
      <c r="D35" s="15">
        <v>22500000</v>
      </c>
      <c r="E35" s="16">
        <v>22579</v>
      </c>
      <c r="F35" s="17">
        <v>3.61E-2</v>
      </c>
      <c r="G35" s="17">
        <v>5.4421999999999998E-2</v>
      </c>
    </row>
    <row r="36" spans="1:7" x14ac:dyDescent="0.35">
      <c r="A36" s="13" t="s">
        <v>1095</v>
      </c>
      <c r="B36" s="41" t="s">
        <v>1096</v>
      </c>
      <c r="C36" s="41" t="s">
        <v>153</v>
      </c>
      <c r="D36" s="15">
        <v>19500000</v>
      </c>
      <c r="E36" s="16">
        <v>19539.37</v>
      </c>
      <c r="F36" s="17">
        <v>3.1199999999999999E-2</v>
      </c>
      <c r="G36" s="17">
        <v>5.4453000000000001E-2</v>
      </c>
    </row>
    <row r="37" spans="1:7" x14ac:dyDescent="0.35">
      <c r="A37" s="13" t="s">
        <v>1097</v>
      </c>
      <c r="B37" s="41" t="s">
        <v>1098</v>
      </c>
      <c r="C37" s="41" t="s">
        <v>153</v>
      </c>
      <c r="D37" s="15">
        <v>15500000</v>
      </c>
      <c r="E37" s="16">
        <v>15531.87</v>
      </c>
      <c r="F37" s="17">
        <v>2.4799999999999999E-2</v>
      </c>
      <c r="G37" s="17">
        <v>5.4752000000000002E-2</v>
      </c>
    </row>
    <row r="38" spans="1:7" x14ac:dyDescent="0.35">
      <c r="A38" s="13" t="s">
        <v>1099</v>
      </c>
      <c r="B38" s="41" t="s">
        <v>1100</v>
      </c>
      <c r="C38" s="41" t="s">
        <v>153</v>
      </c>
      <c r="D38" s="15">
        <v>14500000</v>
      </c>
      <c r="E38" s="16">
        <v>14550.4</v>
      </c>
      <c r="F38" s="17">
        <v>2.3199999999999998E-2</v>
      </c>
      <c r="G38" s="17">
        <v>5.5185999999999999E-2</v>
      </c>
    </row>
    <row r="39" spans="1:7" x14ac:dyDescent="0.35">
      <c r="A39" s="13" t="s">
        <v>1101</v>
      </c>
      <c r="B39" s="41" t="s">
        <v>1102</v>
      </c>
      <c r="C39" s="41" t="s">
        <v>153</v>
      </c>
      <c r="D39" s="15">
        <v>11500000</v>
      </c>
      <c r="E39" s="16">
        <v>11508.37</v>
      </c>
      <c r="F39" s="17">
        <v>1.84E-2</v>
      </c>
      <c r="G39" s="17">
        <v>5.4963999999999999E-2</v>
      </c>
    </row>
    <row r="40" spans="1:7" x14ac:dyDescent="0.35">
      <c r="A40" s="13" t="s">
        <v>1103</v>
      </c>
      <c r="B40" s="41" t="s">
        <v>1104</v>
      </c>
      <c r="C40" s="41" t="s">
        <v>153</v>
      </c>
      <c r="D40" s="15">
        <v>11000000</v>
      </c>
      <c r="E40" s="16">
        <v>11038.69</v>
      </c>
      <c r="F40" s="17">
        <v>1.7600000000000001E-2</v>
      </c>
      <c r="G40" s="17">
        <v>5.5083E-2</v>
      </c>
    </row>
    <row r="41" spans="1:7" x14ac:dyDescent="0.35">
      <c r="A41" s="13" t="s">
        <v>1105</v>
      </c>
      <c r="B41" s="41" t="s">
        <v>1106</v>
      </c>
      <c r="C41" s="41" t="s">
        <v>153</v>
      </c>
      <c r="D41" s="15">
        <v>10500000</v>
      </c>
      <c r="E41" s="16">
        <v>10522.23</v>
      </c>
      <c r="F41" s="17">
        <v>1.6799999999999999E-2</v>
      </c>
      <c r="G41" s="17">
        <v>5.4965E-2</v>
      </c>
    </row>
    <row r="42" spans="1:7" x14ac:dyDescent="0.35">
      <c r="A42" s="13" t="s">
        <v>1107</v>
      </c>
      <c r="B42" s="41" t="s">
        <v>1108</v>
      </c>
      <c r="C42" s="41" t="s">
        <v>153</v>
      </c>
      <c r="D42" s="15">
        <v>9000000</v>
      </c>
      <c r="E42" s="16">
        <v>9006.7000000000007</v>
      </c>
      <c r="F42" s="17">
        <v>1.44E-2</v>
      </c>
      <c r="G42" s="17">
        <v>5.4441000000000003E-2</v>
      </c>
    </row>
    <row r="43" spans="1:7" x14ac:dyDescent="0.35">
      <c r="A43" s="13" t="s">
        <v>1109</v>
      </c>
      <c r="B43" s="41" t="s">
        <v>1110</v>
      </c>
      <c r="C43" s="41" t="s">
        <v>153</v>
      </c>
      <c r="D43" s="15">
        <v>8000000</v>
      </c>
      <c r="E43" s="16">
        <v>8016.15</v>
      </c>
      <c r="F43" s="17">
        <v>1.2800000000000001E-2</v>
      </c>
      <c r="G43" s="17">
        <v>5.4453000000000001E-2</v>
      </c>
    </row>
    <row r="44" spans="1:7" x14ac:dyDescent="0.35">
      <c r="A44" s="13" t="s">
        <v>1111</v>
      </c>
      <c r="B44" s="41" t="s">
        <v>1112</v>
      </c>
      <c r="C44" s="41" t="s">
        <v>153</v>
      </c>
      <c r="D44" s="15">
        <v>7500000</v>
      </c>
      <c r="E44" s="16">
        <v>7515.24</v>
      </c>
      <c r="F44" s="17">
        <v>1.2E-2</v>
      </c>
      <c r="G44" s="17">
        <v>5.4445E-2</v>
      </c>
    </row>
    <row r="45" spans="1:7" x14ac:dyDescent="0.35">
      <c r="A45" s="13" t="s">
        <v>1113</v>
      </c>
      <c r="B45" s="41" t="s">
        <v>1114</v>
      </c>
      <c r="C45" s="41" t="s">
        <v>153</v>
      </c>
      <c r="D45" s="15">
        <v>7219500</v>
      </c>
      <c r="E45" s="16">
        <v>7258.08</v>
      </c>
      <c r="F45" s="17">
        <v>1.1599999999999999E-2</v>
      </c>
      <c r="G45" s="17">
        <v>5.6374E-2</v>
      </c>
    </row>
    <row r="46" spans="1:7" x14ac:dyDescent="0.35">
      <c r="A46" s="13" t="s">
        <v>1115</v>
      </c>
      <c r="B46" s="41" t="s">
        <v>1116</v>
      </c>
      <c r="C46" s="41" t="s">
        <v>153</v>
      </c>
      <c r="D46" s="15">
        <v>7000000</v>
      </c>
      <c r="E46" s="16">
        <v>7024.51</v>
      </c>
      <c r="F46" s="17">
        <v>1.12E-2</v>
      </c>
      <c r="G46" s="17">
        <v>5.4927999999999998E-2</v>
      </c>
    </row>
    <row r="47" spans="1:7" x14ac:dyDescent="0.35">
      <c r="A47" s="13" t="s">
        <v>1117</v>
      </c>
      <c r="B47" s="41" t="s">
        <v>1118</v>
      </c>
      <c r="C47" s="41" t="s">
        <v>153</v>
      </c>
      <c r="D47" s="15">
        <v>6500000</v>
      </c>
      <c r="E47" s="16">
        <v>6513.65</v>
      </c>
      <c r="F47" s="17">
        <v>1.04E-2</v>
      </c>
      <c r="G47" s="17">
        <v>5.4744000000000001E-2</v>
      </c>
    </row>
    <row r="48" spans="1:7" x14ac:dyDescent="0.35">
      <c r="A48" s="13" t="s">
        <v>1119</v>
      </c>
      <c r="B48" s="41" t="s">
        <v>1120</v>
      </c>
      <c r="C48" s="41" t="s">
        <v>153</v>
      </c>
      <c r="D48" s="15">
        <v>6500000</v>
      </c>
      <c r="E48" s="16">
        <v>6504.78</v>
      </c>
      <c r="F48" s="17">
        <v>1.04E-2</v>
      </c>
      <c r="G48" s="17">
        <v>5.4956999999999999E-2</v>
      </c>
    </row>
    <row r="49" spans="1:7" x14ac:dyDescent="0.35">
      <c r="A49" s="13" t="s">
        <v>154</v>
      </c>
      <c r="B49" s="41" t="s">
        <v>155</v>
      </c>
      <c r="C49" s="41" t="s">
        <v>153</v>
      </c>
      <c r="D49" s="15">
        <v>6000000</v>
      </c>
      <c r="E49" s="16">
        <v>6004.48</v>
      </c>
      <c r="F49" s="17">
        <v>9.5999999999999992E-3</v>
      </c>
      <c r="G49" s="17">
        <v>5.4731000000000002E-2</v>
      </c>
    </row>
    <row r="50" spans="1:7" x14ac:dyDescent="0.35">
      <c r="A50" s="13" t="s">
        <v>1121</v>
      </c>
      <c r="B50" s="41" t="s">
        <v>1122</v>
      </c>
      <c r="C50" s="41" t="s">
        <v>153</v>
      </c>
      <c r="D50" s="15">
        <v>5000000</v>
      </c>
      <c r="E50" s="16">
        <v>5010.01</v>
      </c>
      <c r="F50" s="17">
        <v>8.0000000000000002E-3</v>
      </c>
      <c r="G50" s="17">
        <v>5.5217000000000002E-2</v>
      </c>
    </row>
    <row r="51" spans="1:7" x14ac:dyDescent="0.35">
      <c r="A51" s="13" t="s">
        <v>1123</v>
      </c>
      <c r="B51" s="41" t="s">
        <v>1124</v>
      </c>
      <c r="C51" s="41" t="s">
        <v>153</v>
      </c>
      <c r="D51" s="15">
        <v>4000000</v>
      </c>
      <c r="E51" s="16">
        <v>4008.28</v>
      </c>
      <c r="F51" s="17">
        <v>6.4000000000000003E-3</v>
      </c>
      <c r="G51" s="17">
        <v>5.5118E-2</v>
      </c>
    </row>
    <row r="52" spans="1:7" x14ac:dyDescent="0.35">
      <c r="A52" s="13" t="s">
        <v>1125</v>
      </c>
      <c r="B52" s="41" t="s">
        <v>1126</v>
      </c>
      <c r="C52" s="41" t="s">
        <v>153</v>
      </c>
      <c r="D52" s="15">
        <v>3500000</v>
      </c>
      <c r="E52" s="16">
        <v>3512.18</v>
      </c>
      <c r="F52" s="17">
        <v>5.5999999999999999E-3</v>
      </c>
      <c r="G52" s="17">
        <v>5.4933000000000003E-2</v>
      </c>
    </row>
    <row r="53" spans="1:7" x14ac:dyDescent="0.35">
      <c r="A53" s="13" t="s">
        <v>1127</v>
      </c>
      <c r="B53" s="41" t="s">
        <v>1128</v>
      </c>
      <c r="C53" s="41" t="s">
        <v>153</v>
      </c>
      <c r="D53" s="15">
        <v>3000000</v>
      </c>
      <c r="E53" s="16">
        <v>3002.22</v>
      </c>
      <c r="F53" s="17">
        <v>4.7999999999999996E-3</v>
      </c>
      <c r="G53" s="17">
        <v>5.4447000000000002E-2</v>
      </c>
    </row>
    <row r="54" spans="1:7" x14ac:dyDescent="0.35">
      <c r="A54" s="13" t="s">
        <v>1129</v>
      </c>
      <c r="B54" s="41" t="s">
        <v>1130</v>
      </c>
      <c r="C54" s="41" t="s">
        <v>153</v>
      </c>
      <c r="D54" s="15">
        <v>2500000</v>
      </c>
      <c r="E54" s="16">
        <v>2510.7399999999998</v>
      </c>
      <c r="F54" s="17">
        <v>4.0000000000000001E-3</v>
      </c>
      <c r="G54" s="17">
        <v>5.6702000000000002E-2</v>
      </c>
    </row>
    <row r="55" spans="1:7" x14ac:dyDescent="0.35">
      <c r="A55" s="13" t="s">
        <v>1131</v>
      </c>
      <c r="B55" s="41" t="s">
        <v>1132</v>
      </c>
      <c r="C55" s="41" t="s">
        <v>153</v>
      </c>
      <c r="D55" s="15">
        <v>1000000</v>
      </c>
      <c r="E55" s="16">
        <v>1000.74</v>
      </c>
      <c r="F55" s="17">
        <v>1.6000000000000001E-3</v>
      </c>
      <c r="G55" s="17">
        <v>5.4449999999999998E-2</v>
      </c>
    </row>
    <row r="56" spans="1:7" x14ac:dyDescent="0.35">
      <c r="A56" s="13" t="s">
        <v>1133</v>
      </c>
      <c r="B56" s="41" t="s">
        <v>1134</v>
      </c>
      <c r="C56" s="41" t="s">
        <v>153</v>
      </c>
      <c r="D56" s="15">
        <v>500000</v>
      </c>
      <c r="E56" s="16">
        <v>502.86</v>
      </c>
      <c r="F56" s="17">
        <v>8.0000000000000004E-4</v>
      </c>
      <c r="G56" s="17">
        <v>5.6375000000000001E-2</v>
      </c>
    </row>
    <row r="57" spans="1:7" x14ac:dyDescent="0.35">
      <c r="A57" s="13" t="s">
        <v>1135</v>
      </c>
      <c r="B57" s="41" t="s">
        <v>1136</v>
      </c>
      <c r="C57" s="41" t="s">
        <v>153</v>
      </c>
      <c r="D57" s="15">
        <v>500000</v>
      </c>
      <c r="E57" s="16">
        <v>502.86</v>
      </c>
      <c r="F57" s="17">
        <v>8.0000000000000004E-4</v>
      </c>
      <c r="G57" s="17">
        <v>5.6375000000000001E-2</v>
      </c>
    </row>
    <row r="58" spans="1:7" x14ac:dyDescent="0.35">
      <c r="A58" s="13" t="s">
        <v>1137</v>
      </c>
      <c r="B58" s="41" t="s">
        <v>1138</v>
      </c>
      <c r="C58" s="41" t="s">
        <v>153</v>
      </c>
      <c r="D58" s="15">
        <v>500000</v>
      </c>
      <c r="E58" s="16">
        <v>502.01</v>
      </c>
      <c r="F58" s="17">
        <v>8.0000000000000004E-4</v>
      </c>
      <c r="G58" s="17">
        <v>5.493E-2</v>
      </c>
    </row>
    <row r="59" spans="1:7" x14ac:dyDescent="0.35">
      <c r="A59" s="13" t="s">
        <v>1139</v>
      </c>
      <c r="B59" s="41" t="s">
        <v>1140</v>
      </c>
      <c r="C59" s="41" t="s">
        <v>153</v>
      </c>
      <c r="D59" s="15">
        <v>500000</v>
      </c>
      <c r="E59" s="16">
        <v>501.99</v>
      </c>
      <c r="F59" s="17">
        <v>8.0000000000000004E-4</v>
      </c>
      <c r="G59" s="17">
        <v>5.5183000000000003E-2</v>
      </c>
    </row>
    <row r="60" spans="1:7" x14ac:dyDescent="0.35">
      <c r="A60" s="13" t="s">
        <v>1141</v>
      </c>
      <c r="B60" s="41" t="s">
        <v>1142</v>
      </c>
      <c r="C60" s="41" t="s">
        <v>153</v>
      </c>
      <c r="D60" s="15">
        <v>500000</v>
      </c>
      <c r="E60" s="16">
        <v>501.28</v>
      </c>
      <c r="F60" s="17">
        <v>8.0000000000000004E-4</v>
      </c>
      <c r="G60" s="17">
        <v>5.6731999999999998E-2</v>
      </c>
    </row>
    <row r="61" spans="1:7" x14ac:dyDescent="0.35">
      <c r="A61" s="14" t="s">
        <v>149</v>
      </c>
      <c r="B61" s="42"/>
      <c r="C61" s="42"/>
      <c r="D61" s="18"/>
      <c r="E61" s="36">
        <v>266881.34999999998</v>
      </c>
      <c r="F61" s="37">
        <v>0.42630000000000001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3"/>
      <c r="B63" s="41"/>
      <c r="C63" s="41"/>
      <c r="D63" s="15"/>
      <c r="E63" s="16"/>
      <c r="F63" s="17"/>
      <c r="G63" s="17"/>
    </row>
    <row r="64" spans="1:7" x14ac:dyDescent="0.35">
      <c r="A64" s="14" t="s">
        <v>158</v>
      </c>
      <c r="B64" s="41"/>
      <c r="C64" s="41"/>
      <c r="D64" s="15"/>
      <c r="E64" s="16"/>
      <c r="F64" s="17"/>
      <c r="G64" s="17"/>
    </row>
    <row r="65" spans="1:7" x14ac:dyDescent="0.35">
      <c r="A65" s="14" t="s">
        <v>149</v>
      </c>
      <c r="B65" s="41"/>
      <c r="C65" s="41"/>
      <c r="D65" s="15"/>
      <c r="E65" s="45" t="s">
        <v>146</v>
      </c>
      <c r="F65" s="46" t="s">
        <v>146</v>
      </c>
      <c r="G65" s="17"/>
    </row>
    <row r="66" spans="1:7" x14ac:dyDescent="0.35">
      <c r="A66" s="13"/>
      <c r="B66" s="41"/>
      <c r="C66" s="41"/>
      <c r="D66" s="15"/>
      <c r="E66" s="16"/>
      <c r="F66" s="17"/>
      <c r="G66" s="17"/>
    </row>
    <row r="67" spans="1:7" x14ac:dyDescent="0.35">
      <c r="A67" s="14" t="s">
        <v>159</v>
      </c>
      <c r="B67" s="41"/>
      <c r="C67" s="41"/>
      <c r="D67" s="15"/>
      <c r="E67" s="16"/>
      <c r="F67" s="17"/>
      <c r="G67" s="17"/>
    </row>
    <row r="68" spans="1:7" x14ac:dyDescent="0.35">
      <c r="A68" s="14" t="s">
        <v>149</v>
      </c>
      <c r="B68" s="41"/>
      <c r="C68" s="41"/>
      <c r="D68" s="15"/>
      <c r="E68" s="45" t="s">
        <v>146</v>
      </c>
      <c r="F68" s="46" t="s">
        <v>146</v>
      </c>
      <c r="G68" s="17"/>
    </row>
    <row r="69" spans="1:7" x14ac:dyDescent="0.35">
      <c r="A69" s="13"/>
      <c r="B69" s="41"/>
      <c r="C69" s="41"/>
      <c r="D69" s="15"/>
      <c r="E69" s="16"/>
      <c r="F69" s="17"/>
      <c r="G69" s="17"/>
    </row>
    <row r="70" spans="1:7" x14ac:dyDescent="0.35">
      <c r="A70" s="22" t="s">
        <v>160</v>
      </c>
      <c r="B70" s="43"/>
      <c r="C70" s="43"/>
      <c r="D70" s="23"/>
      <c r="E70" s="36">
        <v>560625.61</v>
      </c>
      <c r="F70" s="37">
        <v>0.89559999999999995</v>
      </c>
      <c r="G70" s="21"/>
    </row>
    <row r="71" spans="1:7" x14ac:dyDescent="0.35">
      <c r="A71" s="13"/>
      <c r="B71" s="41"/>
      <c r="C71" s="41"/>
      <c r="D71" s="15"/>
      <c r="E71" s="16"/>
      <c r="F71" s="17"/>
      <c r="G71" s="17"/>
    </row>
    <row r="72" spans="1:7" x14ac:dyDescent="0.35">
      <c r="A72" s="14" t="s">
        <v>161</v>
      </c>
      <c r="B72" s="41"/>
      <c r="C72" s="41"/>
      <c r="D72" s="15"/>
      <c r="E72" s="16"/>
      <c r="F72" s="17"/>
      <c r="G72" s="17"/>
    </row>
    <row r="73" spans="1:7" x14ac:dyDescent="0.35">
      <c r="A73" s="14" t="s">
        <v>173</v>
      </c>
      <c r="B73" s="41"/>
      <c r="C73" s="41"/>
      <c r="D73" s="15"/>
      <c r="E73" s="16"/>
      <c r="F73" s="17"/>
      <c r="G73" s="17"/>
    </row>
    <row r="74" spans="1:7" x14ac:dyDescent="0.35">
      <c r="A74" s="13" t="s">
        <v>1143</v>
      </c>
      <c r="B74" s="41" t="s">
        <v>1144</v>
      </c>
      <c r="C74" s="41" t="s">
        <v>176</v>
      </c>
      <c r="D74" s="15">
        <v>7500000</v>
      </c>
      <c r="E74" s="16">
        <v>7465.69</v>
      </c>
      <c r="F74" s="17">
        <v>1.1900000000000001E-2</v>
      </c>
      <c r="G74" s="17">
        <v>6.4520999999999995E-2</v>
      </c>
    </row>
    <row r="75" spans="1:7" x14ac:dyDescent="0.35">
      <c r="A75" s="13" t="s">
        <v>1145</v>
      </c>
      <c r="B75" s="41" t="s">
        <v>1146</v>
      </c>
      <c r="C75" s="41" t="s">
        <v>176</v>
      </c>
      <c r="D75" s="15">
        <v>2500000</v>
      </c>
      <c r="E75" s="16">
        <v>2476.9299999999998</v>
      </c>
      <c r="F75" s="17">
        <v>4.0000000000000001E-3</v>
      </c>
      <c r="G75" s="17">
        <v>6.6651000000000002E-2</v>
      </c>
    </row>
    <row r="76" spans="1:7" x14ac:dyDescent="0.35">
      <c r="A76" s="14" t="s">
        <v>149</v>
      </c>
      <c r="B76" s="42"/>
      <c r="C76" s="42"/>
      <c r="D76" s="18"/>
      <c r="E76" s="36">
        <v>9942.6200000000008</v>
      </c>
      <c r="F76" s="37">
        <v>1.5900000000000001E-2</v>
      </c>
      <c r="G76" s="21"/>
    </row>
    <row r="77" spans="1:7" x14ac:dyDescent="0.35">
      <c r="A77" s="13"/>
      <c r="B77" s="41"/>
      <c r="C77" s="41"/>
      <c r="D77" s="15"/>
      <c r="E77" s="16"/>
      <c r="F77" s="17"/>
      <c r="G77" s="17"/>
    </row>
    <row r="78" spans="1:7" x14ac:dyDescent="0.35">
      <c r="A78" s="14" t="s">
        <v>225</v>
      </c>
      <c r="B78" s="41"/>
      <c r="C78" s="41"/>
      <c r="D78" s="15"/>
      <c r="E78" s="16"/>
      <c r="F78" s="17"/>
      <c r="G78" s="17"/>
    </row>
    <row r="79" spans="1:7" x14ac:dyDescent="0.35">
      <c r="A79" s="13" t="s">
        <v>1147</v>
      </c>
      <c r="B79" s="41" t="s">
        <v>1148</v>
      </c>
      <c r="C79" s="41" t="s">
        <v>176</v>
      </c>
      <c r="D79" s="15">
        <v>35000000</v>
      </c>
      <c r="E79" s="16">
        <v>34498.07</v>
      </c>
      <c r="F79" s="17">
        <v>5.5100000000000003E-2</v>
      </c>
      <c r="G79" s="17">
        <v>7.2750999999999996E-2</v>
      </c>
    </row>
    <row r="80" spans="1:7" x14ac:dyDescent="0.35">
      <c r="A80" s="14" t="s">
        <v>149</v>
      </c>
      <c r="B80" s="42"/>
      <c r="C80" s="42"/>
      <c r="D80" s="18"/>
      <c r="E80" s="36">
        <v>34498.07</v>
      </c>
      <c r="F80" s="37">
        <v>5.5100000000000003E-2</v>
      </c>
      <c r="G80" s="21"/>
    </row>
    <row r="81" spans="1:7" x14ac:dyDescent="0.35">
      <c r="A81" s="13"/>
      <c r="B81" s="41"/>
      <c r="C81" s="41"/>
      <c r="D81" s="15"/>
      <c r="E81" s="16"/>
      <c r="F81" s="17"/>
      <c r="G81" s="17"/>
    </row>
    <row r="82" spans="1:7" x14ac:dyDescent="0.35">
      <c r="A82" s="22" t="s">
        <v>160</v>
      </c>
      <c r="B82" s="43"/>
      <c r="C82" s="43"/>
      <c r="D82" s="23"/>
      <c r="E82" s="36">
        <v>44440.69</v>
      </c>
      <c r="F82" s="37">
        <v>7.0999999999999994E-2</v>
      </c>
      <c r="G82" s="21"/>
    </row>
    <row r="83" spans="1:7" x14ac:dyDescent="0.35">
      <c r="A83" s="13"/>
      <c r="B83" s="41"/>
      <c r="C83" s="41"/>
      <c r="D83" s="15"/>
      <c r="E83" s="16"/>
      <c r="F83" s="17"/>
      <c r="G83" s="17"/>
    </row>
    <row r="84" spans="1:7" x14ac:dyDescent="0.35">
      <c r="A84" s="13"/>
      <c r="B84" s="41"/>
      <c r="C84" s="41"/>
      <c r="D84" s="15"/>
      <c r="E84" s="16"/>
      <c r="F84" s="17"/>
      <c r="G84" s="17"/>
    </row>
    <row r="85" spans="1:7" x14ac:dyDescent="0.35">
      <c r="A85" s="14" t="s">
        <v>255</v>
      </c>
      <c r="B85" s="41"/>
      <c r="C85" s="41"/>
      <c r="D85" s="15"/>
      <c r="E85" s="16"/>
      <c r="F85" s="17"/>
      <c r="G85" s="17"/>
    </row>
    <row r="86" spans="1:7" x14ac:dyDescent="0.35">
      <c r="A86" s="13" t="s">
        <v>257</v>
      </c>
      <c r="B86" s="41"/>
      <c r="C86" s="41"/>
      <c r="D86" s="15"/>
      <c r="E86" s="16">
        <v>5295.78</v>
      </c>
      <c r="F86" s="17">
        <v>8.5000000000000006E-3</v>
      </c>
      <c r="G86" s="17">
        <v>4.2000000000000003E-2</v>
      </c>
    </row>
    <row r="87" spans="1:7" x14ac:dyDescent="0.35">
      <c r="A87" s="13" t="s">
        <v>257</v>
      </c>
      <c r="B87" s="41"/>
      <c r="C87" s="41"/>
      <c r="D87" s="15"/>
      <c r="E87" s="16">
        <v>3785.39</v>
      </c>
      <c r="F87" s="17">
        <v>6.0000000000000001E-3</v>
      </c>
      <c r="G87" s="17">
        <v>5.1742000000000003E-2</v>
      </c>
    </row>
    <row r="88" spans="1:7" x14ac:dyDescent="0.35">
      <c r="A88" s="14" t="s">
        <v>149</v>
      </c>
      <c r="B88" s="42"/>
      <c r="C88" s="42"/>
      <c r="D88" s="18"/>
      <c r="E88" s="36">
        <v>9081.17</v>
      </c>
      <c r="F88" s="37">
        <v>1.4500000000000001E-2</v>
      </c>
      <c r="G88" s="21"/>
    </row>
    <row r="89" spans="1:7" x14ac:dyDescent="0.35">
      <c r="A89" s="13"/>
      <c r="B89" s="41"/>
      <c r="C89" s="41"/>
      <c r="D89" s="15"/>
      <c r="E89" s="16"/>
      <c r="F89" s="17"/>
      <c r="G89" s="17"/>
    </row>
    <row r="90" spans="1:7" x14ac:dyDescent="0.35">
      <c r="A90" s="22" t="s">
        <v>160</v>
      </c>
      <c r="B90" s="43"/>
      <c r="C90" s="43"/>
      <c r="D90" s="23"/>
      <c r="E90" s="36">
        <v>9081.17</v>
      </c>
      <c r="F90" s="37">
        <v>1.4500000000000001E-2</v>
      </c>
      <c r="G90" s="21"/>
    </row>
    <row r="91" spans="1:7" x14ac:dyDescent="0.35">
      <c r="A91" s="13" t="s">
        <v>258</v>
      </c>
      <c r="B91" s="41"/>
      <c r="C91" s="41"/>
      <c r="D91" s="15"/>
      <c r="E91" s="16">
        <v>23019.116654000001</v>
      </c>
      <c r="F91" s="17">
        <v>3.6766E-2</v>
      </c>
      <c r="G91" s="17"/>
    </row>
    <row r="92" spans="1:7" x14ac:dyDescent="0.35">
      <c r="A92" s="13" t="s">
        <v>259</v>
      </c>
      <c r="B92" s="41"/>
      <c r="C92" s="41"/>
      <c r="D92" s="15"/>
      <c r="E92" s="28">
        <v>-11083.486654</v>
      </c>
      <c r="F92" s="29">
        <v>-1.7866E-2</v>
      </c>
      <c r="G92" s="17">
        <v>4.6059999999999997E-2</v>
      </c>
    </row>
    <row r="93" spans="1:7" x14ac:dyDescent="0.35">
      <c r="A93" s="38" t="s">
        <v>260</v>
      </c>
      <c r="B93" s="44"/>
      <c r="C93" s="44"/>
      <c r="D93" s="39"/>
      <c r="E93" s="24">
        <v>626083.1</v>
      </c>
      <c r="F93" s="25">
        <v>1</v>
      </c>
      <c r="G93" s="25"/>
    </row>
    <row r="95" spans="1:7" x14ac:dyDescent="0.35">
      <c r="A95" s="1" t="s">
        <v>261</v>
      </c>
    </row>
    <row r="96" spans="1:7" x14ac:dyDescent="0.35">
      <c r="A96" s="1" t="s">
        <v>262</v>
      </c>
    </row>
    <row r="97" spans="1:3" x14ac:dyDescent="0.35">
      <c r="A97" s="1" t="s">
        <v>1149</v>
      </c>
    </row>
    <row r="98" spans="1:3" x14ac:dyDescent="0.35">
      <c r="A98" s="1" t="s">
        <v>263</v>
      </c>
    </row>
    <row r="99" spans="1:3" ht="29" customHeight="1" x14ac:dyDescent="0.35">
      <c r="A99" s="47" t="s">
        <v>264</v>
      </c>
      <c r="B99" s="3" t="s">
        <v>146</v>
      </c>
    </row>
    <row r="100" spans="1:3" x14ac:dyDescent="0.35">
      <c r="A100" t="s">
        <v>265</v>
      </c>
    </row>
    <row r="101" spans="1:3" x14ac:dyDescent="0.35">
      <c r="A101" t="s">
        <v>266</v>
      </c>
      <c r="B101" t="s">
        <v>267</v>
      </c>
      <c r="C101" t="s">
        <v>267</v>
      </c>
    </row>
    <row r="102" spans="1:3" x14ac:dyDescent="0.35">
      <c r="B102" s="49">
        <v>46022</v>
      </c>
      <c r="C102" s="49">
        <v>46052</v>
      </c>
    </row>
    <row r="103" spans="1:3" x14ac:dyDescent="0.35">
      <c r="A103" t="s">
        <v>272</v>
      </c>
      <c r="B103">
        <v>13.4634</v>
      </c>
      <c r="C103">
        <v>13.5184</v>
      </c>
    </row>
    <row r="104" spans="1:3" x14ac:dyDescent="0.35">
      <c r="A104" t="s">
        <v>273</v>
      </c>
      <c r="B104">
        <v>13.464</v>
      </c>
      <c r="C104">
        <v>13.519</v>
      </c>
    </row>
    <row r="105" spans="1:3" x14ac:dyDescent="0.35">
      <c r="A105" t="s">
        <v>708</v>
      </c>
      <c r="B105">
        <v>13.345599999999999</v>
      </c>
      <c r="C105">
        <v>13.398</v>
      </c>
    </row>
    <row r="106" spans="1:3" x14ac:dyDescent="0.35">
      <c r="A106" t="s">
        <v>709</v>
      </c>
      <c r="B106">
        <v>13.3468</v>
      </c>
      <c r="C106">
        <v>13.399100000000001</v>
      </c>
    </row>
    <row r="108" spans="1:3" x14ac:dyDescent="0.35">
      <c r="A108" t="s">
        <v>283</v>
      </c>
      <c r="B108" s="3" t="s">
        <v>146</v>
      </c>
    </row>
    <row r="109" spans="1:3" x14ac:dyDescent="0.35">
      <c r="A109" t="s">
        <v>284</v>
      </c>
      <c r="B109" s="3" t="s">
        <v>146</v>
      </c>
    </row>
    <row r="110" spans="1:3" ht="58" customHeight="1" x14ac:dyDescent="0.35">
      <c r="A110" s="47" t="s">
        <v>285</v>
      </c>
      <c r="B110" s="3" t="s">
        <v>146</v>
      </c>
    </row>
    <row r="111" spans="1:3" ht="43.5" customHeight="1" x14ac:dyDescent="0.35">
      <c r="A111" s="47" t="s">
        <v>286</v>
      </c>
      <c r="B111" s="3" t="s">
        <v>146</v>
      </c>
    </row>
    <row r="112" spans="1:3" x14ac:dyDescent="0.35">
      <c r="A112" t="s">
        <v>287</v>
      </c>
      <c r="B112" s="48">
        <f>B127</f>
        <v>0.1220425424305156</v>
      </c>
    </row>
    <row r="113" spans="1:2" ht="72.5" customHeight="1" x14ac:dyDescent="0.35">
      <c r="A113" s="47" t="s">
        <v>288</v>
      </c>
      <c r="B113" s="3" t="s">
        <v>146</v>
      </c>
    </row>
    <row r="114" spans="1:2" x14ac:dyDescent="0.35">
      <c r="B114" s="3"/>
    </row>
    <row r="115" spans="1:2" ht="58" customHeight="1" x14ac:dyDescent="0.35">
      <c r="A115" s="47" t="s">
        <v>289</v>
      </c>
      <c r="B115" s="3" t="s">
        <v>146</v>
      </c>
    </row>
    <row r="116" spans="1:2" ht="58" customHeight="1" x14ac:dyDescent="0.35">
      <c r="A116" s="47" t="s">
        <v>290</v>
      </c>
      <c r="B116" t="s">
        <v>146</v>
      </c>
    </row>
    <row r="117" spans="1:2" ht="43.5" customHeight="1" x14ac:dyDescent="0.35">
      <c r="A117" s="47" t="s">
        <v>291</v>
      </c>
      <c r="B117" s="3" t="s">
        <v>146</v>
      </c>
    </row>
    <row r="118" spans="1:2" ht="43.5" customHeight="1" x14ac:dyDescent="0.35">
      <c r="A118" s="47" t="s">
        <v>292</v>
      </c>
      <c r="B118" s="3" t="s">
        <v>146</v>
      </c>
    </row>
    <row r="120" spans="1:2" x14ac:dyDescent="0.35">
      <c r="A120" t="s">
        <v>293</v>
      </c>
    </row>
    <row r="121" spans="1:2" ht="29" customHeight="1" x14ac:dyDescent="0.35">
      <c r="A121" s="51" t="s">
        <v>295</v>
      </c>
      <c r="B121" s="55" t="s">
        <v>1150</v>
      </c>
    </row>
    <row r="122" spans="1:2" x14ac:dyDescent="0.35">
      <c r="A122" s="51" t="s">
        <v>297</v>
      </c>
      <c r="B122" s="51" t="s">
        <v>1151</v>
      </c>
    </row>
    <row r="123" spans="1:2" x14ac:dyDescent="0.35">
      <c r="A123" s="51"/>
      <c r="B123" s="51"/>
    </row>
    <row r="124" spans="1:2" x14ac:dyDescent="0.35">
      <c r="A124" s="51" t="s">
        <v>299</v>
      </c>
      <c r="B124" s="52">
        <v>6.3291204509188903</v>
      </c>
    </row>
    <row r="125" spans="1:2" x14ac:dyDescent="0.35">
      <c r="A125" s="51"/>
      <c r="B125" s="51"/>
    </row>
    <row r="126" spans="1:2" x14ac:dyDescent="0.35">
      <c r="A126" s="51" t="s">
        <v>300</v>
      </c>
      <c r="B126" s="53">
        <v>0.12230000000000001</v>
      </c>
    </row>
    <row r="127" spans="1:2" x14ac:dyDescent="0.35">
      <c r="A127" s="51" t="s">
        <v>301</v>
      </c>
      <c r="B127" s="53">
        <v>0.1220425424305156</v>
      </c>
    </row>
    <row r="128" spans="1:2" x14ac:dyDescent="0.35">
      <c r="A128" s="51"/>
      <c r="B128" s="51"/>
    </row>
    <row r="129" spans="1:4" x14ac:dyDescent="0.35">
      <c r="A129" s="51" t="s">
        <v>302</v>
      </c>
      <c r="B129" s="54">
        <v>46053</v>
      </c>
    </row>
    <row r="131" spans="1:4" ht="70" customHeight="1" x14ac:dyDescent="0.35">
      <c r="A131" s="70" t="s">
        <v>303</v>
      </c>
      <c r="B131" s="70" t="s">
        <v>304</v>
      </c>
      <c r="C131" s="70" t="s">
        <v>4</v>
      </c>
      <c r="D131" s="70" t="s">
        <v>5</v>
      </c>
    </row>
    <row r="132" spans="1:4" ht="70" customHeight="1" x14ac:dyDescent="0.35">
      <c r="A132" s="70" t="s">
        <v>1152</v>
      </c>
      <c r="B132" s="70"/>
      <c r="C132" s="70" t="s">
        <v>47</v>
      </c>
      <c r="D132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81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1153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1154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3"/>
      <c r="B9" s="41"/>
      <c r="C9" s="41"/>
      <c r="D9" s="15"/>
      <c r="E9" s="16"/>
      <c r="F9" s="17"/>
      <c r="G9" s="17"/>
    </row>
    <row r="10" spans="1:7" x14ac:dyDescent="0.35">
      <c r="A10" s="14" t="s">
        <v>255</v>
      </c>
      <c r="B10" s="41"/>
      <c r="C10" s="41"/>
      <c r="D10" s="15"/>
      <c r="E10" s="16"/>
      <c r="F10" s="17"/>
      <c r="G10" s="17"/>
    </row>
    <row r="11" spans="1:7" x14ac:dyDescent="0.35">
      <c r="A11" s="13" t="s">
        <v>256</v>
      </c>
      <c r="B11" s="41"/>
      <c r="C11" s="41"/>
      <c r="D11" s="15"/>
      <c r="E11" s="16">
        <v>10999.89</v>
      </c>
      <c r="F11" s="17">
        <v>0.89729999999999999</v>
      </c>
      <c r="G11" s="17">
        <v>5.3999999999999999E-2</v>
      </c>
    </row>
    <row r="12" spans="1:7" x14ac:dyDescent="0.35">
      <c r="A12" s="13" t="s">
        <v>257</v>
      </c>
      <c r="B12" s="41"/>
      <c r="C12" s="41"/>
      <c r="D12" s="15"/>
      <c r="E12" s="16">
        <v>1233.48</v>
      </c>
      <c r="F12" s="17">
        <v>0.10059999999999999</v>
      </c>
      <c r="G12" s="17">
        <v>5.1742000000000003E-2</v>
      </c>
    </row>
    <row r="13" spans="1:7" x14ac:dyDescent="0.35">
      <c r="A13" s="14" t="s">
        <v>149</v>
      </c>
      <c r="B13" s="42"/>
      <c r="C13" s="42"/>
      <c r="D13" s="18"/>
      <c r="E13" s="36">
        <v>12233.37</v>
      </c>
      <c r="F13" s="37">
        <v>0.99790000000000001</v>
      </c>
      <c r="G13" s="21"/>
    </row>
    <row r="14" spans="1:7" x14ac:dyDescent="0.35">
      <c r="A14" s="13"/>
      <c r="B14" s="41"/>
      <c r="C14" s="41"/>
      <c r="D14" s="15"/>
      <c r="E14" s="16"/>
      <c r="F14" s="17"/>
      <c r="G14" s="17"/>
    </row>
    <row r="15" spans="1:7" x14ac:dyDescent="0.35">
      <c r="A15" s="22" t="s">
        <v>160</v>
      </c>
      <c r="B15" s="43"/>
      <c r="C15" s="43"/>
      <c r="D15" s="23"/>
      <c r="E15" s="36">
        <v>12233.37</v>
      </c>
      <c r="F15" s="37">
        <v>0.99790000000000001</v>
      </c>
      <c r="G15" s="21"/>
    </row>
    <row r="16" spans="1:7" x14ac:dyDescent="0.35">
      <c r="A16" s="13" t="s">
        <v>258</v>
      </c>
      <c r="B16" s="41"/>
      <c r="C16" s="41"/>
      <c r="D16" s="15"/>
      <c r="E16" s="16">
        <v>3.6044740000000002</v>
      </c>
      <c r="F16" s="17">
        <v>2.9399999999999999E-4</v>
      </c>
      <c r="G16" s="17"/>
    </row>
    <row r="17" spans="1:7" x14ac:dyDescent="0.35">
      <c r="A17" s="13" t="s">
        <v>259</v>
      </c>
      <c r="B17" s="41"/>
      <c r="C17" s="41"/>
      <c r="D17" s="15"/>
      <c r="E17" s="16">
        <v>21.665526</v>
      </c>
      <c r="F17" s="17">
        <v>1.8060000000000001E-3</v>
      </c>
      <c r="G17" s="17">
        <v>5.3772E-2</v>
      </c>
    </row>
    <row r="18" spans="1:7" x14ac:dyDescent="0.35">
      <c r="A18" s="38" t="s">
        <v>260</v>
      </c>
      <c r="B18" s="44"/>
      <c r="C18" s="44"/>
      <c r="D18" s="39"/>
      <c r="E18" s="24">
        <v>12258.64</v>
      </c>
      <c r="F18" s="25">
        <v>1</v>
      </c>
      <c r="G18" s="25"/>
    </row>
    <row r="23" spans="1:7" x14ac:dyDescent="0.35">
      <c r="A23" s="1" t="s">
        <v>263</v>
      </c>
    </row>
    <row r="24" spans="1:7" ht="29" customHeight="1" x14ac:dyDescent="0.35">
      <c r="A24" s="47" t="s">
        <v>264</v>
      </c>
      <c r="B24" s="3" t="s">
        <v>146</v>
      </c>
    </row>
    <row r="25" spans="1:7" x14ac:dyDescent="0.35">
      <c r="A25" t="s">
        <v>265</v>
      </c>
    </row>
    <row r="26" spans="1:7" x14ac:dyDescent="0.35">
      <c r="A26" t="s">
        <v>471</v>
      </c>
      <c r="B26" t="s">
        <v>267</v>
      </c>
      <c r="C26" t="s">
        <v>267</v>
      </c>
    </row>
    <row r="27" spans="1:7" x14ac:dyDescent="0.35">
      <c r="B27" s="49">
        <v>46022</v>
      </c>
      <c r="C27" s="49">
        <v>46053</v>
      </c>
    </row>
    <row r="28" spans="1:7" x14ac:dyDescent="0.35">
      <c r="A28" t="s">
        <v>268</v>
      </c>
      <c r="B28">
        <v>1376.4728</v>
      </c>
      <c r="C28">
        <v>1382.5804000000001</v>
      </c>
    </row>
    <row r="29" spans="1:7" x14ac:dyDescent="0.35">
      <c r="A29" t="s">
        <v>1155</v>
      </c>
      <c r="B29">
        <v>1000.1849</v>
      </c>
      <c r="C29">
        <v>1000.1942</v>
      </c>
    </row>
    <row r="30" spans="1:7" x14ac:dyDescent="0.35">
      <c r="A30" t="s">
        <v>704</v>
      </c>
      <c r="B30">
        <v>1371.3407999999999</v>
      </c>
      <c r="C30">
        <v>1371.3271999999999</v>
      </c>
    </row>
    <row r="31" spans="1:7" x14ac:dyDescent="0.35">
      <c r="A31" t="s">
        <v>272</v>
      </c>
      <c r="B31">
        <v>1376.0093999999999</v>
      </c>
      <c r="C31">
        <v>1382.117</v>
      </c>
    </row>
    <row r="32" spans="1:7" x14ac:dyDescent="0.35">
      <c r="A32" t="s">
        <v>705</v>
      </c>
      <c r="B32">
        <v>1058.433</v>
      </c>
      <c r="C32">
        <v>1058.4036000000001</v>
      </c>
    </row>
    <row r="33" spans="1:4" x14ac:dyDescent="0.35">
      <c r="A33" t="s">
        <v>706</v>
      </c>
      <c r="B33" t="s">
        <v>270</v>
      </c>
      <c r="C33">
        <v>1380.8966</v>
      </c>
    </row>
    <row r="34" spans="1:4" x14ac:dyDescent="0.35">
      <c r="A34" t="s">
        <v>1156</v>
      </c>
      <c r="B34">
        <v>1371.1413</v>
      </c>
      <c r="C34">
        <v>1377.1702</v>
      </c>
    </row>
    <row r="35" spans="1:4" x14ac:dyDescent="0.35">
      <c r="A35" t="s">
        <v>1157</v>
      </c>
      <c r="B35">
        <v>1008.3573</v>
      </c>
      <c r="C35">
        <v>1008.3604</v>
      </c>
    </row>
    <row r="36" spans="1:4" x14ac:dyDescent="0.35">
      <c r="A36" t="s">
        <v>707</v>
      </c>
      <c r="B36">
        <v>1095.6178</v>
      </c>
      <c r="C36">
        <v>1095.6083000000001</v>
      </c>
    </row>
    <row r="37" spans="1:4" x14ac:dyDescent="0.35">
      <c r="A37" t="s">
        <v>708</v>
      </c>
      <c r="B37">
        <v>1371.1337000000001</v>
      </c>
      <c r="C37">
        <v>1377.1612</v>
      </c>
    </row>
    <row r="38" spans="1:4" x14ac:dyDescent="0.35">
      <c r="A38" t="s">
        <v>710</v>
      </c>
      <c r="B38">
        <v>1005.2837</v>
      </c>
      <c r="C38">
        <v>1005.2556</v>
      </c>
    </row>
    <row r="39" spans="1:4" x14ac:dyDescent="0.35">
      <c r="A39" t="s">
        <v>711</v>
      </c>
      <c r="B39">
        <v>1016.6871</v>
      </c>
      <c r="C39">
        <v>1017.1146</v>
      </c>
    </row>
    <row r="40" spans="1:4" x14ac:dyDescent="0.35">
      <c r="A40" t="s">
        <v>1158</v>
      </c>
      <c r="B40">
        <v>1258.9745</v>
      </c>
      <c r="C40">
        <v>1264.5626999999999</v>
      </c>
    </row>
    <row r="41" spans="1:4" x14ac:dyDescent="0.35">
      <c r="A41" t="s">
        <v>1159</v>
      </c>
      <c r="B41">
        <v>1000</v>
      </c>
      <c r="C41">
        <v>1000</v>
      </c>
    </row>
    <row r="42" spans="1:4" x14ac:dyDescent="0.35">
      <c r="A42" t="s">
        <v>1160</v>
      </c>
      <c r="B42">
        <v>1258.9728</v>
      </c>
      <c r="C42">
        <v>1264.5609999999999</v>
      </c>
    </row>
    <row r="43" spans="1:4" x14ac:dyDescent="0.35">
      <c r="A43" t="s">
        <v>1161</v>
      </c>
      <c r="B43">
        <v>1000</v>
      </c>
      <c r="C43">
        <v>1000</v>
      </c>
    </row>
    <row r="44" spans="1:4" x14ac:dyDescent="0.35">
      <c r="A44" t="s">
        <v>282</v>
      </c>
    </row>
    <row r="46" spans="1:4" x14ac:dyDescent="0.35">
      <c r="A46" t="s">
        <v>712</v>
      </c>
    </row>
    <row r="48" spans="1:4" x14ac:dyDescent="0.35">
      <c r="A48" s="50" t="s">
        <v>713</v>
      </c>
      <c r="B48" s="50" t="s">
        <v>714</v>
      </c>
      <c r="C48" s="50" t="s">
        <v>715</v>
      </c>
      <c r="D48" s="50" t="s">
        <v>716</v>
      </c>
    </row>
    <row r="49" spans="1:4" x14ac:dyDescent="0.35">
      <c r="A49" s="50" t="s">
        <v>1162</v>
      </c>
      <c r="B49" s="50"/>
      <c r="C49" s="50">
        <v>4.4196852</v>
      </c>
      <c r="D49" s="50">
        <v>4.4196852</v>
      </c>
    </row>
    <row r="50" spans="1:4" x14ac:dyDescent="0.35">
      <c r="A50" s="50" t="s">
        <v>1163</v>
      </c>
      <c r="B50" s="50"/>
      <c r="C50" s="50">
        <v>6.0922333999999996</v>
      </c>
      <c r="D50" s="50">
        <v>6.0922333999999996</v>
      </c>
    </row>
    <row r="51" spans="1:4" x14ac:dyDescent="0.35">
      <c r="A51" s="50" t="s">
        <v>1164</v>
      </c>
      <c r="B51" s="50"/>
      <c r="C51" s="50">
        <v>4.7213846000000004</v>
      </c>
      <c r="D51" s="50">
        <v>4.7213846000000004</v>
      </c>
    </row>
    <row r="52" spans="1:4" x14ac:dyDescent="0.35">
      <c r="A52" s="50" t="s">
        <v>1165</v>
      </c>
      <c r="B52" s="50"/>
      <c r="C52" s="50">
        <v>1.3103448</v>
      </c>
      <c r="D52" s="50">
        <v>1.3103448</v>
      </c>
    </row>
    <row r="53" spans="1:4" x14ac:dyDescent="0.35">
      <c r="A53" s="50" t="s">
        <v>1166</v>
      </c>
      <c r="B53" s="50"/>
      <c r="C53" s="50">
        <v>4.4242979</v>
      </c>
      <c r="D53" s="50">
        <v>4.4242979</v>
      </c>
    </row>
    <row r="54" spans="1:4" x14ac:dyDescent="0.35">
      <c r="A54" s="50" t="s">
        <v>1167</v>
      </c>
      <c r="B54" s="50"/>
      <c r="C54" s="50">
        <v>4.8177025000000002</v>
      </c>
      <c r="D54" s="50">
        <v>4.8177025000000002</v>
      </c>
    </row>
    <row r="55" spans="1:4" x14ac:dyDescent="0.35">
      <c r="A55" s="50" t="s">
        <v>1168</v>
      </c>
      <c r="B55" s="50"/>
      <c r="C55" s="50">
        <v>4.4469618999999998</v>
      </c>
      <c r="D55" s="50">
        <v>4.4469618999999998</v>
      </c>
    </row>
    <row r="56" spans="1:4" x14ac:dyDescent="0.35">
      <c r="A56" s="50" t="s">
        <v>1169</v>
      </c>
      <c r="B56" s="50"/>
      <c r="C56" s="50">
        <v>4.0270368999999997</v>
      </c>
      <c r="D56" s="50">
        <v>4.0270368999999997</v>
      </c>
    </row>
    <row r="58" spans="1:4" x14ac:dyDescent="0.35">
      <c r="A58" t="s">
        <v>284</v>
      </c>
      <c r="B58" s="3" t="s">
        <v>146</v>
      </c>
    </row>
    <row r="59" spans="1:4" ht="58" customHeight="1" x14ac:dyDescent="0.35">
      <c r="A59" s="47" t="s">
        <v>285</v>
      </c>
      <c r="B59" s="3" t="s">
        <v>146</v>
      </c>
    </row>
    <row r="60" spans="1:4" ht="43.5" customHeight="1" x14ac:dyDescent="0.35">
      <c r="A60" s="47" t="s">
        <v>286</v>
      </c>
      <c r="B60" s="3" t="s">
        <v>146</v>
      </c>
    </row>
    <row r="61" spans="1:4" x14ac:dyDescent="0.35">
      <c r="A61" t="s">
        <v>287</v>
      </c>
      <c r="B61" s="48">
        <f>B76</f>
        <v>2.7445687705974198E-3</v>
      </c>
    </row>
    <row r="62" spans="1:4" ht="72.5" customHeight="1" x14ac:dyDescent="0.35">
      <c r="A62" s="47" t="s">
        <v>288</v>
      </c>
      <c r="B62" s="3" t="s">
        <v>146</v>
      </c>
    </row>
    <row r="63" spans="1:4" x14ac:dyDescent="0.35">
      <c r="B63" s="3"/>
    </row>
    <row r="64" spans="1:4" ht="58" customHeight="1" x14ac:dyDescent="0.35">
      <c r="A64" s="47" t="s">
        <v>289</v>
      </c>
      <c r="B64" s="3" t="s">
        <v>146</v>
      </c>
    </row>
    <row r="65" spans="1:4" ht="58" customHeight="1" x14ac:dyDescent="0.35">
      <c r="A65" s="47" t="s">
        <v>290</v>
      </c>
      <c r="B65" t="s">
        <v>146</v>
      </c>
    </row>
    <row r="66" spans="1:4" ht="43.5" customHeight="1" x14ac:dyDescent="0.35">
      <c r="A66" s="47" t="s">
        <v>291</v>
      </c>
      <c r="B66" s="3" t="s">
        <v>146</v>
      </c>
    </row>
    <row r="67" spans="1:4" ht="43.5" customHeight="1" x14ac:dyDescent="0.35">
      <c r="A67" s="47" t="s">
        <v>292</v>
      </c>
      <c r="B67" s="3" t="s">
        <v>146</v>
      </c>
    </row>
    <row r="69" spans="1:4" x14ac:dyDescent="0.35">
      <c r="A69" t="s">
        <v>293</v>
      </c>
    </row>
    <row r="70" spans="1:4" x14ac:dyDescent="0.35">
      <c r="A70" s="51" t="s">
        <v>295</v>
      </c>
      <c r="B70" s="51" t="s">
        <v>1170</v>
      </c>
    </row>
    <row r="71" spans="1:4" x14ac:dyDescent="0.35">
      <c r="A71" s="51" t="s">
        <v>297</v>
      </c>
      <c r="B71" s="51" t="s">
        <v>1171</v>
      </c>
    </row>
    <row r="72" spans="1:4" x14ac:dyDescent="0.35">
      <c r="A72" s="51"/>
      <c r="B72" s="51"/>
    </row>
    <row r="73" spans="1:4" x14ac:dyDescent="0.35">
      <c r="A73" s="51" t="s">
        <v>299</v>
      </c>
      <c r="B73" s="52">
        <v>5.3769374147967728</v>
      </c>
    </row>
    <row r="74" spans="1:4" x14ac:dyDescent="0.35">
      <c r="A74" s="51"/>
      <c r="B74" s="51"/>
    </row>
    <row r="75" spans="1:4" x14ac:dyDescent="0.35">
      <c r="A75" s="51" t="s">
        <v>300</v>
      </c>
      <c r="B75" s="53">
        <v>5.4999999999999997E-3</v>
      </c>
    </row>
    <row r="76" spans="1:4" x14ac:dyDescent="0.35">
      <c r="A76" s="51" t="s">
        <v>301</v>
      </c>
      <c r="B76" s="45">
        <v>2.7445687705974198E-3</v>
      </c>
    </row>
    <row r="77" spans="1:4" x14ac:dyDescent="0.35">
      <c r="A77" s="51"/>
      <c r="B77" s="51"/>
    </row>
    <row r="78" spans="1:4" x14ac:dyDescent="0.35">
      <c r="A78" s="51" t="s">
        <v>302</v>
      </c>
      <c r="B78" s="54">
        <v>46053</v>
      </c>
    </row>
    <row r="80" spans="1:4" ht="70" customHeight="1" x14ac:dyDescent="0.35">
      <c r="A80" s="70" t="s">
        <v>303</v>
      </c>
      <c r="B80" s="70" t="s">
        <v>304</v>
      </c>
      <c r="C80" s="70" t="s">
        <v>4</v>
      </c>
      <c r="D80" s="70" t="s">
        <v>5</v>
      </c>
    </row>
    <row r="81" spans="1:4" ht="70" customHeight="1" x14ac:dyDescent="0.35">
      <c r="A81" s="70" t="s">
        <v>1172</v>
      </c>
      <c r="B81" s="70"/>
      <c r="C81" s="70" t="s">
        <v>49</v>
      </c>
      <c r="D81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78"/>
  <sheetViews>
    <sheetView showGridLines="0" workbookViewId="0">
      <pane ySplit="4" topLeftCell="A21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1173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1174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1176</v>
      </c>
      <c r="B8" s="41" t="s">
        <v>1177</v>
      </c>
      <c r="C8" s="41" t="s">
        <v>1178</v>
      </c>
      <c r="D8" s="15">
        <v>48944</v>
      </c>
      <c r="E8" s="16">
        <v>527.20000000000005</v>
      </c>
      <c r="F8" s="17">
        <v>4.6100000000000002E-2</v>
      </c>
      <c r="G8" s="17"/>
    </row>
    <row r="9" spans="1:7" x14ac:dyDescent="0.35">
      <c r="A9" s="13" t="s">
        <v>1179</v>
      </c>
      <c r="B9" s="41" t="s">
        <v>1180</v>
      </c>
      <c r="C9" s="41" t="s">
        <v>1178</v>
      </c>
      <c r="D9" s="15">
        <v>56133</v>
      </c>
      <c r="E9" s="16">
        <v>521.62</v>
      </c>
      <c r="F9" s="17">
        <v>4.5600000000000002E-2</v>
      </c>
      <c r="G9" s="17"/>
    </row>
    <row r="10" spans="1:7" x14ac:dyDescent="0.35">
      <c r="A10" s="13" t="s">
        <v>1181</v>
      </c>
      <c r="B10" s="41" t="s">
        <v>1182</v>
      </c>
      <c r="C10" s="41" t="s">
        <v>1178</v>
      </c>
      <c r="D10" s="15">
        <v>37424</v>
      </c>
      <c r="E10" s="16">
        <v>507.1</v>
      </c>
      <c r="F10" s="17">
        <v>4.4299999999999999E-2</v>
      </c>
      <c r="G10" s="17"/>
    </row>
    <row r="11" spans="1:7" x14ac:dyDescent="0.35">
      <c r="A11" s="13" t="s">
        <v>1183</v>
      </c>
      <c r="B11" s="41" t="s">
        <v>1184</v>
      </c>
      <c r="C11" s="41" t="s">
        <v>1185</v>
      </c>
      <c r="D11" s="15">
        <v>24662</v>
      </c>
      <c r="E11" s="16">
        <v>492.87</v>
      </c>
      <c r="F11" s="17">
        <v>4.3099999999999999E-2</v>
      </c>
      <c r="G11" s="17"/>
    </row>
    <row r="12" spans="1:7" x14ac:dyDescent="0.35">
      <c r="A12" s="13" t="s">
        <v>1186</v>
      </c>
      <c r="B12" s="41" t="s">
        <v>1187</v>
      </c>
      <c r="C12" s="41" t="s">
        <v>1188</v>
      </c>
      <c r="D12" s="15">
        <v>3033</v>
      </c>
      <c r="E12" s="16">
        <v>442.79</v>
      </c>
      <c r="F12" s="17">
        <v>3.8699999999999998E-2</v>
      </c>
      <c r="G12" s="17"/>
    </row>
    <row r="13" spans="1:7" x14ac:dyDescent="0.35">
      <c r="A13" s="13" t="s">
        <v>1189</v>
      </c>
      <c r="B13" s="41" t="s">
        <v>1190</v>
      </c>
      <c r="C13" s="41" t="s">
        <v>1191</v>
      </c>
      <c r="D13" s="15">
        <v>32933</v>
      </c>
      <c r="E13" s="16">
        <v>438.8</v>
      </c>
      <c r="F13" s="17">
        <v>3.8300000000000001E-2</v>
      </c>
      <c r="G13" s="17"/>
    </row>
    <row r="14" spans="1:7" x14ac:dyDescent="0.35">
      <c r="A14" s="13" t="s">
        <v>1192</v>
      </c>
      <c r="B14" s="41" t="s">
        <v>1193</v>
      </c>
      <c r="C14" s="41" t="s">
        <v>1191</v>
      </c>
      <c r="D14" s="15">
        <v>7472</v>
      </c>
      <c r="E14" s="16">
        <v>437.9</v>
      </c>
      <c r="F14" s="17">
        <v>3.8300000000000001E-2</v>
      </c>
      <c r="G14" s="17"/>
    </row>
    <row r="15" spans="1:7" x14ac:dyDescent="0.35">
      <c r="A15" s="13" t="s">
        <v>1194</v>
      </c>
      <c r="B15" s="41" t="s">
        <v>1195</v>
      </c>
      <c r="C15" s="41" t="s">
        <v>1188</v>
      </c>
      <c r="D15" s="15">
        <v>6076</v>
      </c>
      <c r="E15" s="16">
        <v>432.76</v>
      </c>
      <c r="F15" s="17">
        <v>3.78E-2</v>
      </c>
      <c r="G15" s="17"/>
    </row>
    <row r="16" spans="1:7" x14ac:dyDescent="0.35">
      <c r="A16" s="13" t="s">
        <v>1196</v>
      </c>
      <c r="B16" s="41" t="s">
        <v>1197</v>
      </c>
      <c r="C16" s="41" t="s">
        <v>1198</v>
      </c>
      <c r="D16" s="15">
        <v>20673</v>
      </c>
      <c r="E16" s="16">
        <v>406.99</v>
      </c>
      <c r="F16" s="17">
        <v>3.56E-2</v>
      </c>
      <c r="G16" s="17"/>
    </row>
    <row r="17" spans="1:7" x14ac:dyDescent="0.35">
      <c r="A17" s="13" t="s">
        <v>1199</v>
      </c>
      <c r="B17" s="41" t="s">
        <v>1200</v>
      </c>
      <c r="C17" s="41" t="s">
        <v>1201</v>
      </c>
      <c r="D17" s="15">
        <v>10128</v>
      </c>
      <c r="E17" s="16">
        <v>402.83</v>
      </c>
      <c r="F17" s="17">
        <v>3.5200000000000002E-2</v>
      </c>
      <c r="G17" s="17"/>
    </row>
    <row r="18" spans="1:7" x14ac:dyDescent="0.35">
      <c r="A18" s="13" t="s">
        <v>1202</v>
      </c>
      <c r="B18" s="41" t="s">
        <v>1203</v>
      </c>
      <c r="C18" s="41" t="s">
        <v>1178</v>
      </c>
      <c r="D18" s="15">
        <v>136411</v>
      </c>
      <c r="E18" s="16">
        <v>392.52</v>
      </c>
      <c r="F18" s="17">
        <v>3.4299999999999997E-2</v>
      </c>
      <c r="G18" s="17"/>
    </row>
    <row r="19" spans="1:7" x14ac:dyDescent="0.35">
      <c r="A19" s="13" t="s">
        <v>1204</v>
      </c>
      <c r="B19" s="41" t="s">
        <v>1205</v>
      </c>
      <c r="C19" s="41" t="s">
        <v>1206</v>
      </c>
      <c r="D19" s="15">
        <v>27956</v>
      </c>
      <c r="E19" s="16">
        <v>390.1</v>
      </c>
      <c r="F19" s="17">
        <v>3.4099999999999998E-2</v>
      </c>
      <c r="G19" s="17"/>
    </row>
    <row r="20" spans="1:7" x14ac:dyDescent="0.35">
      <c r="A20" s="13" t="s">
        <v>1207</v>
      </c>
      <c r="B20" s="41" t="s">
        <v>1208</v>
      </c>
      <c r="C20" s="41" t="s">
        <v>1185</v>
      </c>
      <c r="D20" s="15">
        <v>52240</v>
      </c>
      <c r="E20" s="16">
        <v>381.87</v>
      </c>
      <c r="F20" s="17">
        <v>3.3399999999999999E-2</v>
      </c>
      <c r="G20" s="17"/>
    </row>
    <row r="21" spans="1:7" x14ac:dyDescent="0.35">
      <c r="A21" s="13" t="s">
        <v>1209</v>
      </c>
      <c r="B21" s="41" t="s">
        <v>1210</v>
      </c>
      <c r="C21" s="41" t="s">
        <v>1211</v>
      </c>
      <c r="D21" s="15">
        <v>41003</v>
      </c>
      <c r="E21" s="16">
        <v>381.27</v>
      </c>
      <c r="F21" s="17">
        <v>3.3300000000000003E-2</v>
      </c>
      <c r="G21" s="17"/>
    </row>
    <row r="22" spans="1:7" x14ac:dyDescent="0.35">
      <c r="A22" s="13" t="s">
        <v>1212</v>
      </c>
      <c r="B22" s="41" t="s">
        <v>1213</v>
      </c>
      <c r="C22" s="41" t="s">
        <v>1188</v>
      </c>
      <c r="D22" s="15">
        <v>10289</v>
      </c>
      <c r="E22" s="16">
        <v>378.37</v>
      </c>
      <c r="F22" s="17">
        <v>3.3099999999999997E-2</v>
      </c>
      <c r="G22" s="17"/>
    </row>
    <row r="23" spans="1:7" x14ac:dyDescent="0.35">
      <c r="A23" s="13" t="s">
        <v>1214</v>
      </c>
      <c r="B23" s="41" t="s">
        <v>1215</v>
      </c>
      <c r="C23" s="41" t="s">
        <v>1216</v>
      </c>
      <c r="D23" s="15">
        <v>32911</v>
      </c>
      <c r="E23" s="16">
        <v>373.18</v>
      </c>
      <c r="F23" s="17">
        <v>3.2599999999999997E-2</v>
      </c>
      <c r="G23" s="17"/>
    </row>
    <row r="24" spans="1:7" x14ac:dyDescent="0.35">
      <c r="A24" s="13" t="s">
        <v>1217</v>
      </c>
      <c r="B24" s="41" t="s">
        <v>1218</v>
      </c>
      <c r="C24" s="41" t="s">
        <v>1201</v>
      </c>
      <c r="D24" s="15">
        <v>15310</v>
      </c>
      <c r="E24" s="16">
        <v>371.77</v>
      </c>
      <c r="F24" s="17">
        <v>3.2500000000000001E-2</v>
      </c>
      <c r="G24" s="17"/>
    </row>
    <row r="25" spans="1:7" x14ac:dyDescent="0.35">
      <c r="A25" s="13" t="s">
        <v>1219</v>
      </c>
      <c r="B25" s="41" t="s">
        <v>1220</v>
      </c>
      <c r="C25" s="41" t="s">
        <v>1221</v>
      </c>
      <c r="D25" s="15">
        <v>25273</v>
      </c>
      <c r="E25" s="16">
        <v>361.68</v>
      </c>
      <c r="F25" s="17">
        <v>3.1600000000000003E-2</v>
      </c>
      <c r="G25" s="17"/>
    </row>
    <row r="26" spans="1:7" x14ac:dyDescent="0.35">
      <c r="A26" s="13" t="s">
        <v>1222</v>
      </c>
      <c r="B26" s="41" t="s">
        <v>1223</v>
      </c>
      <c r="C26" s="41" t="s">
        <v>1224</v>
      </c>
      <c r="D26" s="15">
        <v>2776</v>
      </c>
      <c r="E26" s="16">
        <v>352.39</v>
      </c>
      <c r="F26" s="17">
        <v>3.0800000000000001E-2</v>
      </c>
      <c r="G26" s="17"/>
    </row>
    <row r="27" spans="1:7" x14ac:dyDescent="0.35">
      <c r="A27" s="13" t="s">
        <v>1225</v>
      </c>
      <c r="B27" s="41" t="s">
        <v>1226</v>
      </c>
      <c r="C27" s="41" t="s">
        <v>1185</v>
      </c>
      <c r="D27" s="15">
        <v>21458</v>
      </c>
      <c r="E27" s="16">
        <v>346.25</v>
      </c>
      <c r="F27" s="17">
        <v>3.0300000000000001E-2</v>
      </c>
      <c r="G27" s="17"/>
    </row>
    <row r="28" spans="1:7" x14ac:dyDescent="0.35">
      <c r="A28" s="13" t="s">
        <v>1227</v>
      </c>
      <c r="B28" s="41" t="s">
        <v>1228</v>
      </c>
      <c r="C28" s="41" t="s">
        <v>1229</v>
      </c>
      <c r="D28" s="15">
        <v>4956</v>
      </c>
      <c r="E28" s="16">
        <v>344.96</v>
      </c>
      <c r="F28" s="17">
        <v>3.0099999999999998E-2</v>
      </c>
      <c r="G28" s="17"/>
    </row>
    <row r="29" spans="1:7" x14ac:dyDescent="0.35">
      <c r="A29" s="13" t="s">
        <v>1230</v>
      </c>
      <c r="B29" s="41" t="s">
        <v>1231</v>
      </c>
      <c r="C29" s="41" t="s">
        <v>1211</v>
      </c>
      <c r="D29" s="15">
        <v>17558</v>
      </c>
      <c r="E29" s="16">
        <v>342.84</v>
      </c>
      <c r="F29" s="17">
        <v>0.03</v>
      </c>
      <c r="G29" s="17"/>
    </row>
    <row r="30" spans="1:7" x14ac:dyDescent="0.35">
      <c r="A30" s="13" t="s">
        <v>1232</v>
      </c>
      <c r="B30" s="41" t="s">
        <v>1233</v>
      </c>
      <c r="C30" s="41" t="s">
        <v>1234</v>
      </c>
      <c r="D30" s="15">
        <v>8513</v>
      </c>
      <c r="E30" s="16">
        <v>337.18</v>
      </c>
      <c r="F30" s="17">
        <v>2.9499999999999998E-2</v>
      </c>
      <c r="G30" s="17"/>
    </row>
    <row r="31" spans="1:7" x14ac:dyDescent="0.35">
      <c r="A31" s="13" t="s">
        <v>1235</v>
      </c>
      <c r="B31" s="41" t="s">
        <v>1236</v>
      </c>
      <c r="C31" s="41" t="s">
        <v>1178</v>
      </c>
      <c r="D31" s="15">
        <v>81508</v>
      </c>
      <c r="E31" s="16">
        <v>332.55</v>
      </c>
      <c r="F31" s="17">
        <v>2.9100000000000001E-2</v>
      </c>
      <c r="G31" s="17"/>
    </row>
    <row r="32" spans="1:7" x14ac:dyDescent="0.35">
      <c r="A32" s="13" t="s">
        <v>1237</v>
      </c>
      <c r="B32" s="41" t="s">
        <v>1238</v>
      </c>
      <c r="C32" s="41" t="s">
        <v>1234</v>
      </c>
      <c r="D32" s="15">
        <v>20612</v>
      </c>
      <c r="E32" s="16">
        <v>328.82</v>
      </c>
      <c r="F32" s="17">
        <v>2.87E-2</v>
      </c>
      <c r="G32" s="17"/>
    </row>
    <row r="33" spans="1:7" x14ac:dyDescent="0.35">
      <c r="A33" s="13" t="s">
        <v>1239</v>
      </c>
      <c r="B33" s="41" t="s">
        <v>1240</v>
      </c>
      <c r="C33" s="41" t="s">
        <v>1234</v>
      </c>
      <c r="D33" s="15">
        <v>25875</v>
      </c>
      <c r="E33" s="16">
        <v>315.18</v>
      </c>
      <c r="F33" s="17">
        <v>2.75E-2</v>
      </c>
      <c r="G33" s="17"/>
    </row>
    <row r="34" spans="1:7" x14ac:dyDescent="0.35">
      <c r="A34" s="13" t="s">
        <v>1241</v>
      </c>
      <c r="B34" s="41" t="s">
        <v>1242</v>
      </c>
      <c r="C34" s="41" t="s">
        <v>1216</v>
      </c>
      <c r="D34" s="15">
        <v>43017</v>
      </c>
      <c r="E34" s="16">
        <v>313.94</v>
      </c>
      <c r="F34" s="17">
        <v>2.7400000000000001E-2</v>
      </c>
      <c r="G34" s="17"/>
    </row>
    <row r="35" spans="1:7" x14ac:dyDescent="0.35">
      <c r="A35" s="13" t="s">
        <v>1243</v>
      </c>
      <c r="B35" s="41" t="s">
        <v>1244</v>
      </c>
      <c r="C35" s="41" t="s">
        <v>1224</v>
      </c>
      <c r="D35" s="15">
        <v>10973</v>
      </c>
      <c r="E35" s="16">
        <v>309.33</v>
      </c>
      <c r="F35" s="17">
        <v>2.7E-2</v>
      </c>
      <c r="G35" s="17"/>
    </row>
    <row r="36" spans="1:7" x14ac:dyDescent="0.35">
      <c r="A36" s="13" t="s">
        <v>1245</v>
      </c>
      <c r="B36" s="41" t="s">
        <v>1246</v>
      </c>
      <c r="C36" s="41" t="s">
        <v>1224</v>
      </c>
      <c r="D36" s="15">
        <v>1088</v>
      </c>
      <c r="E36" s="16">
        <v>293.60000000000002</v>
      </c>
      <c r="F36" s="17">
        <v>2.5700000000000001E-2</v>
      </c>
      <c r="G36" s="17"/>
    </row>
    <row r="37" spans="1:7" x14ac:dyDescent="0.35">
      <c r="A37" s="13" t="s">
        <v>1247</v>
      </c>
      <c r="B37" s="41" t="s">
        <v>1248</v>
      </c>
      <c r="C37" s="41" t="s">
        <v>1211</v>
      </c>
      <c r="D37" s="15">
        <v>24393</v>
      </c>
      <c r="E37" s="16">
        <v>183.81</v>
      </c>
      <c r="F37" s="17">
        <v>1.61E-2</v>
      </c>
      <c r="G37" s="17"/>
    </row>
    <row r="38" spans="1:7" x14ac:dyDescent="0.35">
      <c r="A38" s="14" t="s">
        <v>149</v>
      </c>
      <c r="B38" s="42"/>
      <c r="C38" s="42"/>
      <c r="D38" s="18"/>
      <c r="E38" s="19">
        <v>11442.47</v>
      </c>
      <c r="F38" s="20">
        <v>1.0001</v>
      </c>
      <c r="G38" s="21"/>
    </row>
    <row r="39" spans="1:7" x14ac:dyDescent="0.35">
      <c r="A39" s="14"/>
      <c r="B39" s="42"/>
      <c r="C39" s="42"/>
      <c r="D39" s="18"/>
      <c r="E39" s="26"/>
      <c r="F39" s="21"/>
      <c r="G39" s="21"/>
    </row>
    <row r="40" spans="1:7" x14ac:dyDescent="0.35">
      <c r="A40" s="14"/>
      <c r="B40" s="42"/>
      <c r="C40" s="42"/>
      <c r="D40" s="18"/>
      <c r="E40" s="26"/>
      <c r="F40" s="21"/>
      <c r="G40" s="21"/>
    </row>
    <row r="41" spans="1:7" x14ac:dyDescent="0.35">
      <c r="A41" s="58" t="s">
        <v>147</v>
      </c>
      <c r="B41" s="42"/>
      <c r="C41" s="42"/>
      <c r="D41" s="18"/>
      <c r="E41" s="26"/>
      <c r="F41" s="21"/>
      <c r="G41" s="21"/>
    </row>
    <row r="42" spans="1:7" x14ac:dyDescent="0.35">
      <c r="A42" s="58" t="s">
        <v>1249</v>
      </c>
      <c r="B42" s="41"/>
      <c r="C42" s="41"/>
      <c r="D42" s="15"/>
      <c r="E42" s="16"/>
      <c r="F42" s="17"/>
      <c r="G42" s="17"/>
    </row>
    <row r="43" spans="1:7" x14ac:dyDescent="0.35">
      <c r="A43" s="58" t="s">
        <v>1250</v>
      </c>
      <c r="B43" s="41"/>
      <c r="C43" s="41"/>
      <c r="D43" s="15"/>
      <c r="E43" s="16"/>
      <c r="F43" s="17"/>
      <c r="G43" s="17"/>
    </row>
    <row r="44" spans="1:7" x14ac:dyDescent="0.35">
      <c r="A44" s="13" t="s">
        <v>1251</v>
      </c>
      <c r="B44" s="41" t="s">
        <v>1252</v>
      </c>
      <c r="C44" s="41" t="s">
        <v>1188</v>
      </c>
      <c r="D44" s="15">
        <v>61648</v>
      </c>
      <c r="E44" s="16">
        <v>6.3</v>
      </c>
      <c r="F44" s="17">
        <v>5.9999999999999995E-4</v>
      </c>
      <c r="G44" s="17">
        <v>6.3450000000000006E-2</v>
      </c>
    </row>
    <row r="45" spans="1:7" x14ac:dyDescent="0.35">
      <c r="A45" s="14" t="s">
        <v>149</v>
      </c>
      <c r="B45" s="42"/>
      <c r="C45" s="42"/>
      <c r="D45" s="18"/>
      <c r="E45" s="19">
        <v>6.3</v>
      </c>
      <c r="F45" s="20">
        <v>5.9999999999999995E-4</v>
      </c>
      <c r="G45" s="21"/>
    </row>
    <row r="46" spans="1:7" x14ac:dyDescent="0.35">
      <c r="A46" s="22" t="s">
        <v>160</v>
      </c>
      <c r="B46" s="43"/>
      <c r="C46" s="43"/>
      <c r="D46" s="23"/>
      <c r="E46" s="24">
        <f>E45+E38</f>
        <v>11448.769999999999</v>
      </c>
      <c r="F46" s="25">
        <f>+F45+F38</f>
        <v>1.0006999999999999</v>
      </c>
      <c r="G46" s="21"/>
    </row>
    <row r="47" spans="1:7" x14ac:dyDescent="0.35">
      <c r="A47" s="13"/>
      <c r="B47" s="41"/>
      <c r="C47" s="41"/>
      <c r="D47" s="15"/>
      <c r="E47" s="16"/>
      <c r="F47" s="17"/>
      <c r="G47" s="17"/>
    </row>
    <row r="48" spans="1:7" x14ac:dyDescent="0.35">
      <c r="A48" s="13" t="s">
        <v>258</v>
      </c>
      <c r="B48" s="41"/>
      <c r="C48" s="41"/>
      <c r="D48" s="15"/>
      <c r="E48" s="16">
        <v>0</v>
      </c>
      <c r="F48" s="17">
        <v>0</v>
      </c>
      <c r="G48" s="17"/>
    </row>
    <row r="49" spans="1:7" x14ac:dyDescent="0.35">
      <c r="A49" s="13" t="s">
        <v>259</v>
      </c>
      <c r="B49" s="41"/>
      <c r="C49" s="41"/>
      <c r="D49" s="15"/>
      <c r="E49" s="28">
        <v>-5.65</v>
      </c>
      <c r="F49" s="29">
        <v>-6.9999999999999999E-4</v>
      </c>
      <c r="G49" s="17"/>
    </row>
    <row r="50" spans="1:7" x14ac:dyDescent="0.35">
      <c r="A50" s="38" t="s">
        <v>260</v>
      </c>
      <c r="B50" s="44"/>
      <c r="C50" s="44"/>
      <c r="D50" s="39"/>
      <c r="E50" s="24">
        <v>11443.12</v>
      </c>
      <c r="F50" s="25">
        <v>1</v>
      </c>
      <c r="G50" s="25"/>
    </row>
    <row r="55" spans="1:7" x14ac:dyDescent="0.35">
      <c r="A55" s="1" t="s">
        <v>263</v>
      </c>
    </row>
    <row r="56" spans="1:7" x14ac:dyDescent="0.35">
      <c r="A56" s="47" t="s">
        <v>264</v>
      </c>
      <c r="B56" s="3" t="s">
        <v>146</v>
      </c>
    </row>
    <row r="57" spans="1:7" x14ac:dyDescent="0.35">
      <c r="A57" t="s">
        <v>265</v>
      </c>
    </row>
    <row r="58" spans="1:7" x14ac:dyDescent="0.35">
      <c r="A58" t="s">
        <v>266</v>
      </c>
      <c r="B58" t="s">
        <v>267</v>
      </c>
      <c r="C58" t="s">
        <v>267</v>
      </c>
    </row>
    <row r="59" spans="1:7" x14ac:dyDescent="0.35">
      <c r="B59" s="49">
        <v>46022</v>
      </c>
      <c r="C59" s="49">
        <v>46052</v>
      </c>
    </row>
    <row r="60" spans="1:7" x14ac:dyDescent="0.35">
      <c r="A60" t="s">
        <v>752</v>
      </c>
      <c r="B60">
        <v>10.1732</v>
      </c>
      <c r="C60">
        <v>9.8762000000000008</v>
      </c>
    </row>
    <row r="61" spans="1:7" x14ac:dyDescent="0.35">
      <c r="A61" t="s">
        <v>273</v>
      </c>
      <c r="B61">
        <v>10.1732</v>
      </c>
      <c r="C61">
        <v>9.8762000000000008</v>
      </c>
    </row>
    <row r="62" spans="1:7" x14ac:dyDescent="0.35">
      <c r="A62" t="s">
        <v>753</v>
      </c>
      <c r="B62">
        <v>10.0503</v>
      </c>
      <c r="C62">
        <v>9.7512000000000008</v>
      </c>
    </row>
    <row r="63" spans="1:7" x14ac:dyDescent="0.35">
      <c r="A63" t="s">
        <v>709</v>
      </c>
      <c r="B63">
        <v>10.0503</v>
      </c>
      <c r="C63">
        <v>9.7512000000000008</v>
      </c>
    </row>
    <row r="65" spans="1:4" x14ac:dyDescent="0.35">
      <c r="A65" t="s">
        <v>283</v>
      </c>
      <c r="B65" s="3" t="s">
        <v>146</v>
      </c>
    </row>
    <row r="66" spans="1:4" x14ac:dyDescent="0.35">
      <c r="A66" t="s">
        <v>284</v>
      </c>
      <c r="B66" s="3" t="s">
        <v>146</v>
      </c>
    </row>
    <row r="67" spans="1:4" ht="29" customHeight="1" x14ac:dyDescent="0.35">
      <c r="A67" s="47" t="s">
        <v>285</v>
      </c>
      <c r="B67" s="3" t="s">
        <v>146</v>
      </c>
    </row>
    <row r="68" spans="1:4" ht="29" customHeight="1" x14ac:dyDescent="0.35">
      <c r="A68" s="47" t="s">
        <v>286</v>
      </c>
      <c r="B68" s="3" t="s">
        <v>146</v>
      </c>
    </row>
    <row r="69" spans="1:4" x14ac:dyDescent="0.35">
      <c r="A69" t="s">
        <v>1253</v>
      </c>
      <c r="B69" s="48">
        <v>0.99350000000000005</v>
      </c>
    </row>
    <row r="70" spans="1:4" ht="43.5" customHeight="1" x14ac:dyDescent="0.35">
      <c r="A70" s="47" t="s">
        <v>288</v>
      </c>
      <c r="B70" s="3" t="s">
        <v>146</v>
      </c>
    </row>
    <row r="71" spans="1:4" x14ac:dyDescent="0.35">
      <c r="B71" s="3"/>
    </row>
    <row r="72" spans="1:4" ht="29" customHeight="1" x14ac:dyDescent="0.35">
      <c r="A72" s="47" t="s">
        <v>289</v>
      </c>
      <c r="B72" s="3" t="s">
        <v>146</v>
      </c>
    </row>
    <row r="73" spans="1:4" ht="29" customHeight="1" x14ac:dyDescent="0.35">
      <c r="A73" s="47" t="s">
        <v>290</v>
      </c>
      <c r="B73" t="s">
        <v>146</v>
      </c>
    </row>
    <row r="74" spans="1:4" ht="29" customHeight="1" x14ac:dyDescent="0.35">
      <c r="A74" s="47" t="s">
        <v>291</v>
      </c>
      <c r="B74" s="3" t="s">
        <v>146</v>
      </c>
    </row>
    <row r="75" spans="1:4" ht="29" customHeight="1" x14ac:dyDescent="0.35">
      <c r="A75" s="47" t="s">
        <v>292</v>
      </c>
      <c r="B75" s="3" t="s">
        <v>146</v>
      </c>
    </row>
    <row r="77" spans="1:4" ht="70" customHeight="1" x14ac:dyDescent="0.35">
      <c r="A77" s="70" t="s">
        <v>303</v>
      </c>
      <c r="B77" s="70" t="s">
        <v>304</v>
      </c>
      <c r="C77" s="70" t="s">
        <v>4</v>
      </c>
      <c r="D77" s="70" t="s">
        <v>5</v>
      </c>
    </row>
    <row r="78" spans="1:4" ht="70" customHeight="1" x14ac:dyDescent="0.35">
      <c r="A78" s="70" t="s">
        <v>1254</v>
      </c>
      <c r="B78" s="70"/>
      <c r="C78" s="70" t="s">
        <v>51</v>
      </c>
      <c r="D78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479"/>
  <sheetViews>
    <sheetView showGridLines="0" workbookViewId="0">
      <pane ySplit="4" topLeftCell="A164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1255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1256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9073350</v>
      </c>
      <c r="E8" s="16">
        <v>84314.1</v>
      </c>
      <c r="F8" s="17">
        <v>5.3999999999999999E-2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3045700</v>
      </c>
      <c r="E9" s="16">
        <v>41269.24</v>
      </c>
      <c r="F9" s="17">
        <v>2.64E-2</v>
      </c>
      <c r="G9" s="17"/>
    </row>
    <row r="10" spans="1:7" x14ac:dyDescent="0.35">
      <c r="A10" s="13" t="s">
        <v>1257</v>
      </c>
      <c r="B10" s="41" t="s">
        <v>1258</v>
      </c>
      <c r="C10" s="41" t="s">
        <v>1198</v>
      </c>
      <c r="D10" s="15">
        <v>355302225</v>
      </c>
      <c r="E10" s="16">
        <v>39687.26</v>
      </c>
      <c r="F10" s="17">
        <v>2.5399999999999999E-2</v>
      </c>
      <c r="G10" s="17"/>
    </row>
    <row r="11" spans="1:7" x14ac:dyDescent="0.35">
      <c r="A11" s="13" t="s">
        <v>1204</v>
      </c>
      <c r="B11" s="41" t="s">
        <v>1205</v>
      </c>
      <c r="C11" s="41" t="s">
        <v>1206</v>
      </c>
      <c r="D11" s="15">
        <v>2820500</v>
      </c>
      <c r="E11" s="16">
        <v>39357.26</v>
      </c>
      <c r="F11" s="17">
        <v>2.52E-2</v>
      </c>
      <c r="G11" s="17"/>
    </row>
    <row r="12" spans="1:7" x14ac:dyDescent="0.35">
      <c r="A12" s="13" t="s">
        <v>1259</v>
      </c>
      <c r="B12" s="41" t="s">
        <v>1260</v>
      </c>
      <c r="C12" s="41" t="s">
        <v>1261</v>
      </c>
      <c r="D12" s="15">
        <v>2812725</v>
      </c>
      <c r="E12" s="16">
        <v>34157.730000000003</v>
      </c>
      <c r="F12" s="17">
        <v>2.1899999999999999E-2</v>
      </c>
      <c r="G12" s="17"/>
    </row>
    <row r="13" spans="1:7" x14ac:dyDescent="0.35">
      <c r="A13" s="13" t="s">
        <v>1262</v>
      </c>
      <c r="B13" s="41" t="s">
        <v>1263</v>
      </c>
      <c r="C13" s="41" t="s">
        <v>1178</v>
      </c>
      <c r="D13" s="15">
        <v>2164375</v>
      </c>
      <c r="E13" s="16">
        <v>29660.6</v>
      </c>
      <c r="F13" s="17">
        <v>1.9E-2</v>
      </c>
      <c r="G13" s="17"/>
    </row>
    <row r="14" spans="1:7" x14ac:dyDescent="0.35">
      <c r="A14" s="13" t="s">
        <v>1264</v>
      </c>
      <c r="B14" s="41" t="s">
        <v>1265</v>
      </c>
      <c r="C14" s="41" t="s">
        <v>1266</v>
      </c>
      <c r="D14" s="15">
        <v>10614225</v>
      </c>
      <c r="E14" s="16">
        <v>29040.52</v>
      </c>
      <c r="F14" s="17">
        <v>1.8599999999999998E-2</v>
      </c>
      <c r="G14" s="17"/>
    </row>
    <row r="15" spans="1:7" x14ac:dyDescent="0.35">
      <c r="A15" s="13" t="s">
        <v>1267</v>
      </c>
      <c r="B15" s="41" t="s">
        <v>1268</v>
      </c>
      <c r="C15" s="41" t="s">
        <v>1269</v>
      </c>
      <c r="D15" s="15">
        <v>4102050</v>
      </c>
      <c r="E15" s="16">
        <v>27957.52</v>
      </c>
      <c r="F15" s="17">
        <v>1.7899999999999999E-2</v>
      </c>
      <c r="G15" s="17"/>
    </row>
    <row r="16" spans="1:7" x14ac:dyDescent="0.35">
      <c r="A16" s="13" t="s">
        <v>1270</v>
      </c>
      <c r="B16" s="41" t="s">
        <v>1271</v>
      </c>
      <c r="C16" s="41" t="s">
        <v>1272</v>
      </c>
      <c r="D16" s="15">
        <v>34155000</v>
      </c>
      <c r="E16" s="16">
        <v>27737.279999999999</v>
      </c>
      <c r="F16" s="17">
        <v>1.78E-2</v>
      </c>
      <c r="G16" s="17"/>
    </row>
    <row r="17" spans="1:7" x14ac:dyDescent="0.35">
      <c r="A17" s="13" t="s">
        <v>1273</v>
      </c>
      <c r="B17" s="41" t="s">
        <v>1274</v>
      </c>
      <c r="C17" s="41" t="s">
        <v>1275</v>
      </c>
      <c r="D17" s="15">
        <v>8206400</v>
      </c>
      <c r="E17" s="16">
        <v>26436.92</v>
      </c>
      <c r="F17" s="17">
        <v>1.6899999999999998E-2</v>
      </c>
      <c r="G17" s="17"/>
    </row>
    <row r="18" spans="1:7" x14ac:dyDescent="0.35">
      <c r="A18" s="13" t="s">
        <v>1276</v>
      </c>
      <c r="B18" s="41" t="s">
        <v>1277</v>
      </c>
      <c r="C18" s="41" t="s">
        <v>1261</v>
      </c>
      <c r="D18" s="15">
        <v>17310100</v>
      </c>
      <c r="E18" s="16">
        <v>26160.75</v>
      </c>
      <c r="F18" s="17">
        <v>1.67E-2</v>
      </c>
      <c r="G18" s="17"/>
    </row>
    <row r="19" spans="1:7" x14ac:dyDescent="0.35">
      <c r="A19" s="13" t="s">
        <v>1278</v>
      </c>
      <c r="B19" s="41" t="s">
        <v>1279</v>
      </c>
      <c r="C19" s="41" t="s">
        <v>1280</v>
      </c>
      <c r="D19" s="15">
        <v>873125</v>
      </c>
      <c r="E19" s="16">
        <v>22072.6</v>
      </c>
      <c r="F19" s="17">
        <v>1.41E-2</v>
      </c>
      <c r="G19" s="17"/>
    </row>
    <row r="20" spans="1:7" x14ac:dyDescent="0.35">
      <c r="A20" s="13" t="s">
        <v>1281</v>
      </c>
      <c r="B20" s="41" t="s">
        <v>1282</v>
      </c>
      <c r="C20" s="41" t="s">
        <v>1234</v>
      </c>
      <c r="D20" s="15">
        <v>990375</v>
      </c>
      <c r="E20" s="16">
        <v>19964.97</v>
      </c>
      <c r="F20" s="17">
        <v>1.2800000000000001E-2</v>
      </c>
      <c r="G20" s="17"/>
    </row>
    <row r="21" spans="1:7" x14ac:dyDescent="0.35">
      <c r="A21" s="13" t="s">
        <v>1209</v>
      </c>
      <c r="B21" s="41" t="s">
        <v>1210</v>
      </c>
      <c r="C21" s="41" t="s">
        <v>1211</v>
      </c>
      <c r="D21" s="15">
        <v>2060250</v>
      </c>
      <c r="E21" s="16">
        <v>19157.23</v>
      </c>
      <c r="F21" s="17">
        <v>1.23E-2</v>
      </c>
      <c r="G21" s="17"/>
    </row>
    <row r="22" spans="1:7" x14ac:dyDescent="0.35">
      <c r="A22" s="13" t="s">
        <v>1283</v>
      </c>
      <c r="B22" s="41" t="s">
        <v>1284</v>
      </c>
      <c r="C22" s="41" t="s">
        <v>1285</v>
      </c>
      <c r="D22" s="15">
        <v>357450</v>
      </c>
      <c r="E22" s="16">
        <v>16512.05</v>
      </c>
      <c r="F22" s="17">
        <v>1.06E-2</v>
      </c>
      <c r="G22" s="17"/>
    </row>
    <row r="23" spans="1:7" x14ac:dyDescent="0.35">
      <c r="A23" s="13" t="s">
        <v>1286</v>
      </c>
      <c r="B23" s="41" t="s">
        <v>1287</v>
      </c>
      <c r="C23" s="41" t="s">
        <v>1288</v>
      </c>
      <c r="D23" s="15">
        <v>234250</v>
      </c>
      <c r="E23" s="16">
        <v>16429.12</v>
      </c>
      <c r="F23" s="17">
        <v>1.0500000000000001E-2</v>
      </c>
      <c r="G23" s="17"/>
    </row>
    <row r="24" spans="1:7" x14ac:dyDescent="0.35">
      <c r="A24" s="13" t="s">
        <v>1289</v>
      </c>
      <c r="B24" s="41" t="s">
        <v>1290</v>
      </c>
      <c r="C24" s="41" t="s">
        <v>1285</v>
      </c>
      <c r="D24" s="15">
        <v>3563925</v>
      </c>
      <c r="E24" s="16">
        <v>16002.02</v>
      </c>
      <c r="F24" s="17">
        <v>1.0200000000000001E-2</v>
      </c>
      <c r="G24" s="17"/>
    </row>
    <row r="25" spans="1:7" x14ac:dyDescent="0.35">
      <c r="A25" s="13" t="s">
        <v>1241</v>
      </c>
      <c r="B25" s="41" t="s">
        <v>1242</v>
      </c>
      <c r="C25" s="41" t="s">
        <v>1216</v>
      </c>
      <c r="D25" s="15">
        <v>2127600</v>
      </c>
      <c r="E25" s="16">
        <v>15527.22</v>
      </c>
      <c r="F25" s="17">
        <v>9.9000000000000008E-3</v>
      </c>
      <c r="G25" s="17"/>
    </row>
    <row r="26" spans="1:7" x14ac:dyDescent="0.35">
      <c r="A26" s="13" t="s">
        <v>1291</v>
      </c>
      <c r="B26" s="41" t="s">
        <v>1292</v>
      </c>
      <c r="C26" s="41" t="s">
        <v>1206</v>
      </c>
      <c r="D26" s="15">
        <v>3604500</v>
      </c>
      <c r="E26" s="16">
        <v>15391.22</v>
      </c>
      <c r="F26" s="17">
        <v>9.9000000000000008E-3</v>
      </c>
      <c r="G26" s="17"/>
    </row>
    <row r="27" spans="1:7" x14ac:dyDescent="0.35">
      <c r="A27" s="13" t="s">
        <v>1293</v>
      </c>
      <c r="B27" s="41" t="s">
        <v>1294</v>
      </c>
      <c r="C27" s="41" t="s">
        <v>1234</v>
      </c>
      <c r="D27" s="15">
        <v>1153900</v>
      </c>
      <c r="E27" s="16">
        <v>13935.65</v>
      </c>
      <c r="F27" s="17">
        <v>8.8999999999999999E-3</v>
      </c>
      <c r="G27" s="17"/>
    </row>
    <row r="28" spans="1:7" x14ac:dyDescent="0.35">
      <c r="A28" s="13" t="s">
        <v>1295</v>
      </c>
      <c r="B28" s="41" t="s">
        <v>1296</v>
      </c>
      <c r="C28" s="41" t="s">
        <v>1188</v>
      </c>
      <c r="D28" s="15">
        <v>404800</v>
      </c>
      <c r="E28" s="16">
        <v>13891.93</v>
      </c>
      <c r="F28" s="17">
        <v>8.8999999999999999E-3</v>
      </c>
      <c r="G28" s="17"/>
    </row>
    <row r="29" spans="1:7" x14ac:dyDescent="0.35">
      <c r="A29" s="13" t="s">
        <v>1297</v>
      </c>
      <c r="B29" s="41" t="s">
        <v>1298</v>
      </c>
      <c r="C29" s="41" t="s">
        <v>1198</v>
      </c>
      <c r="D29" s="15">
        <v>3082100</v>
      </c>
      <c r="E29" s="16">
        <v>13693.77</v>
      </c>
      <c r="F29" s="17">
        <v>8.8000000000000005E-3</v>
      </c>
      <c r="G29" s="17"/>
    </row>
    <row r="30" spans="1:7" x14ac:dyDescent="0.35">
      <c r="A30" s="13" t="s">
        <v>1299</v>
      </c>
      <c r="B30" s="41" t="s">
        <v>1300</v>
      </c>
      <c r="C30" s="41" t="s">
        <v>1301</v>
      </c>
      <c r="D30" s="15">
        <v>5071500</v>
      </c>
      <c r="E30" s="16">
        <v>13640.31</v>
      </c>
      <c r="F30" s="17">
        <v>8.6999999999999994E-3</v>
      </c>
      <c r="G30" s="17"/>
    </row>
    <row r="31" spans="1:7" x14ac:dyDescent="0.35">
      <c r="A31" s="13" t="s">
        <v>1196</v>
      </c>
      <c r="B31" s="41" t="s">
        <v>1302</v>
      </c>
      <c r="C31" s="41" t="s">
        <v>1198</v>
      </c>
      <c r="D31" s="15">
        <v>850725</v>
      </c>
      <c r="E31" s="16">
        <v>13306.19</v>
      </c>
      <c r="F31" s="17">
        <v>8.5000000000000006E-3</v>
      </c>
      <c r="G31" s="17"/>
    </row>
    <row r="32" spans="1:7" x14ac:dyDescent="0.35">
      <c r="A32" s="13" t="s">
        <v>1303</v>
      </c>
      <c r="B32" s="41" t="s">
        <v>1304</v>
      </c>
      <c r="C32" s="41" t="s">
        <v>1305</v>
      </c>
      <c r="D32" s="15">
        <v>2805000</v>
      </c>
      <c r="E32" s="16">
        <v>12897.39</v>
      </c>
      <c r="F32" s="17">
        <v>8.3000000000000001E-3</v>
      </c>
      <c r="G32" s="17"/>
    </row>
    <row r="33" spans="1:7" x14ac:dyDescent="0.35">
      <c r="A33" s="13" t="s">
        <v>1306</v>
      </c>
      <c r="B33" s="41" t="s">
        <v>1307</v>
      </c>
      <c r="C33" s="41" t="s">
        <v>1178</v>
      </c>
      <c r="D33" s="15">
        <v>58872300</v>
      </c>
      <c r="E33" s="16">
        <v>12604.56</v>
      </c>
      <c r="F33" s="17">
        <v>8.0999999999999996E-3</v>
      </c>
      <c r="G33" s="17"/>
    </row>
    <row r="34" spans="1:7" x14ac:dyDescent="0.35">
      <c r="A34" s="13" t="s">
        <v>1308</v>
      </c>
      <c r="B34" s="41" t="s">
        <v>1309</v>
      </c>
      <c r="C34" s="41" t="s">
        <v>1211</v>
      </c>
      <c r="D34" s="15">
        <v>4918550</v>
      </c>
      <c r="E34" s="16">
        <v>12517.71</v>
      </c>
      <c r="F34" s="17">
        <v>8.0000000000000002E-3</v>
      </c>
      <c r="G34" s="17"/>
    </row>
    <row r="35" spans="1:7" x14ac:dyDescent="0.35">
      <c r="A35" s="13" t="s">
        <v>1235</v>
      </c>
      <c r="B35" s="41" t="s">
        <v>1236</v>
      </c>
      <c r="C35" s="41" t="s">
        <v>1178</v>
      </c>
      <c r="D35" s="15">
        <v>3042000</v>
      </c>
      <c r="E35" s="16">
        <v>12411.36</v>
      </c>
      <c r="F35" s="17">
        <v>7.9000000000000008E-3</v>
      </c>
      <c r="G35" s="17"/>
    </row>
    <row r="36" spans="1:7" x14ac:dyDescent="0.35">
      <c r="A36" s="13" t="s">
        <v>1310</v>
      </c>
      <c r="B36" s="41" t="s">
        <v>1311</v>
      </c>
      <c r="C36" s="41" t="s">
        <v>1261</v>
      </c>
      <c r="D36" s="15">
        <v>6292000</v>
      </c>
      <c r="E36" s="16">
        <v>12151.74</v>
      </c>
      <c r="F36" s="17">
        <v>7.7999999999999996E-3</v>
      </c>
      <c r="G36" s="17"/>
    </row>
    <row r="37" spans="1:7" x14ac:dyDescent="0.35">
      <c r="A37" s="13" t="s">
        <v>1243</v>
      </c>
      <c r="B37" s="41" t="s">
        <v>1244</v>
      </c>
      <c r="C37" s="41" t="s">
        <v>1224</v>
      </c>
      <c r="D37" s="15">
        <v>427000</v>
      </c>
      <c r="E37" s="16">
        <v>12037.13</v>
      </c>
      <c r="F37" s="17">
        <v>7.7000000000000002E-3</v>
      </c>
      <c r="G37" s="17"/>
    </row>
    <row r="38" spans="1:7" x14ac:dyDescent="0.35">
      <c r="A38" s="13" t="s">
        <v>1312</v>
      </c>
      <c r="B38" s="41" t="s">
        <v>1313</v>
      </c>
      <c r="C38" s="41" t="s">
        <v>1305</v>
      </c>
      <c r="D38" s="15">
        <v>1293975</v>
      </c>
      <c r="E38" s="16">
        <v>11578.49</v>
      </c>
      <c r="F38" s="17">
        <v>7.4000000000000003E-3</v>
      </c>
      <c r="G38" s="17"/>
    </row>
    <row r="39" spans="1:7" x14ac:dyDescent="0.35">
      <c r="A39" s="13" t="s">
        <v>1186</v>
      </c>
      <c r="B39" s="41" t="s">
        <v>1187</v>
      </c>
      <c r="C39" s="41" t="s">
        <v>1188</v>
      </c>
      <c r="D39" s="15">
        <v>78650</v>
      </c>
      <c r="E39" s="16">
        <v>11482.11</v>
      </c>
      <c r="F39" s="17">
        <v>7.4000000000000003E-3</v>
      </c>
      <c r="G39" s="17"/>
    </row>
    <row r="40" spans="1:7" x14ac:dyDescent="0.35">
      <c r="A40" s="13" t="s">
        <v>1314</v>
      </c>
      <c r="B40" s="41" t="s">
        <v>1315</v>
      </c>
      <c r="C40" s="41" t="s">
        <v>1211</v>
      </c>
      <c r="D40" s="15">
        <v>1100550</v>
      </c>
      <c r="E40" s="16">
        <v>11225.61</v>
      </c>
      <c r="F40" s="17">
        <v>7.1999999999999998E-3</v>
      </c>
      <c r="G40" s="17"/>
    </row>
    <row r="41" spans="1:7" x14ac:dyDescent="0.35">
      <c r="A41" s="13" t="s">
        <v>1192</v>
      </c>
      <c r="B41" s="41" t="s">
        <v>1193</v>
      </c>
      <c r="C41" s="41" t="s">
        <v>1191</v>
      </c>
      <c r="D41" s="15">
        <v>186750</v>
      </c>
      <c r="E41" s="16">
        <v>10944.48</v>
      </c>
      <c r="F41" s="17">
        <v>7.0000000000000001E-3</v>
      </c>
      <c r="G41" s="17"/>
    </row>
    <row r="42" spans="1:7" x14ac:dyDescent="0.35">
      <c r="A42" s="13" t="s">
        <v>1316</v>
      </c>
      <c r="B42" s="41" t="s">
        <v>1317</v>
      </c>
      <c r="C42" s="41" t="s">
        <v>1305</v>
      </c>
      <c r="D42" s="15">
        <v>1275600</v>
      </c>
      <c r="E42" s="16">
        <v>10871.94</v>
      </c>
      <c r="F42" s="17">
        <v>7.0000000000000001E-3</v>
      </c>
      <c r="G42" s="17"/>
    </row>
    <row r="43" spans="1:7" x14ac:dyDescent="0.35">
      <c r="A43" s="13" t="s">
        <v>1318</v>
      </c>
      <c r="B43" s="41" t="s">
        <v>1319</v>
      </c>
      <c r="C43" s="41" t="s">
        <v>1178</v>
      </c>
      <c r="D43" s="15">
        <v>3206750</v>
      </c>
      <c r="E43" s="16">
        <v>9580.17</v>
      </c>
      <c r="F43" s="17">
        <v>6.1000000000000004E-3</v>
      </c>
      <c r="G43" s="17"/>
    </row>
    <row r="44" spans="1:7" x14ac:dyDescent="0.35">
      <c r="A44" s="13" t="s">
        <v>1320</v>
      </c>
      <c r="B44" s="41" t="s">
        <v>1321</v>
      </c>
      <c r="C44" s="41" t="s">
        <v>1211</v>
      </c>
      <c r="D44" s="15">
        <v>2616600</v>
      </c>
      <c r="E44" s="16">
        <v>9527.0400000000009</v>
      </c>
      <c r="F44" s="17">
        <v>6.1000000000000004E-3</v>
      </c>
      <c r="G44" s="17"/>
    </row>
    <row r="45" spans="1:7" x14ac:dyDescent="0.35">
      <c r="A45" s="13" t="s">
        <v>1322</v>
      </c>
      <c r="B45" s="41" t="s">
        <v>1323</v>
      </c>
      <c r="C45" s="41" t="s">
        <v>1324</v>
      </c>
      <c r="D45" s="15">
        <v>1466025</v>
      </c>
      <c r="E45" s="16">
        <v>9320.25</v>
      </c>
      <c r="F45" s="17">
        <v>6.0000000000000001E-3</v>
      </c>
      <c r="G45" s="17"/>
    </row>
    <row r="46" spans="1:7" x14ac:dyDescent="0.35">
      <c r="A46" s="13" t="s">
        <v>1325</v>
      </c>
      <c r="B46" s="41" t="s">
        <v>1326</v>
      </c>
      <c r="C46" s="41" t="s">
        <v>1211</v>
      </c>
      <c r="D46" s="15">
        <v>2449200</v>
      </c>
      <c r="E46" s="16">
        <v>9291.0400000000009</v>
      </c>
      <c r="F46" s="17">
        <v>5.8999999999999999E-3</v>
      </c>
      <c r="G46" s="17"/>
    </row>
    <row r="47" spans="1:7" x14ac:dyDescent="0.35">
      <c r="A47" s="13" t="s">
        <v>1327</v>
      </c>
      <c r="B47" s="41" t="s">
        <v>1328</v>
      </c>
      <c r="C47" s="41" t="s">
        <v>1178</v>
      </c>
      <c r="D47" s="15">
        <v>7376000</v>
      </c>
      <c r="E47" s="16">
        <v>9234.01</v>
      </c>
      <c r="F47" s="17">
        <v>5.8999999999999999E-3</v>
      </c>
      <c r="G47" s="17"/>
    </row>
    <row r="48" spans="1:7" x14ac:dyDescent="0.35">
      <c r="A48" s="13" t="s">
        <v>1329</v>
      </c>
      <c r="B48" s="41" t="s">
        <v>1330</v>
      </c>
      <c r="C48" s="41" t="s">
        <v>1211</v>
      </c>
      <c r="D48" s="15">
        <v>5680300</v>
      </c>
      <c r="E48" s="16">
        <v>8560.7800000000007</v>
      </c>
      <c r="F48" s="17">
        <v>5.4999999999999997E-3</v>
      </c>
      <c r="G48" s="17"/>
    </row>
    <row r="49" spans="1:7" x14ac:dyDescent="0.35">
      <c r="A49" s="13" t="s">
        <v>1331</v>
      </c>
      <c r="B49" s="41" t="s">
        <v>1332</v>
      </c>
      <c r="C49" s="41" t="s">
        <v>1333</v>
      </c>
      <c r="D49" s="15">
        <v>7682675</v>
      </c>
      <c r="E49" s="16">
        <v>8292.68</v>
      </c>
      <c r="F49" s="17">
        <v>5.3E-3</v>
      </c>
      <c r="G49" s="17"/>
    </row>
    <row r="50" spans="1:7" x14ac:dyDescent="0.35">
      <c r="A50" s="13" t="s">
        <v>1334</v>
      </c>
      <c r="B50" s="41" t="s">
        <v>1335</v>
      </c>
      <c r="C50" s="41" t="s">
        <v>1216</v>
      </c>
      <c r="D50" s="15">
        <v>1629000</v>
      </c>
      <c r="E50" s="16">
        <v>8151.52</v>
      </c>
      <c r="F50" s="17">
        <v>5.1999999999999998E-3</v>
      </c>
      <c r="G50" s="17"/>
    </row>
    <row r="51" spans="1:7" x14ac:dyDescent="0.35">
      <c r="A51" s="13" t="s">
        <v>1336</v>
      </c>
      <c r="B51" s="41" t="s">
        <v>1337</v>
      </c>
      <c r="C51" s="41" t="s">
        <v>1211</v>
      </c>
      <c r="D51" s="15">
        <v>2352900</v>
      </c>
      <c r="E51" s="16">
        <v>7995.15</v>
      </c>
      <c r="F51" s="17">
        <v>5.1000000000000004E-3</v>
      </c>
      <c r="G51" s="17"/>
    </row>
    <row r="52" spans="1:7" x14ac:dyDescent="0.35">
      <c r="A52" s="13" t="s">
        <v>1338</v>
      </c>
      <c r="B52" s="41" t="s">
        <v>1339</v>
      </c>
      <c r="C52" s="41" t="s">
        <v>1221</v>
      </c>
      <c r="D52" s="15">
        <v>58500</v>
      </c>
      <c r="E52" s="16">
        <v>7885.8</v>
      </c>
      <c r="F52" s="17">
        <v>5.0000000000000001E-3</v>
      </c>
      <c r="G52" s="17"/>
    </row>
    <row r="53" spans="1:7" x14ac:dyDescent="0.35">
      <c r="A53" s="13" t="s">
        <v>1189</v>
      </c>
      <c r="B53" s="41" t="s">
        <v>1190</v>
      </c>
      <c r="C53" s="41" t="s">
        <v>1191</v>
      </c>
      <c r="D53" s="15">
        <v>590000</v>
      </c>
      <c r="E53" s="16">
        <v>7861.16</v>
      </c>
      <c r="F53" s="17">
        <v>5.0000000000000001E-3</v>
      </c>
      <c r="G53" s="17"/>
    </row>
    <row r="54" spans="1:7" x14ac:dyDescent="0.35">
      <c r="A54" s="13" t="s">
        <v>1340</v>
      </c>
      <c r="B54" s="41" t="s">
        <v>1341</v>
      </c>
      <c r="C54" s="41" t="s">
        <v>1342</v>
      </c>
      <c r="D54" s="15">
        <v>497490</v>
      </c>
      <c r="E54" s="16">
        <v>7812.58</v>
      </c>
      <c r="F54" s="17">
        <v>5.0000000000000001E-3</v>
      </c>
      <c r="G54" s="17"/>
    </row>
    <row r="55" spans="1:7" x14ac:dyDescent="0.35">
      <c r="A55" s="13" t="s">
        <v>1343</v>
      </c>
      <c r="B55" s="41" t="s">
        <v>1344</v>
      </c>
      <c r="C55" s="41" t="s">
        <v>1345</v>
      </c>
      <c r="D55" s="15">
        <v>164550</v>
      </c>
      <c r="E55" s="16">
        <v>7563.54</v>
      </c>
      <c r="F55" s="17">
        <v>4.7999999999999996E-3</v>
      </c>
      <c r="G55" s="17"/>
    </row>
    <row r="56" spans="1:7" x14ac:dyDescent="0.35">
      <c r="A56" s="13" t="s">
        <v>1346</v>
      </c>
      <c r="B56" s="41" t="s">
        <v>1347</v>
      </c>
      <c r="C56" s="41" t="s">
        <v>1333</v>
      </c>
      <c r="D56" s="15">
        <v>2842875</v>
      </c>
      <c r="E56" s="16">
        <v>7468.23</v>
      </c>
      <c r="F56" s="17">
        <v>4.7999999999999996E-3</v>
      </c>
      <c r="G56" s="17"/>
    </row>
    <row r="57" spans="1:7" x14ac:dyDescent="0.35">
      <c r="A57" s="13" t="s">
        <v>1348</v>
      </c>
      <c r="B57" s="41" t="s">
        <v>1349</v>
      </c>
      <c r="C57" s="41" t="s">
        <v>1350</v>
      </c>
      <c r="D57" s="15">
        <v>1028445</v>
      </c>
      <c r="E57" s="16">
        <v>7239.74</v>
      </c>
      <c r="F57" s="17">
        <v>4.5999999999999999E-3</v>
      </c>
      <c r="G57" s="17"/>
    </row>
    <row r="58" spans="1:7" x14ac:dyDescent="0.35">
      <c r="A58" s="13" t="s">
        <v>1351</v>
      </c>
      <c r="B58" s="41" t="s">
        <v>1352</v>
      </c>
      <c r="C58" s="41" t="s">
        <v>1305</v>
      </c>
      <c r="D58" s="15">
        <v>1987500</v>
      </c>
      <c r="E58" s="16">
        <v>7075.5</v>
      </c>
      <c r="F58" s="17">
        <v>4.4999999999999997E-3</v>
      </c>
      <c r="G58" s="17"/>
    </row>
    <row r="59" spans="1:7" x14ac:dyDescent="0.35">
      <c r="A59" s="13" t="s">
        <v>1353</v>
      </c>
      <c r="B59" s="41" t="s">
        <v>1354</v>
      </c>
      <c r="C59" s="41" t="s">
        <v>1355</v>
      </c>
      <c r="D59" s="15">
        <v>4227300</v>
      </c>
      <c r="E59" s="16">
        <v>7071.85</v>
      </c>
      <c r="F59" s="17">
        <v>4.4999999999999997E-3</v>
      </c>
      <c r="G59" s="17"/>
    </row>
    <row r="60" spans="1:7" x14ac:dyDescent="0.35">
      <c r="A60" s="13" t="s">
        <v>1356</v>
      </c>
      <c r="B60" s="41" t="s">
        <v>1357</v>
      </c>
      <c r="C60" s="41" t="s">
        <v>1288</v>
      </c>
      <c r="D60" s="15">
        <v>338450</v>
      </c>
      <c r="E60" s="16">
        <v>6923.67</v>
      </c>
      <c r="F60" s="17">
        <v>4.4000000000000003E-3</v>
      </c>
      <c r="G60" s="17"/>
    </row>
    <row r="61" spans="1:7" x14ac:dyDescent="0.35">
      <c r="A61" s="13" t="s">
        <v>1358</v>
      </c>
      <c r="B61" s="41" t="s">
        <v>1359</v>
      </c>
      <c r="C61" s="41" t="s">
        <v>1360</v>
      </c>
      <c r="D61" s="15">
        <v>1444500</v>
      </c>
      <c r="E61" s="16">
        <v>6807.21</v>
      </c>
      <c r="F61" s="17">
        <v>4.4000000000000003E-3</v>
      </c>
      <c r="G61" s="17"/>
    </row>
    <row r="62" spans="1:7" x14ac:dyDescent="0.35">
      <c r="A62" s="13" t="s">
        <v>1361</v>
      </c>
      <c r="B62" s="41" t="s">
        <v>1362</v>
      </c>
      <c r="C62" s="41" t="s">
        <v>1229</v>
      </c>
      <c r="D62" s="15">
        <v>724625</v>
      </c>
      <c r="E62" s="16">
        <v>6170.18</v>
      </c>
      <c r="F62" s="17">
        <v>4.0000000000000001E-3</v>
      </c>
      <c r="G62" s="17"/>
    </row>
    <row r="63" spans="1:7" x14ac:dyDescent="0.35">
      <c r="A63" s="13" t="s">
        <v>1363</v>
      </c>
      <c r="B63" s="41" t="s">
        <v>1364</v>
      </c>
      <c r="C63" s="41" t="s">
        <v>1355</v>
      </c>
      <c r="D63" s="15">
        <v>2114700</v>
      </c>
      <c r="E63" s="16">
        <v>6127.34</v>
      </c>
      <c r="F63" s="17">
        <v>3.8999999999999998E-3</v>
      </c>
      <c r="G63" s="17"/>
    </row>
    <row r="64" spans="1:7" x14ac:dyDescent="0.35">
      <c r="A64" s="13" t="s">
        <v>1365</v>
      </c>
      <c r="B64" s="41" t="s">
        <v>1366</v>
      </c>
      <c r="C64" s="41" t="s">
        <v>1201</v>
      </c>
      <c r="D64" s="15">
        <v>2676600</v>
      </c>
      <c r="E64" s="16">
        <v>5927.33</v>
      </c>
      <c r="F64" s="17">
        <v>3.8E-3</v>
      </c>
      <c r="G64" s="17"/>
    </row>
    <row r="65" spans="1:7" x14ac:dyDescent="0.35">
      <c r="A65" s="13" t="s">
        <v>1227</v>
      </c>
      <c r="B65" s="41" t="s">
        <v>1228</v>
      </c>
      <c r="C65" s="41" t="s">
        <v>1229</v>
      </c>
      <c r="D65" s="15">
        <v>84000</v>
      </c>
      <c r="E65" s="16">
        <v>5846.82</v>
      </c>
      <c r="F65" s="17">
        <v>3.7000000000000002E-3</v>
      </c>
      <c r="G65" s="17"/>
    </row>
    <row r="66" spans="1:7" x14ac:dyDescent="0.35">
      <c r="A66" s="13" t="s">
        <v>1367</v>
      </c>
      <c r="B66" s="41" t="s">
        <v>1368</v>
      </c>
      <c r="C66" s="41" t="s">
        <v>1369</v>
      </c>
      <c r="D66" s="15">
        <v>343600</v>
      </c>
      <c r="E66" s="16">
        <v>5638.48</v>
      </c>
      <c r="F66" s="17">
        <v>3.5999999999999999E-3</v>
      </c>
      <c r="G66" s="17"/>
    </row>
    <row r="67" spans="1:7" x14ac:dyDescent="0.35">
      <c r="A67" s="13" t="s">
        <v>1370</v>
      </c>
      <c r="B67" s="41" t="s">
        <v>1371</v>
      </c>
      <c r="C67" s="41" t="s">
        <v>1345</v>
      </c>
      <c r="D67" s="15">
        <v>1330075</v>
      </c>
      <c r="E67" s="16">
        <v>5625.55</v>
      </c>
      <c r="F67" s="17">
        <v>3.5999999999999999E-3</v>
      </c>
      <c r="G67" s="17"/>
    </row>
    <row r="68" spans="1:7" x14ac:dyDescent="0.35">
      <c r="A68" s="13" t="s">
        <v>1372</v>
      </c>
      <c r="B68" s="41" t="s">
        <v>1373</v>
      </c>
      <c r="C68" s="41" t="s">
        <v>1345</v>
      </c>
      <c r="D68" s="15">
        <v>1120000</v>
      </c>
      <c r="E68" s="16">
        <v>5625.2</v>
      </c>
      <c r="F68" s="17">
        <v>3.5999999999999999E-3</v>
      </c>
      <c r="G68" s="17"/>
    </row>
    <row r="69" spans="1:7" x14ac:dyDescent="0.35">
      <c r="A69" s="13" t="s">
        <v>1374</v>
      </c>
      <c r="B69" s="41" t="s">
        <v>1375</v>
      </c>
      <c r="C69" s="41" t="s">
        <v>1178</v>
      </c>
      <c r="D69" s="15">
        <v>1833975</v>
      </c>
      <c r="E69" s="16">
        <v>5490.92</v>
      </c>
      <c r="F69" s="17">
        <v>3.5000000000000001E-3</v>
      </c>
      <c r="G69" s="17"/>
    </row>
    <row r="70" spans="1:7" x14ac:dyDescent="0.35">
      <c r="A70" s="13" t="s">
        <v>1376</v>
      </c>
      <c r="B70" s="41" t="s">
        <v>1377</v>
      </c>
      <c r="C70" s="41" t="s">
        <v>1280</v>
      </c>
      <c r="D70" s="15">
        <v>195375</v>
      </c>
      <c r="E70" s="16">
        <v>5464.64</v>
      </c>
      <c r="F70" s="17">
        <v>3.5000000000000001E-3</v>
      </c>
      <c r="G70" s="17"/>
    </row>
    <row r="71" spans="1:7" x14ac:dyDescent="0.35">
      <c r="A71" s="13" t="s">
        <v>1378</v>
      </c>
      <c r="B71" s="41" t="s">
        <v>1379</v>
      </c>
      <c r="C71" s="41" t="s">
        <v>1211</v>
      </c>
      <c r="D71" s="15">
        <v>664300</v>
      </c>
      <c r="E71" s="16">
        <v>5463.2</v>
      </c>
      <c r="F71" s="17">
        <v>3.5000000000000001E-3</v>
      </c>
      <c r="G71" s="17"/>
    </row>
    <row r="72" spans="1:7" x14ac:dyDescent="0.35">
      <c r="A72" s="13" t="s">
        <v>1380</v>
      </c>
      <c r="B72" s="41" t="s">
        <v>1381</v>
      </c>
      <c r="C72" s="41" t="s">
        <v>1382</v>
      </c>
      <c r="D72" s="15">
        <v>1605600</v>
      </c>
      <c r="E72" s="16">
        <v>5163.6099999999997</v>
      </c>
      <c r="F72" s="17">
        <v>3.3E-3</v>
      </c>
      <c r="G72" s="17"/>
    </row>
    <row r="73" spans="1:7" x14ac:dyDescent="0.35">
      <c r="A73" s="13" t="s">
        <v>1199</v>
      </c>
      <c r="B73" s="41" t="s">
        <v>1200</v>
      </c>
      <c r="C73" s="41" t="s">
        <v>1201</v>
      </c>
      <c r="D73" s="15">
        <v>129675</v>
      </c>
      <c r="E73" s="16">
        <v>5157.6899999999996</v>
      </c>
      <c r="F73" s="17">
        <v>3.3E-3</v>
      </c>
      <c r="G73" s="17"/>
    </row>
    <row r="74" spans="1:7" x14ac:dyDescent="0.35">
      <c r="A74" s="13" t="s">
        <v>1383</v>
      </c>
      <c r="B74" s="41" t="s">
        <v>1384</v>
      </c>
      <c r="C74" s="41" t="s">
        <v>1201</v>
      </c>
      <c r="D74" s="15">
        <v>1357125</v>
      </c>
      <c r="E74" s="16">
        <v>4908.04</v>
      </c>
      <c r="F74" s="17">
        <v>3.0999999999999999E-3</v>
      </c>
      <c r="G74" s="17"/>
    </row>
    <row r="75" spans="1:7" x14ac:dyDescent="0.35">
      <c r="A75" s="13" t="s">
        <v>1385</v>
      </c>
      <c r="B75" s="41" t="s">
        <v>1386</v>
      </c>
      <c r="C75" s="41" t="s">
        <v>1387</v>
      </c>
      <c r="D75" s="15">
        <v>124775</v>
      </c>
      <c r="E75" s="16">
        <v>4906.53</v>
      </c>
      <c r="F75" s="17">
        <v>3.0999999999999999E-3</v>
      </c>
      <c r="G75" s="17"/>
    </row>
    <row r="76" spans="1:7" x14ac:dyDescent="0.35">
      <c r="A76" s="13" t="s">
        <v>1388</v>
      </c>
      <c r="B76" s="41" t="s">
        <v>1389</v>
      </c>
      <c r="C76" s="41" t="s">
        <v>1211</v>
      </c>
      <c r="D76" s="15">
        <v>1683000</v>
      </c>
      <c r="E76" s="16">
        <v>4790.66</v>
      </c>
      <c r="F76" s="17">
        <v>3.0999999999999999E-3</v>
      </c>
      <c r="G76" s="17"/>
    </row>
    <row r="77" spans="1:7" x14ac:dyDescent="0.35">
      <c r="A77" s="13" t="s">
        <v>1390</v>
      </c>
      <c r="B77" s="41" t="s">
        <v>1391</v>
      </c>
      <c r="C77" s="41" t="s">
        <v>1324</v>
      </c>
      <c r="D77" s="15">
        <v>290950</v>
      </c>
      <c r="E77" s="16">
        <v>4587.7</v>
      </c>
      <c r="F77" s="17">
        <v>2.8999999999999998E-3</v>
      </c>
      <c r="G77" s="17"/>
    </row>
    <row r="78" spans="1:7" x14ac:dyDescent="0.35">
      <c r="A78" s="13" t="s">
        <v>1392</v>
      </c>
      <c r="B78" s="41" t="s">
        <v>1393</v>
      </c>
      <c r="C78" s="41" t="s">
        <v>1369</v>
      </c>
      <c r="D78" s="15">
        <v>165275</v>
      </c>
      <c r="E78" s="16">
        <v>4559.9399999999996</v>
      </c>
      <c r="F78" s="17">
        <v>2.8999999999999998E-3</v>
      </c>
      <c r="G78" s="17"/>
    </row>
    <row r="79" spans="1:7" x14ac:dyDescent="0.35">
      <c r="A79" s="13" t="s">
        <v>1394</v>
      </c>
      <c r="B79" s="41" t="s">
        <v>1395</v>
      </c>
      <c r="C79" s="41" t="s">
        <v>1369</v>
      </c>
      <c r="D79" s="15">
        <v>252000</v>
      </c>
      <c r="E79" s="16">
        <v>4392.6099999999997</v>
      </c>
      <c r="F79" s="17">
        <v>2.8E-3</v>
      </c>
      <c r="G79" s="17"/>
    </row>
    <row r="80" spans="1:7" x14ac:dyDescent="0.35">
      <c r="A80" s="13" t="s">
        <v>1396</v>
      </c>
      <c r="B80" s="41" t="s">
        <v>1397</v>
      </c>
      <c r="C80" s="41" t="s">
        <v>1398</v>
      </c>
      <c r="D80" s="15">
        <v>302575</v>
      </c>
      <c r="E80" s="16">
        <v>4295.96</v>
      </c>
      <c r="F80" s="17">
        <v>2.8E-3</v>
      </c>
      <c r="G80" s="17"/>
    </row>
    <row r="81" spans="1:7" x14ac:dyDescent="0.35">
      <c r="A81" s="13" t="s">
        <v>1399</v>
      </c>
      <c r="B81" s="41" t="s">
        <v>1400</v>
      </c>
      <c r="C81" s="41" t="s">
        <v>1178</v>
      </c>
      <c r="D81" s="15">
        <v>476700</v>
      </c>
      <c r="E81" s="16">
        <v>4271.71</v>
      </c>
      <c r="F81" s="17">
        <v>2.7000000000000001E-3</v>
      </c>
      <c r="G81" s="17"/>
    </row>
    <row r="82" spans="1:7" x14ac:dyDescent="0.35">
      <c r="A82" s="13" t="s">
        <v>1230</v>
      </c>
      <c r="B82" s="41" t="s">
        <v>1231</v>
      </c>
      <c r="C82" s="41" t="s">
        <v>1211</v>
      </c>
      <c r="D82" s="15">
        <v>212500</v>
      </c>
      <c r="E82" s="16">
        <v>4149.28</v>
      </c>
      <c r="F82" s="17">
        <v>2.7000000000000001E-3</v>
      </c>
      <c r="G82" s="17"/>
    </row>
    <row r="83" spans="1:7" x14ac:dyDescent="0.35">
      <c r="A83" s="13" t="s">
        <v>1401</v>
      </c>
      <c r="B83" s="41" t="s">
        <v>1402</v>
      </c>
      <c r="C83" s="41" t="s">
        <v>1211</v>
      </c>
      <c r="D83" s="15">
        <v>780000</v>
      </c>
      <c r="E83" s="16">
        <v>4105.1400000000003</v>
      </c>
      <c r="F83" s="17">
        <v>2.5999999999999999E-3</v>
      </c>
      <c r="G83" s="17"/>
    </row>
    <row r="84" spans="1:7" x14ac:dyDescent="0.35">
      <c r="A84" s="13" t="s">
        <v>1403</v>
      </c>
      <c r="B84" s="41" t="s">
        <v>1404</v>
      </c>
      <c r="C84" s="41" t="s">
        <v>1234</v>
      </c>
      <c r="D84" s="15">
        <v>67800</v>
      </c>
      <c r="E84" s="16">
        <v>4102.58</v>
      </c>
      <c r="F84" s="17">
        <v>2.5999999999999999E-3</v>
      </c>
      <c r="G84" s="17"/>
    </row>
    <row r="85" spans="1:7" x14ac:dyDescent="0.35">
      <c r="A85" s="13" t="s">
        <v>1405</v>
      </c>
      <c r="B85" s="41" t="s">
        <v>1406</v>
      </c>
      <c r="C85" s="41" t="s">
        <v>1178</v>
      </c>
      <c r="D85" s="15">
        <v>2371200</v>
      </c>
      <c r="E85" s="16">
        <v>3891.14</v>
      </c>
      <c r="F85" s="17">
        <v>2.5000000000000001E-3</v>
      </c>
      <c r="G85" s="17"/>
    </row>
    <row r="86" spans="1:7" x14ac:dyDescent="0.35">
      <c r="A86" s="13" t="s">
        <v>1222</v>
      </c>
      <c r="B86" s="41" t="s">
        <v>1223</v>
      </c>
      <c r="C86" s="41" t="s">
        <v>1224</v>
      </c>
      <c r="D86" s="15">
        <v>29750</v>
      </c>
      <c r="E86" s="16">
        <v>3776.47</v>
      </c>
      <c r="F86" s="17">
        <v>2.3999999999999998E-3</v>
      </c>
      <c r="G86" s="17"/>
    </row>
    <row r="87" spans="1:7" x14ac:dyDescent="0.35">
      <c r="A87" s="13" t="s">
        <v>1407</v>
      </c>
      <c r="B87" s="41" t="s">
        <v>1408</v>
      </c>
      <c r="C87" s="41" t="s">
        <v>1409</v>
      </c>
      <c r="D87" s="15">
        <v>323500</v>
      </c>
      <c r="E87" s="16">
        <v>3733.51</v>
      </c>
      <c r="F87" s="17">
        <v>2.3999999999999998E-3</v>
      </c>
      <c r="G87" s="17"/>
    </row>
    <row r="88" spans="1:7" x14ac:dyDescent="0.35">
      <c r="A88" s="13" t="s">
        <v>1410</v>
      </c>
      <c r="B88" s="41" t="s">
        <v>1411</v>
      </c>
      <c r="C88" s="41" t="s">
        <v>1412</v>
      </c>
      <c r="D88" s="15">
        <v>549000</v>
      </c>
      <c r="E88" s="16">
        <v>3701.08</v>
      </c>
      <c r="F88" s="17">
        <v>2.3999999999999998E-3</v>
      </c>
      <c r="G88" s="17"/>
    </row>
    <row r="89" spans="1:7" x14ac:dyDescent="0.35">
      <c r="A89" s="13" t="s">
        <v>1413</v>
      </c>
      <c r="B89" s="41" t="s">
        <v>1414</v>
      </c>
      <c r="C89" s="41" t="s">
        <v>1178</v>
      </c>
      <c r="D89" s="15">
        <v>2383200</v>
      </c>
      <c r="E89" s="16">
        <v>3685.62</v>
      </c>
      <c r="F89" s="17">
        <v>2.3999999999999998E-3</v>
      </c>
      <c r="G89" s="17"/>
    </row>
    <row r="90" spans="1:7" x14ac:dyDescent="0.35">
      <c r="A90" s="13" t="s">
        <v>1237</v>
      </c>
      <c r="B90" s="41" t="s">
        <v>1238</v>
      </c>
      <c r="C90" s="41" t="s">
        <v>1234</v>
      </c>
      <c r="D90" s="15">
        <v>225750</v>
      </c>
      <c r="E90" s="16">
        <v>3601.39</v>
      </c>
      <c r="F90" s="17">
        <v>2.3E-3</v>
      </c>
      <c r="G90" s="17"/>
    </row>
    <row r="91" spans="1:7" x14ac:dyDescent="0.35">
      <c r="A91" s="13" t="s">
        <v>1415</v>
      </c>
      <c r="B91" s="41" t="s">
        <v>1416</v>
      </c>
      <c r="C91" s="41" t="s">
        <v>1398</v>
      </c>
      <c r="D91" s="15">
        <v>3703725</v>
      </c>
      <c r="E91" s="16">
        <v>3477.43</v>
      </c>
      <c r="F91" s="17">
        <v>2.2000000000000001E-3</v>
      </c>
      <c r="G91" s="17"/>
    </row>
    <row r="92" spans="1:7" x14ac:dyDescent="0.35">
      <c r="A92" s="13" t="s">
        <v>1417</v>
      </c>
      <c r="B92" s="41" t="s">
        <v>1418</v>
      </c>
      <c r="C92" s="41" t="s">
        <v>1419</v>
      </c>
      <c r="D92" s="15">
        <v>535325</v>
      </c>
      <c r="E92" s="16">
        <v>3364.52</v>
      </c>
      <c r="F92" s="17">
        <v>2.2000000000000001E-3</v>
      </c>
      <c r="G92" s="17"/>
    </row>
    <row r="93" spans="1:7" x14ac:dyDescent="0.35">
      <c r="A93" s="13" t="s">
        <v>1420</v>
      </c>
      <c r="B93" s="41" t="s">
        <v>1421</v>
      </c>
      <c r="C93" s="41" t="s">
        <v>1178</v>
      </c>
      <c r="D93" s="15">
        <v>1756725</v>
      </c>
      <c r="E93" s="16">
        <v>3175.46</v>
      </c>
      <c r="F93" s="17">
        <v>2E-3</v>
      </c>
      <c r="G93" s="17"/>
    </row>
    <row r="94" spans="1:7" x14ac:dyDescent="0.35">
      <c r="A94" s="13" t="s">
        <v>1212</v>
      </c>
      <c r="B94" s="41" t="s">
        <v>1213</v>
      </c>
      <c r="C94" s="41" t="s">
        <v>1188</v>
      </c>
      <c r="D94" s="15">
        <v>85575</v>
      </c>
      <c r="E94" s="16">
        <v>3146.94</v>
      </c>
      <c r="F94" s="17">
        <v>2E-3</v>
      </c>
      <c r="G94" s="17"/>
    </row>
    <row r="95" spans="1:7" x14ac:dyDescent="0.35">
      <c r="A95" s="13" t="s">
        <v>1422</v>
      </c>
      <c r="B95" s="41" t="s">
        <v>1423</v>
      </c>
      <c r="C95" s="41" t="s">
        <v>1211</v>
      </c>
      <c r="D95" s="15">
        <v>1609500</v>
      </c>
      <c r="E95" s="16">
        <v>3084.61</v>
      </c>
      <c r="F95" s="17">
        <v>2E-3</v>
      </c>
      <c r="G95" s="17"/>
    </row>
    <row r="96" spans="1:7" x14ac:dyDescent="0.35">
      <c r="A96" s="13" t="s">
        <v>1196</v>
      </c>
      <c r="B96" s="41" t="s">
        <v>1197</v>
      </c>
      <c r="C96" s="41" t="s">
        <v>1198</v>
      </c>
      <c r="D96" s="15">
        <v>144875</v>
      </c>
      <c r="E96" s="16">
        <v>2852.15</v>
      </c>
      <c r="F96" s="17">
        <v>1.8E-3</v>
      </c>
      <c r="G96" s="17"/>
    </row>
    <row r="97" spans="1:7" x14ac:dyDescent="0.35">
      <c r="A97" s="13" t="s">
        <v>1424</v>
      </c>
      <c r="B97" s="41" t="s">
        <v>1425</v>
      </c>
      <c r="C97" s="41" t="s">
        <v>1201</v>
      </c>
      <c r="D97" s="15">
        <v>48200</v>
      </c>
      <c r="E97" s="16">
        <v>2755.11</v>
      </c>
      <c r="F97" s="17">
        <v>1.8E-3</v>
      </c>
      <c r="G97" s="17"/>
    </row>
    <row r="98" spans="1:7" x14ac:dyDescent="0.35">
      <c r="A98" s="13" t="s">
        <v>1426</v>
      </c>
      <c r="B98" s="41" t="s">
        <v>1427</v>
      </c>
      <c r="C98" s="41" t="s">
        <v>1178</v>
      </c>
      <c r="D98" s="15">
        <v>276000</v>
      </c>
      <c r="E98" s="16">
        <v>2711.29</v>
      </c>
      <c r="F98" s="17">
        <v>1.6999999999999999E-3</v>
      </c>
      <c r="G98" s="17"/>
    </row>
    <row r="99" spans="1:7" x14ac:dyDescent="0.35">
      <c r="A99" s="13" t="s">
        <v>1214</v>
      </c>
      <c r="B99" s="41" t="s">
        <v>1215</v>
      </c>
      <c r="C99" s="41" t="s">
        <v>1216</v>
      </c>
      <c r="D99" s="15">
        <v>235400</v>
      </c>
      <c r="E99" s="16">
        <v>2669.2</v>
      </c>
      <c r="F99" s="17">
        <v>1.6999999999999999E-3</v>
      </c>
      <c r="G99" s="17"/>
    </row>
    <row r="100" spans="1:7" x14ac:dyDescent="0.35">
      <c r="A100" s="13" t="s">
        <v>1428</v>
      </c>
      <c r="B100" s="41" t="s">
        <v>1429</v>
      </c>
      <c r="C100" s="41" t="s">
        <v>1206</v>
      </c>
      <c r="D100" s="15">
        <v>1613625</v>
      </c>
      <c r="E100" s="16">
        <v>2634.08</v>
      </c>
      <c r="F100" s="17">
        <v>1.6999999999999999E-3</v>
      </c>
      <c r="G100" s="17"/>
    </row>
    <row r="101" spans="1:7" x14ac:dyDescent="0.35">
      <c r="A101" s="13" t="s">
        <v>1176</v>
      </c>
      <c r="B101" s="41" t="s">
        <v>1177</v>
      </c>
      <c r="C101" s="41" t="s">
        <v>1178</v>
      </c>
      <c r="D101" s="15">
        <v>244500</v>
      </c>
      <c r="E101" s="16">
        <v>2633.63</v>
      </c>
      <c r="F101" s="17">
        <v>1.6999999999999999E-3</v>
      </c>
      <c r="G101" s="17"/>
    </row>
    <row r="102" spans="1:7" x14ac:dyDescent="0.35">
      <c r="A102" s="13" t="s">
        <v>1430</v>
      </c>
      <c r="B102" s="41" t="s">
        <v>1431</v>
      </c>
      <c r="C102" s="41" t="s">
        <v>1201</v>
      </c>
      <c r="D102" s="15">
        <v>203000</v>
      </c>
      <c r="E102" s="16">
        <v>2608.5500000000002</v>
      </c>
      <c r="F102" s="17">
        <v>1.6999999999999999E-3</v>
      </c>
      <c r="G102" s="17"/>
    </row>
    <row r="103" spans="1:7" x14ac:dyDescent="0.35">
      <c r="A103" s="13" t="s">
        <v>1432</v>
      </c>
      <c r="B103" s="41" t="s">
        <v>1433</v>
      </c>
      <c r="C103" s="41" t="s">
        <v>1387</v>
      </c>
      <c r="D103" s="15">
        <v>2593500</v>
      </c>
      <c r="E103" s="16">
        <v>2563.9299999999998</v>
      </c>
      <c r="F103" s="17">
        <v>1.6000000000000001E-3</v>
      </c>
      <c r="G103" s="17"/>
    </row>
    <row r="104" spans="1:7" x14ac:dyDescent="0.35">
      <c r="A104" s="13" t="s">
        <v>1434</v>
      </c>
      <c r="B104" s="41" t="s">
        <v>1435</v>
      </c>
      <c r="C104" s="41" t="s">
        <v>1436</v>
      </c>
      <c r="D104" s="15">
        <v>99400</v>
      </c>
      <c r="E104" s="16">
        <v>2557.46</v>
      </c>
      <c r="F104" s="17">
        <v>1.6000000000000001E-3</v>
      </c>
      <c r="G104" s="17"/>
    </row>
    <row r="105" spans="1:7" x14ac:dyDescent="0.35">
      <c r="A105" s="13" t="s">
        <v>1437</v>
      </c>
      <c r="B105" s="41" t="s">
        <v>1438</v>
      </c>
      <c r="C105" s="41" t="s">
        <v>1185</v>
      </c>
      <c r="D105" s="15">
        <v>395900</v>
      </c>
      <c r="E105" s="16">
        <v>2521.29</v>
      </c>
      <c r="F105" s="17">
        <v>1.6000000000000001E-3</v>
      </c>
      <c r="G105" s="17"/>
    </row>
    <row r="106" spans="1:7" x14ac:dyDescent="0.35">
      <c r="A106" s="13" t="s">
        <v>1439</v>
      </c>
      <c r="B106" s="41" t="s">
        <v>1440</v>
      </c>
      <c r="C106" s="41" t="s">
        <v>1333</v>
      </c>
      <c r="D106" s="15">
        <v>5243525</v>
      </c>
      <c r="E106" s="16">
        <v>2499.59</v>
      </c>
      <c r="F106" s="17">
        <v>1.6000000000000001E-3</v>
      </c>
      <c r="G106" s="17"/>
    </row>
    <row r="107" spans="1:7" x14ac:dyDescent="0.35">
      <c r="A107" s="13" t="s">
        <v>1441</v>
      </c>
      <c r="B107" s="41" t="s">
        <v>1442</v>
      </c>
      <c r="C107" s="41" t="s">
        <v>1280</v>
      </c>
      <c r="D107" s="15">
        <v>94500</v>
      </c>
      <c r="E107" s="16">
        <v>2377.34</v>
      </c>
      <c r="F107" s="17">
        <v>1.5E-3</v>
      </c>
      <c r="G107" s="17"/>
    </row>
    <row r="108" spans="1:7" x14ac:dyDescent="0.35">
      <c r="A108" s="13" t="s">
        <v>1443</v>
      </c>
      <c r="B108" s="41" t="s">
        <v>1444</v>
      </c>
      <c r="C108" s="41" t="s">
        <v>1178</v>
      </c>
      <c r="D108" s="15">
        <v>2819600</v>
      </c>
      <c r="E108" s="16">
        <v>2356.62</v>
      </c>
      <c r="F108" s="17">
        <v>1.5E-3</v>
      </c>
      <c r="G108" s="17"/>
    </row>
    <row r="109" spans="1:7" x14ac:dyDescent="0.35">
      <c r="A109" s="13" t="s">
        <v>1445</v>
      </c>
      <c r="B109" s="41" t="s">
        <v>1446</v>
      </c>
      <c r="C109" s="41" t="s">
        <v>1324</v>
      </c>
      <c r="D109" s="15">
        <v>239400</v>
      </c>
      <c r="E109" s="16">
        <v>2325.77</v>
      </c>
      <c r="F109" s="17">
        <v>1.5E-3</v>
      </c>
      <c r="G109" s="17"/>
    </row>
    <row r="110" spans="1:7" x14ac:dyDescent="0.35">
      <c r="A110" s="13" t="s">
        <v>1447</v>
      </c>
      <c r="B110" s="41" t="s">
        <v>1448</v>
      </c>
      <c r="C110" s="41" t="s">
        <v>1285</v>
      </c>
      <c r="D110" s="15">
        <v>150150</v>
      </c>
      <c r="E110" s="16">
        <v>2309.61</v>
      </c>
      <c r="F110" s="17">
        <v>1.5E-3</v>
      </c>
      <c r="G110" s="17"/>
    </row>
    <row r="111" spans="1:7" x14ac:dyDescent="0.35">
      <c r="A111" s="13" t="s">
        <v>1449</v>
      </c>
      <c r="B111" s="41" t="s">
        <v>1450</v>
      </c>
      <c r="C111" s="41" t="s">
        <v>1229</v>
      </c>
      <c r="D111" s="15">
        <v>239400</v>
      </c>
      <c r="E111" s="16">
        <v>2290.58</v>
      </c>
      <c r="F111" s="17">
        <v>1.5E-3</v>
      </c>
      <c r="G111" s="17"/>
    </row>
    <row r="112" spans="1:7" x14ac:dyDescent="0.35">
      <c r="A112" s="13" t="s">
        <v>1451</v>
      </c>
      <c r="B112" s="41" t="s">
        <v>1452</v>
      </c>
      <c r="C112" s="41" t="s">
        <v>1224</v>
      </c>
      <c r="D112" s="15">
        <v>441000</v>
      </c>
      <c r="E112" s="16">
        <v>2249.7600000000002</v>
      </c>
      <c r="F112" s="17">
        <v>1.4E-3</v>
      </c>
      <c r="G112" s="17"/>
    </row>
    <row r="113" spans="1:7" x14ac:dyDescent="0.35">
      <c r="A113" s="13" t="s">
        <v>1225</v>
      </c>
      <c r="B113" s="41" t="s">
        <v>1226</v>
      </c>
      <c r="C113" s="41" t="s">
        <v>1185</v>
      </c>
      <c r="D113" s="15">
        <v>135200</v>
      </c>
      <c r="E113" s="16">
        <v>2181.59</v>
      </c>
      <c r="F113" s="17">
        <v>1.4E-3</v>
      </c>
      <c r="G113" s="17"/>
    </row>
    <row r="114" spans="1:7" x14ac:dyDescent="0.35">
      <c r="A114" s="13" t="s">
        <v>1453</v>
      </c>
      <c r="B114" s="41" t="s">
        <v>1454</v>
      </c>
      <c r="C114" s="41" t="s">
        <v>1324</v>
      </c>
      <c r="D114" s="15">
        <v>148950</v>
      </c>
      <c r="E114" s="16">
        <v>2176.9</v>
      </c>
      <c r="F114" s="17">
        <v>1.4E-3</v>
      </c>
      <c r="G114" s="17"/>
    </row>
    <row r="115" spans="1:7" x14ac:dyDescent="0.35">
      <c r="A115" s="13" t="s">
        <v>1194</v>
      </c>
      <c r="B115" s="41" t="s">
        <v>1195</v>
      </c>
      <c r="C115" s="41" t="s">
        <v>1188</v>
      </c>
      <c r="D115" s="15">
        <v>30500</v>
      </c>
      <c r="E115" s="16">
        <v>2172.36</v>
      </c>
      <c r="F115" s="17">
        <v>1.4E-3</v>
      </c>
      <c r="G115" s="17"/>
    </row>
    <row r="116" spans="1:7" x14ac:dyDescent="0.35">
      <c r="A116" s="13" t="s">
        <v>1455</v>
      </c>
      <c r="B116" s="41" t="s">
        <v>1456</v>
      </c>
      <c r="C116" s="41" t="s">
        <v>1234</v>
      </c>
      <c r="D116" s="15">
        <v>215900</v>
      </c>
      <c r="E116" s="16">
        <v>2083.44</v>
      </c>
      <c r="F116" s="17">
        <v>1.2999999999999999E-3</v>
      </c>
      <c r="G116" s="17"/>
    </row>
    <row r="117" spans="1:7" x14ac:dyDescent="0.35">
      <c r="A117" s="13" t="s">
        <v>1457</v>
      </c>
      <c r="B117" s="41" t="s">
        <v>1458</v>
      </c>
      <c r="C117" s="41" t="s">
        <v>1185</v>
      </c>
      <c r="D117" s="15">
        <v>252000</v>
      </c>
      <c r="E117" s="16">
        <v>2077.7399999999998</v>
      </c>
      <c r="F117" s="17">
        <v>1.2999999999999999E-3</v>
      </c>
      <c r="G117" s="17"/>
    </row>
    <row r="118" spans="1:7" x14ac:dyDescent="0.35">
      <c r="A118" s="13" t="s">
        <v>1202</v>
      </c>
      <c r="B118" s="41" t="s">
        <v>1203</v>
      </c>
      <c r="C118" s="41" t="s">
        <v>1178</v>
      </c>
      <c r="D118" s="15">
        <v>655000</v>
      </c>
      <c r="E118" s="16">
        <v>1884.76</v>
      </c>
      <c r="F118" s="17">
        <v>1.1999999999999999E-3</v>
      </c>
      <c r="G118" s="17"/>
    </row>
    <row r="119" spans="1:7" x14ac:dyDescent="0.35">
      <c r="A119" s="13" t="s">
        <v>1459</v>
      </c>
      <c r="B119" s="41" t="s">
        <v>1460</v>
      </c>
      <c r="C119" s="41" t="s">
        <v>1266</v>
      </c>
      <c r="D119" s="15">
        <v>49400</v>
      </c>
      <c r="E119" s="16">
        <v>1870.04</v>
      </c>
      <c r="F119" s="17">
        <v>1.1999999999999999E-3</v>
      </c>
      <c r="G119" s="17"/>
    </row>
    <row r="120" spans="1:7" x14ac:dyDescent="0.35">
      <c r="A120" s="13" t="s">
        <v>1461</v>
      </c>
      <c r="B120" s="41" t="s">
        <v>1462</v>
      </c>
      <c r="C120" s="41" t="s">
        <v>1360</v>
      </c>
      <c r="D120" s="15">
        <v>130400</v>
      </c>
      <c r="E120" s="16">
        <v>1776.83</v>
      </c>
      <c r="F120" s="17">
        <v>1.1000000000000001E-3</v>
      </c>
      <c r="G120" s="17"/>
    </row>
    <row r="121" spans="1:7" x14ac:dyDescent="0.35">
      <c r="A121" s="13" t="s">
        <v>1463</v>
      </c>
      <c r="B121" s="41" t="s">
        <v>1464</v>
      </c>
      <c r="C121" s="41" t="s">
        <v>1465</v>
      </c>
      <c r="D121" s="15">
        <v>102550</v>
      </c>
      <c r="E121" s="16">
        <v>1696.69</v>
      </c>
      <c r="F121" s="17">
        <v>1.1000000000000001E-3</v>
      </c>
      <c r="G121" s="17"/>
    </row>
    <row r="122" spans="1:7" x14ac:dyDescent="0.35">
      <c r="A122" s="13" t="s">
        <v>1466</v>
      </c>
      <c r="B122" s="41" t="s">
        <v>1467</v>
      </c>
      <c r="C122" s="41" t="s">
        <v>1234</v>
      </c>
      <c r="D122" s="15">
        <v>457500</v>
      </c>
      <c r="E122" s="16">
        <v>1678.11</v>
      </c>
      <c r="F122" s="17">
        <v>1.1000000000000001E-3</v>
      </c>
      <c r="G122" s="17"/>
    </row>
    <row r="123" spans="1:7" x14ac:dyDescent="0.35">
      <c r="A123" s="13" t="s">
        <v>1468</v>
      </c>
      <c r="B123" s="41" t="s">
        <v>1469</v>
      </c>
      <c r="C123" s="41" t="s">
        <v>1324</v>
      </c>
      <c r="D123" s="15">
        <v>91000</v>
      </c>
      <c r="E123" s="16">
        <v>1520.34</v>
      </c>
      <c r="F123" s="17">
        <v>1E-3</v>
      </c>
      <c r="G123" s="17"/>
    </row>
    <row r="124" spans="1:7" x14ac:dyDescent="0.35">
      <c r="A124" s="13" t="s">
        <v>1470</v>
      </c>
      <c r="B124" s="41" t="s">
        <v>1471</v>
      </c>
      <c r="C124" s="41" t="s">
        <v>1382</v>
      </c>
      <c r="D124" s="15">
        <v>123200</v>
      </c>
      <c r="E124" s="16">
        <v>1456.59</v>
      </c>
      <c r="F124" s="17">
        <v>8.9999999999999998E-4</v>
      </c>
      <c r="G124" s="17"/>
    </row>
    <row r="125" spans="1:7" x14ac:dyDescent="0.35">
      <c r="A125" s="13" t="s">
        <v>1472</v>
      </c>
      <c r="B125" s="41" t="s">
        <v>1473</v>
      </c>
      <c r="C125" s="41" t="s">
        <v>1419</v>
      </c>
      <c r="D125" s="15">
        <v>149800</v>
      </c>
      <c r="E125" s="16">
        <v>1441.97</v>
      </c>
      <c r="F125" s="17">
        <v>8.9999999999999998E-4</v>
      </c>
      <c r="G125" s="17"/>
    </row>
    <row r="126" spans="1:7" x14ac:dyDescent="0.35">
      <c r="A126" s="13" t="s">
        <v>1474</v>
      </c>
      <c r="B126" s="41" t="s">
        <v>1475</v>
      </c>
      <c r="C126" s="41" t="s">
        <v>1280</v>
      </c>
      <c r="D126" s="15">
        <v>106500</v>
      </c>
      <c r="E126" s="16">
        <v>1432.85</v>
      </c>
      <c r="F126" s="17">
        <v>8.9999999999999998E-4</v>
      </c>
      <c r="G126" s="17"/>
    </row>
    <row r="127" spans="1:7" x14ac:dyDescent="0.35">
      <c r="A127" s="13" t="s">
        <v>1476</v>
      </c>
      <c r="B127" s="41" t="s">
        <v>1477</v>
      </c>
      <c r="C127" s="41" t="s">
        <v>1221</v>
      </c>
      <c r="D127" s="15">
        <v>50400</v>
      </c>
      <c r="E127" s="16">
        <v>1419.42</v>
      </c>
      <c r="F127" s="17">
        <v>8.9999999999999998E-4</v>
      </c>
      <c r="G127" s="17"/>
    </row>
    <row r="128" spans="1:7" x14ac:dyDescent="0.35">
      <c r="A128" s="13" t="s">
        <v>1478</v>
      </c>
      <c r="B128" s="41" t="s">
        <v>1479</v>
      </c>
      <c r="C128" s="41" t="s">
        <v>1369</v>
      </c>
      <c r="D128" s="15">
        <v>42525</v>
      </c>
      <c r="E128" s="16">
        <v>1328.44</v>
      </c>
      <c r="F128" s="17">
        <v>8.9999999999999998E-4</v>
      </c>
      <c r="G128" s="17"/>
    </row>
    <row r="129" spans="1:7" x14ac:dyDescent="0.35">
      <c r="A129" s="13" t="s">
        <v>1480</v>
      </c>
      <c r="B129" s="41" t="s">
        <v>1481</v>
      </c>
      <c r="C129" s="41" t="s">
        <v>1382</v>
      </c>
      <c r="D129" s="15">
        <v>91500</v>
      </c>
      <c r="E129" s="16">
        <v>1318.88</v>
      </c>
      <c r="F129" s="17">
        <v>8.0000000000000004E-4</v>
      </c>
      <c r="G129" s="17"/>
    </row>
    <row r="130" spans="1:7" x14ac:dyDescent="0.35">
      <c r="A130" s="13" t="s">
        <v>1482</v>
      </c>
      <c r="B130" s="41" t="s">
        <v>1483</v>
      </c>
      <c r="C130" s="41" t="s">
        <v>1382</v>
      </c>
      <c r="D130" s="15">
        <v>256025</v>
      </c>
      <c r="E130" s="16">
        <v>1269.24</v>
      </c>
      <c r="F130" s="17">
        <v>8.0000000000000004E-4</v>
      </c>
      <c r="G130" s="17"/>
    </row>
    <row r="131" spans="1:7" x14ac:dyDescent="0.35">
      <c r="A131" s="13" t="s">
        <v>1484</v>
      </c>
      <c r="B131" s="41" t="s">
        <v>1485</v>
      </c>
      <c r="C131" s="41" t="s">
        <v>1201</v>
      </c>
      <c r="D131" s="15">
        <v>11450</v>
      </c>
      <c r="E131" s="16">
        <v>1196.07</v>
      </c>
      <c r="F131" s="17">
        <v>8.0000000000000004E-4</v>
      </c>
      <c r="G131" s="17"/>
    </row>
    <row r="132" spans="1:7" x14ac:dyDescent="0.35">
      <c r="A132" s="13" t="s">
        <v>1486</v>
      </c>
      <c r="B132" s="41" t="s">
        <v>1487</v>
      </c>
      <c r="C132" s="41" t="s">
        <v>1465</v>
      </c>
      <c r="D132" s="15">
        <v>104400</v>
      </c>
      <c r="E132" s="16">
        <v>1187.55</v>
      </c>
      <c r="F132" s="17">
        <v>8.0000000000000004E-4</v>
      </c>
      <c r="G132" s="17"/>
    </row>
    <row r="133" spans="1:7" x14ac:dyDescent="0.35">
      <c r="A133" s="13" t="s">
        <v>1488</v>
      </c>
      <c r="B133" s="41" t="s">
        <v>1489</v>
      </c>
      <c r="C133" s="41" t="s">
        <v>1275</v>
      </c>
      <c r="D133" s="15">
        <v>48300</v>
      </c>
      <c r="E133" s="16">
        <v>1146.1600000000001</v>
      </c>
      <c r="F133" s="17">
        <v>6.9999999999999999E-4</v>
      </c>
      <c r="G133" s="17"/>
    </row>
    <row r="134" spans="1:7" x14ac:dyDescent="0.35">
      <c r="A134" s="13" t="s">
        <v>1490</v>
      </c>
      <c r="B134" s="41" t="s">
        <v>1491</v>
      </c>
      <c r="C134" s="41" t="s">
        <v>1382</v>
      </c>
      <c r="D134" s="15">
        <v>1008600</v>
      </c>
      <c r="E134" s="16">
        <v>1138.71</v>
      </c>
      <c r="F134" s="17">
        <v>6.9999999999999999E-4</v>
      </c>
      <c r="G134" s="17"/>
    </row>
    <row r="135" spans="1:7" x14ac:dyDescent="0.35">
      <c r="A135" s="13" t="s">
        <v>1239</v>
      </c>
      <c r="B135" s="41" t="s">
        <v>1240</v>
      </c>
      <c r="C135" s="41" t="s">
        <v>1234</v>
      </c>
      <c r="D135" s="15">
        <v>88750</v>
      </c>
      <c r="E135" s="16">
        <v>1081.06</v>
      </c>
      <c r="F135" s="17">
        <v>6.9999999999999999E-4</v>
      </c>
      <c r="G135" s="17"/>
    </row>
    <row r="136" spans="1:7" x14ac:dyDescent="0.35">
      <c r="A136" s="13" t="s">
        <v>1219</v>
      </c>
      <c r="B136" s="41" t="s">
        <v>1220</v>
      </c>
      <c r="C136" s="41" t="s">
        <v>1221</v>
      </c>
      <c r="D136" s="15">
        <v>74000</v>
      </c>
      <c r="E136" s="16">
        <v>1059.01</v>
      </c>
      <c r="F136" s="17">
        <v>6.9999999999999999E-4</v>
      </c>
      <c r="G136" s="17"/>
    </row>
    <row r="137" spans="1:7" x14ac:dyDescent="0.35">
      <c r="A137" s="13" t="s">
        <v>1183</v>
      </c>
      <c r="B137" s="41" t="s">
        <v>1184</v>
      </c>
      <c r="C137" s="41" t="s">
        <v>1185</v>
      </c>
      <c r="D137" s="15">
        <v>51750</v>
      </c>
      <c r="E137" s="16">
        <v>1034.22</v>
      </c>
      <c r="F137" s="17">
        <v>6.9999999999999999E-4</v>
      </c>
      <c r="G137" s="17"/>
    </row>
    <row r="138" spans="1:7" x14ac:dyDescent="0.35">
      <c r="A138" s="13" t="s">
        <v>1492</v>
      </c>
      <c r="B138" s="41" t="s">
        <v>1493</v>
      </c>
      <c r="C138" s="41" t="s">
        <v>1234</v>
      </c>
      <c r="D138" s="15">
        <v>17625</v>
      </c>
      <c r="E138" s="16">
        <v>1000.66</v>
      </c>
      <c r="F138" s="17">
        <v>5.9999999999999995E-4</v>
      </c>
      <c r="G138" s="17"/>
    </row>
    <row r="139" spans="1:7" x14ac:dyDescent="0.35">
      <c r="A139" s="13" t="s">
        <v>1494</v>
      </c>
      <c r="B139" s="41" t="s">
        <v>1495</v>
      </c>
      <c r="C139" s="41" t="s">
        <v>1224</v>
      </c>
      <c r="D139" s="15">
        <v>44850</v>
      </c>
      <c r="E139" s="16">
        <v>926.38</v>
      </c>
      <c r="F139" s="17">
        <v>5.9999999999999995E-4</v>
      </c>
      <c r="G139" s="17"/>
    </row>
    <row r="140" spans="1:7" x14ac:dyDescent="0.35">
      <c r="A140" s="13" t="s">
        <v>1496</v>
      </c>
      <c r="B140" s="41" t="s">
        <v>1497</v>
      </c>
      <c r="C140" s="41" t="s">
        <v>1211</v>
      </c>
      <c r="D140" s="15">
        <v>49375</v>
      </c>
      <c r="E140" s="16">
        <v>805.6</v>
      </c>
      <c r="F140" s="17">
        <v>5.0000000000000001E-4</v>
      </c>
      <c r="G140" s="17"/>
    </row>
    <row r="141" spans="1:7" x14ac:dyDescent="0.35">
      <c r="A141" s="13" t="s">
        <v>1498</v>
      </c>
      <c r="B141" s="41" t="s">
        <v>1499</v>
      </c>
      <c r="C141" s="41" t="s">
        <v>1333</v>
      </c>
      <c r="D141" s="15">
        <v>135150</v>
      </c>
      <c r="E141" s="16">
        <v>789.34</v>
      </c>
      <c r="F141" s="17">
        <v>5.0000000000000001E-4</v>
      </c>
      <c r="G141" s="17"/>
    </row>
    <row r="142" spans="1:7" x14ac:dyDescent="0.35">
      <c r="A142" s="13" t="s">
        <v>1500</v>
      </c>
      <c r="B142" s="41" t="s">
        <v>1501</v>
      </c>
      <c r="C142" s="41" t="s">
        <v>1369</v>
      </c>
      <c r="D142" s="15">
        <v>75225</v>
      </c>
      <c r="E142" s="16">
        <v>783.77</v>
      </c>
      <c r="F142" s="17">
        <v>5.0000000000000001E-4</v>
      </c>
      <c r="G142" s="17"/>
    </row>
    <row r="143" spans="1:7" x14ac:dyDescent="0.35">
      <c r="A143" s="13" t="s">
        <v>1502</v>
      </c>
      <c r="B143" s="41" t="s">
        <v>1503</v>
      </c>
      <c r="C143" s="41" t="s">
        <v>1369</v>
      </c>
      <c r="D143" s="15">
        <v>39200</v>
      </c>
      <c r="E143" s="16">
        <v>664.68</v>
      </c>
      <c r="F143" s="17">
        <v>4.0000000000000002E-4</v>
      </c>
      <c r="G143" s="17"/>
    </row>
    <row r="144" spans="1:7" x14ac:dyDescent="0.35">
      <c r="A144" s="13" t="s">
        <v>1504</v>
      </c>
      <c r="B144" s="41" t="s">
        <v>1505</v>
      </c>
      <c r="C144" s="41" t="s">
        <v>1382</v>
      </c>
      <c r="D144" s="15">
        <v>26000</v>
      </c>
      <c r="E144" s="16">
        <v>607.13</v>
      </c>
      <c r="F144" s="17">
        <v>4.0000000000000002E-4</v>
      </c>
      <c r="G144" s="17"/>
    </row>
    <row r="145" spans="1:7" x14ac:dyDescent="0.35">
      <c r="A145" s="13" t="s">
        <v>1506</v>
      </c>
      <c r="B145" s="41" t="s">
        <v>1507</v>
      </c>
      <c r="C145" s="41" t="s">
        <v>1234</v>
      </c>
      <c r="D145" s="15">
        <v>27200</v>
      </c>
      <c r="E145" s="16">
        <v>585.55999999999995</v>
      </c>
      <c r="F145" s="17">
        <v>4.0000000000000002E-4</v>
      </c>
      <c r="G145" s="17"/>
    </row>
    <row r="146" spans="1:7" x14ac:dyDescent="0.35">
      <c r="A146" s="13" t="s">
        <v>1508</v>
      </c>
      <c r="B146" s="41" t="s">
        <v>1509</v>
      </c>
      <c r="C146" s="41" t="s">
        <v>1188</v>
      </c>
      <c r="D146" s="15">
        <v>6000</v>
      </c>
      <c r="E146" s="16">
        <v>575.85</v>
      </c>
      <c r="F146" s="17">
        <v>4.0000000000000002E-4</v>
      </c>
      <c r="G146" s="17"/>
    </row>
    <row r="147" spans="1:7" x14ac:dyDescent="0.35">
      <c r="A147" s="13" t="s">
        <v>1207</v>
      </c>
      <c r="B147" s="41" t="s">
        <v>1208</v>
      </c>
      <c r="C147" s="41" t="s">
        <v>1185</v>
      </c>
      <c r="D147" s="15">
        <v>72600</v>
      </c>
      <c r="E147" s="16">
        <v>530.71</v>
      </c>
      <c r="F147" s="17">
        <v>2.9999999999999997E-4</v>
      </c>
      <c r="G147" s="17"/>
    </row>
    <row r="148" spans="1:7" x14ac:dyDescent="0.35">
      <c r="A148" s="13" t="s">
        <v>1510</v>
      </c>
      <c r="B148" s="41" t="s">
        <v>1511</v>
      </c>
      <c r="C148" s="41" t="s">
        <v>1261</v>
      </c>
      <c r="D148" s="15">
        <v>46875</v>
      </c>
      <c r="E148" s="16">
        <v>530.63</v>
      </c>
      <c r="F148" s="17">
        <v>2.9999999999999997E-4</v>
      </c>
      <c r="G148" s="17"/>
    </row>
    <row r="149" spans="1:7" x14ac:dyDescent="0.35">
      <c r="A149" s="13" t="s">
        <v>1512</v>
      </c>
      <c r="B149" s="41" t="s">
        <v>1513</v>
      </c>
      <c r="C149" s="41" t="s">
        <v>1188</v>
      </c>
      <c r="D149" s="15">
        <v>9000</v>
      </c>
      <c r="E149" s="16">
        <v>498.06</v>
      </c>
      <c r="F149" s="17">
        <v>2.9999999999999997E-4</v>
      </c>
      <c r="G149" s="17"/>
    </row>
    <row r="150" spans="1:7" x14ac:dyDescent="0.35">
      <c r="A150" s="13" t="s">
        <v>1217</v>
      </c>
      <c r="B150" s="41" t="s">
        <v>1218</v>
      </c>
      <c r="C150" s="41" t="s">
        <v>1201</v>
      </c>
      <c r="D150" s="15">
        <v>20250</v>
      </c>
      <c r="E150" s="16">
        <v>491.73</v>
      </c>
      <c r="F150" s="17">
        <v>2.9999999999999997E-4</v>
      </c>
      <c r="G150" s="17"/>
    </row>
    <row r="151" spans="1:7" x14ac:dyDescent="0.35">
      <c r="A151" s="13" t="s">
        <v>1514</v>
      </c>
      <c r="B151" s="41" t="s">
        <v>1515</v>
      </c>
      <c r="C151" s="41" t="s">
        <v>1333</v>
      </c>
      <c r="D151" s="15">
        <v>2200</v>
      </c>
      <c r="E151" s="16">
        <v>414.96</v>
      </c>
      <c r="F151" s="17">
        <v>2.9999999999999997E-4</v>
      </c>
      <c r="G151" s="17"/>
    </row>
    <row r="152" spans="1:7" x14ac:dyDescent="0.35">
      <c r="A152" s="13" t="s">
        <v>1516</v>
      </c>
      <c r="B152" s="41" t="s">
        <v>1517</v>
      </c>
      <c r="C152" s="41" t="s">
        <v>1188</v>
      </c>
      <c r="D152" s="15">
        <v>107200</v>
      </c>
      <c r="E152" s="16">
        <v>375.25</v>
      </c>
      <c r="F152" s="17">
        <v>2.0000000000000001E-4</v>
      </c>
      <c r="G152" s="17"/>
    </row>
    <row r="153" spans="1:7" x14ac:dyDescent="0.35">
      <c r="A153" s="13" t="s">
        <v>1518</v>
      </c>
      <c r="B153" s="41" t="s">
        <v>1519</v>
      </c>
      <c r="C153" s="41" t="s">
        <v>1305</v>
      </c>
      <c r="D153" s="15">
        <v>97150</v>
      </c>
      <c r="E153" s="16">
        <v>355.86</v>
      </c>
      <c r="F153" s="17">
        <v>2.0000000000000001E-4</v>
      </c>
      <c r="G153" s="17"/>
    </row>
    <row r="154" spans="1:7" x14ac:dyDescent="0.35">
      <c r="A154" s="13" t="s">
        <v>1520</v>
      </c>
      <c r="B154" s="41" t="s">
        <v>1521</v>
      </c>
      <c r="C154" s="41" t="s">
        <v>1288</v>
      </c>
      <c r="D154" s="15">
        <v>9450</v>
      </c>
      <c r="E154" s="16">
        <v>332.03</v>
      </c>
      <c r="F154" s="17">
        <v>2.0000000000000001E-4</v>
      </c>
      <c r="G154" s="17"/>
    </row>
    <row r="155" spans="1:7" x14ac:dyDescent="0.35">
      <c r="A155" s="13" t="s">
        <v>1522</v>
      </c>
      <c r="B155" s="41" t="s">
        <v>1523</v>
      </c>
      <c r="C155" s="41" t="s">
        <v>1324</v>
      </c>
      <c r="D155" s="15">
        <v>21700</v>
      </c>
      <c r="E155" s="16">
        <v>323.52999999999997</v>
      </c>
      <c r="F155" s="17">
        <v>2.0000000000000001E-4</v>
      </c>
      <c r="G155" s="17"/>
    </row>
    <row r="156" spans="1:7" x14ac:dyDescent="0.35">
      <c r="A156" s="13" t="s">
        <v>1524</v>
      </c>
      <c r="B156" s="41" t="s">
        <v>1525</v>
      </c>
      <c r="C156" s="41" t="s">
        <v>1526</v>
      </c>
      <c r="D156" s="15">
        <v>47200</v>
      </c>
      <c r="E156" s="16">
        <v>304.89</v>
      </c>
      <c r="F156" s="17">
        <v>2.0000000000000001E-4</v>
      </c>
      <c r="G156" s="17"/>
    </row>
    <row r="157" spans="1:7" x14ac:dyDescent="0.35">
      <c r="A157" s="13" t="s">
        <v>1527</v>
      </c>
      <c r="B157" s="41" t="s">
        <v>1528</v>
      </c>
      <c r="C157" s="41" t="s">
        <v>1201</v>
      </c>
      <c r="D157" s="15">
        <v>21000</v>
      </c>
      <c r="E157" s="16">
        <v>278.86</v>
      </c>
      <c r="F157" s="17">
        <v>2.0000000000000001E-4</v>
      </c>
      <c r="G157" s="17"/>
    </row>
    <row r="158" spans="1:7" x14ac:dyDescent="0.35">
      <c r="A158" s="13" t="s">
        <v>1529</v>
      </c>
      <c r="B158" s="41" t="s">
        <v>1530</v>
      </c>
      <c r="C158" s="41" t="s">
        <v>1185</v>
      </c>
      <c r="D158" s="15">
        <v>13000</v>
      </c>
      <c r="E158" s="16">
        <v>235.83</v>
      </c>
      <c r="F158" s="17">
        <v>2.0000000000000001E-4</v>
      </c>
      <c r="G158" s="17"/>
    </row>
    <row r="159" spans="1:7" x14ac:dyDescent="0.35">
      <c r="A159" s="13" t="s">
        <v>1531</v>
      </c>
      <c r="B159" s="41" t="s">
        <v>1532</v>
      </c>
      <c r="C159" s="41" t="s">
        <v>1369</v>
      </c>
      <c r="D159" s="15">
        <v>12750</v>
      </c>
      <c r="E159" s="16">
        <v>210.86</v>
      </c>
      <c r="F159" s="17">
        <v>1E-4</v>
      </c>
      <c r="G159" s="17"/>
    </row>
    <row r="160" spans="1:7" x14ac:dyDescent="0.35">
      <c r="A160" s="13" t="s">
        <v>1533</v>
      </c>
      <c r="B160" s="41" t="s">
        <v>1534</v>
      </c>
      <c r="C160" s="41" t="s">
        <v>1369</v>
      </c>
      <c r="D160" s="15">
        <v>3450</v>
      </c>
      <c r="E160" s="16">
        <v>206.12</v>
      </c>
      <c r="F160" s="17">
        <v>1E-4</v>
      </c>
      <c r="G160" s="17"/>
    </row>
    <row r="161" spans="1:7" x14ac:dyDescent="0.35">
      <c r="A161" s="13" t="s">
        <v>1535</v>
      </c>
      <c r="B161" s="41" t="s">
        <v>1536</v>
      </c>
      <c r="C161" s="41" t="s">
        <v>1280</v>
      </c>
      <c r="D161" s="15">
        <v>26250</v>
      </c>
      <c r="E161" s="16">
        <v>182.45</v>
      </c>
      <c r="F161" s="17">
        <v>1E-4</v>
      </c>
      <c r="G161" s="17"/>
    </row>
    <row r="162" spans="1:7" x14ac:dyDescent="0.35">
      <c r="A162" s="13" t="s">
        <v>1537</v>
      </c>
      <c r="B162" s="41" t="s">
        <v>1538</v>
      </c>
      <c r="C162" s="41" t="s">
        <v>1369</v>
      </c>
      <c r="D162" s="15">
        <v>1650</v>
      </c>
      <c r="E162" s="16">
        <v>128.04</v>
      </c>
      <c r="F162" s="17">
        <v>1E-4</v>
      </c>
      <c r="G162" s="17"/>
    </row>
    <row r="163" spans="1:7" x14ac:dyDescent="0.35">
      <c r="A163" s="13" t="s">
        <v>1539</v>
      </c>
      <c r="B163" s="41" t="s">
        <v>1540</v>
      </c>
      <c r="C163" s="41" t="s">
        <v>1211</v>
      </c>
      <c r="D163" s="15">
        <v>750</v>
      </c>
      <c r="E163" s="16">
        <v>81</v>
      </c>
      <c r="F163" s="17">
        <v>1E-4</v>
      </c>
      <c r="G163" s="17"/>
    </row>
    <row r="164" spans="1:7" x14ac:dyDescent="0.35">
      <c r="A164" s="13" t="s">
        <v>1541</v>
      </c>
      <c r="B164" s="41" t="s">
        <v>1542</v>
      </c>
      <c r="C164" s="41" t="s">
        <v>1280</v>
      </c>
      <c r="D164" s="15">
        <v>4275</v>
      </c>
      <c r="E164" s="16">
        <v>56.44</v>
      </c>
      <c r="F164" s="17">
        <v>0</v>
      </c>
      <c r="G164" s="17"/>
    </row>
    <row r="165" spans="1:7" x14ac:dyDescent="0.35">
      <c r="A165" s="13" t="s">
        <v>1543</v>
      </c>
      <c r="B165" s="41" t="s">
        <v>1544</v>
      </c>
      <c r="C165" s="41" t="s">
        <v>1206</v>
      </c>
      <c r="D165" s="15">
        <v>11850</v>
      </c>
      <c r="E165" s="16">
        <v>43.19</v>
      </c>
      <c r="F165" s="17">
        <v>0</v>
      </c>
      <c r="G165" s="17"/>
    </row>
    <row r="166" spans="1:7" x14ac:dyDescent="0.35">
      <c r="A166" s="13" t="s">
        <v>1545</v>
      </c>
      <c r="B166" s="41" t="s">
        <v>1546</v>
      </c>
      <c r="C166" s="41" t="s">
        <v>1436</v>
      </c>
      <c r="D166" s="15">
        <v>1200</v>
      </c>
      <c r="E166" s="16">
        <v>41.7</v>
      </c>
      <c r="F166" s="17">
        <v>0</v>
      </c>
      <c r="G166" s="17"/>
    </row>
    <row r="167" spans="1:7" x14ac:dyDescent="0.35">
      <c r="A167" s="13" t="s">
        <v>1547</v>
      </c>
      <c r="B167" s="41" t="s">
        <v>1548</v>
      </c>
      <c r="C167" s="41" t="s">
        <v>1369</v>
      </c>
      <c r="D167" s="15">
        <v>600</v>
      </c>
      <c r="E167" s="16">
        <v>36.21</v>
      </c>
      <c r="F167" s="17">
        <v>0</v>
      </c>
      <c r="G167" s="17"/>
    </row>
    <row r="168" spans="1:7" x14ac:dyDescent="0.35">
      <c r="A168" s="13" t="s">
        <v>1549</v>
      </c>
      <c r="B168" s="41" t="s">
        <v>1550</v>
      </c>
      <c r="C168" s="41" t="s">
        <v>1333</v>
      </c>
      <c r="D168" s="15">
        <v>1225</v>
      </c>
      <c r="E168" s="16">
        <v>34.15</v>
      </c>
      <c r="F168" s="17">
        <v>0</v>
      </c>
      <c r="G168" s="17"/>
    </row>
    <row r="169" spans="1:7" x14ac:dyDescent="0.35">
      <c r="A169" s="13" t="s">
        <v>1551</v>
      </c>
      <c r="B169" s="41" t="s">
        <v>1552</v>
      </c>
      <c r="C169" s="41" t="s">
        <v>1382</v>
      </c>
      <c r="D169" s="15">
        <v>75</v>
      </c>
      <c r="E169" s="16">
        <v>27.4</v>
      </c>
      <c r="F169" s="17">
        <v>0</v>
      </c>
      <c r="G169" s="17"/>
    </row>
    <row r="170" spans="1:7" x14ac:dyDescent="0.35">
      <c r="A170" s="13" t="s">
        <v>1553</v>
      </c>
      <c r="B170" s="41" t="s">
        <v>1554</v>
      </c>
      <c r="C170" s="41" t="s">
        <v>1211</v>
      </c>
      <c r="D170" s="15">
        <v>550</v>
      </c>
      <c r="E170" s="16">
        <v>21.06</v>
      </c>
      <c r="F170" s="17">
        <v>0</v>
      </c>
      <c r="G170" s="17"/>
    </row>
    <row r="171" spans="1:7" x14ac:dyDescent="0.35">
      <c r="A171" s="13" t="s">
        <v>1555</v>
      </c>
      <c r="B171" s="41" t="s">
        <v>1556</v>
      </c>
      <c r="C171" s="41" t="s">
        <v>1178</v>
      </c>
      <c r="D171" s="15">
        <v>2000</v>
      </c>
      <c r="E171" s="16">
        <v>18.23</v>
      </c>
      <c r="F171" s="17">
        <v>0</v>
      </c>
      <c r="G171" s="17"/>
    </row>
    <row r="172" spans="1:7" x14ac:dyDescent="0.35">
      <c r="A172" s="13" t="s">
        <v>1557</v>
      </c>
      <c r="B172" s="41" t="s">
        <v>1558</v>
      </c>
      <c r="C172" s="41" t="s">
        <v>1229</v>
      </c>
      <c r="D172" s="15">
        <v>3000</v>
      </c>
      <c r="E172" s="16">
        <v>14.2</v>
      </c>
      <c r="F172" s="17">
        <v>0</v>
      </c>
      <c r="G172" s="17"/>
    </row>
    <row r="173" spans="1:7" x14ac:dyDescent="0.35">
      <c r="A173" s="13" t="s">
        <v>1559</v>
      </c>
      <c r="B173" s="41" t="s">
        <v>1560</v>
      </c>
      <c r="C173" s="41" t="s">
        <v>1211</v>
      </c>
      <c r="D173" s="15">
        <v>4500</v>
      </c>
      <c r="E173" s="16">
        <v>12.89</v>
      </c>
      <c r="F173" s="17">
        <v>0</v>
      </c>
      <c r="G173" s="17"/>
    </row>
    <row r="174" spans="1:7" x14ac:dyDescent="0.35">
      <c r="A174" s="13" t="s">
        <v>1561</v>
      </c>
      <c r="B174" s="41" t="s">
        <v>1562</v>
      </c>
      <c r="C174" s="41" t="s">
        <v>1409</v>
      </c>
      <c r="D174" s="15">
        <v>2500</v>
      </c>
      <c r="E174" s="16">
        <v>12.67</v>
      </c>
      <c r="F174" s="17">
        <v>0</v>
      </c>
      <c r="G174" s="17"/>
    </row>
    <row r="175" spans="1:7" x14ac:dyDescent="0.35">
      <c r="A175" s="13" t="s">
        <v>1563</v>
      </c>
      <c r="B175" s="41" t="s">
        <v>1564</v>
      </c>
      <c r="C175" s="41" t="s">
        <v>1333</v>
      </c>
      <c r="D175" s="15">
        <v>350</v>
      </c>
      <c r="E175" s="16">
        <v>10.85</v>
      </c>
      <c r="F175" s="17">
        <v>0</v>
      </c>
      <c r="G175" s="17"/>
    </row>
    <row r="176" spans="1:7" x14ac:dyDescent="0.35">
      <c r="A176" s="13" t="s">
        <v>1565</v>
      </c>
      <c r="B176" s="41" t="s">
        <v>1566</v>
      </c>
      <c r="C176" s="41" t="s">
        <v>1266</v>
      </c>
      <c r="D176" s="15">
        <v>750</v>
      </c>
      <c r="E176" s="16">
        <v>9.3699999999999992</v>
      </c>
      <c r="F176" s="17">
        <v>0</v>
      </c>
      <c r="G176" s="17"/>
    </row>
    <row r="177" spans="1:7" x14ac:dyDescent="0.35">
      <c r="A177" s="13" t="s">
        <v>1567</v>
      </c>
      <c r="B177" s="41" t="s">
        <v>1568</v>
      </c>
      <c r="C177" s="41" t="s">
        <v>1266</v>
      </c>
      <c r="D177" s="15">
        <v>3125</v>
      </c>
      <c r="E177" s="16">
        <v>7.42</v>
      </c>
      <c r="F177" s="17">
        <v>0</v>
      </c>
      <c r="G177" s="17"/>
    </row>
    <row r="178" spans="1:7" x14ac:dyDescent="0.35">
      <c r="A178" s="13" t="s">
        <v>1569</v>
      </c>
      <c r="B178" s="41" t="s">
        <v>1570</v>
      </c>
      <c r="C178" s="41" t="s">
        <v>1201</v>
      </c>
      <c r="D178" s="15">
        <v>325</v>
      </c>
      <c r="E178" s="16">
        <v>5.9</v>
      </c>
      <c r="F178" s="17">
        <v>0</v>
      </c>
      <c r="G178" s="17"/>
    </row>
    <row r="179" spans="1:7" x14ac:dyDescent="0.35">
      <c r="A179" s="14" t="s">
        <v>149</v>
      </c>
      <c r="B179" s="42"/>
      <c r="C179" s="42"/>
      <c r="D179" s="18"/>
      <c r="E179" s="19">
        <f>SUM(E8:E178)</f>
        <v>1149213.5700000005</v>
      </c>
      <c r="F179" s="20">
        <f>SUM(F8:F178)</f>
        <v>0.73499999999999932</v>
      </c>
      <c r="G179" s="21"/>
    </row>
    <row r="180" spans="1:7" x14ac:dyDescent="0.35">
      <c r="A180" s="14"/>
      <c r="B180" s="42"/>
      <c r="C180" s="42"/>
      <c r="D180" s="18"/>
      <c r="E180" s="26"/>
      <c r="F180" s="21"/>
      <c r="G180" s="21"/>
    </row>
    <row r="181" spans="1:7" x14ac:dyDescent="0.35">
      <c r="A181" s="14"/>
      <c r="B181" s="42"/>
      <c r="C181" s="42"/>
      <c r="D181" s="18"/>
      <c r="E181" s="26"/>
      <c r="F181" s="21"/>
      <c r="G181" s="21"/>
    </row>
    <row r="182" spans="1:7" x14ac:dyDescent="0.35">
      <c r="A182" s="58" t="s">
        <v>147</v>
      </c>
      <c r="B182" s="42"/>
      <c r="C182" s="42"/>
      <c r="D182" s="18"/>
      <c r="E182" s="26"/>
      <c r="F182" s="21"/>
      <c r="G182" s="21"/>
    </row>
    <row r="183" spans="1:7" x14ac:dyDescent="0.35">
      <c r="A183" s="58" t="s">
        <v>1249</v>
      </c>
      <c r="B183" s="41"/>
      <c r="C183" s="41"/>
      <c r="D183" s="15"/>
      <c r="E183" s="16"/>
      <c r="F183" s="17"/>
      <c r="G183" s="17"/>
    </row>
    <row r="184" spans="1:7" x14ac:dyDescent="0.35">
      <c r="A184" s="58" t="s">
        <v>1250</v>
      </c>
      <c r="B184" s="41"/>
      <c r="C184" s="41"/>
      <c r="D184" s="15"/>
      <c r="E184" s="16"/>
      <c r="F184" s="17"/>
      <c r="G184" s="17"/>
    </row>
    <row r="185" spans="1:7" x14ac:dyDescent="0.35">
      <c r="A185" s="13" t="s">
        <v>1251</v>
      </c>
      <c r="B185" s="41" t="s">
        <v>1252</v>
      </c>
      <c r="C185" s="41" t="s">
        <v>1188</v>
      </c>
      <c r="D185" s="15">
        <v>107800</v>
      </c>
      <c r="E185" s="16">
        <v>11.02</v>
      </c>
      <c r="F185" s="17">
        <v>0</v>
      </c>
      <c r="G185" s="17">
        <v>6.3450000000000006E-2</v>
      </c>
    </row>
    <row r="186" spans="1:7" x14ac:dyDescent="0.35">
      <c r="A186" s="14" t="s">
        <v>149</v>
      </c>
      <c r="B186" s="42"/>
      <c r="C186" s="42"/>
      <c r="D186" s="18"/>
      <c r="E186" s="16">
        <v>11.02</v>
      </c>
      <c r="F186" s="17">
        <v>0</v>
      </c>
      <c r="G186" s="21"/>
    </row>
    <row r="187" spans="1:7" x14ac:dyDescent="0.35">
      <c r="A187" s="22" t="s">
        <v>160</v>
      </c>
      <c r="B187" s="43"/>
      <c r="C187" s="43"/>
      <c r="D187" s="23"/>
      <c r="E187" s="36">
        <f>E186+E179</f>
        <v>1149224.5900000005</v>
      </c>
      <c r="F187" s="37">
        <f>F186+F179</f>
        <v>0.73499999999999932</v>
      </c>
      <c r="G187" s="21"/>
    </row>
    <row r="188" spans="1:7" x14ac:dyDescent="0.35">
      <c r="A188" s="13"/>
      <c r="B188" s="41"/>
      <c r="C188" s="41"/>
      <c r="D188" s="15"/>
      <c r="E188" s="16"/>
      <c r="F188" s="17"/>
      <c r="G188" s="17"/>
    </row>
    <row r="189" spans="1:7" x14ac:dyDescent="0.35">
      <c r="A189" s="14" t="s">
        <v>1571</v>
      </c>
      <c r="B189" s="41"/>
      <c r="C189" s="41"/>
      <c r="D189" s="15"/>
      <c r="E189" s="16"/>
      <c r="F189" s="17"/>
      <c r="G189" s="17"/>
    </row>
    <row r="190" spans="1:7" x14ac:dyDescent="0.35">
      <c r="A190" s="14" t="s">
        <v>1572</v>
      </c>
      <c r="B190" s="41"/>
      <c r="C190" s="41"/>
      <c r="D190" s="15"/>
      <c r="E190" s="16"/>
      <c r="F190" s="17"/>
      <c r="G190" s="17"/>
    </row>
    <row r="191" spans="1:7" x14ac:dyDescent="0.35">
      <c r="A191" s="13" t="s">
        <v>1573</v>
      </c>
      <c r="B191" s="41"/>
      <c r="C191" s="41" t="s">
        <v>1201</v>
      </c>
      <c r="D191" s="27">
        <v>-325</v>
      </c>
      <c r="E191" s="28">
        <v>-5.89</v>
      </c>
      <c r="F191" s="29">
        <v>-3.0000000000000001E-6</v>
      </c>
      <c r="G191" s="17"/>
    </row>
    <row r="192" spans="1:7" x14ac:dyDescent="0.35">
      <c r="A192" s="13" t="s">
        <v>1574</v>
      </c>
      <c r="B192" s="41"/>
      <c r="C192" s="41" t="s">
        <v>1266</v>
      </c>
      <c r="D192" s="27">
        <v>-3125</v>
      </c>
      <c r="E192" s="28">
        <v>-7.45</v>
      </c>
      <c r="F192" s="29">
        <v>-3.9999999999999998E-6</v>
      </c>
      <c r="G192" s="17"/>
    </row>
    <row r="193" spans="1:7" x14ac:dyDescent="0.35">
      <c r="A193" s="13" t="s">
        <v>1575</v>
      </c>
      <c r="B193" s="41"/>
      <c r="C193" s="41" t="s">
        <v>1266</v>
      </c>
      <c r="D193" s="27">
        <v>-750</v>
      </c>
      <c r="E193" s="28">
        <v>-9.42</v>
      </c>
      <c r="F193" s="29">
        <v>-6.0000000000000002E-6</v>
      </c>
      <c r="G193" s="17"/>
    </row>
    <row r="194" spans="1:7" x14ac:dyDescent="0.35">
      <c r="A194" s="13" t="s">
        <v>1576</v>
      </c>
      <c r="B194" s="41"/>
      <c r="C194" s="41" t="s">
        <v>1333</v>
      </c>
      <c r="D194" s="27">
        <v>-350</v>
      </c>
      <c r="E194" s="28">
        <v>-10.87</v>
      </c>
      <c r="F194" s="29">
        <v>-6.0000000000000002E-6</v>
      </c>
      <c r="G194" s="17"/>
    </row>
    <row r="195" spans="1:7" x14ac:dyDescent="0.35">
      <c r="A195" s="13" t="s">
        <v>1577</v>
      </c>
      <c r="B195" s="41"/>
      <c r="C195" s="41" t="s">
        <v>1409</v>
      </c>
      <c r="D195" s="27">
        <v>-2500</v>
      </c>
      <c r="E195" s="28">
        <v>-12.71</v>
      </c>
      <c r="F195" s="29">
        <v>-7.9999999999999996E-6</v>
      </c>
      <c r="G195" s="17"/>
    </row>
    <row r="196" spans="1:7" x14ac:dyDescent="0.35">
      <c r="A196" s="13" t="s">
        <v>1578</v>
      </c>
      <c r="B196" s="41"/>
      <c r="C196" s="41" t="s">
        <v>1211</v>
      </c>
      <c r="D196" s="27">
        <v>-4500</v>
      </c>
      <c r="E196" s="28">
        <v>-12.88</v>
      </c>
      <c r="F196" s="29">
        <v>-7.9999999999999996E-6</v>
      </c>
      <c r="G196" s="17"/>
    </row>
    <row r="197" spans="1:7" x14ac:dyDescent="0.35">
      <c r="A197" s="13" t="s">
        <v>1579</v>
      </c>
      <c r="B197" s="41"/>
      <c r="C197" s="41" t="s">
        <v>1229</v>
      </c>
      <c r="D197" s="27">
        <v>-3000</v>
      </c>
      <c r="E197" s="28">
        <v>-14.27</v>
      </c>
      <c r="F197" s="29">
        <v>-9.0000000000000002E-6</v>
      </c>
      <c r="G197" s="17"/>
    </row>
    <row r="198" spans="1:7" x14ac:dyDescent="0.35">
      <c r="A198" s="13" t="s">
        <v>1580</v>
      </c>
      <c r="B198" s="41"/>
      <c r="C198" s="41" t="s">
        <v>1178</v>
      </c>
      <c r="D198" s="27">
        <v>-2000</v>
      </c>
      <c r="E198" s="28">
        <v>-18.239999999999998</v>
      </c>
      <c r="F198" s="29">
        <v>-1.1E-5</v>
      </c>
      <c r="G198" s="17"/>
    </row>
    <row r="199" spans="1:7" x14ac:dyDescent="0.35">
      <c r="A199" s="13" t="s">
        <v>1581</v>
      </c>
      <c r="B199" s="41"/>
      <c r="C199" s="41" t="s">
        <v>1211</v>
      </c>
      <c r="D199" s="27">
        <v>-550</v>
      </c>
      <c r="E199" s="28">
        <v>-21.08</v>
      </c>
      <c r="F199" s="29">
        <v>-1.2999999999999999E-5</v>
      </c>
      <c r="G199" s="17"/>
    </row>
    <row r="200" spans="1:7" x14ac:dyDescent="0.35">
      <c r="A200" s="13" t="s">
        <v>1582</v>
      </c>
      <c r="B200" s="41"/>
      <c r="C200" s="41" t="s">
        <v>1382</v>
      </c>
      <c r="D200" s="27">
        <v>-75</v>
      </c>
      <c r="E200" s="28">
        <v>-27.37</v>
      </c>
      <c r="F200" s="29">
        <v>-1.7E-5</v>
      </c>
      <c r="G200" s="17"/>
    </row>
    <row r="201" spans="1:7" x14ac:dyDescent="0.35">
      <c r="A201" s="13" t="s">
        <v>1583</v>
      </c>
      <c r="B201" s="41"/>
      <c r="C201" s="41" t="s">
        <v>1333</v>
      </c>
      <c r="D201" s="27">
        <v>-1225</v>
      </c>
      <c r="E201" s="28">
        <v>-34.25</v>
      </c>
      <c r="F201" s="29">
        <v>-2.0999999999999999E-5</v>
      </c>
      <c r="G201" s="17"/>
    </row>
    <row r="202" spans="1:7" x14ac:dyDescent="0.35">
      <c r="A202" s="13" t="s">
        <v>1584</v>
      </c>
      <c r="B202" s="41"/>
      <c r="C202" s="41" t="s">
        <v>1369</v>
      </c>
      <c r="D202" s="27">
        <v>-600</v>
      </c>
      <c r="E202" s="28">
        <v>-36.29</v>
      </c>
      <c r="F202" s="29">
        <v>-2.3E-5</v>
      </c>
      <c r="G202" s="17"/>
    </row>
    <row r="203" spans="1:7" x14ac:dyDescent="0.35">
      <c r="A203" s="13" t="s">
        <v>1585</v>
      </c>
      <c r="B203" s="41"/>
      <c r="C203" s="41" t="s">
        <v>1436</v>
      </c>
      <c r="D203" s="27">
        <v>-1200</v>
      </c>
      <c r="E203" s="28">
        <v>-41.83</v>
      </c>
      <c r="F203" s="29">
        <v>-2.5999999999999998E-5</v>
      </c>
      <c r="G203" s="17"/>
    </row>
    <row r="204" spans="1:7" x14ac:dyDescent="0.35">
      <c r="A204" s="13" t="s">
        <v>1586</v>
      </c>
      <c r="B204" s="41"/>
      <c r="C204" s="41" t="s">
        <v>1206</v>
      </c>
      <c r="D204" s="27">
        <v>-11850</v>
      </c>
      <c r="E204" s="28">
        <v>-43.27</v>
      </c>
      <c r="F204" s="29">
        <v>-2.6999999999999999E-5</v>
      </c>
      <c r="G204" s="17"/>
    </row>
    <row r="205" spans="1:7" x14ac:dyDescent="0.35">
      <c r="A205" s="13" t="s">
        <v>1587</v>
      </c>
      <c r="B205" s="41"/>
      <c r="C205" s="41" t="s">
        <v>1280</v>
      </c>
      <c r="D205" s="27">
        <v>-4275</v>
      </c>
      <c r="E205" s="28">
        <v>-56.67</v>
      </c>
      <c r="F205" s="29">
        <v>-3.6000000000000001E-5</v>
      </c>
      <c r="G205" s="17"/>
    </row>
    <row r="206" spans="1:7" x14ac:dyDescent="0.35">
      <c r="A206" s="13" t="s">
        <v>1588</v>
      </c>
      <c r="B206" s="41"/>
      <c r="C206" s="41" t="s">
        <v>1211</v>
      </c>
      <c r="D206" s="27">
        <v>-750</v>
      </c>
      <c r="E206" s="28">
        <v>-81.12</v>
      </c>
      <c r="F206" s="29">
        <v>-5.1E-5</v>
      </c>
      <c r="G206" s="17"/>
    </row>
    <row r="207" spans="1:7" x14ac:dyDescent="0.35">
      <c r="A207" s="13" t="s">
        <v>1589</v>
      </c>
      <c r="B207" s="41"/>
      <c r="C207" s="41" t="s">
        <v>1369</v>
      </c>
      <c r="D207" s="27">
        <v>-1650</v>
      </c>
      <c r="E207" s="28">
        <v>-128.35</v>
      </c>
      <c r="F207" s="29">
        <v>-8.2000000000000001E-5</v>
      </c>
      <c r="G207" s="17"/>
    </row>
    <row r="208" spans="1:7" x14ac:dyDescent="0.35">
      <c r="A208" s="13" t="s">
        <v>1590</v>
      </c>
      <c r="B208" s="41"/>
      <c r="C208" s="41" t="s">
        <v>1178</v>
      </c>
      <c r="D208" s="27">
        <v>-13300</v>
      </c>
      <c r="E208" s="28">
        <v>-182.29</v>
      </c>
      <c r="F208" s="29">
        <v>-1.16E-4</v>
      </c>
      <c r="G208" s="17"/>
    </row>
    <row r="209" spans="1:7" x14ac:dyDescent="0.35">
      <c r="A209" s="13" t="s">
        <v>1591</v>
      </c>
      <c r="B209" s="41"/>
      <c r="C209" s="41" t="s">
        <v>1280</v>
      </c>
      <c r="D209" s="27">
        <v>-26250</v>
      </c>
      <c r="E209" s="28">
        <v>-183.23</v>
      </c>
      <c r="F209" s="29">
        <v>-1.17E-4</v>
      </c>
      <c r="G209" s="17"/>
    </row>
    <row r="210" spans="1:7" x14ac:dyDescent="0.35">
      <c r="A210" s="13" t="s">
        <v>1592</v>
      </c>
      <c r="B210" s="41"/>
      <c r="C210" s="41" t="s">
        <v>1369</v>
      </c>
      <c r="D210" s="27">
        <v>-3450</v>
      </c>
      <c r="E210" s="28">
        <v>-206.76</v>
      </c>
      <c r="F210" s="29">
        <v>-1.3200000000000001E-4</v>
      </c>
      <c r="G210" s="17"/>
    </row>
    <row r="211" spans="1:7" x14ac:dyDescent="0.35">
      <c r="A211" s="13" t="s">
        <v>1593</v>
      </c>
      <c r="B211" s="41"/>
      <c r="C211" s="41" t="s">
        <v>1369</v>
      </c>
      <c r="D211" s="27">
        <v>-12750</v>
      </c>
      <c r="E211" s="28">
        <v>-210.73</v>
      </c>
      <c r="F211" s="29">
        <v>-1.34E-4</v>
      </c>
      <c r="G211" s="17"/>
    </row>
    <row r="212" spans="1:7" x14ac:dyDescent="0.35">
      <c r="A212" s="13" t="s">
        <v>1594</v>
      </c>
      <c r="B212" s="41"/>
      <c r="C212" s="41" t="s">
        <v>1185</v>
      </c>
      <c r="D212" s="27">
        <v>-13000</v>
      </c>
      <c r="E212" s="28">
        <v>-236.69</v>
      </c>
      <c r="F212" s="29">
        <v>-1.5100000000000001E-4</v>
      </c>
      <c r="G212" s="17"/>
    </row>
    <row r="213" spans="1:7" x14ac:dyDescent="0.35">
      <c r="A213" s="13" t="s">
        <v>1595</v>
      </c>
      <c r="B213" s="41"/>
      <c r="C213" s="41" t="s">
        <v>1201</v>
      </c>
      <c r="D213" s="27">
        <v>-21000</v>
      </c>
      <c r="E213" s="28">
        <v>-278.70999999999998</v>
      </c>
      <c r="F213" s="29">
        <v>-1.7799999999999999E-4</v>
      </c>
      <c r="G213" s="17"/>
    </row>
    <row r="214" spans="1:7" x14ac:dyDescent="0.35">
      <c r="A214" s="13" t="s">
        <v>1596</v>
      </c>
      <c r="B214" s="41"/>
      <c r="C214" s="41" t="s">
        <v>1305</v>
      </c>
      <c r="D214" s="27">
        <v>-84000</v>
      </c>
      <c r="E214" s="28">
        <v>-298.91000000000003</v>
      </c>
      <c r="F214" s="29">
        <v>-1.9100000000000001E-4</v>
      </c>
      <c r="G214" s="17"/>
    </row>
    <row r="215" spans="1:7" x14ac:dyDescent="0.35">
      <c r="A215" s="13" t="s">
        <v>1597</v>
      </c>
      <c r="B215" s="41"/>
      <c r="C215" s="41" t="s">
        <v>1178</v>
      </c>
      <c r="D215" s="27">
        <v>-21875</v>
      </c>
      <c r="E215" s="28">
        <v>-302.18</v>
      </c>
      <c r="F215" s="29">
        <v>-1.93E-4</v>
      </c>
      <c r="G215" s="17"/>
    </row>
    <row r="216" spans="1:7" x14ac:dyDescent="0.35">
      <c r="A216" s="13" t="s">
        <v>1598</v>
      </c>
      <c r="B216" s="41"/>
      <c r="C216" s="41" t="s">
        <v>1526</v>
      </c>
      <c r="D216" s="27">
        <v>-47200</v>
      </c>
      <c r="E216" s="28">
        <v>-306.45</v>
      </c>
      <c r="F216" s="29">
        <v>-1.9599999999999999E-4</v>
      </c>
      <c r="G216" s="17"/>
    </row>
    <row r="217" spans="1:7" x14ac:dyDescent="0.35">
      <c r="A217" s="13" t="s">
        <v>1599</v>
      </c>
      <c r="B217" s="41"/>
      <c r="C217" s="41" t="s">
        <v>1324</v>
      </c>
      <c r="D217" s="27">
        <v>-21700</v>
      </c>
      <c r="E217" s="28">
        <v>-323.44</v>
      </c>
      <c r="F217" s="29">
        <v>-2.0699999999999999E-4</v>
      </c>
      <c r="G217" s="17"/>
    </row>
    <row r="218" spans="1:7" x14ac:dyDescent="0.35">
      <c r="A218" s="13" t="s">
        <v>1600</v>
      </c>
      <c r="B218" s="41"/>
      <c r="C218" s="41" t="s">
        <v>1288</v>
      </c>
      <c r="D218" s="27">
        <v>-9450</v>
      </c>
      <c r="E218" s="28">
        <v>-333.23</v>
      </c>
      <c r="F218" s="29">
        <v>-2.13E-4</v>
      </c>
      <c r="G218" s="17"/>
    </row>
    <row r="219" spans="1:7" x14ac:dyDescent="0.35">
      <c r="A219" s="13" t="s">
        <v>1601</v>
      </c>
      <c r="B219" s="41"/>
      <c r="C219" s="41" t="s">
        <v>1305</v>
      </c>
      <c r="D219" s="27">
        <v>-97150</v>
      </c>
      <c r="E219" s="28">
        <v>-356.54</v>
      </c>
      <c r="F219" s="29">
        <v>-2.2800000000000001E-4</v>
      </c>
      <c r="G219" s="17"/>
    </row>
    <row r="220" spans="1:7" x14ac:dyDescent="0.35">
      <c r="A220" s="13" t="s">
        <v>1602</v>
      </c>
      <c r="B220" s="41"/>
      <c r="C220" s="41" t="s">
        <v>1188</v>
      </c>
      <c r="D220" s="27">
        <v>-107200</v>
      </c>
      <c r="E220" s="28">
        <v>-376.06</v>
      </c>
      <c r="F220" s="29">
        <v>-2.4000000000000001E-4</v>
      </c>
      <c r="G220" s="17"/>
    </row>
    <row r="221" spans="1:7" x14ac:dyDescent="0.35">
      <c r="A221" s="13" t="s">
        <v>1603</v>
      </c>
      <c r="B221" s="41"/>
      <c r="C221" s="41" t="s">
        <v>1333</v>
      </c>
      <c r="D221" s="27">
        <v>-2200</v>
      </c>
      <c r="E221" s="28">
        <v>-415.36</v>
      </c>
      <c r="F221" s="29">
        <v>-2.6499999999999999E-4</v>
      </c>
      <c r="G221" s="17"/>
    </row>
    <row r="222" spans="1:7" x14ac:dyDescent="0.35">
      <c r="A222" s="13" t="s">
        <v>1604</v>
      </c>
      <c r="B222" s="41"/>
      <c r="C222" s="41" t="s">
        <v>1201</v>
      </c>
      <c r="D222" s="27">
        <v>-20250</v>
      </c>
      <c r="E222" s="28">
        <v>-494.08</v>
      </c>
      <c r="F222" s="29">
        <v>-3.1599999999999998E-4</v>
      </c>
      <c r="G222" s="17"/>
    </row>
    <row r="223" spans="1:7" x14ac:dyDescent="0.35">
      <c r="A223" s="13" t="s">
        <v>1605</v>
      </c>
      <c r="B223" s="41"/>
      <c r="C223" s="41" t="s">
        <v>1188</v>
      </c>
      <c r="D223" s="27">
        <v>-9000</v>
      </c>
      <c r="E223" s="28">
        <v>-498.06</v>
      </c>
      <c r="F223" s="29">
        <v>-3.1799999999999998E-4</v>
      </c>
      <c r="G223" s="17"/>
    </row>
    <row r="224" spans="1:7" x14ac:dyDescent="0.35">
      <c r="A224" s="13" t="s">
        <v>1606</v>
      </c>
      <c r="B224" s="41"/>
      <c r="C224" s="41" t="s">
        <v>1261</v>
      </c>
      <c r="D224" s="27">
        <v>-46875</v>
      </c>
      <c r="E224" s="28">
        <v>-530.95000000000005</v>
      </c>
      <c r="F224" s="29">
        <v>-3.39E-4</v>
      </c>
      <c r="G224" s="17"/>
    </row>
    <row r="225" spans="1:7" x14ac:dyDescent="0.35">
      <c r="A225" s="13" t="s">
        <v>1607</v>
      </c>
      <c r="B225" s="41"/>
      <c r="C225" s="41" t="s">
        <v>1185</v>
      </c>
      <c r="D225" s="27">
        <v>-72600</v>
      </c>
      <c r="E225" s="28">
        <v>-532.52</v>
      </c>
      <c r="F225" s="29">
        <v>-3.4000000000000002E-4</v>
      </c>
      <c r="G225" s="17"/>
    </row>
    <row r="226" spans="1:7" x14ac:dyDescent="0.35">
      <c r="A226" s="13" t="s">
        <v>1608</v>
      </c>
      <c r="B226" s="41"/>
      <c r="C226" s="41" t="s">
        <v>1188</v>
      </c>
      <c r="D226" s="27">
        <v>-6000</v>
      </c>
      <c r="E226" s="28">
        <v>-577.67999999999995</v>
      </c>
      <c r="F226" s="29">
        <v>-3.6900000000000002E-4</v>
      </c>
      <c r="G226" s="17"/>
    </row>
    <row r="227" spans="1:7" x14ac:dyDescent="0.35">
      <c r="A227" s="13" t="s">
        <v>1609</v>
      </c>
      <c r="B227" s="41"/>
      <c r="C227" s="41" t="s">
        <v>1234</v>
      </c>
      <c r="D227" s="27">
        <v>-27200</v>
      </c>
      <c r="E227" s="28">
        <v>-585.75</v>
      </c>
      <c r="F227" s="29">
        <v>-3.7500000000000001E-4</v>
      </c>
      <c r="G227" s="17"/>
    </row>
    <row r="228" spans="1:7" x14ac:dyDescent="0.35">
      <c r="A228" s="13" t="s">
        <v>1610</v>
      </c>
      <c r="B228" s="41"/>
      <c r="C228" s="41" t="s">
        <v>1382</v>
      </c>
      <c r="D228" s="27">
        <v>-26000</v>
      </c>
      <c r="E228" s="28">
        <v>-607.78</v>
      </c>
      <c r="F228" s="29">
        <v>-3.8900000000000002E-4</v>
      </c>
      <c r="G228" s="17"/>
    </row>
    <row r="229" spans="1:7" x14ac:dyDescent="0.35">
      <c r="A229" s="13" t="s">
        <v>1611</v>
      </c>
      <c r="B229" s="41"/>
      <c r="C229" s="41" t="s">
        <v>1369</v>
      </c>
      <c r="D229" s="27">
        <v>-39200</v>
      </c>
      <c r="E229" s="28">
        <v>-666.01</v>
      </c>
      <c r="F229" s="29">
        <v>-4.26E-4</v>
      </c>
      <c r="G229" s="17"/>
    </row>
    <row r="230" spans="1:7" x14ac:dyDescent="0.35">
      <c r="A230" s="13" t="s">
        <v>1612</v>
      </c>
      <c r="B230" s="41"/>
      <c r="C230" s="41" t="s">
        <v>1369</v>
      </c>
      <c r="D230" s="27">
        <v>-75225</v>
      </c>
      <c r="E230" s="28">
        <v>-778.28</v>
      </c>
      <c r="F230" s="29">
        <v>-4.9799999999999996E-4</v>
      </c>
      <c r="G230" s="17"/>
    </row>
    <row r="231" spans="1:7" x14ac:dyDescent="0.35">
      <c r="A231" s="13" t="s">
        <v>1613</v>
      </c>
      <c r="B231" s="41"/>
      <c r="C231" s="41" t="s">
        <v>1333</v>
      </c>
      <c r="D231" s="27">
        <v>-135150</v>
      </c>
      <c r="E231" s="28">
        <v>-792.11</v>
      </c>
      <c r="F231" s="29">
        <v>-5.0699999999999996E-4</v>
      </c>
      <c r="G231" s="17"/>
    </row>
    <row r="232" spans="1:7" x14ac:dyDescent="0.35">
      <c r="A232" s="13" t="s">
        <v>1614</v>
      </c>
      <c r="B232" s="41"/>
      <c r="C232" s="41" t="s">
        <v>1211</v>
      </c>
      <c r="D232" s="27">
        <v>-49375</v>
      </c>
      <c r="E232" s="28">
        <v>-806.69</v>
      </c>
      <c r="F232" s="29">
        <v>-5.1599999999999997E-4</v>
      </c>
      <c r="G232" s="17"/>
    </row>
    <row r="233" spans="1:7" x14ac:dyDescent="0.35">
      <c r="A233" s="13" t="s">
        <v>1615</v>
      </c>
      <c r="B233" s="41"/>
      <c r="C233" s="41" t="s">
        <v>1224</v>
      </c>
      <c r="D233" s="27">
        <v>-44850</v>
      </c>
      <c r="E233" s="28">
        <v>-929.29</v>
      </c>
      <c r="F233" s="29">
        <v>-5.9400000000000002E-4</v>
      </c>
      <c r="G233" s="17"/>
    </row>
    <row r="234" spans="1:7" x14ac:dyDescent="0.35">
      <c r="A234" s="13" t="s">
        <v>1616</v>
      </c>
      <c r="B234" s="41"/>
      <c r="C234" s="41" t="s">
        <v>1234</v>
      </c>
      <c r="D234" s="27">
        <v>-17625</v>
      </c>
      <c r="E234" s="28">
        <v>-996.43</v>
      </c>
      <c r="F234" s="29">
        <v>-6.3699999999999998E-4</v>
      </c>
      <c r="G234" s="17"/>
    </row>
    <row r="235" spans="1:7" x14ac:dyDescent="0.35">
      <c r="A235" s="13" t="s">
        <v>1617</v>
      </c>
      <c r="B235" s="41"/>
      <c r="C235" s="41" t="s">
        <v>1185</v>
      </c>
      <c r="D235" s="27">
        <v>-51750</v>
      </c>
      <c r="E235" s="28">
        <v>-1038.73</v>
      </c>
      <c r="F235" s="29">
        <v>-6.6500000000000001E-4</v>
      </c>
      <c r="G235" s="17"/>
    </row>
    <row r="236" spans="1:7" x14ac:dyDescent="0.35">
      <c r="A236" s="13" t="s">
        <v>1618</v>
      </c>
      <c r="B236" s="41"/>
      <c r="C236" s="41" t="s">
        <v>1221</v>
      </c>
      <c r="D236" s="27">
        <v>-74000</v>
      </c>
      <c r="E236" s="28">
        <v>-1060.6400000000001</v>
      </c>
      <c r="F236" s="29">
        <v>-6.7900000000000002E-4</v>
      </c>
      <c r="G236" s="17"/>
    </row>
    <row r="237" spans="1:7" x14ac:dyDescent="0.35">
      <c r="A237" s="13" t="s">
        <v>1619</v>
      </c>
      <c r="B237" s="41"/>
      <c r="C237" s="41" t="s">
        <v>1234</v>
      </c>
      <c r="D237" s="27">
        <v>-88750</v>
      </c>
      <c r="E237" s="28">
        <v>-1084.44</v>
      </c>
      <c r="F237" s="29">
        <v>-6.9399999999999996E-4</v>
      </c>
      <c r="G237" s="17"/>
    </row>
    <row r="238" spans="1:7" x14ac:dyDescent="0.35">
      <c r="A238" s="13" t="s">
        <v>1620</v>
      </c>
      <c r="B238" s="41"/>
      <c r="C238" s="41" t="s">
        <v>1382</v>
      </c>
      <c r="D238" s="27">
        <v>-1008600</v>
      </c>
      <c r="E238" s="28">
        <v>-1139.92</v>
      </c>
      <c r="F238" s="29">
        <v>-7.2900000000000005E-4</v>
      </c>
      <c r="G238" s="17"/>
    </row>
    <row r="239" spans="1:7" x14ac:dyDescent="0.35">
      <c r="A239" s="13" t="s">
        <v>1621</v>
      </c>
      <c r="B239" s="41"/>
      <c r="C239" s="41" t="s">
        <v>1275</v>
      </c>
      <c r="D239" s="27">
        <v>-48300</v>
      </c>
      <c r="E239" s="28">
        <v>-1147.17</v>
      </c>
      <c r="F239" s="29">
        <v>-7.3399999999999995E-4</v>
      </c>
      <c r="G239" s="17"/>
    </row>
    <row r="240" spans="1:7" x14ac:dyDescent="0.35">
      <c r="A240" s="13" t="s">
        <v>1622</v>
      </c>
      <c r="B240" s="41"/>
      <c r="C240" s="41" t="s">
        <v>1465</v>
      </c>
      <c r="D240" s="27">
        <v>-104400</v>
      </c>
      <c r="E240" s="28">
        <v>-1189.6400000000001</v>
      </c>
      <c r="F240" s="29">
        <v>-7.6099999999999996E-4</v>
      </c>
      <c r="G240" s="17"/>
    </row>
    <row r="241" spans="1:7" x14ac:dyDescent="0.35">
      <c r="A241" s="13" t="s">
        <v>1623</v>
      </c>
      <c r="B241" s="41"/>
      <c r="C241" s="41" t="s">
        <v>1201</v>
      </c>
      <c r="D241" s="27">
        <v>-11450</v>
      </c>
      <c r="E241" s="28">
        <v>-1199.73</v>
      </c>
      <c r="F241" s="29">
        <v>-7.6800000000000002E-4</v>
      </c>
      <c r="G241" s="17"/>
    </row>
    <row r="242" spans="1:7" x14ac:dyDescent="0.35">
      <c r="A242" s="13" t="s">
        <v>1624</v>
      </c>
      <c r="B242" s="41"/>
      <c r="C242" s="41" t="s">
        <v>1382</v>
      </c>
      <c r="D242" s="27">
        <v>-256025</v>
      </c>
      <c r="E242" s="28">
        <v>-1272.06</v>
      </c>
      <c r="F242" s="29">
        <v>-8.1400000000000005E-4</v>
      </c>
      <c r="G242" s="17"/>
    </row>
    <row r="243" spans="1:7" x14ac:dyDescent="0.35">
      <c r="A243" s="13" t="s">
        <v>1625</v>
      </c>
      <c r="B243" s="41"/>
      <c r="C243" s="41" t="s">
        <v>1382</v>
      </c>
      <c r="D243" s="27">
        <v>-91500</v>
      </c>
      <c r="E243" s="28">
        <v>-1319.16</v>
      </c>
      <c r="F243" s="29">
        <v>-8.4400000000000002E-4</v>
      </c>
      <c r="G243" s="17"/>
    </row>
    <row r="244" spans="1:7" x14ac:dyDescent="0.35">
      <c r="A244" s="13" t="s">
        <v>1626</v>
      </c>
      <c r="B244" s="41"/>
      <c r="C244" s="41" t="s">
        <v>1369</v>
      </c>
      <c r="D244" s="27">
        <v>-42525</v>
      </c>
      <c r="E244" s="28">
        <v>-1334.99</v>
      </c>
      <c r="F244" s="29">
        <v>-8.5400000000000005E-4</v>
      </c>
      <c r="G244" s="17"/>
    </row>
    <row r="245" spans="1:7" x14ac:dyDescent="0.35">
      <c r="A245" s="13" t="s">
        <v>1627</v>
      </c>
      <c r="B245" s="41"/>
      <c r="C245" s="41" t="s">
        <v>1221</v>
      </c>
      <c r="D245" s="27">
        <v>-50400</v>
      </c>
      <c r="E245" s="28">
        <v>-1421.73</v>
      </c>
      <c r="F245" s="29">
        <v>-9.1E-4</v>
      </c>
      <c r="G245" s="17"/>
    </row>
    <row r="246" spans="1:7" x14ac:dyDescent="0.35">
      <c r="A246" s="13" t="s">
        <v>1628</v>
      </c>
      <c r="B246" s="41"/>
      <c r="C246" s="41" t="s">
        <v>1280</v>
      </c>
      <c r="D246" s="27">
        <v>-106500</v>
      </c>
      <c r="E246" s="28">
        <v>-1436.05</v>
      </c>
      <c r="F246" s="29">
        <v>-9.19E-4</v>
      </c>
      <c r="G246" s="17"/>
    </row>
    <row r="247" spans="1:7" x14ac:dyDescent="0.35">
      <c r="A247" s="13" t="s">
        <v>1629</v>
      </c>
      <c r="B247" s="41"/>
      <c r="C247" s="41" t="s">
        <v>1419</v>
      </c>
      <c r="D247" s="27">
        <v>-149800</v>
      </c>
      <c r="E247" s="28">
        <v>-1439.5</v>
      </c>
      <c r="F247" s="29">
        <v>-9.2100000000000005E-4</v>
      </c>
      <c r="G247" s="17"/>
    </row>
    <row r="248" spans="1:7" x14ac:dyDescent="0.35">
      <c r="A248" s="13" t="s">
        <v>1630</v>
      </c>
      <c r="B248" s="41"/>
      <c r="C248" s="41" t="s">
        <v>1382</v>
      </c>
      <c r="D248" s="27">
        <v>-123200</v>
      </c>
      <c r="E248" s="28">
        <v>-1459.67</v>
      </c>
      <c r="F248" s="29">
        <v>-9.3400000000000004E-4</v>
      </c>
      <c r="G248" s="17"/>
    </row>
    <row r="249" spans="1:7" x14ac:dyDescent="0.35">
      <c r="A249" s="13" t="s">
        <v>1631</v>
      </c>
      <c r="B249" s="41"/>
      <c r="C249" s="41" t="s">
        <v>1324</v>
      </c>
      <c r="D249" s="27">
        <v>-91000</v>
      </c>
      <c r="E249" s="28">
        <v>-1527.62</v>
      </c>
      <c r="F249" s="29">
        <v>-9.7799999999999992E-4</v>
      </c>
      <c r="G249" s="17"/>
    </row>
    <row r="250" spans="1:7" x14ac:dyDescent="0.35">
      <c r="A250" s="13" t="s">
        <v>1632</v>
      </c>
      <c r="B250" s="41"/>
      <c r="C250" s="41" t="s">
        <v>1234</v>
      </c>
      <c r="D250" s="27">
        <v>-457500</v>
      </c>
      <c r="E250" s="28">
        <v>-1684.29</v>
      </c>
      <c r="F250" s="29">
        <v>-1.078E-3</v>
      </c>
      <c r="G250" s="17"/>
    </row>
    <row r="251" spans="1:7" x14ac:dyDescent="0.35">
      <c r="A251" s="13" t="s">
        <v>1633</v>
      </c>
      <c r="B251" s="41"/>
      <c r="C251" s="41" t="s">
        <v>1465</v>
      </c>
      <c r="D251" s="27">
        <v>-102550</v>
      </c>
      <c r="E251" s="28">
        <v>-1700.07</v>
      </c>
      <c r="F251" s="29">
        <v>-1.088E-3</v>
      </c>
      <c r="G251" s="17"/>
    </row>
    <row r="252" spans="1:7" x14ac:dyDescent="0.35">
      <c r="A252" s="13" t="s">
        <v>1634</v>
      </c>
      <c r="B252" s="41"/>
      <c r="C252" s="41" t="s">
        <v>1360</v>
      </c>
      <c r="D252" s="27">
        <v>-130400</v>
      </c>
      <c r="E252" s="28">
        <v>-1779.83</v>
      </c>
      <c r="F252" s="29">
        <v>-1.139E-3</v>
      </c>
      <c r="G252" s="17"/>
    </row>
    <row r="253" spans="1:7" x14ac:dyDescent="0.35">
      <c r="A253" s="13" t="s">
        <v>1635</v>
      </c>
      <c r="B253" s="41"/>
      <c r="C253" s="41" t="s">
        <v>1266</v>
      </c>
      <c r="D253" s="27">
        <v>-49400</v>
      </c>
      <c r="E253" s="28">
        <v>-1871.77</v>
      </c>
      <c r="F253" s="29">
        <v>-1.1980000000000001E-3</v>
      </c>
      <c r="G253" s="17"/>
    </row>
    <row r="254" spans="1:7" x14ac:dyDescent="0.35">
      <c r="A254" s="13" t="s">
        <v>1636</v>
      </c>
      <c r="B254" s="41"/>
      <c r="C254" s="41" t="s">
        <v>1178</v>
      </c>
      <c r="D254" s="27">
        <v>-655000</v>
      </c>
      <c r="E254" s="28">
        <v>-1889.35</v>
      </c>
      <c r="F254" s="29">
        <v>-1.209E-3</v>
      </c>
      <c r="G254" s="17"/>
    </row>
    <row r="255" spans="1:7" x14ac:dyDescent="0.35">
      <c r="A255" s="13" t="s">
        <v>1637</v>
      </c>
      <c r="B255" s="41"/>
      <c r="C255" s="41" t="s">
        <v>1185</v>
      </c>
      <c r="D255" s="27">
        <v>-252000</v>
      </c>
      <c r="E255" s="28">
        <v>-2083.79</v>
      </c>
      <c r="F255" s="29">
        <v>-1.3339999999999999E-3</v>
      </c>
      <c r="G255" s="17"/>
    </row>
    <row r="256" spans="1:7" x14ac:dyDescent="0.35">
      <c r="A256" s="13" t="s">
        <v>1638</v>
      </c>
      <c r="B256" s="41"/>
      <c r="C256" s="41" t="s">
        <v>1234</v>
      </c>
      <c r="D256" s="27">
        <v>-215900</v>
      </c>
      <c r="E256" s="28">
        <v>-2091.42</v>
      </c>
      <c r="F256" s="29">
        <v>-1.3389999999999999E-3</v>
      </c>
      <c r="G256" s="17"/>
    </row>
    <row r="257" spans="1:7" x14ac:dyDescent="0.35">
      <c r="A257" s="13" t="s">
        <v>1639</v>
      </c>
      <c r="B257" s="41"/>
      <c r="C257" s="41" t="s">
        <v>1188</v>
      </c>
      <c r="D257" s="27">
        <v>-30500</v>
      </c>
      <c r="E257" s="28">
        <v>-2176.02</v>
      </c>
      <c r="F257" s="29">
        <v>-1.3929999999999999E-3</v>
      </c>
      <c r="G257" s="17"/>
    </row>
    <row r="258" spans="1:7" x14ac:dyDescent="0.35">
      <c r="A258" s="13" t="s">
        <v>1640</v>
      </c>
      <c r="B258" s="41"/>
      <c r="C258" s="41" t="s">
        <v>1324</v>
      </c>
      <c r="D258" s="27">
        <v>-148950</v>
      </c>
      <c r="E258" s="28">
        <v>-2180.9299999999998</v>
      </c>
      <c r="F258" s="29">
        <v>-1.3960000000000001E-3</v>
      </c>
      <c r="G258" s="17"/>
    </row>
    <row r="259" spans="1:7" x14ac:dyDescent="0.35">
      <c r="A259" s="13" t="s">
        <v>1641</v>
      </c>
      <c r="B259" s="41"/>
      <c r="C259" s="41" t="s">
        <v>1185</v>
      </c>
      <c r="D259" s="27">
        <v>-135200</v>
      </c>
      <c r="E259" s="28">
        <v>-2186.7199999999998</v>
      </c>
      <c r="F259" s="29">
        <v>-1.4E-3</v>
      </c>
      <c r="G259" s="17"/>
    </row>
    <row r="260" spans="1:7" x14ac:dyDescent="0.35">
      <c r="A260" s="13" t="s">
        <v>1642</v>
      </c>
      <c r="B260" s="41"/>
      <c r="C260" s="41" t="s">
        <v>1224</v>
      </c>
      <c r="D260" s="27">
        <v>-441000</v>
      </c>
      <c r="E260" s="28">
        <v>-2255.94</v>
      </c>
      <c r="F260" s="29">
        <v>-1.444E-3</v>
      </c>
      <c r="G260" s="17"/>
    </row>
    <row r="261" spans="1:7" x14ac:dyDescent="0.35">
      <c r="A261" s="13" t="s">
        <v>1643</v>
      </c>
      <c r="B261" s="41"/>
      <c r="C261" s="41" t="s">
        <v>1229</v>
      </c>
      <c r="D261" s="27">
        <v>-239400</v>
      </c>
      <c r="E261" s="28">
        <v>-2302.0700000000002</v>
      </c>
      <c r="F261" s="29">
        <v>-1.4729999999999999E-3</v>
      </c>
      <c r="G261" s="17"/>
    </row>
    <row r="262" spans="1:7" x14ac:dyDescent="0.35">
      <c r="A262" s="13" t="s">
        <v>1644</v>
      </c>
      <c r="B262" s="41"/>
      <c r="C262" s="41" t="s">
        <v>1285</v>
      </c>
      <c r="D262" s="27">
        <v>-150150</v>
      </c>
      <c r="E262" s="28">
        <v>-2303.15</v>
      </c>
      <c r="F262" s="29">
        <v>-1.474E-3</v>
      </c>
      <c r="G262" s="17"/>
    </row>
    <row r="263" spans="1:7" x14ac:dyDescent="0.35">
      <c r="A263" s="13" t="s">
        <v>1645</v>
      </c>
      <c r="B263" s="41"/>
      <c r="C263" s="41" t="s">
        <v>1324</v>
      </c>
      <c r="D263" s="27">
        <v>-239400</v>
      </c>
      <c r="E263" s="28">
        <v>-2329.84</v>
      </c>
      <c r="F263" s="29">
        <v>-1.4909999999999999E-3</v>
      </c>
      <c r="G263" s="17"/>
    </row>
    <row r="264" spans="1:7" x14ac:dyDescent="0.35">
      <c r="A264" s="13" t="s">
        <v>1646</v>
      </c>
      <c r="B264" s="41"/>
      <c r="C264" s="41" t="s">
        <v>1178</v>
      </c>
      <c r="D264" s="27">
        <v>-2819600</v>
      </c>
      <c r="E264" s="28">
        <v>-2361.13</v>
      </c>
      <c r="F264" s="29">
        <v>-1.511E-3</v>
      </c>
      <c r="G264" s="17"/>
    </row>
    <row r="265" spans="1:7" x14ac:dyDescent="0.35">
      <c r="A265" s="13" t="s">
        <v>1647</v>
      </c>
      <c r="B265" s="41"/>
      <c r="C265" s="41" t="s">
        <v>1280</v>
      </c>
      <c r="D265" s="27">
        <v>-94500</v>
      </c>
      <c r="E265" s="28">
        <v>-2386.41</v>
      </c>
      <c r="F265" s="29">
        <v>-1.5269999999999999E-3</v>
      </c>
      <c r="G265" s="17"/>
    </row>
    <row r="266" spans="1:7" x14ac:dyDescent="0.35">
      <c r="A266" s="13" t="s">
        <v>1648</v>
      </c>
      <c r="B266" s="41"/>
      <c r="C266" s="41" t="s">
        <v>1333</v>
      </c>
      <c r="D266" s="27">
        <v>-5243525</v>
      </c>
      <c r="E266" s="28">
        <v>-2506.9299999999998</v>
      </c>
      <c r="F266" s="29">
        <v>-1.6050000000000001E-3</v>
      </c>
      <c r="G266" s="17"/>
    </row>
    <row r="267" spans="1:7" x14ac:dyDescent="0.35">
      <c r="A267" s="13" t="s">
        <v>1649</v>
      </c>
      <c r="B267" s="41"/>
      <c r="C267" s="41" t="s">
        <v>1185</v>
      </c>
      <c r="D267" s="27">
        <v>-395900</v>
      </c>
      <c r="E267" s="28">
        <v>-2529.21</v>
      </c>
      <c r="F267" s="29">
        <v>-1.619E-3</v>
      </c>
      <c r="G267" s="17"/>
    </row>
    <row r="268" spans="1:7" x14ac:dyDescent="0.35">
      <c r="A268" s="13" t="s">
        <v>1650</v>
      </c>
      <c r="B268" s="41"/>
      <c r="C268" s="41" t="s">
        <v>1436</v>
      </c>
      <c r="D268" s="27">
        <v>-99400</v>
      </c>
      <c r="E268" s="28">
        <v>-2561.7399999999998</v>
      </c>
      <c r="F268" s="29">
        <v>-1.64E-3</v>
      </c>
      <c r="G268" s="17"/>
    </row>
    <row r="269" spans="1:7" x14ac:dyDescent="0.35">
      <c r="A269" s="13" t="s">
        <v>1651</v>
      </c>
      <c r="B269" s="41"/>
      <c r="C269" s="41" t="s">
        <v>1387</v>
      </c>
      <c r="D269" s="27">
        <v>-2593500</v>
      </c>
      <c r="E269" s="28">
        <v>-2564.71</v>
      </c>
      <c r="F269" s="29">
        <v>-1.642E-3</v>
      </c>
      <c r="G269" s="17"/>
    </row>
    <row r="270" spans="1:7" x14ac:dyDescent="0.35">
      <c r="A270" s="13" t="s">
        <v>1652</v>
      </c>
      <c r="B270" s="41"/>
      <c r="C270" s="41" t="s">
        <v>1201</v>
      </c>
      <c r="D270" s="27">
        <v>-203000</v>
      </c>
      <c r="E270" s="28">
        <v>-2621.95</v>
      </c>
      <c r="F270" s="29">
        <v>-1.678E-3</v>
      </c>
      <c r="G270" s="17"/>
    </row>
    <row r="271" spans="1:7" x14ac:dyDescent="0.35">
      <c r="A271" s="13" t="s">
        <v>1653</v>
      </c>
      <c r="B271" s="41"/>
      <c r="C271" s="41" t="s">
        <v>1206</v>
      </c>
      <c r="D271" s="27">
        <v>-1613625</v>
      </c>
      <c r="E271" s="28">
        <v>-2633.92</v>
      </c>
      <c r="F271" s="29">
        <v>-1.686E-3</v>
      </c>
      <c r="G271" s="17"/>
    </row>
    <row r="272" spans="1:7" x14ac:dyDescent="0.35">
      <c r="A272" s="13" t="s">
        <v>1654</v>
      </c>
      <c r="B272" s="41"/>
      <c r="C272" s="41" t="s">
        <v>1206</v>
      </c>
      <c r="D272" s="27">
        <v>-187500</v>
      </c>
      <c r="E272" s="28">
        <v>-2641.5</v>
      </c>
      <c r="F272" s="29">
        <v>-1.691E-3</v>
      </c>
      <c r="G272" s="17"/>
    </row>
    <row r="273" spans="1:7" x14ac:dyDescent="0.35">
      <c r="A273" s="13" t="s">
        <v>1655</v>
      </c>
      <c r="B273" s="41"/>
      <c r="C273" s="41" t="s">
        <v>1178</v>
      </c>
      <c r="D273" s="27">
        <v>-244500</v>
      </c>
      <c r="E273" s="28">
        <v>-2646.47</v>
      </c>
      <c r="F273" s="29">
        <v>-1.694E-3</v>
      </c>
      <c r="G273" s="17"/>
    </row>
    <row r="274" spans="1:7" x14ac:dyDescent="0.35">
      <c r="A274" s="13" t="s">
        <v>1656</v>
      </c>
      <c r="B274" s="41"/>
      <c r="C274" s="41" t="s">
        <v>1216</v>
      </c>
      <c r="D274" s="27">
        <v>-235400</v>
      </c>
      <c r="E274" s="28">
        <v>-2682.15</v>
      </c>
      <c r="F274" s="29">
        <v>-1.717E-3</v>
      </c>
      <c r="G274" s="17"/>
    </row>
    <row r="275" spans="1:7" x14ac:dyDescent="0.35">
      <c r="A275" s="13" t="s">
        <v>1657</v>
      </c>
      <c r="B275" s="41"/>
      <c r="C275" s="41" t="s">
        <v>1178</v>
      </c>
      <c r="D275" s="27">
        <v>-276000</v>
      </c>
      <c r="E275" s="28">
        <v>-2717.63</v>
      </c>
      <c r="F275" s="29">
        <v>-1.7390000000000001E-3</v>
      </c>
      <c r="G275" s="17"/>
    </row>
    <row r="276" spans="1:7" x14ac:dyDescent="0.35">
      <c r="A276" s="13" t="s">
        <v>1658</v>
      </c>
      <c r="B276" s="41"/>
      <c r="C276" s="41" t="s">
        <v>1201</v>
      </c>
      <c r="D276" s="27">
        <v>-48200</v>
      </c>
      <c r="E276" s="28">
        <v>-2770.05</v>
      </c>
      <c r="F276" s="29">
        <v>-1.7730000000000001E-3</v>
      </c>
      <c r="G276" s="17"/>
    </row>
    <row r="277" spans="1:7" x14ac:dyDescent="0.35">
      <c r="A277" s="13" t="s">
        <v>1659</v>
      </c>
      <c r="B277" s="41"/>
      <c r="C277" s="41" t="s">
        <v>1211</v>
      </c>
      <c r="D277" s="27">
        <v>-1609500</v>
      </c>
      <c r="E277" s="28">
        <v>-3071.73</v>
      </c>
      <c r="F277" s="29">
        <v>-1.9659999999999999E-3</v>
      </c>
      <c r="G277" s="17"/>
    </row>
    <row r="278" spans="1:7" x14ac:dyDescent="0.35">
      <c r="A278" s="13" t="s">
        <v>1660</v>
      </c>
      <c r="B278" s="41"/>
      <c r="C278" s="41" t="s">
        <v>1188</v>
      </c>
      <c r="D278" s="27">
        <v>-85575</v>
      </c>
      <c r="E278" s="28">
        <v>-3159.77</v>
      </c>
      <c r="F278" s="29">
        <v>-2.0230000000000001E-3</v>
      </c>
      <c r="G278" s="17"/>
    </row>
    <row r="279" spans="1:7" x14ac:dyDescent="0.35">
      <c r="A279" s="13" t="s">
        <v>1661</v>
      </c>
      <c r="B279" s="41"/>
      <c r="C279" s="41" t="s">
        <v>1178</v>
      </c>
      <c r="D279" s="27">
        <v>-1756725</v>
      </c>
      <c r="E279" s="28">
        <v>-3187.23</v>
      </c>
      <c r="F279" s="29">
        <v>-2.0400000000000001E-3</v>
      </c>
      <c r="G279" s="17"/>
    </row>
    <row r="280" spans="1:7" x14ac:dyDescent="0.35">
      <c r="A280" s="13" t="s">
        <v>1662</v>
      </c>
      <c r="B280" s="41"/>
      <c r="C280" s="41" t="s">
        <v>1419</v>
      </c>
      <c r="D280" s="27">
        <v>-535325</v>
      </c>
      <c r="E280" s="28">
        <v>-3377.1</v>
      </c>
      <c r="F280" s="29">
        <v>-2.1619999999999999E-3</v>
      </c>
      <c r="G280" s="17"/>
    </row>
    <row r="281" spans="1:7" x14ac:dyDescent="0.35">
      <c r="A281" s="13" t="s">
        <v>1663</v>
      </c>
      <c r="B281" s="41"/>
      <c r="C281" s="41" t="s">
        <v>1398</v>
      </c>
      <c r="D281" s="27">
        <v>-3703725</v>
      </c>
      <c r="E281" s="28">
        <v>-3486.69</v>
      </c>
      <c r="F281" s="29">
        <v>-2.232E-3</v>
      </c>
      <c r="G281" s="17"/>
    </row>
    <row r="282" spans="1:7" x14ac:dyDescent="0.35">
      <c r="A282" s="13" t="s">
        <v>1664</v>
      </c>
      <c r="B282" s="41"/>
      <c r="C282" s="41" t="s">
        <v>1234</v>
      </c>
      <c r="D282" s="27">
        <v>-225750</v>
      </c>
      <c r="E282" s="28">
        <v>-3596.2</v>
      </c>
      <c r="F282" s="29">
        <v>-2.3019999999999998E-3</v>
      </c>
      <c r="G282" s="17"/>
    </row>
    <row r="283" spans="1:7" x14ac:dyDescent="0.35">
      <c r="A283" s="13" t="s">
        <v>1665</v>
      </c>
      <c r="B283" s="41"/>
      <c r="C283" s="41" t="s">
        <v>1178</v>
      </c>
      <c r="D283" s="27">
        <v>-2383200</v>
      </c>
      <c r="E283" s="28">
        <v>-3696.58</v>
      </c>
      <c r="F283" s="29">
        <v>-2.366E-3</v>
      </c>
      <c r="G283" s="17"/>
    </row>
    <row r="284" spans="1:7" x14ac:dyDescent="0.35">
      <c r="A284" s="13" t="s">
        <v>1666</v>
      </c>
      <c r="B284" s="41"/>
      <c r="C284" s="41" t="s">
        <v>1412</v>
      </c>
      <c r="D284" s="27">
        <v>-549000</v>
      </c>
      <c r="E284" s="28">
        <v>-3708.77</v>
      </c>
      <c r="F284" s="29">
        <v>-2.3739999999999998E-3</v>
      </c>
      <c r="G284" s="17"/>
    </row>
    <row r="285" spans="1:7" x14ac:dyDescent="0.35">
      <c r="A285" s="13" t="s">
        <v>1667</v>
      </c>
      <c r="B285" s="41"/>
      <c r="C285" s="41" t="s">
        <v>1409</v>
      </c>
      <c r="D285" s="27">
        <v>-323500</v>
      </c>
      <c r="E285" s="28">
        <v>-3752.6</v>
      </c>
      <c r="F285" s="29">
        <v>-2.4020000000000001E-3</v>
      </c>
      <c r="G285" s="17"/>
    </row>
    <row r="286" spans="1:7" x14ac:dyDescent="0.35">
      <c r="A286" s="13" t="s">
        <v>1668</v>
      </c>
      <c r="B286" s="41"/>
      <c r="C286" s="41" t="s">
        <v>1224</v>
      </c>
      <c r="D286" s="27">
        <v>-29750</v>
      </c>
      <c r="E286" s="28">
        <v>-3785.69</v>
      </c>
      <c r="F286" s="29">
        <v>-2.4229999999999998E-3</v>
      </c>
      <c r="G286" s="17"/>
    </row>
    <row r="287" spans="1:7" x14ac:dyDescent="0.35">
      <c r="A287" s="13" t="s">
        <v>1669</v>
      </c>
      <c r="B287" s="41"/>
      <c r="C287" s="41" t="s">
        <v>1178</v>
      </c>
      <c r="D287" s="27">
        <v>-2371200</v>
      </c>
      <c r="E287" s="28">
        <v>-3911.06</v>
      </c>
      <c r="F287" s="29">
        <v>-2.5040000000000001E-3</v>
      </c>
      <c r="G287" s="17"/>
    </row>
    <row r="288" spans="1:7" x14ac:dyDescent="0.35">
      <c r="A288" s="13" t="s">
        <v>1670</v>
      </c>
      <c r="B288" s="41"/>
      <c r="C288" s="41" t="s">
        <v>1234</v>
      </c>
      <c r="D288" s="27">
        <v>-67800</v>
      </c>
      <c r="E288" s="28">
        <v>-4113.43</v>
      </c>
      <c r="F288" s="29">
        <v>-2.6329999999999999E-3</v>
      </c>
      <c r="G288" s="17"/>
    </row>
    <row r="289" spans="1:7" x14ac:dyDescent="0.35">
      <c r="A289" s="13" t="s">
        <v>1671</v>
      </c>
      <c r="B289" s="41"/>
      <c r="C289" s="41" t="s">
        <v>1211</v>
      </c>
      <c r="D289" s="27">
        <v>-780000</v>
      </c>
      <c r="E289" s="28">
        <v>-4121.5200000000004</v>
      </c>
      <c r="F289" s="29">
        <v>-2.6380000000000002E-3</v>
      </c>
      <c r="G289" s="17"/>
    </row>
    <row r="290" spans="1:7" x14ac:dyDescent="0.35">
      <c r="A290" s="13" t="s">
        <v>1672</v>
      </c>
      <c r="B290" s="41"/>
      <c r="C290" s="41" t="s">
        <v>1211</v>
      </c>
      <c r="D290" s="27">
        <v>-212500</v>
      </c>
      <c r="E290" s="28">
        <v>-4157.78</v>
      </c>
      <c r="F290" s="29">
        <v>-2.6610000000000002E-3</v>
      </c>
      <c r="G290" s="17"/>
    </row>
    <row r="291" spans="1:7" x14ac:dyDescent="0.35">
      <c r="A291" s="13" t="s">
        <v>1673</v>
      </c>
      <c r="B291" s="41"/>
      <c r="C291" s="41" t="s">
        <v>1178</v>
      </c>
      <c r="D291" s="27">
        <v>-476700</v>
      </c>
      <c r="E291" s="28">
        <v>-4272.42</v>
      </c>
      <c r="F291" s="29">
        <v>-2.735E-3</v>
      </c>
      <c r="G291" s="17"/>
    </row>
    <row r="292" spans="1:7" x14ac:dyDescent="0.35">
      <c r="A292" s="13" t="s">
        <v>1674</v>
      </c>
      <c r="B292" s="41"/>
      <c r="C292" s="41" t="s">
        <v>1398</v>
      </c>
      <c r="D292" s="27">
        <v>-302575</v>
      </c>
      <c r="E292" s="28">
        <v>-4305.04</v>
      </c>
      <c r="F292" s="29">
        <v>-2.7560000000000002E-3</v>
      </c>
      <c r="G292" s="17"/>
    </row>
    <row r="293" spans="1:7" x14ac:dyDescent="0.35">
      <c r="A293" s="13" t="s">
        <v>1675</v>
      </c>
      <c r="B293" s="41"/>
      <c r="C293" s="41" t="s">
        <v>1369</v>
      </c>
      <c r="D293" s="27">
        <v>-252000</v>
      </c>
      <c r="E293" s="28">
        <v>-4402.9399999999996</v>
      </c>
      <c r="F293" s="29">
        <v>-2.8180000000000002E-3</v>
      </c>
      <c r="G293" s="17"/>
    </row>
    <row r="294" spans="1:7" x14ac:dyDescent="0.35">
      <c r="A294" s="13" t="s">
        <v>1676</v>
      </c>
      <c r="B294" s="41"/>
      <c r="C294" s="41" t="s">
        <v>1369</v>
      </c>
      <c r="D294" s="27">
        <v>-165275</v>
      </c>
      <c r="E294" s="28">
        <v>-4575.3100000000004</v>
      </c>
      <c r="F294" s="29">
        <v>-2.9290000000000002E-3</v>
      </c>
      <c r="G294" s="17"/>
    </row>
    <row r="295" spans="1:7" x14ac:dyDescent="0.35">
      <c r="A295" s="13" t="s">
        <v>1677</v>
      </c>
      <c r="B295" s="41"/>
      <c r="C295" s="41" t="s">
        <v>1324</v>
      </c>
      <c r="D295" s="27">
        <v>-290950</v>
      </c>
      <c r="E295" s="28">
        <v>-4597.59</v>
      </c>
      <c r="F295" s="29">
        <v>-2.9429999999999999E-3</v>
      </c>
      <c r="G295" s="17"/>
    </row>
    <row r="296" spans="1:7" x14ac:dyDescent="0.35">
      <c r="A296" s="13" t="s">
        <v>1678</v>
      </c>
      <c r="B296" s="41"/>
      <c r="C296" s="41" t="s">
        <v>1178</v>
      </c>
      <c r="D296" s="27">
        <v>-496650</v>
      </c>
      <c r="E296" s="28">
        <v>-4668.01</v>
      </c>
      <c r="F296" s="29">
        <v>-2.9880000000000002E-3</v>
      </c>
      <c r="G296" s="17"/>
    </row>
    <row r="297" spans="1:7" x14ac:dyDescent="0.35">
      <c r="A297" s="13" t="s">
        <v>1679</v>
      </c>
      <c r="B297" s="41"/>
      <c r="C297" s="41" t="s">
        <v>1211</v>
      </c>
      <c r="D297" s="27">
        <v>-1683000</v>
      </c>
      <c r="E297" s="28">
        <v>-4801.6000000000004</v>
      </c>
      <c r="F297" s="29">
        <v>-3.0739999999999999E-3</v>
      </c>
      <c r="G297" s="17"/>
    </row>
    <row r="298" spans="1:7" x14ac:dyDescent="0.35">
      <c r="A298" s="13" t="s">
        <v>1680</v>
      </c>
      <c r="B298" s="41"/>
      <c r="C298" s="41" t="s">
        <v>1201</v>
      </c>
      <c r="D298" s="27">
        <v>-1357125</v>
      </c>
      <c r="E298" s="28">
        <v>-4916.8599999999997</v>
      </c>
      <c r="F298" s="29">
        <v>-3.1470000000000001E-3</v>
      </c>
      <c r="G298" s="17"/>
    </row>
    <row r="299" spans="1:7" x14ac:dyDescent="0.35">
      <c r="A299" s="13" t="s">
        <v>1681</v>
      </c>
      <c r="B299" s="41"/>
      <c r="C299" s="41" t="s">
        <v>1387</v>
      </c>
      <c r="D299" s="27">
        <v>-124775</v>
      </c>
      <c r="E299" s="28">
        <v>-4918.76</v>
      </c>
      <c r="F299" s="29">
        <v>-3.1489999999999999E-3</v>
      </c>
      <c r="G299" s="17"/>
    </row>
    <row r="300" spans="1:7" x14ac:dyDescent="0.35">
      <c r="A300" s="13" t="s">
        <v>1682</v>
      </c>
      <c r="B300" s="41"/>
      <c r="C300" s="41" t="s">
        <v>1201</v>
      </c>
      <c r="D300" s="27">
        <v>-129675</v>
      </c>
      <c r="E300" s="28">
        <v>-5169.2299999999996</v>
      </c>
      <c r="F300" s="29">
        <v>-3.3089999999999999E-3</v>
      </c>
      <c r="G300" s="17"/>
    </row>
    <row r="301" spans="1:7" x14ac:dyDescent="0.35">
      <c r="A301" s="13" t="s">
        <v>1683</v>
      </c>
      <c r="B301" s="41"/>
      <c r="C301" s="41" t="s">
        <v>1382</v>
      </c>
      <c r="D301" s="27">
        <v>-1605600</v>
      </c>
      <c r="E301" s="28">
        <v>-5190.1000000000004</v>
      </c>
      <c r="F301" s="29">
        <v>-3.3219999999999999E-3</v>
      </c>
      <c r="G301" s="17"/>
    </row>
    <row r="302" spans="1:7" x14ac:dyDescent="0.35">
      <c r="A302" s="13" t="s">
        <v>1684</v>
      </c>
      <c r="B302" s="41"/>
      <c r="C302" s="41" t="s">
        <v>1280</v>
      </c>
      <c r="D302" s="27">
        <v>-195375</v>
      </c>
      <c r="E302" s="28">
        <v>-5467.57</v>
      </c>
      <c r="F302" s="29">
        <v>-3.5000000000000001E-3</v>
      </c>
      <c r="G302" s="17"/>
    </row>
    <row r="303" spans="1:7" x14ac:dyDescent="0.35">
      <c r="A303" s="13" t="s">
        <v>1685</v>
      </c>
      <c r="B303" s="41"/>
      <c r="C303" s="41" t="s">
        <v>1211</v>
      </c>
      <c r="D303" s="27">
        <v>-664300</v>
      </c>
      <c r="E303" s="28">
        <v>-5489.44</v>
      </c>
      <c r="F303" s="29">
        <v>-3.5140000000000002E-3</v>
      </c>
      <c r="G303" s="17"/>
    </row>
    <row r="304" spans="1:7" x14ac:dyDescent="0.35">
      <c r="A304" s="13" t="s">
        <v>1686</v>
      </c>
      <c r="B304" s="41"/>
      <c r="C304" s="41" t="s">
        <v>1178</v>
      </c>
      <c r="D304" s="27">
        <v>-1833975</v>
      </c>
      <c r="E304" s="28">
        <v>-5510.18</v>
      </c>
      <c r="F304" s="29">
        <v>-3.5270000000000002E-3</v>
      </c>
      <c r="G304" s="17"/>
    </row>
    <row r="305" spans="1:7" x14ac:dyDescent="0.35">
      <c r="A305" s="13" t="s">
        <v>1687</v>
      </c>
      <c r="B305" s="41"/>
      <c r="C305" s="41" t="s">
        <v>1345</v>
      </c>
      <c r="D305" s="27">
        <v>-1120000</v>
      </c>
      <c r="E305" s="28">
        <v>-5616.8</v>
      </c>
      <c r="F305" s="29">
        <v>-3.5959999999999998E-3</v>
      </c>
      <c r="G305" s="17"/>
    </row>
    <row r="306" spans="1:7" x14ac:dyDescent="0.35">
      <c r="A306" s="13" t="s">
        <v>1688</v>
      </c>
      <c r="B306" s="41"/>
      <c r="C306" s="41" t="s">
        <v>1369</v>
      </c>
      <c r="D306" s="27">
        <v>-343600</v>
      </c>
      <c r="E306" s="28">
        <v>-5651.88</v>
      </c>
      <c r="F306" s="29">
        <v>-3.6180000000000001E-3</v>
      </c>
      <c r="G306" s="17"/>
    </row>
    <row r="307" spans="1:7" x14ac:dyDescent="0.35">
      <c r="A307" s="13" t="s">
        <v>1689</v>
      </c>
      <c r="B307" s="41"/>
      <c r="C307" s="41" t="s">
        <v>1345</v>
      </c>
      <c r="D307" s="27">
        <v>-1330075</v>
      </c>
      <c r="E307" s="28">
        <v>-5658.14</v>
      </c>
      <c r="F307" s="29">
        <v>-3.6219999999999998E-3</v>
      </c>
      <c r="G307" s="17"/>
    </row>
    <row r="308" spans="1:7" x14ac:dyDescent="0.35">
      <c r="A308" s="13" t="s">
        <v>1690</v>
      </c>
      <c r="B308" s="41"/>
      <c r="C308" s="41" t="s">
        <v>1229</v>
      </c>
      <c r="D308" s="27">
        <v>-84000</v>
      </c>
      <c r="E308" s="28">
        <v>-5851.86</v>
      </c>
      <c r="F308" s="29">
        <v>-3.7460000000000002E-3</v>
      </c>
      <c r="G308" s="17"/>
    </row>
    <row r="309" spans="1:7" x14ac:dyDescent="0.35">
      <c r="A309" s="13" t="s">
        <v>1691</v>
      </c>
      <c r="B309" s="41"/>
      <c r="C309" s="41" t="s">
        <v>1201</v>
      </c>
      <c r="D309" s="27">
        <v>-2676600</v>
      </c>
      <c r="E309" s="28">
        <v>-5959.45</v>
      </c>
      <c r="F309" s="29">
        <v>-3.8149999999999998E-3</v>
      </c>
      <c r="G309" s="17"/>
    </row>
    <row r="310" spans="1:7" x14ac:dyDescent="0.35">
      <c r="A310" s="13" t="s">
        <v>1692</v>
      </c>
      <c r="B310" s="41"/>
      <c r="C310" s="41" t="s">
        <v>1355</v>
      </c>
      <c r="D310" s="27">
        <v>-2114700</v>
      </c>
      <c r="E310" s="28">
        <v>-6144.26</v>
      </c>
      <c r="F310" s="29">
        <v>-3.9329999999999999E-3</v>
      </c>
      <c r="G310" s="17"/>
    </row>
    <row r="311" spans="1:7" x14ac:dyDescent="0.35">
      <c r="A311" s="13" t="s">
        <v>1693</v>
      </c>
      <c r="B311" s="41"/>
      <c r="C311" s="41" t="s">
        <v>1229</v>
      </c>
      <c r="D311" s="27">
        <v>-724625</v>
      </c>
      <c r="E311" s="28">
        <v>-6185.04</v>
      </c>
      <c r="F311" s="29">
        <v>-3.9589999999999998E-3</v>
      </c>
      <c r="G311" s="17"/>
    </row>
    <row r="312" spans="1:7" x14ac:dyDescent="0.35">
      <c r="A312" s="13" t="s">
        <v>1694</v>
      </c>
      <c r="B312" s="41"/>
      <c r="C312" s="41" t="s">
        <v>1305</v>
      </c>
      <c r="D312" s="27">
        <v>-1903500</v>
      </c>
      <c r="E312" s="28">
        <v>-6730.78</v>
      </c>
      <c r="F312" s="29">
        <v>-4.3090000000000003E-3</v>
      </c>
      <c r="G312" s="17"/>
    </row>
    <row r="313" spans="1:7" x14ac:dyDescent="0.35">
      <c r="A313" s="13" t="s">
        <v>1695</v>
      </c>
      <c r="B313" s="41"/>
      <c r="C313" s="41" t="s">
        <v>1360</v>
      </c>
      <c r="D313" s="27">
        <v>-1444500</v>
      </c>
      <c r="E313" s="28">
        <v>-6802.87</v>
      </c>
      <c r="F313" s="29">
        <v>-4.3550000000000004E-3</v>
      </c>
      <c r="G313" s="17"/>
    </row>
    <row r="314" spans="1:7" x14ac:dyDescent="0.35">
      <c r="A314" s="13" t="s">
        <v>1696</v>
      </c>
      <c r="B314" s="41"/>
      <c r="C314" s="41" t="s">
        <v>1288</v>
      </c>
      <c r="D314" s="27">
        <v>-338450</v>
      </c>
      <c r="E314" s="28">
        <v>-6956.16</v>
      </c>
      <c r="F314" s="29">
        <v>-4.4530000000000004E-3</v>
      </c>
      <c r="G314" s="17"/>
    </row>
    <row r="315" spans="1:7" x14ac:dyDescent="0.35">
      <c r="A315" s="13" t="s">
        <v>1697</v>
      </c>
      <c r="B315" s="41"/>
      <c r="C315" s="41" t="s">
        <v>1355</v>
      </c>
      <c r="D315" s="27">
        <v>-4227300</v>
      </c>
      <c r="E315" s="28">
        <v>-7097.64</v>
      </c>
      <c r="F315" s="29">
        <v>-4.5440000000000003E-3</v>
      </c>
      <c r="G315" s="17"/>
    </row>
    <row r="316" spans="1:7" x14ac:dyDescent="0.35">
      <c r="A316" s="13" t="s">
        <v>1698</v>
      </c>
      <c r="B316" s="41"/>
      <c r="C316" s="41" t="s">
        <v>1350</v>
      </c>
      <c r="D316" s="27">
        <v>-1028445</v>
      </c>
      <c r="E316" s="28">
        <v>-7266.48</v>
      </c>
      <c r="F316" s="29">
        <v>-4.6519999999999999E-3</v>
      </c>
      <c r="G316" s="17"/>
    </row>
    <row r="317" spans="1:7" x14ac:dyDescent="0.35">
      <c r="A317" s="13" t="s">
        <v>1699</v>
      </c>
      <c r="B317" s="41"/>
      <c r="C317" s="41" t="s">
        <v>1333</v>
      </c>
      <c r="D317" s="27">
        <v>-2842875</v>
      </c>
      <c r="E317" s="28">
        <v>-7486.71</v>
      </c>
      <c r="F317" s="29">
        <v>-4.7930000000000004E-3</v>
      </c>
      <c r="G317" s="17"/>
    </row>
    <row r="318" spans="1:7" x14ac:dyDescent="0.35">
      <c r="A318" s="13" t="s">
        <v>1700</v>
      </c>
      <c r="B318" s="41"/>
      <c r="C318" s="41" t="s">
        <v>1345</v>
      </c>
      <c r="D318" s="27">
        <v>-164550</v>
      </c>
      <c r="E318" s="28">
        <v>-7603.03</v>
      </c>
      <c r="F318" s="29">
        <v>-4.8669999999999998E-3</v>
      </c>
      <c r="G318" s="17"/>
    </row>
    <row r="319" spans="1:7" x14ac:dyDescent="0.35">
      <c r="A319" s="13" t="s">
        <v>1701</v>
      </c>
      <c r="B319" s="41"/>
      <c r="C319" s="41" t="s">
        <v>1191</v>
      </c>
      <c r="D319" s="27">
        <v>-590000</v>
      </c>
      <c r="E319" s="28">
        <v>-7842.28</v>
      </c>
      <c r="F319" s="29">
        <v>-5.0200000000000002E-3</v>
      </c>
      <c r="G319" s="17"/>
    </row>
    <row r="320" spans="1:7" x14ac:dyDescent="0.35">
      <c r="A320" s="13" t="s">
        <v>1702</v>
      </c>
      <c r="B320" s="41"/>
      <c r="C320" s="41" t="s">
        <v>1221</v>
      </c>
      <c r="D320" s="27">
        <v>-58500</v>
      </c>
      <c r="E320" s="28">
        <v>-7903.94</v>
      </c>
      <c r="F320" s="29">
        <v>-5.0600000000000003E-3</v>
      </c>
      <c r="G320" s="17"/>
    </row>
    <row r="321" spans="1:7" x14ac:dyDescent="0.35">
      <c r="A321" s="13" t="s">
        <v>1703</v>
      </c>
      <c r="B321" s="41"/>
      <c r="C321" s="41" t="s">
        <v>1211</v>
      </c>
      <c r="D321" s="27">
        <v>-2352900</v>
      </c>
      <c r="E321" s="28">
        <v>-8011.62</v>
      </c>
      <c r="F321" s="29">
        <v>-5.1289999999999999E-3</v>
      </c>
      <c r="G321" s="17"/>
    </row>
    <row r="322" spans="1:7" x14ac:dyDescent="0.35">
      <c r="A322" s="13" t="s">
        <v>1704</v>
      </c>
      <c r="B322" s="41"/>
      <c r="C322" s="41" t="s">
        <v>1216</v>
      </c>
      <c r="D322" s="27">
        <v>-1629000</v>
      </c>
      <c r="E322" s="28">
        <v>-8182.47</v>
      </c>
      <c r="F322" s="29">
        <v>-5.2379999999999996E-3</v>
      </c>
      <c r="G322" s="17"/>
    </row>
    <row r="323" spans="1:7" x14ac:dyDescent="0.35">
      <c r="A323" s="13" t="s">
        <v>1705</v>
      </c>
      <c r="B323" s="41"/>
      <c r="C323" s="41" t="s">
        <v>1333</v>
      </c>
      <c r="D323" s="27">
        <v>-7682675</v>
      </c>
      <c r="E323" s="28">
        <v>-8303.44</v>
      </c>
      <c r="F323" s="29">
        <v>-5.3160000000000004E-3</v>
      </c>
      <c r="G323" s="17"/>
    </row>
    <row r="324" spans="1:7" x14ac:dyDescent="0.35">
      <c r="A324" s="13" t="s">
        <v>1706</v>
      </c>
      <c r="B324" s="41"/>
      <c r="C324" s="41" t="s">
        <v>1211</v>
      </c>
      <c r="D324" s="27">
        <v>-5680300</v>
      </c>
      <c r="E324" s="28">
        <v>-8596.57</v>
      </c>
      <c r="F324" s="29">
        <v>-5.5030000000000001E-3</v>
      </c>
      <c r="G324" s="17"/>
    </row>
    <row r="325" spans="1:7" x14ac:dyDescent="0.35">
      <c r="A325" s="13" t="s">
        <v>1707</v>
      </c>
      <c r="B325" s="41"/>
      <c r="C325" s="41" t="s">
        <v>1211</v>
      </c>
      <c r="D325" s="27">
        <v>-2449200</v>
      </c>
      <c r="E325" s="28">
        <v>-9226.14</v>
      </c>
      <c r="F325" s="29">
        <v>-5.9059999999999998E-3</v>
      </c>
      <c r="G325" s="17"/>
    </row>
    <row r="326" spans="1:7" x14ac:dyDescent="0.35">
      <c r="A326" s="13" t="s">
        <v>1708</v>
      </c>
      <c r="B326" s="41"/>
      <c r="C326" s="41" t="s">
        <v>1178</v>
      </c>
      <c r="D326" s="27">
        <v>-7376000</v>
      </c>
      <c r="E326" s="28">
        <v>-9276.06</v>
      </c>
      <c r="F326" s="29">
        <v>-5.9379999999999997E-3</v>
      </c>
      <c r="G326" s="17"/>
    </row>
    <row r="327" spans="1:7" x14ac:dyDescent="0.35">
      <c r="A327" s="13" t="s">
        <v>1709</v>
      </c>
      <c r="B327" s="41"/>
      <c r="C327" s="41" t="s">
        <v>1324</v>
      </c>
      <c r="D327" s="27">
        <v>-1466025</v>
      </c>
      <c r="E327" s="28">
        <v>-9337.85</v>
      </c>
      <c r="F327" s="29">
        <v>-5.9779999999999998E-3</v>
      </c>
      <c r="G327" s="17"/>
    </row>
    <row r="328" spans="1:7" x14ac:dyDescent="0.35">
      <c r="A328" s="13" t="s">
        <v>1710</v>
      </c>
      <c r="B328" s="41"/>
      <c r="C328" s="41" t="s">
        <v>1211</v>
      </c>
      <c r="D328" s="27">
        <v>-2616600</v>
      </c>
      <c r="E328" s="28">
        <v>-9430.23</v>
      </c>
      <c r="F328" s="29">
        <v>-6.0369999999999998E-3</v>
      </c>
      <c r="G328" s="17"/>
    </row>
    <row r="329" spans="1:7" x14ac:dyDescent="0.35">
      <c r="A329" s="13" t="s">
        <v>1711</v>
      </c>
      <c r="B329" s="41"/>
      <c r="C329" s="41" t="s">
        <v>1178</v>
      </c>
      <c r="D329" s="27">
        <v>-3206750</v>
      </c>
      <c r="E329" s="28">
        <v>-9602.61</v>
      </c>
      <c r="F329" s="29">
        <v>-6.1469999999999997E-3</v>
      </c>
      <c r="G329" s="17"/>
    </row>
    <row r="330" spans="1:7" x14ac:dyDescent="0.35">
      <c r="A330" s="13" t="s">
        <v>1712</v>
      </c>
      <c r="B330" s="41"/>
      <c r="C330" s="41" t="s">
        <v>1342</v>
      </c>
      <c r="D330" s="27">
        <v>-497490</v>
      </c>
      <c r="E330" s="28">
        <v>-10063.73</v>
      </c>
      <c r="F330" s="29">
        <v>-6.4429999999999999E-3</v>
      </c>
      <c r="G330" s="17"/>
    </row>
    <row r="331" spans="1:7" x14ac:dyDescent="0.35">
      <c r="A331" s="13" t="s">
        <v>1713</v>
      </c>
      <c r="B331" s="41"/>
      <c r="C331" s="41" t="s">
        <v>1305</v>
      </c>
      <c r="D331" s="27">
        <v>-1275600</v>
      </c>
      <c r="E331" s="28">
        <v>-10894.9</v>
      </c>
      <c r="F331" s="29">
        <v>-6.9750000000000003E-3</v>
      </c>
      <c r="G331" s="17"/>
    </row>
    <row r="332" spans="1:7" x14ac:dyDescent="0.35">
      <c r="A332" s="13" t="s">
        <v>1714</v>
      </c>
      <c r="B332" s="41"/>
      <c r="C332" s="41" t="s">
        <v>1191</v>
      </c>
      <c r="D332" s="27">
        <v>-186750</v>
      </c>
      <c r="E332" s="28">
        <v>-10969.7</v>
      </c>
      <c r="F332" s="29">
        <v>-7.0229999999999997E-3</v>
      </c>
      <c r="G332" s="17"/>
    </row>
    <row r="333" spans="1:7" x14ac:dyDescent="0.35">
      <c r="A333" s="13" t="s">
        <v>1715</v>
      </c>
      <c r="B333" s="41"/>
      <c r="C333" s="41" t="s">
        <v>1211</v>
      </c>
      <c r="D333" s="27">
        <v>-1100550</v>
      </c>
      <c r="E333" s="28">
        <v>-11243.77</v>
      </c>
      <c r="F333" s="29">
        <v>-7.1980000000000004E-3</v>
      </c>
      <c r="G333" s="17"/>
    </row>
    <row r="334" spans="1:7" x14ac:dyDescent="0.35">
      <c r="A334" s="13" t="s">
        <v>1716</v>
      </c>
      <c r="B334" s="41"/>
      <c r="C334" s="41" t="s">
        <v>1188</v>
      </c>
      <c r="D334" s="27">
        <v>-78650</v>
      </c>
      <c r="E334" s="28">
        <v>-11536.38</v>
      </c>
      <c r="F334" s="29">
        <v>-7.3860000000000002E-3</v>
      </c>
      <c r="G334" s="17"/>
    </row>
    <row r="335" spans="1:7" x14ac:dyDescent="0.35">
      <c r="A335" s="13" t="s">
        <v>1717</v>
      </c>
      <c r="B335" s="41"/>
      <c r="C335" s="41" t="s">
        <v>1305</v>
      </c>
      <c r="D335" s="27">
        <v>-1293975</v>
      </c>
      <c r="E335" s="28">
        <v>-11592.72</v>
      </c>
      <c r="F335" s="29">
        <v>-7.4219999999999998E-3</v>
      </c>
      <c r="G335" s="17"/>
    </row>
    <row r="336" spans="1:7" x14ac:dyDescent="0.35">
      <c r="A336" s="13" t="s">
        <v>1718</v>
      </c>
      <c r="B336" s="41"/>
      <c r="C336" s="41" t="s">
        <v>1224</v>
      </c>
      <c r="D336" s="27">
        <v>-427000</v>
      </c>
      <c r="E336" s="28">
        <v>-12092.21</v>
      </c>
      <c r="F336" s="29">
        <v>-7.7409999999999996E-3</v>
      </c>
      <c r="G336" s="17"/>
    </row>
    <row r="337" spans="1:7" x14ac:dyDescent="0.35">
      <c r="A337" s="13" t="s">
        <v>1719</v>
      </c>
      <c r="B337" s="41"/>
      <c r="C337" s="41" t="s">
        <v>1261</v>
      </c>
      <c r="D337" s="27">
        <v>-6292000</v>
      </c>
      <c r="E337" s="28">
        <v>-12178.8</v>
      </c>
      <c r="F337" s="29">
        <v>-7.7970000000000001E-3</v>
      </c>
      <c r="G337" s="17"/>
    </row>
    <row r="338" spans="1:7" x14ac:dyDescent="0.35">
      <c r="A338" s="13" t="s">
        <v>1720</v>
      </c>
      <c r="B338" s="41"/>
      <c r="C338" s="41" t="s">
        <v>1178</v>
      </c>
      <c r="D338" s="27">
        <v>-3042000</v>
      </c>
      <c r="E338" s="28">
        <v>-12472.2</v>
      </c>
      <c r="F338" s="29">
        <v>-7.9850000000000008E-3</v>
      </c>
      <c r="G338" s="17"/>
    </row>
    <row r="339" spans="1:7" x14ac:dyDescent="0.35">
      <c r="A339" s="13" t="s">
        <v>1721</v>
      </c>
      <c r="B339" s="41"/>
      <c r="C339" s="41" t="s">
        <v>1211</v>
      </c>
      <c r="D339" s="27">
        <v>-4918550</v>
      </c>
      <c r="E339" s="28">
        <v>-12561.98</v>
      </c>
      <c r="F339" s="29">
        <v>-8.0420000000000005E-3</v>
      </c>
      <c r="G339" s="17"/>
    </row>
    <row r="340" spans="1:7" x14ac:dyDescent="0.35">
      <c r="A340" s="13" t="s">
        <v>1722</v>
      </c>
      <c r="B340" s="41"/>
      <c r="C340" s="41" t="s">
        <v>1178</v>
      </c>
      <c r="D340" s="27">
        <v>-58872300</v>
      </c>
      <c r="E340" s="28">
        <v>-12645.77</v>
      </c>
      <c r="F340" s="29">
        <v>-8.0960000000000008E-3</v>
      </c>
      <c r="G340" s="17"/>
    </row>
    <row r="341" spans="1:7" x14ac:dyDescent="0.35">
      <c r="A341" s="13" t="s">
        <v>1723</v>
      </c>
      <c r="B341" s="41"/>
      <c r="C341" s="41" t="s">
        <v>1305</v>
      </c>
      <c r="D341" s="27">
        <v>-2805000</v>
      </c>
      <c r="E341" s="28">
        <v>-12918.43</v>
      </c>
      <c r="F341" s="29">
        <v>-8.2699999999999996E-3</v>
      </c>
      <c r="G341" s="17"/>
    </row>
    <row r="342" spans="1:7" x14ac:dyDescent="0.35">
      <c r="A342" s="13" t="s">
        <v>1724</v>
      </c>
      <c r="B342" s="41"/>
      <c r="C342" s="41" t="s">
        <v>1301</v>
      </c>
      <c r="D342" s="27">
        <v>-5071500</v>
      </c>
      <c r="E342" s="28">
        <v>-13609.37</v>
      </c>
      <c r="F342" s="29">
        <v>-8.7130000000000003E-3</v>
      </c>
      <c r="G342" s="17"/>
    </row>
    <row r="343" spans="1:7" x14ac:dyDescent="0.35">
      <c r="A343" s="13" t="s">
        <v>1725</v>
      </c>
      <c r="B343" s="41"/>
      <c r="C343" s="41" t="s">
        <v>1198</v>
      </c>
      <c r="D343" s="27">
        <v>-3082100</v>
      </c>
      <c r="E343" s="28">
        <v>-13716.89</v>
      </c>
      <c r="F343" s="29">
        <v>-8.7819999999999999E-3</v>
      </c>
      <c r="G343" s="17"/>
    </row>
    <row r="344" spans="1:7" x14ac:dyDescent="0.35">
      <c r="A344" s="13" t="s">
        <v>1726</v>
      </c>
      <c r="B344" s="41"/>
      <c r="C344" s="41" t="s">
        <v>1234</v>
      </c>
      <c r="D344" s="27">
        <v>-1153900</v>
      </c>
      <c r="E344" s="28">
        <v>-13929.88</v>
      </c>
      <c r="F344" s="29">
        <v>-8.9180000000000006E-3</v>
      </c>
      <c r="G344" s="17"/>
    </row>
    <row r="345" spans="1:7" x14ac:dyDescent="0.35">
      <c r="A345" s="13" t="s">
        <v>1727</v>
      </c>
      <c r="B345" s="41"/>
      <c r="C345" s="41" t="s">
        <v>1188</v>
      </c>
      <c r="D345" s="27">
        <v>-404800</v>
      </c>
      <c r="E345" s="28">
        <v>-13957.91</v>
      </c>
      <c r="F345" s="29">
        <v>-8.9359999999999995E-3</v>
      </c>
      <c r="G345" s="17"/>
    </row>
    <row r="346" spans="1:7" x14ac:dyDescent="0.35">
      <c r="A346" s="13" t="s">
        <v>1728</v>
      </c>
      <c r="B346" s="41"/>
      <c r="C346" s="41" t="s">
        <v>1206</v>
      </c>
      <c r="D346" s="27">
        <v>-3604500</v>
      </c>
      <c r="E346" s="28">
        <v>-15450.69</v>
      </c>
      <c r="F346" s="29">
        <v>-9.8919999999999998E-3</v>
      </c>
      <c r="G346" s="17"/>
    </row>
    <row r="347" spans="1:7" x14ac:dyDescent="0.35">
      <c r="A347" s="13" t="s">
        <v>1729</v>
      </c>
      <c r="B347" s="41"/>
      <c r="C347" s="41" t="s">
        <v>1216</v>
      </c>
      <c r="D347" s="27">
        <v>-2127600</v>
      </c>
      <c r="E347" s="28">
        <v>-15608.07</v>
      </c>
      <c r="F347" s="29">
        <v>-9.9919999999999991E-3</v>
      </c>
      <c r="G347" s="17"/>
    </row>
    <row r="348" spans="1:7" x14ac:dyDescent="0.35">
      <c r="A348" s="13" t="s">
        <v>1730</v>
      </c>
      <c r="B348" s="41"/>
      <c r="C348" s="41" t="s">
        <v>1285</v>
      </c>
      <c r="D348" s="27">
        <v>-3563925</v>
      </c>
      <c r="E348" s="28">
        <v>-16043.01</v>
      </c>
      <c r="F348" s="29">
        <v>-1.0271000000000001E-2</v>
      </c>
      <c r="G348" s="17"/>
    </row>
    <row r="349" spans="1:7" x14ac:dyDescent="0.35">
      <c r="A349" s="13" t="s">
        <v>1731</v>
      </c>
      <c r="B349" s="41"/>
      <c r="C349" s="41" t="s">
        <v>1288</v>
      </c>
      <c r="D349" s="27">
        <v>-234250</v>
      </c>
      <c r="E349" s="28">
        <v>-16464.259999999998</v>
      </c>
      <c r="F349" s="29">
        <v>-1.0541E-2</v>
      </c>
      <c r="G349" s="17"/>
    </row>
    <row r="350" spans="1:7" x14ac:dyDescent="0.35">
      <c r="A350" s="13" t="s">
        <v>1732</v>
      </c>
      <c r="B350" s="41"/>
      <c r="C350" s="41" t="s">
        <v>1285</v>
      </c>
      <c r="D350" s="27">
        <v>-357450</v>
      </c>
      <c r="E350" s="28">
        <v>-16534.21</v>
      </c>
      <c r="F350" s="29">
        <v>-1.0585000000000001E-2</v>
      </c>
      <c r="G350" s="17"/>
    </row>
    <row r="351" spans="1:7" x14ac:dyDescent="0.35">
      <c r="A351" s="13" t="s">
        <v>1733</v>
      </c>
      <c r="B351" s="41"/>
      <c r="C351" s="41" t="s">
        <v>1211</v>
      </c>
      <c r="D351" s="27">
        <v>-2060250</v>
      </c>
      <c r="E351" s="28">
        <v>-19219.04</v>
      </c>
      <c r="F351" s="29">
        <v>-1.2304000000000001E-2</v>
      </c>
      <c r="G351" s="17"/>
    </row>
    <row r="352" spans="1:7" x14ac:dyDescent="0.35">
      <c r="A352" s="13" t="s">
        <v>1734</v>
      </c>
      <c r="B352" s="41"/>
      <c r="C352" s="41" t="s">
        <v>1198</v>
      </c>
      <c r="D352" s="27">
        <v>-995600</v>
      </c>
      <c r="E352" s="28">
        <v>-19657.13</v>
      </c>
      <c r="F352" s="29">
        <v>-1.2585000000000001E-2</v>
      </c>
      <c r="G352" s="17"/>
    </row>
    <row r="353" spans="1:7" x14ac:dyDescent="0.35">
      <c r="A353" s="13" t="s">
        <v>1735</v>
      </c>
      <c r="B353" s="41"/>
      <c r="C353" s="41" t="s">
        <v>1234</v>
      </c>
      <c r="D353" s="27">
        <v>-990375</v>
      </c>
      <c r="E353" s="28">
        <v>-20053.11</v>
      </c>
      <c r="F353" s="29">
        <v>-1.2838E-2</v>
      </c>
      <c r="G353" s="17"/>
    </row>
    <row r="354" spans="1:7" x14ac:dyDescent="0.35">
      <c r="A354" s="13" t="s">
        <v>1736</v>
      </c>
      <c r="B354" s="41"/>
      <c r="C354" s="41" t="s">
        <v>1280</v>
      </c>
      <c r="D354" s="27">
        <v>-873125</v>
      </c>
      <c r="E354" s="28">
        <v>-22090.06</v>
      </c>
      <c r="F354" s="29">
        <v>-1.4142E-2</v>
      </c>
      <c r="G354" s="17"/>
    </row>
    <row r="355" spans="1:7" x14ac:dyDescent="0.35">
      <c r="A355" s="13" t="s">
        <v>1737</v>
      </c>
      <c r="B355" s="41"/>
      <c r="C355" s="41" t="s">
        <v>1261</v>
      </c>
      <c r="D355" s="27">
        <v>-17310100</v>
      </c>
      <c r="E355" s="28">
        <v>-26320.01</v>
      </c>
      <c r="F355" s="29">
        <v>-1.6851000000000001E-2</v>
      </c>
      <c r="G355" s="17"/>
    </row>
    <row r="356" spans="1:7" x14ac:dyDescent="0.35">
      <c r="A356" s="13" t="s">
        <v>1738</v>
      </c>
      <c r="B356" s="41"/>
      <c r="C356" s="41" t="s">
        <v>1275</v>
      </c>
      <c r="D356" s="27">
        <v>-8206400</v>
      </c>
      <c r="E356" s="28">
        <v>-26576.43</v>
      </c>
      <c r="F356" s="29">
        <v>-1.7014999999999999E-2</v>
      </c>
      <c r="G356" s="17"/>
    </row>
    <row r="357" spans="1:7" x14ac:dyDescent="0.35">
      <c r="A357" s="13" t="s">
        <v>1739</v>
      </c>
      <c r="B357" s="41"/>
      <c r="C357" s="41" t="s">
        <v>1272</v>
      </c>
      <c r="D357" s="27">
        <v>-34155000</v>
      </c>
      <c r="E357" s="28">
        <v>-27730.44</v>
      </c>
      <c r="F357" s="29">
        <v>-1.7753999999999999E-2</v>
      </c>
      <c r="G357" s="17"/>
    </row>
    <row r="358" spans="1:7" x14ac:dyDescent="0.35">
      <c r="A358" s="13" t="s">
        <v>1740</v>
      </c>
      <c r="B358" s="41"/>
      <c r="C358" s="41" t="s">
        <v>1269</v>
      </c>
      <c r="D358" s="27">
        <v>-4102050</v>
      </c>
      <c r="E358" s="28">
        <v>-28078.53</v>
      </c>
      <c r="F358" s="29">
        <v>-1.7975999999999999E-2</v>
      </c>
      <c r="G358" s="17"/>
    </row>
    <row r="359" spans="1:7" x14ac:dyDescent="0.35">
      <c r="A359" s="13" t="s">
        <v>1741</v>
      </c>
      <c r="B359" s="41"/>
      <c r="C359" s="41" t="s">
        <v>1266</v>
      </c>
      <c r="D359" s="27">
        <v>-10614225</v>
      </c>
      <c r="E359" s="28">
        <v>-29109.51</v>
      </c>
      <c r="F359" s="29">
        <v>-1.8637000000000001E-2</v>
      </c>
      <c r="G359" s="17"/>
    </row>
    <row r="360" spans="1:7" x14ac:dyDescent="0.35">
      <c r="A360" s="13" t="s">
        <v>1742</v>
      </c>
      <c r="B360" s="41"/>
      <c r="C360" s="41" t="s">
        <v>1178</v>
      </c>
      <c r="D360" s="27">
        <v>-2142500</v>
      </c>
      <c r="E360" s="28">
        <v>-29420.81</v>
      </c>
      <c r="F360" s="29">
        <v>-1.8835999999999999E-2</v>
      </c>
      <c r="G360" s="17"/>
    </row>
    <row r="361" spans="1:7" x14ac:dyDescent="0.35">
      <c r="A361" s="13" t="s">
        <v>1743</v>
      </c>
      <c r="B361" s="41"/>
      <c r="C361" s="41" t="s">
        <v>1261</v>
      </c>
      <c r="D361" s="27">
        <v>-2812725</v>
      </c>
      <c r="E361" s="28">
        <v>-34287.120000000003</v>
      </c>
      <c r="F361" s="29">
        <v>-2.1950999999999998E-2</v>
      </c>
      <c r="G361" s="17"/>
    </row>
    <row r="362" spans="1:7" x14ac:dyDescent="0.35">
      <c r="A362" s="13" t="s">
        <v>1744</v>
      </c>
      <c r="B362" s="41"/>
      <c r="C362" s="41" t="s">
        <v>1206</v>
      </c>
      <c r="D362" s="27">
        <v>-2633000</v>
      </c>
      <c r="E362" s="28">
        <v>-36848.839999999997</v>
      </c>
      <c r="F362" s="29">
        <v>-2.3591999999999998E-2</v>
      </c>
      <c r="G362" s="17"/>
    </row>
    <row r="363" spans="1:7" x14ac:dyDescent="0.35">
      <c r="A363" s="13" t="s">
        <v>1745</v>
      </c>
      <c r="B363" s="41"/>
      <c r="C363" s="41" t="s">
        <v>1198</v>
      </c>
      <c r="D363" s="27">
        <v>-355302225</v>
      </c>
      <c r="E363" s="28">
        <v>-39829.379999999997</v>
      </c>
      <c r="F363" s="29">
        <v>-2.5499999999999998E-2</v>
      </c>
      <c r="G363" s="17"/>
    </row>
    <row r="364" spans="1:7" x14ac:dyDescent="0.35">
      <c r="A364" s="13" t="s">
        <v>1746</v>
      </c>
      <c r="B364" s="41"/>
      <c r="C364" s="41" t="s">
        <v>1178</v>
      </c>
      <c r="D364" s="27">
        <v>-3032400</v>
      </c>
      <c r="E364" s="28">
        <v>-41292.19</v>
      </c>
      <c r="F364" s="29">
        <v>-2.6436000000000001E-2</v>
      </c>
      <c r="G364" s="17"/>
    </row>
    <row r="365" spans="1:7" x14ac:dyDescent="0.35">
      <c r="A365" s="13" t="s">
        <v>1747</v>
      </c>
      <c r="B365" s="41"/>
      <c r="C365" s="41" t="s">
        <v>1178</v>
      </c>
      <c r="D365" s="27">
        <v>-8576700</v>
      </c>
      <c r="E365" s="28">
        <v>-80093.509999999995</v>
      </c>
      <c r="F365" s="29">
        <v>-5.1277999999999997E-2</v>
      </c>
      <c r="G365" s="17"/>
    </row>
    <row r="366" spans="1:7" x14ac:dyDescent="0.35">
      <c r="A366" s="14" t="s">
        <v>149</v>
      </c>
      <c r="B366" s="42"/>
      <c r="C366" s="42"/>
      <c r="D366" s="18"/>
      <c r="E366" s="30">
        <v>-1158124.71</v>
      </c>
      <c r="F366" s="31">
        <v>-0.74139200000000005</v>
      </c>
      <c r="G366" s="21"/>
    </row>
    <row r="367" spans="1:7" x14ac:dyDescent="0.35">
      <c r="A367" s="13"/>
      <c r="B367" s="41"/>
      <c r="C367" s="41"/>
      <c r="D367" s="15"/>
      <c r="E367" s="16"/>
      <c r="F367" s="17"/>
      <c r="G367" s="17"/>
    </row>
    <row r="368" spans="1:7" x14ac:dyDescent="0.35">
      <c r="A368" s="13"/>
      <c r="B368" s="41"/>
      <c r="C368" s="41"/>
      <c r="D368" s="15"/>
      <c r="E368" s="16"/>
      <c r="F368" s="17"/>
      <c r="G368" s="17"/>
    </row>
    <row r="369" spans="1:7" x14ac:dyDescent="0.35">
      <c r="A369" s="13"/>
      <c r="B369" s="41"/>
      <c r="C369" s="41"/>
      <c r="D369" s="15"/>
      <c r="E369" s="16"/>
      <c r="F369" s="17"/>
      <c r="G369" s="17"/>
    </row>
    <row r="370" spans="1:7" x14ac:dyDescent="0.35">
      <c r="A370" s="22" t="s">
        <v>160</v>
      </c>
      <c r="B370" s="43"/>
      <c r="C370" s="43"/>
      <c r="D370" s="23"/>
      <c r="E370" s="32">
        <v>-1158124.71</v>
      </c>
      <c r="F370" s="33">
        <v>-0.74139200000000005</v>
      </c>
      <c r="G370" s="21"/>
    </row>
    <row r="371" spans="1:7" x14ac:dyDescent="0.35">
      <c r="A371" s="13"/>
      <c r="B371" s="41"/>
      <c r="C371" s="41"/>
      <c r="D371" s="15"/>
      <c r="E371" s="16"/>
      <c r="F371" s="17"/>
      <c r="G371" s="17"/>
    </row>
    <row r="372" spans="1:7" x14ac:dyDescent="0.35">
      <c r="A372" s="14" t="s">
        <v>147</v>
      </c>
      <c r="B372" s="41"/>
      <c r="C372" s="41"/>
      <c r="D372" s="15"/>
      <c r="E372" s="16"/>
      <c r="F372" s="17"/>
      <c r="G372" s="17"/>
    </row>
    <row r="373" spans="1:7" x14ac:dyDescent="0.35">
      <c r="A373" s="14" t="s">
        <v>307</v>
      </c>
      <c r="B373" s="41"/>
      <c r="C373" s="41"/>
      <c r="D373" s="15"/>
      <c r="E373" s="16"/>
      <c r="F373" s="17"/>
      <c r="G373" s="17"/>
    </row>
    <row r="374" spans="1:7" x14ac:dyDescent="0.35">
      <c r="A374" s="13" t="s">
        <v>1748</v>
      </c>
      <c r="B374" s="41" t="s">
        <v>1749</v>
      </c>
      <c r="C374" s="41" t="s">
        <v>310</v>
      </c>
      <c r="D374" s="15">
        <v>19000000</v>
      </c>
      <c r="E374" s="16">
        <v>18858.13</v>
      </c>
      <c r="F374" s="17">
        <v>1.21E-2</v>
      </c>
      <c r="G374" s="17">
        <v>7.7299999999999994E-2</v>
      </c>
    </row>
    <row r="375" spans="1:7" x14ac:dyDescent="0.35">
      <c r="A375" s="13" t="s">
        <v>944</v>
      </c>
      <c r="B375" s="41" t="s">
        <v>945</v>
      </c>
      <c r="C375" s="41" t="s">
        <v>317</v>
      </c>
      <c r="D375" s="15">
        <v>5000000</v>
      </c>
      <c r="E375" s="16">
        <v>4960.83</v>
      </c>
      <c r="F375" s="17">
        <v>3.2000000000000002E-3</v>
      </c>
      <c r="G375" s="17">
        <v>7.1599999999999997E-2</v>
      </c>
    </row>
    <row r="376" spans="1:7" x14ac:dyDescent="0.35">
      <c r="A376" s="13" t="s">
        <v>1750</v>
      </c>
      <c r="B376" s="41" t="s">
        <v>1751</v>
      </c>
      <c r="C376" s="41" t="s">
        <v>310</v>
      </c>
      <c r="D376" s="15">
        <v>2500000</v>
      </c>
      <c r="E376" s="16">
        <v>2535.06</v>
      </c>
      <c r="F376" s="17">
        <v>1.6000000000000001E-3</v>
      </c>
      <c r="G376" s="17">
        <v>7.7299999999999994E-2</v>
      </c>
    </row>
    <row r="377" spans="1:7" x14ac:dyDescent="0.35">
      <c r="A377" s="13" t="s">
        <v>774</v>
      </c>
      <c r="B377" s="41" t="s">
        <v>775</v>
      </c>
      <c r="C377" s="41" t="s">
        <v>310</v>
      </c>
      <c r="D377" s="15">
        <v>2000000</v>
      </c>
      <c r="E377" s="16">
        <v>2015.97</v>
      </c>
      <c r="F377" s="17">
        <v>1.2999999999999999E-3</v>
      </c>
      <c r="G377" s="17">
        <v>7.0302000000000003E-2</v>
      </c>
    </row>
    <row r="378" spans="1:7" x14ac:dyDescent="0.35">
      <c r="A378" s="13" t="s">
        <v>936</v>
      </c>
      <c r="B378" s="41" t="s">
        <v>937</v>
      </c>
      <c r="C378" s="41" t="s">
        <v>317</v>
      </c>
      <c r="D378" s="15">
        <v>1000000</v>
      </c>
      <c r="E378" s="16">
        <v>1006.04</v>
      </c>
      <c r="F378" s="17">
        <v>5.9999999999999995E-4</v>
      </c>
      <c r="G378" s="17">
        <v>7.1900000000000006E-2</v>
      </c>
    </row>
    <row r="379" spans="1:7" x14ac:dyDescent="0.35">
      <c r="A379" s="13" t="s">
        <v>1752</v>
      </c>
      <c r="B379" s="41" t="s">
        <v>1753</v>
      </c>
      <c r="C379" s="41" t="s">
        <v>310</v>
      </c>
      <c r="D379" s="15">
        <v>1000000</v>
      </c>
      <c r="E379" s="16">
        <v>991.9</v>
      </c>
      <c r="F379" s="17">
        <v>5.9999999999999995E-4</v>
      </c>
      <c r="G379" s="17">
        <v>7.6100000000000001E-2</v>
      </c>
    </row>
    <row r="380" spans="1:7" x14ac:dyDescent="0.35">
      <c r="A380" s="14" t="s">
        <v>149</v>
      </c>
      <c r="B380" s="42"/>
      <c r="C380" s="42"/>
      <c r="D380" s="18"/>
      <c r="E380" s="19">
        <v>30367.93</v>
      </c>
      <c r="F380" s="20">
        <v>1.9400000000000001E-2</v>
      </c>
      <c r="G380" s="21"/>
    </row>
    <row r="381" spans="1:7" x14ac:dyDescent="0.35">
      <c r="A381" s="13"/>
      <c r="B381" s="41"/>
      <c r="C381" s="41"/>
      <c r="D381" s="15"/>
      <c r="E381" s="16"/>
      <c r="F381" s="17"/>
      <c r="G381" s="17"/>
    </row>
    <row r="382" spans="1:7" x14ac:dyDescent="0.35">
      <c r="A382" s="14" t="s">
        <v>463</v>
      </c>
      <c r="B382" s="41"/>
      <c r="C382" s="41"/>
      <c r="D382" s="15"/>
      <c r="E382" s="16"/>
      <c r="F382" s="17"/>
      <c r="G382" s="17"/>
    </row>
    <row r="383" spans="1:7" x14ac:dyDescent="0.35">
      <c r="A383" s="13" t="s">
        <v>1754</v>
      </c>
      <c r="B383" s="41" t="s">
        <v>1755</v>
      </c>
      <c r="C383" s="41" t="s">
        <v>153</v>
      </c>
      <c r="D383" s="15">
        <v>10000000</v>
      </c>
      <c r="E383" s="16">
        <v>10164.34</v>
      </c>
      <c r="F383" s="17">
        <v>6.4999999999999997E-3</v>
      </c>
      <c r="G383" s="17">
        <v>5.7842999999999999E-2</v>
      </c>
    </row>
    <row r="384" spans="1:7" x14ac:dyDescent="0.35">
      <c r="A384" s="14" t="s">
        <v>149</v>
      </c>
      <c r="B384" s="42"/>
      <c r="C384" s="42"/>
      <c r="D384" s="18"/>
      <c r="E384" s="19">
        <v>10164.34</v>
      </c>
      <c r="F384" s="20">
        <v>6.4999999999999997E-3</v>
      </c>
      <c r="G384" s="21"/>
    </row>
    <row r="385" spans="1:7" x14ac:dyDescent="0.35">
      <c r="A385" s="13"/>
      <c r="B385" s="41"/>
      <c r="C385" s="41"/>
      <c r="D385" s="15"/>
      <c r="E385" s="16"/>
      <c r="F385" s="17"/>
      <c r="G385" s="17"/>
    </row>
    <row r="386" spans="1:7" x14ac:dyDescent="0.35">
      <c r="A386" s="14" t="s">
        <v>158</v>
      </c>
      <c r="B386" s="41"/>
      <c r="C386" s="41"/>
      <c r="D386" s="15"/>
      <c r="E386" s="16"/>
      <c r="F386" s="17"/>
      <c r="G386" s="17"/>
    </row>
    <row r="387" spans="1:7" x14ac:dyDescent="0.35">
      <c r="A387" s="14" t="s">
        <v>149</v>
      </c>
      <c r="B387" s="41"/>
      <c r="C387" s="41"/>
      <c r="D387" s="15"/>
      <c r="E387" s="34" t="s">
        <v>146</v>
      </c>
      <c r="F387" s="35" t="s">
        <v>146</v>
      </c>
      <c r="G387" s="17"/>
    </row>
    <row r="388" spans="1:7" x14ac:dyDescent="0.35">
      <c r="A388" s="13"/>
      <c r="B388" s="41"/>
      <c r="C388" s="41"/>
      <c r="D388" s="15"/>
      <c r="E388" s="16"/>
      <c r="F388" s="17"/>
      <c r="G388" s="17"/>
    </row>
    <row r="389" spans="1:7" x14ac:dyDescent="0.35">
      <c r="A389" s="14" t="s">
        <v>159</v>
      </c>
      <c r="B389" s="41"/>
      <c r="C389" s="41"/>
      <c r="D389" s="15"/>
      <c r="E389" s="16"/>
      <c r="F389" s="17"/>
      <c r="G389" s="17"/>
    </row>
    <row r="390" spans="1:7" x14ac:dyDescent="0.35">
      <c r="A390" s="14" t="s">
        <v>149</v>
      </c>
      <c r="B390" s="41"/>
      <c r="C390" s="41"/>
      <c r="D390" s="15"/>
      <c r="E390" s="34" t="s">
        <v>146</v>
      </c>
      <c r="F390" s="35" t="s">
        <v>146</v>
      </c>
      <c r="G390" s="17"/>
    </row>
    <row r="391" spans="1:7" x14ac:dyDescent="0.35">
      <c r="A391" s="13"/>
      <c r="B391" s="41"/>
      <c r="C391" s="41"/>
      <c r="D391" s="15"/>
      <c r="E391" s="16"/>
      <c r="F391" s="17"/>
      <c r="G391" s="17"/>
    </row>
    <row r="392" spans="1:7" x14ac:dyDescent="0.35">
      <c r="A392" s="22" t="s">
        <v>160</v>
      </c>
      <c r="B392" s="43"/>
      <c r="C392" s="43"/>
      <c r="D392" s="23"/>
      <c r="E392" s="36">
        <v>40532.269999999997</v>
      </c>
      <c r="F392" s="37">
        <v>2.5899999999999999E-2</v>
      </c>
      <c r="G392" s="21"/>
    </row>
    <row r="393" spans="1:7" x14ac:dyDescent="0.35">
      <c r="A393" s="13"/>
      <c r="B393" s="41"/>
      <c r="C393" s="41"/>
      <c r="D393" s="15"/>
      <c r="E393" s="16"/>
      <c r="F393" s="17"/>
      <c r="G393" s="17"/>
    </row>
    <row r="394" spans="1:7" x14ac:dyDescent="0.35">
      <c r="A394" s="14" t="s">
        <v>161</v>
      </c>
      <c r="B394" s="41"/>
      <c r="C394" s="41"/>
      <c r="D394" s="15"/>
      <c r="E394" s="16"/>
      <c r="F394" s="17"/>
      <c r="G394" s="17"/>
    </row>
    <row r="395" spans="1:7" x14ac:dyDescent="0.35">
      <c r="A395" s="13"/>
      <c r="B395" s="41"/>
      <c r="C395" s="41"/>
      <c r="D395" s="15"/>
      <c r="E395" s="16"/>
      <c r="F395" s="17"/>
      <c r="G395" s="17"/>
    </row>
    <row r="396" spans="1:7" x14ac:dyDescent="0.35">
      <c r="A396" s="14" t="s">
        <v>162</v>
      </c>
      <c r="B396" s="41"/>
      <c r="C396" s="41"/>
      <c r="D396" s="15"/>
      <c r="E396" s="16"/>
      <c r="F396" s="17"/>
      <c r="G396" s="17"/>
    </row>
    <row r="397" spans="1:7" x14ac:dyDescent="0.35">
      <c r="A397" s="13" t="s">
        <v>1756</v>
      </c>
      <c r="B397" s="41" t="s">
        <v>1757</v>
      </c>
      <c r="C397" s="41" t="s">
        <v>153</v>
      </c>
      <c r="D397" s="15">
        <v>500000</v>
      </c>
      <c r="E397" s="16">
        <v>489.82</v>
      </c>
      <c r="F397" s="17">
        <v>2.9999999999999997E-4</v>
      </c>
      <c r="G397" s="17">
        <v>5.5382000000000001E-2</v>
      </c>
    </row>
    <row r="398" spans="1:7" x14ac:dyDescent="0.35">
      <c r="A398" s="13" t="s">
        <v>1758</v>
      </c>
      <c r="B398" s="41" t="s">
        <v>1759</v>
      </c>
      <c r="C398" s="41" t="s">
        <v>153</v>
      </c>
      <c r="D398" s="15">
        <v>500000</v>
      </c>
      <c r="E398" s="16">
        <v>483.1</v>
      </c>
      <c r="F398" s="17">
        <v>2.9999999999999997E-4</v>
      </c>
      <c r="G398" s="17">
        <v>5.5989999999999998E-2</v>
      </c>
    </row>
    <row r="399" spans="1:7" x14ac:dyDescent="0.35">
      <c r="A399" s="14" t="s">
        <v>149</v>
      </c>
      <c r="B399" s="42"/>
      <c r="C399" s="42"/>
      <c r="D399" s="18"/>
      <c r="E399" s="19">
        <v>972.92</v>
      </c>
      <c r="F399" s="20">
        <v>5.9999999999999995E-4</v>
      </c>
      <c r="G399" s="21"/>
    </row>
    <row r="400" spans="1:7" x14ac:dyDescent="0.35">
      <c r="A400" s="14" t="s">
        <v>173</v>
      </c>
      <c r="B400" s="41"/>
      <c r="C400" s="41"/>
      <c r="D400" s="15"/>
      <c r="E400" s="16"/>
      <c r="F400" s="17"/>
      <c r="G400" s="17"/>
    </row>
    <row r="401" spans="1:7" x14ac:dyDescent="0.35">
      <c r="A401" s="13" t="s">
        <v>1760</v>
      </c>
      <c r="B401" s="41" t="s">
        <v>1761</v>
      </c>
      <c r="C401" s="41" t="s">
        <v>176</v>
      </c>
      <c r="D401" s="15">
        <v>15000000</v>
      </c>
      <c r="E401" s="16">
        <v>14683.5</v>
      </c>
      <c r="F401" s="17">
        <v>9.4000000000000004E-3</v>
      </c>
      <c r="G401" s="17">
        <v>7.2848999999999997E-2</v>
      </c>
    </row>
    <row r="402" spans="1:7" x14ac:dyDescent="0.35">
      <c r="A402" s="13" t="s">
        <v>213</v>
      </c>
      <c r="B402" s="41" t="s">
        <v>214</v>
      </c>
      <c r="C402" s="41" t="s">
        <v>176</v>
      </c>
      <c r="D402" s="15">
        <v>15000000</v>
      </c>
      <c r="E402" s="16">
        <v>14107.1</v>
      </c>
      <c r="F402" s="17">
        <v>8.9999999999999993E-3</v>
      </c>
      <c r="G402" s="17">
        <v>7.2650000000000006E-2</v>
      </c>
    </row>
    <row r="403" spans="1:7" x14ac:dyDescent="0.35">
      <c r="A403" s="13" t="s">
        <v>1762</v>
      </c>
      <c r="B403" s="41" t="s">
        <v>1763</v>
      </c>
      <c r="C403" s="41" t="s">
        <v>176</v>
      </c>
      <c r="D403" s="15">
        <v>10000000</v>
      </c>
      <c r="E403" s="16">
        <v>9414.01</v>
      </c>
      <c r="F403" s="17">
        <v>6.0000000000000001E-3</v>
      </c>
      <c r="G403" s="17">
        <v>7.0999999999999994E-2</v>
      </c>
    </row>
    <row r="404" spans="1:7" x14ac:dyDescent="0.35">
      <c r="A404" s="13" t="s">
        <v>967</v>
      </c>
      <c r="B404" s="41" t="s">
        <v>968</v>
      </c>
      <c r="C404" s="41" t="s">
        <v>183</v>
      </c>
      <c r="D404" s="15">
        <v>10000000</v>
      </c>
      <c r="E404" s="16">
        <v>9389.5499999999993</v>
      </c>
      <c r="F404" s="17">
        <v>6.0000000000000001E-3</v>
      </c>
      <c r="G404" s="17">
        <v>7.0000000000000007E-2</v>
      </c>
    </row>
    <row r="405" spans="1:7" x14ac:dyDescent="0.35">
      <c r="A405" s="13" t="s">
        <v>1764</v>
      </c>
      <c r="B405" s="41" t="s">
        <v>1765</v>
      </c>
      <c r="C405" s="41" t="s">
        <v>176</v>
      </c>
      <c r="D405" s="15">
        <v>10000000</v>
      </c>
      <c r="E405" s="16">
        <v>9359.5499999999993</v>
      </c>
      <c r="F405" s="17">
        <v>6.0000000000000001E-3</v>
      </c>
      <c r="G405" s="17">
        <v>7.1978E-2</v>
      </c>
    </row>
    <row r="406" spans="1:7" x14ac:dyDescent="0.35">
      <c r="A406" s="13" t="s">
        <v>1766</v>
      </c>
      <c r="B406" s="41" t="s">
        <v>1767</v>
      </c>
      <c r="C406" s="41" t="s">
        <v>176</v>
      </c>
      <c r="D406" s="15">
        <v>5000000</v>
      </c>
      <c r="E406" s="16">
        <v>4964.1000000000004</v>
      </c>
      <c r="F406" s="17">
        <v>3.2000000000000002E-3</v>
      </c>
      <c r="G406" s="17">
        <v>6.6001000000000004E-2</v>
      </c>
    </row>
    <row r="407" spans="1:7" x14ac:dyDescent="0.35">
      <c r="A407" s="13" t="s">
        <v>1768</v>
      </c>
      <c r="B407" s="41" t="s">
        <v>1769</v>
      </c>
      <c r="C407" s="41" t="s">
        <v>176</v>
      </c>
      <c r="D407" s="15">
        <v>5000000</v>
      </c>
      <c r="E407" s="16">
        <v>4951.93</v>
      </c>
      <c r="F407" s="17">
        <v>3.2000000000000002E-3</v>
      </c>
      <c r="G407" s="17">
        <v>6.6851999999999995E-2</v>
      </c>
    </row>
    <row r="408" spans="1:7" x14ac:dyDescent="0.35">
      <c r="A408" s="13" t="s">
        <v>1770</v>
      </c>
      <c r="B408" s="41" t="s">
        <v>1771</v>
      </c>
      <c r="C408" s="41" t="s">
        <v>703</v>
      </c>
      <c r="D408" s="15">
        <v>5000000</v>
      </c>
      <c r="E408" s="16">
        <v>4896.09</v>
      </c>
      <c r="F408" s="17">
        <v>3.0999999999999999E-3</v>
      </c>
      <c r="G408" s="17">
        <v>7.2400000000000006E-2</v>
      </c>
    </row>
    <row r="409" spans="1:7" x14ac:dyDescent="0.35">
      <c r="A409" s="13" t="s">
        <v>193</v>
      </c>
      <c r="B409" s="41" t="s">
        <v>194</v>
      </c>
      <c r="C409" s="41" t="s">
        <v>176</v>
      </c>
      <c r="D409" s="15">
        <v>5000000</v>
      </c>
      <c r="E409" s="16">
        <v>4887.0200000000004</v>
      </c>
      <c r="F409" s="17">
        <v>3.0999999999999999E-3</v>
      </c>
      <c r="G409" s="17">
        <v>7.2124999999999995E-2</v>
      </c>
    </row>
    <row r="410" spans="1:7" x14ac:dyDescent="0.35">
      <c r="A410" s="13" t="s">
        <v>1772</v>
      </c>
      <c r="B410" s="41" t="s">
        <v>1773</v>
      </c>
      <c r="C410" s="41" t="s">
        <v>183</v>
      </c>
      <c r="D410" s="15">
        <v>5000000</v>
      </c>
      <c r="E410" s="16">
        <v>4880</v>
      </c>
      <c r="F410" s="17">
        <v>3.0999999999999999E-3</v>
      </c>
      <c r="G410" s="17">
        <v>7.2385000000000005E-2</v>
      </c>
    </row>
    <row r="411" spans="1:7" x14ac:dyDescent="0.35">
      <c r="A411" s="13" t="s">
        <v>1774</v>
      </c>
      <c r="B411" s="41" t="s">
        <v>1775</v>
      </c>
      <c r="C411" s="41" t="s">
        <v>703</v>
      </c>
      <c r="D411" s="15">
        <v>5000000</v>
      </c>
      <c r="E411" s="16">
        <v>4862.09</v>
      </c>
      <c r="F411" s="17">
        <v>3.0999999999999999E-3</v>
      </c>
      <c r="G411" s="17">
        <v>7.2400999999999993E-2</v>
      </c>
    </row>
    <row r="412" spans="1:7" x14ac:dyDescent="0.35">
      <c r="A412" s="13" t="s">
        <v>1776</v>
      </c>
      <c r="B412" s="41" t="s">
        <v>1777</v>
      </c>
      <c r="C412" s="41" t="s">
        <v>176</v>
      </c>
      <c r="D412" s="15">
        <v>5000000</v>
      </c>
      <c r="E412" s="16">
        <v>4689.09</v>
      </c>
      <c r="F412" s="17">
        <v>3.0000000000000001E-3</v>
      </c>
      <c r="G412" s="17">
        <v>7.0150000000000004E-2</v>
      </c>
    </row>
    <row r="413" spans="1:7" x14ac:dyDescent="0.35">
      <c r="A413" s="13" t="s">
        <v>1778</v>
      </c>
      <c r="B413" s="41" t="s">
        <v>1779</v>
      </c>
      <c r="C413" s="41" t="s">
        <v>176</v>
      </c>
      <c r="D413" s="15">
        <v>5000000</v>
      </c>
      <c r="E413" s="16">
        <v>4687.1899999999996</v>
      </c>
      <c r="F413" s="17">
        <v>3.0000000000000001E-3</v>
      </c>
      <c r="G413" s="17">
        <v>7.0199999999999999E-2</v>
      </c>
    </row>
    <row r="414" spans="1:7" x14ac:dyDescent="0.35">
      <c r="A414" s="13" t="s">
        <v>1780</v>
      </c>
      <c r="B414" s="41" t="s">
        <v>1781</v>
      </c>
      <c r="C414" s="41" t="s">
        <v>183</v>
      </c>
      <c r="D414" s="15">
        <v>2500000</v>
      </c>
      <c r="E414" s="16">
        <v>2482.33</v>
      </c>
      <c r="F414" s="17">
        <v>1.6000000000000001E-3</v>
      </c>
      <c r="G414" s="17">
        <v>6.6614999999999994E-2</v>
      </c>
    </row>
    <row r="415" spans="1:7" x14ac:dyDescent="0.35">
      <c r="A415" s="13" t="s">
        <v>1782</v>
      </c>
      <c r="B415" s="41" t="s">
        <v>1783</v>
      </c>
      <c r="C415" s="41" t="s">
        <v>183</v>
      </c>
      <c r="D415" s="15">
        <v>2500000</v>
      </c>
      <c r="E415" s="16">
        <v>2431.42</v>
      </c>
      <c r="F415" s="17">
        <v>1.6000000000000001E-3</v>
      </c>
      <c r="G415" s="17">
        <v>7.1498999999999993E-2</v>
      </c>
    </row>
    <row r="416" spans="1:7" x14ac:dyDescent="0.35">
      <c r="A416" s="13" t="s">
        <v>959</v>
      </c>
      <c r="B416" s="41" t="s">
        <v>960</v>
      </c>
      <c r="C416" s="41" t="s">
        <v>176</v>
      </c>
      <c r="D416" s="15">
        <v>2500000</v>
      </c>
      <c r="E416" s="16">
        <v>2354.3200000000002</v>
      </c>
      <c r="F416" s="17">
        <v>1.5E-3</v>
      </c>
      <c r="G416" s="17">
        <v>7.1249999999999994E-2</v>
      </c>
    </row>
    <row r="417" spans="1:7" x14ac:dyDescent="0.35">
      <c r="A417" s="13" t="s">
        <v>961</v>
      </c>
      <c r="B417" s="41" t="s">
        <v>962</v>
      </c>
      <c r="C417" s="41" t="s">
        <v>703</v>
      </c>
      <c r="D417" s="15">
        <v>500000</v>
      </c>
      <c r="E417" s="16">
        <v>479.36</v>
      </c>
      <c r="F417" s="17">
        <v>2.9999999999999997E-4</v>
      </c>
      <c r="G417" s="17">
        <v>7.0800000000000002E-2</v>
      </c>
    </row>
    <row r="418" spans="1:7" x14ac:dyDescent="0.35">
      <c r="A418" s="13" t="s">
        <v>971</v>
      </c>
      <c r="B418" s="41" t="s">
        <v>972</v>
      </c>
      <c r="C418" s="41" t="s">
        <v>188</v>
      </c>
      <c r="D418" s="15">
        <v>500000</v>
      </c>
      <c r="E418" s="16">
        <v>471.82</v>
      </c>
      <c r="F418" s="17">
        <v>2.9999999999999997E-4</v>
      </c>
      <c r="G418" s="17">
        <v>7.1249999999999994E-2</v>
      </c>
    </row>
    <row r="419" spans="1:7" x14ac:dyDescent="0.35">
      <c r="A419" s="14" t="s">
        <v>149</v>
      </c>
      <c r="B419" s="42"/>
      <c r="C419" s="42"/>
      <c r="D419" s="18"/>
      <c r="E419" s="19">
        <v>103990.47</v>
      </c>
      <c r="F419" s="20">
        <v>6.6500000000000004E-2</v>
      </c>
      <c r="G419" s="21"/>
    </row>
    <row r="420" spans="1:7" x14ac:dyDescent="0.35">
      <c r="A420" s="13"/>
      <c r="B420" s="41"/>
      <c r="C420" s="41"/>
      <c r="D420" s="15"/>
      <c r="E420" s="16"/>
      <c r="F420" s="17"/>
      <c r="G420" s="17"/>
    </row>
    <row r="421" spans="1:7" x14ac:dyDescent="0.35">
      <c r="A421" s="14" t="s">
        <v>225</v>
      </c>
      <c r="B421" s="41"/>
      <c r="C421" s="41"/>
      <c r="D421" s="15"/>
      <c r="E421" s="16"/>
      <c r="F421" s="17"/>
      <c r="G421" s="17"/>
    </row>
    <row r="422" spans="1:7" x14ac:dyDescent="0.35">
      <c r="A422" s="13" t="s">
        <v>234</v>
      </c>
      <c r="B422" s="41" t="s">
        <v>235</v>
      </c>
      <c r="C422" s="41" t="s">
        <v>176</v>
      </c>
      <c r="D422" s="15">
        <v>10000000</v>
      </c>
      <c r="E422" s="16">
        <v>9922.77</v>
      </c>
      <c r="F422" s="17">
        <v>6.4000000000000003E-3</v>
      </c>
      <c r="G422" s="17">
        <v>7.1026000000000006E-2</v>
      </c>
    </row>
    <row r="423" spans="1:7" x14ac:dyDescent="0.35">
      <c r="A423" s="13" t="s">
        <v>246</v>
      </c>
      <c r="B423" s="41" t="s">
        <v>247</v>
      </c>
      <c r="C423" s="41" t="s">
        <v>176</v>
      </c>
      <c r="D423" s="15">
        <v>10000000</v>
      </c>
      <c r="E423" s="16">
        <v>9914.26</v>
      </c>
      <c r="F423" s="17">
        <v>6.3E-3</v>
      </c>
      <c r="G423" s="17">
        <v>7.0150000000000004E-2</v>
      </c>
    </row>
    <row r="424" spans="1:7" x14ac:dyDescent="0.35">
      <c r="A424" s="13" t="s">
        <v>244</v>
      </c>
      <c r="B424" s="41" t="s">
        <v>245</v>
      </c>
      <c r="C424" s="41" t="s">
        <v>176</v>
      </c>
      <c r="D424" s="15">
        <v>5000000</v>
      </c>
      <c r="E424" s="16">
        <v>4967.8900000000003</v>
      </c>
      <c r="F424" s="17">
        <v>3.2000000000000002E-3</v>
      </c>
      <c r="G424" s="17">
        <v>7.1501999999999996E-2</v>
      </c>
    </row>
    <row r="425" spans="1:7" x14ac:dyDescent="0.35">
      <c r="A425" s="13" t="s">
        <v>1784</v>
      </c>
      <c r="B425" s="41" t="s">
        <v>1785</v>
      </c>
      <c r="C425" s="41" t="s">
        <v>176</v>
      </c>
      <c r="D425" s="15">
        <v>5000000</v>
      </c>
      <c r="E425" s="16">
        <v>4892.6899999999996</v>
      </c>
      <c r="F425" s="17">
        <v>3.0999999999999999E-3</v>
      </c>
      <c r="G425" s="17">
        <v>7.7725000000000002E-2</v>
      </c>
    </row>
    <row r="426" spans="1:7" x14ac:dyDescent="0.35">
      <c r="A426" s="13" t="s">
        <v>240</v>
      </c>
      <c r="B426" s="41" t="s">
        <v>241</v>
      </c>
      <c r="C426" s="41" t="s">
        <v>176</v>
      </c>
      <c r="D426" s="15">
        <v>5000000</v>
      </c>
      <c r="E426" s="16">
        <v>4875.42</v>
      </c>
      <c r="F426" s="17">
        <v>3.0999999999999999E-3</v>
      </c>
      <c r="G426" s="17">
        <v>7.2300000000000003E-2</v>
      </c>
    </row>
    <row r="427" spans="1:7" x14ac:dyDescent="0.35">
      <c r="A427" s="14" t="s">
        <v>149</v>
      </c>
      <c r="B427" s="42"/>
      <c r="C427" s="42"/>
      <c r="D427" s="18"/>
      <c r="E427" s="19">
        <v>34573.03</v>
      </c>
      <c r="F427" s="20">
        <v>2.2100000000000002E-2</v>
      </c>
      <c r="G427" s="21"/>
    </row>
    <row r="428" spans="1:7" x14ac:dyDescent="0.35">
      <c r="A428" s="13"/>
      <c r="B428" s="41"/>
      <c r="C428" s="41"/>
      <c r="D428" s="15"/>
      <c r="E428" s="16"/>
      <c r="F428" s="17"/>
      <c r="G428" s="17"/>
    </row>
    <row r="429" spans="1:7" x14ac:dyDescent="0.35">
      <c r="A429" s="22" t="s">
        <v>160</v>
      </c>
      <c r="B429" s="43"/>
      <c r="C429" s="43"/>
      <c r="D429" s="23"/>
      <c r="E429" s="36">
        <v>139536.42000000001</v>
      </c>
      <c r="F429" s="37">
        <v>8.9200000000000002E-2</v>
      </c>
      <c r="G429" s="21"/>
    </row>
    <row r="430" spans="1:7" x14ac:dyDescent="0.35">
      <c r="A430" s="13"/>
      <c r="B430" s="41"/>
      <c r="C430" s="41"/>
      <c r="D430" s="15"/>
      <c r="E430" s="16"/>
      <c r="F430" s="17"/>
      <c r="G430" s="17"/>
    </row>
    <row r="431" spans="1:7" x14ac:dyDescent="0.35">
      <c r="A431" s="13"/>
      <c r="B431" s="41"/>
      <c r="C431" s="41"/>
      <c r="D431" s="15"/>
      <c r="E431" s="16"/>
      <c r="F431" s="17"/>
      <c r="G431" s="17"/>
    </row>
    <row r="432" spans="1:7" x14ac:dyDescent="0.35">
      <c r="A432" s="14" t="s">
        <v>884</v>
      </c>
      <c r="B432" s="41"/>
      <c r="C432" s="41"/>
      <c r="D432" s="15"/>
      <c r="E432" s="16"/>
      <c r="F432" s="17"/>
      <c r="G432" s="17"/>
    </row>
    <row r="433" spans="1:7" x14ac:dyDescent="0.35">
      <c r="A433" s="13" t="s">
        <v>1786</v>
      </c>
      <c r="B433" s="41" t="s">
        <v>1787</v>
      </c>
      <c r="C433" s="41"/>
      <c r="D433" s="15">
        <v>3820584.6173999999</v>
      </c>
      <c r="E433" s="16">
        <v>134671.48000000001</v>
      </c>
      <c r="F433" s="17">
        <v>8.6199999999999999E-2</v>
      </c>
      <c r="G433" s="17"/>
    </row>
    <row r="434" spans="1:7" x14ac:dyDescent="0.35">
      <c r="A434" s="13" t="s">
        <v>1788</v>
      </c>
      <c r="B434" s="41" t="s">
        <v>1789</v>
      </c>
      <c r="C434" s="41"/>
      <c r="D434" s="15">
        <v>132665054.98450001</v>
      </c>
      <c r="E434" s="16">
        <v>43111.5</v>
      </c>
      <c r="F434" s="17">
        <v>2.76E-2</v>
      </c>
      <c r="G434" s="17"/>
    </row>
    <row r="435" spans="1:7" x14ac:dyDescent="0.35">
      <c r="A435" s="13" t="s">
        <v>1790</v>
      </c>
      <c r="B435" s="41" t="s">
        <v>1791</v>
      </c>
      <c r="C435" s="41"/>
      <c r="D435" s="15">
        <v>999950.00249999994</v>
      </c>
      <c r="E435" s="16">
        <v>10618.98</v>
      </c>
      <c r="F435" s="17">
        <v>6.7999999999999996E-3</v>
      </c>
      <c r="G435" s="17"/>
    </row>
    <row r="436" spans="1:7" x14ac:dyDescent="0.35">
      <c r="A436" s="13" t="s">
        <v>1792</v>
      </c>
      <c r="B436" s="41" t="s">
        <v>1793</v>
      </c>
      <c r="C436" s="41"/>
      <c r="D436" s="15">
        <v>9164604.5504999999</v>
      </c>
      <c r="E436" s="16">
        <v>1003.71</v>
      </c>
      <c r="F436" s="17">
        <v>5.9999999999999995E-4</v>
      </c>
      <c r="G436" s="17"/>
    </row>
    <row r="437" spans="1:7" x14ac:dyDescent="0.35">
      <c r="A437" s="13"/>
      <c r="B437" s="41"/>
      <c r="C437" s="41"/>
      <c r="D437" s="15"/>
      <c r="E437" s="16"/>
      <c r="F437" s="17"/>
      <c r="G437" s="17"/>
    </row>
    <row r="438" spans="1:7" x14ac:dyDescent="0.35">
      <c r="A438" s="22" t="s">
        <v>160</v>
      </c>
      <c r="B438" s="43"/>
      <c r="C438" s="43"/>
      <c r="D438" s="23"/>
      <c r="E438" s="36">
        <v>189405.67</v>
      </c>
      <c r="F438" s="37">
        <v>0.1212</v>
      </c>
      <c r="G438" s="21"/>
    </row>
    <row r="439" spans="1:7" x14ac:dyDescent="0.35">
      <c r="A439" s="13"/>
      <c r="B439" s="41"/>
      <c r="C439" s="41"/>
      <c r="D439" s="15"/>
      <c r="E439" s="16"/>
      <c r="F439" s="17"/>
      <c r="G439" s="17"/>
    </row>
    <row r="440" spans="1:7" x14ac:dyDescent="0.35">
      <c r="A440" s="14" t="s">
        <v>255</v>
      </c>
      <c r="B440" s="41"/>
      <c r="C440" s="41"/>
      <c r="D440" s="15"/>
      <c r="E440" s="16"/>
      <c r="F440" s="17"/>
      <c r="G440" s="17"/>
    </row>
    <row r="441" spans="1:7" x14ac:dyDescent="0.35">
      <c r="A441" s="13" t="s">
        <v>256</v>
      </c>
      <c r="B441" s="41"/>
      <c r="C441" s="41"/>
      <c r="D441" s="15"/>
      <c r="E441" s="16">
        <v>29000.27</v>
      </c>
      <c r="F441" s="17">
        <v>1.8599999999999998E-2</v>
      </c>
      <c r="G441" s="17">
        <v>5.3999999999999999E-2</v>
      </c>
    </row>
    <row r="442" spans="1:7" x14ac:dyDescent="0.35">
      <c r="A442" s="13" t="s">
        <v>257</v>
      </c>
      <c r="B442" s="41"/>
      <c r="C442" s="41"/>
      <c r="D442" s="15"/>
      <c r="E442" s="16">
        <v>14812.7</v>
      </c>
      <c r="F442" s="17">
        <v>9.4999999999999998E-3</v>
      </c>
      <c r="G442" s="17">
        <v>5.1742000000000003E-2</v>
      </c>
    </row>
    <row r="443" spans="1:7" x14ac:dyDescent="0.35">
      <c r="A443" s="14" t="s">
        <v>149</v>
      </c>
      <c r="B443" s="42"/>
      <c r="C443" s="42"/>
      <c r="D443" s="18"/>
      <c r="E443" s="19">
        <v>43812.97</v>
      </c>
      <c r="F443" s="20">
        <v>2.81E-2</v>
      </c>
      <c r="G443" s="21"/>
    </row>
    <row r="444" spans="1:7" x14ac:dyDescent="0.35">
      <c r="A444" s="13"/>
      <c r="B444" s="41"/>
      <c r="C444" s="41"/>
      <c r="D444" s="15"/>
      <c r="E444" s="16"/>
      <c r="F444" s="17"/>
      <c r="G444" s="17"/>
    </row>
    <row r="445" spans="1:7" x14ac:dyDescent="0.35">
      <c r="A445" s="22" t="s">
        <v>160</v>
      </c>
      <c r="B445" s="43"/>
      <c r="C445" s="43"/>
      <c r="D445" s="23"/>
      <c r="E445" s="36">
        <v>43812.97</v>
      </c>
      <c r="F445" s="37">
        <v>2.81E-2</v>
      </c>
      <c r="G445" s="21"/>
    </row>
    <row r="446" spans="1:7" x14ac:dyDescent="0.35">
      <c r="A446" s="13" t="s">
        <v>258</v>
      </c>
      <c r="B446" s="41"/>
      <c r="C446" s="41"/>
      <c r="D446" s="15"/>
      <c r="E446" s="16">
        <v>839.75207220000004</v>
      </c>
      <c r="F446" s="17">
        <v>5.3700000000000004E-4</v>
      </c>
      <c r="G446" s="17"/>
    </row>
    <row r="447" spans="1:7" x14ac:dyDescent="0.35">
      <c r="A447" s="13" t="s">
        <v>259</v>
      </c>
      <c r="B447" s="41"/>
      <c r="C447" s="41"/>
      <c r="D447" s="15"/>
      <c r="E447" s="28">
        <v>-1431.4620722</v>
      </c>
      <c r="F447" s="17">
        <v>6.3E-5</v>
      </c>
      <c r="G447" s="17">
        <v>5.3235999999999999E-2</v>
      </c>
    </row>
    <row r="448" spans="1:7" x14ac:dyDescent="0.35">
      <c r="A448" s="38" t="s">
        <v>260</v>
      </c>
      <c r="B448" s="44"/>
      <c r="C448" s="44"/>
      <c r="D448" s="39"/>
      <c r="E448" s="24">
        <v>1561920.21</v>
      </c>
      <c r="F448" s="25">
        <v>1</v>
      </c>
      <c r="G448" s="25"/>
    </row>
    <row r="450" spans="1:3" x14ac:dyDescent="0.35">
      <c r="A450" s="1" t="s">
        <v>1794</v>
      </c>
    </row>
    <row r="451" spans="1:3" x14ac:dyDescent="0.35">
      <c r="A451" s="1" t="s">
        <v>261</v>
      </c>
    </row>
    <row r="452" spans="1:3" x14ac:dyDescent="0.35">
      <c r="A452" s="1" t="s">
        <v>262</v>
      </c>
    </row>
    <row r="453" spans="1:3" x14ac:dyDescent="0.35">
      <c r="A453" s="1" t="s">
        <v>263</v>
      </c>
    </row>
    <row r="454" spans="1:3" x14ac:dyDescent="0.35">
      <c r="A454" s="47" t="s">
        <v>264</v>
      </c>
      <c r="B454" s="3" t="s">
        <v>146</v>
      </c>
    </row>
    <row r="455" spans="1:3" x14ac:dyDescent="0.35">
      <c r="A455" t="s">
        <v>265</v>
      </c>
    </row>
    <row r="456" spans="1:3" x14ac:dyDescent="0.35">
      <c r="A456" t="s">
        <v>266</v>
      </c>
      <c r="B456" t="s">
        <v>267</v>
      </c>
      <c r="C456" t="s">
        <v>267</v>
      </c>
    </row>
    <row r="457" spans="1:3" x14ac:dyDescent="0.35">
      <c r="B457" s="49">
        <v>46022</v>
      </c>
      <c r="C457" s="49">
        <v>46052</v>
      </c>
    </row>
    <row r="458" spans="1:3" x14ac:dyDescent="0.35">
      <c r="A458" t="s">
        <v>272</v>
      </c>
      <c r="B458">
        <v>21.4635</v>
      </c>
      <c r="C458">
        <v>21.592700000000001</v>
      </c>
    </row>
    <row r="459" spans="1:3" x14ac:dyDescent="0.35">
      <c r="A459" t="s">
        <v>273</v>
      </c>
      <c r="B459">
        <v>15.3445</v>
      </c>
      <c r="C459">
        <v>15.4369</v>
      </c>
    </row>
    <row r="460" spans="1:3" x14ac:dyDescent="0.35">
      <c r="A460" t="s">
        <v>705</v>
      </c>
      <c r="B460">
        <v>17.632899999999999</v>
      </c>
      <c r="C460">
        <v>17.739100000000001</v>
      </c>
    </row>
    <row r="461" spans="1:3" x14ac:dyDescent="0.35">
      <c r="A461" t="s">
        <v>281</v>
      </c>
      <c r="B461">
        <v>20.016100000000002</v>
      </c>
      <c r="C461">
        <v>20.139299999999999</v>
      </c>
    </row>
    <row r="462" spans="1:3" x14ac:dyDescent="0.35">
      <c r="A462" t="s">
        <v>708</v>
      </c>
      <c r="B462">
        <v>19.932300000000001</v>
      </c>
      <c r="C462">
        <v>20.041</v>
      </c>
    </row>
    <row r="463" spans="1:3" x14ac:dyDescent="0.35">
      <c r="A463" t="s">
        <v>709</v>
      </c>
      <c r="B463">
        <v>14.6271</v>
      </c>
      <c r="C463">
        <v>14.706899999999999</v>
      </c>
    </row>
    <row r="464" spans="1:3" x14ac:dyDescent="0.35">
      <c r="A464" t="s">
        <v>710</v>
      </c>
      <c r="B464">
        <v>16.2849</v>
      </c>
      <c r="C464">
        <v>16.373699999999999</v>
      </c>
    </row>
    <row r="466" spans="1:4" x14ac:dyDescent="0.35">
      <c r="A466" t="s">
        <v>283</v>
      </c>
      <c r="B466" s="3" t="s">
        <v>146</v>
      </c>
    </row>
    <row r="467" spans="1:4" x14ac:dyDescent="0.35">
      <c r="A467" t="s">
        <v>284</v>
      </c>
      <c r="B467" s="3" t="s">
        <v>146</v>
      </c>
    </row>
    <row r="468" spans="1:4" ht="29" customHeight="1" x14ac:dyDescent="0.35">
      <c r="A468" s="47" t="s">
        <v>285</v>
      </c>
      <c r="B468" s="3" t="s">
        <v>146</v>
      </c>
    </row>
    <row r="469" spans="1:4" ht="29" customHeight="1" x14ac:dyDescent="0.35">
      <c r="A469" s="47" t="s">
        <v>286</v>
      </c>
      <c r="B469" s="3" t="s">
        <v>146</v>
      </c>
    </row>
    <row r="470" spans="1:4" x14ac:dyDescent="0.35">
      <c r="A470" t="s">
        <v>1253</v>
      </c>
      <c r="B470" s="48">
        <v>12.605600000000001</v>
      </c>
    </row>
    <row r="471" spans="1:4" ht="43.5" customHeight="1" x14ac:dyDescent="0.35">
      <c r="A471" s="47" t="s">
        <v>288</v>
      </c>
      <c r="B471" s="3">
        <v>0</v>
      </c>
    </row>
    <row r="472" spans="1:4" x14ac:dyDescent="0.35">
      <c r="B472" s="3"/>
    </row>
    <row r="473" spans="1:4" ht="29" customHeight="1" x14ac:dyDescent="0.35">
      <c r="A473" s="47" t="s">
        <v>289</v>
      </c>
      <c r="B473" s="3" t="s">
        <v>146</v>
      </c>
    </row>
    <row r="474" spans="1:4" ht="29" customHeight="1" x14ac:dyDescent="0.35">
      <c r="A474" s="47" t="s">
        <v>290</v>
      </c>
      <c r="B474">
        <v>7150.97</v>
      </c>
    </row>
    <row r="475" spans="1:4" ht="29" customHeight="1" x14ac:dyDescent="0.35">
      <c r="A475" s="47" t="s">
        <v>291</v>
      </c>
      <c r="B475" s="3" t="s">
        <v>146</v>
      </c>
    </row>
    <row r="476" spans="1:4" ht="29" customHeight="1" x14ac:dyDescent="0.35">
      <c r="A476" s="47" t="s">
        <v>292</v>
      </c>
      <c r="B476" s="3" t="s">
        <v>146</v>
      </c>
    </row>
    <row r="478" spans="1:4" ht="70" customHeight="1" x14ac:dyDescent="0.35">
      <c r="A478" s="70" t="s">
        <v>303</v>
      </c>
      <c r="B478" s="70" t="s">
        <v>304</v>
      </c>
      <c r="C478" s="70" t="s">
        <v>4</v>
      </c>
      <c r="D478" s="70" t="s">
        <v>5</v>
      </c>
    </row>
    <row r="479" spans="1:4" ht="70" customHeight="1" x14ac:dyDescent="0.35">
      <c r="A479" s="70" t="s">
        <v>1795</v>
      </c>
      <c r="B479" s="70"/>
      <c r="C479" s="70" t="s">
        <v>53</v>
      </c>
      <c r="D47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222"/>
  <sheetViews>
    <sheetView showGridLines="0" workbookViewId="0">
      <pane ySplit="4" topLeftCell="A142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7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1796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1797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1181</v>
      </c>
      <c r="B8" s="41" t="s">
        <v>1182</v>
      </c>
      <c r="C8" s="41" t="s">
        <v>1178</v>
      </c>
      <c r="D8" s="15">
        <v>4642530</v>
      </c>
      <c r="E8" s="16">
        <v>62906.28</v>
      </c>
      <c r="F8" s="17">
        <v>4.8000000000000001E-2</v>
      </c>
      <c r="G8" s="17"/>
    </row>
    <row r="9" spans="1:7" x14ac:dyDescent="0.35">
      <c r="A9" s="13" t="s">
        <v>1204</v>
      </c>
      <c r="B9" s="41" t="s">
        <v>1205</v>
      </c>
      <c r="C9" s="41" t="s">
        <v>1206</v>
      </c>
      <c r="D9" s="15">
        <v>4033180</v>
      </c>
      <c r="E9" s="16">
        <v>56278.99</v>
      </c>
      <c r="F9" s="17">
        <v>4.2900000000000001E-2</v>
      </c>
      <c r="G9" s="17"/>
    </row>
    <row r="10" spans="1:7" x14ac:dyDescent="0.35">
      <c r="A10" s="13" t="s">
        <v>1179</v>
      </c>
      <c r="B10" s="41" t="s">
        <v>1180</v>
      </c>
      <c r="C10" s="41" t="s">
        <v>1178</v>
      </c>
      <c r="D10" s="15">
        <v>5544682</v>
      </c>
      <c r="E10" s="16">
        <v>51523.96</v>
      </c>
      <c r="F10" s="17">
        <v>3.9300000000000002E-2</v>
      </c>
      <c r="G10" s="17"/>
    </row>
    <row r="11" spans="1:7" x14ac:dyDescent="0.35">
      <c r="A11" s="13" t="s">
        <v>1196</v>
      </c>
      <c r="B11" s="41" t="s">
        <v>1197</v>
      </c>
      <c r="C11" s="41" t="s">
        <v>1198</v>
      </c>
      <c r="D11" s="15">
        <v>2006116</v>
      </c>
      <c r="E11" s="16">
        <v>39494.410000000003</v>
      </c>
      <c r="F11" s="17">
        <v>3.0099999999999998E-2</v>
      </c>
      <c r="G11" s="17"/>
    </row>
    <row r="12" spans="1:7" x14ac:dyDescent="0.35">
      <c r="A12" s="13" t="s">
        <v>1385</v>
      </c>
      <c r="B12" s="41" t="s">
        <v>1386</v>
      </c>
      <c r="C12" s="41" t="s">
        <v>1387</v>
      </c>
      <c r="D12" s="15">
        <v>948203</v>
      </c>
      <c r="E12" s="16">
        <v>37286.19</v>
      </c>
      <c r="F12" s="17">
        <v>2.8400000000000002E-2</v>
      </c>
      <c r="G12" s="17"/>
    </row>
    <row r="13" spans="1:7" x14ac:dyDescent="0.35">
      <c r="A13" s="13" t="s">
        <v>1367</v>
      </c>
      <c r="B13" s="41" t="s">
        <v>1368</v>
      </c>
      <c r="C13" s="41" t="s">
        <v>1369</v>
      </c>
      <c r="D13" s="15">
        <v>2065680</v>
      </c>
      <c r="E13" s="16">
        <v>33897.81</v>
      </c>
      <c r="F13" s="17">
        <v>2.58E-2</v>
      </c>
      <c r="G13" s="17"/>
    </row>
    <row r="14" spans="1:7" x14ac:dyDescent="0.35">
      <c r="A14" s="13" t="s">
        <v>1176</v>
      </c>
      <c r="B14" s="41" t="s">
        <v>1177</v>
      </c>
      <c r="C14" s="41" t="s">
        <v>1178</v>
      </c>
      <c r="D14" s="15">
        <v>3124824</v>
      </c>
      <c r="E14" s="16">
        <v>33659.040000000001</v>
      </c>
      <c r="F14" s="17">
        <v>2.5700000000000001E-2</v>
      </c>
      <c r="G14" s="17"/>
    </row>
    <row r="15" spans="1:7" x14ac:dyDescent="0.35">
      <c r="A15" s="13" t="s">
        <v>1212</v>
      </c>
      <c r="B15" s="41" t="s">
        <v>1213</v>
      </c>
      <c r="C15" s="41" t="s">
        <v>1188</v>
      </c>
      <c r="D15" s="15">
        <v>869904</v>
      </c>
      <c r="E15" s="16">
        <v>31989.85</v>
      </c>
      <c r="F15" s="17">
        <v>2.4400000000000002E-2</v>
      </c>
      <c r="G15" s="17"/>
    </row>
    <row r="16" spans="1:7" x14ac:dyDescent="0.35">
      <c r="A16" s="13" t="s">
        <v>1209</v>
      </c>
      <c r="B16" s="41" t="s">
        <v>1210</v>
      </c>
      <c r="C16" s="41" t="s">
        <v>1211</v>
      </c>
      <c r="D16" s="15">
        <v>2422842</v>
      </c>
      <c r="E16" s="16">
        <v>22528.799999999999</v>
      </c>
      <c r="F16" s="17">
        <v>1.72E-2</v>
      </c>
      <c r="G16" s="17"/>
    </row>
    <row r="17" spans="1:7" x14ac:dyDescent="0.35">
      <c r="A17" s="13" t="s">
        <v>1262</v>
      </c>
      <c r="B17" s="41" t="s">
        <v>1263</v>
      </c>
      <c r="C17" s="41" t="s">
        <v>1178</v>
      </c>
      <c r="D17" s="15">
        <v>1507073</v>
      </c>
      <c r="E17" s="16">
        <v>20652.93</v>
      </c>
      <c r="F17" s="17">
        <v>1.5699999999999999E-2</v>
      </c>
      <c r="G17" s="17"/>
    </row>
    <row r="18" spans="1:7" x14ac:dyDescent="0.35">
      <c r="A18" s="13" t="s">
        <v>1273</v>
      </c>
      <c r="B18" s="41" t="s">
        <v>1274</v>
      </c>
      <c r="C18" s="41" t="s">
        <v>1275</v>
      </c>
      <c r="D18" s="15">
        <v>6401523</v>
      </c>
      <c r="E18" s="16">
        <v>20622.509999999998</v>
      </c>
      <c r="F18" s="17">
        <v>1.5699999999999999E-2</v>
      </c>
      <c r="G18" s="17"/>
    </row>
    <row r="19" spans="1:7" x14ac:dyDescent="0.35">
      <c r="A19" s="13" t="s">
        <v>1295</v>
      </c>
      <c r="B19" s="41" t="s">
        <v>1296</v>
      </c>
      <c r="C19" s="41" t="s">
        <v>1188</v>
      </c>
      <c r="D19" s="15">
        <v>574567</v>
      </c>
      <c r="E19" s="16">
        <v>19717.990000000002</v>
      </c>
      <c r="F19" s="17">
        <v>1.4999999999999999E-2</v>
      </c>
      <c r="G19" s="17"/>
    </row>
    <row r="20" spans="1:7" x14ac:dyDescent="0.35">
      <c r="A20" s="13" t="s">
        <v>1186</v>
      </c>
      <c r="B20" s="41" t="s">
        <v>1187</v>
      </c>
      <c r="C20" s="41" t="s">
        <v>1188</v>
      </c>
      <c r="D20" s="15">
        <v>127810</v>
      </c>
      <c r="E20" s="16">
        <v>18658.98</v>
      </c>
      <c r="F20" s="17">
        <v>1.4200000000000001E-2</v>
      </c>
      <c r="G20" s="17"/>
    </row>
    <row r="21" spans="1:7" x14ac:dyDescent="0.35">
      <c r="A21" s="13" t="s">
        <v>1478</v>
      </c>
      <c r="B21" s="41" t="s">
        <v>1479</v>
      </c>
      <c r="C21" s="41" t="s">
        <v>1369</v>
      </c>
      <c r="D21" s="15">
        <v>556884</v>
      </c>
      <c r="E21" s="16">
        <v>17396.5</v>
      </c>
      <c r="F21" s="17">
        <v>1.3299999999999999E-2</v>
      </c>
      <c r="G21" s="17"/>
    </row>
    <row r="22" spans="1:7" x14ac:dyDescent="0.35">
      <c r="A22" s="13" t="s">
        <v>1502</v>
      </c>
      <c r="B22" s="41" t="s">
        <v>1503</v>
      </c>
      <c r="C22" s="41" t="s">
        <v>1369</v>
      </c>
      <c r="D22" s="15">
        <v>921272</v>
      </c>
      <c r="E22" s="16">
        <v>15621.09</v>
      </c>
      <c r="F22" s="17">
        <v>1.1900000000000001E-2</v>
      </c>
      <c r="G22" s="17"/>
    </row>
    <row r="23" spans="1:7" x14ac:dyDescent="0.35">
      <c r="A23" s="13" t="s">
        <v>1278</v>
      </c>
      <c r="B23" s="41" t="s">
        <v>1279</v>
      </c>
      <c r="C23" s="41" t="s">
        <v>1280</v>
      </c>
      <c r="D23" s="15">
        <v>610285</v>
      </c>
      <c r="E23" s="16">
        <v>15428</v>
      </c>
      <c r="F23" s="17">
        <v>1.18E-2</v>
      </c>
      <c r="G23" s="17"/>
    </row>
    <row r="24" spans="1:7" x14ac:dyDescent="0.35">
      <c r="A24" s="13" t="s">
        <v>1394</v>
      </c>
      <c r="B24" s="41" t="s">
        <v>1395</v>
      </c>
      <c r="C24" s="41" t="s">
        <v>1369</v>
      </c>
      <c r="D24" s="15">
        <v>876609</v>
      </c>
      <c r="E24" s="16">
        <v>15280.17</v>
      </c>
      <c r="F24" s="17">
        <v>1.1599999999999999E-2</v>
      </c>
      <c r="G24" s="17"/>
    </row>
    <row r="25" spans="1:7" x14ac:dyDescent="0.35">
      <c r="A25" s="13" t="s">
        <v>1297</v>
      </c>
      <c r="B25" s="41" t="s">
        <v>1298</v>
      </c>
      <c r="C25" s="41" t="s">
        <v>1198</v>
      </c>
      <c r="D25" s="15">
        <v>3200107</v>
      </c>
      <c r="E25" s="16">
        <v>14218.08</v>
      </c>
      <c r="F25" s="17">
        <v>1.0800000000000001E-2</v>
      </c>
      <c r="G25" s="17"/>
    </row>
    <row r="26" spans="1:7" x14ac:dyDescent="0.35">
      <c r="A26" s="13" t="s">
        <v>1496</v>
      </c>
      <c r="B26" s="41" t="s">
        <v>1497</v>
      </c>
      <c r="C26" s="41" t="s">
        <v>1211</v>
      </c>
      <c r="D26" s="15">
        <v>840000</v>
      </c>
      <c r="E26" s="16">
        <v>13705.44</v>
      </c>
      <c r="F26" s="17">
        <v>1.04E-2</v>
      </c>
      <c r="G26" s="17"/>
    </row>
    <row r="27" spans="1:7" x14ac:dyDescent="0.35">
      <c r="A27" s="13" t="s">
        <v>1267</v>
      </c>
      <c r="B27" s="41" t="s">
        <v>1268</v>
      </c>
      <c r="C27" s="41" t="s">
        <v>1269</v>
      </c>
      <c r="D27" s="15">
        <v>2000000</v>
      </c>
      <c r="E27" s="16">
        <v>13631</v>
      </c>
      <c r="F27" s="17">
        <v>1.04E-2</v>
      </c>
      <c r="G27" s="17"/>
    </row>
    <row r="28" spans="1:7" x14ac:dyDescent="0.35">
      <c r="A28" s="13" t="s">
        <v>1351</v>
      </c>
      <c r="B28" s="41" t="s">
        <v>1352</v>
      </c>
      <c r="C28" s="41" t="s">
        <v>1305</v>
      </c>
      <c r="D28" s="15">
        <v>3795804</v>
      </c>
      <c r="E28" s="16">
        <v>13513.06</v>
      </c>
      <c r="F28" s="17">
        <v>1.03E-2</v>
      </c>
      <c r="G28" s="17"/>
    </row>
    <row r="29" spans="1:7" x14ac:dyDescent="0.35">
      <c r="A29" s="13" t="s">
        <v>1237</v>
      </c>
      <c r="B29" s="41" t="s">
        <v>1238</v>
      </c>
      <c r="C29" s="41" t="s">
        <v>1234</v>
      </c>
      <c r="D29" s="15">
        <v>831765</v>
      </c>
      <c r="E29" s="16">
        <v>13269.15</v>
      </c>
      <c r="F29" s="17">
        <v>1.01E-2</v>
      </c>
      <c r="G29" s="17"/>
    </row>
    <row r="30" spans="1:7" x14ac:dyDescent="0.35">
      <c r="A30" s="13" t="s">
        <v>1472</v>
      </c>
      <c r="B30" s="41" t="s">
        <v>1473</v>
      </c>
      <c r="C30" s="41" t="s">
        <v>1419</v>
      </c>
      <c r="D30" s="15">
        <v>1372750</v>
      </c>
      <c r="E30" s="16">
        <v>13214.09</v>
      </c>
      <c r="F30" s="17">
        <v>1.01E-2</v>
      </c>
      <c r="G30" s="17"/>
    </row>
    <row r="31" spans="1:7" x14ac:dyDescent="0.35">
      <c r="A31" s="13" t="s">
        <v>1281</v>
      </c>
      <c r="B31" s="41" t="s">
        <v>1282</v>
      </c>
      <c r="C31" s="41" t="s">
        <v>1234</v>
      </c>
      <c r="D31" s="15">
        <v>650000</v>
      </c>
      <c r="E31" s="16">
        <v>13103.35</v>
      </c>
      <c r="F31" s="17">
        <v>0.01</v>
      </c>
      <c r="G31" s="17"/>
    </row>
    <row r="32" spans="1:7" x14ac:dyDescent="0.35">
      <c r="A32" s="13" t="s">
        <v>1553</v>
      </c>
      <c r="B32" s="41" t="s">
        <v>1554</v>
      </c>
      <c r="C32" s="41" t="s">
        <v>1211</v>
      </c>
      <c r="D32" s="15">
        <v>337902</v>
      </c>
      <c r="E32" s="16">
        <v>12940.29</v>
      </c>
      <c r="F32" s="17">
        <v>9.9000000000000008E-3</v>
      </c>
      <c r="G32" s="17"/>
    </row>
    <row r="33" spans="1:7" x14ac:dyDescent="0.35">
      <c r="A33" s="13" t="s">
        <v>1798</v>
      </c>
      <c r="B33" s="41" t="s">
        <v>1799</v>
      </c>
      <c r="C33" s="41" t="s">
        <v>1333</v>
      </c>
      <c r="D33" s="15">
        <v>400000</v>
      </c>
      <c r="E33" s="16">
        <v>12921.2</v>
      </c>
      <c r="F33" s="17">
        <v>9.9000000000000008E-3</v>
      </c>
      <c r="G33" s="17"/>
    </row>
    <row r="34" spans="1:7" x14ac:dyDescent="0.35">
      <c r="A34" s="13" t="s">
        <v>1199</v>
      </c>
      <c r="B34" s="41" t="s">
        <v>1200</v>
      </c>
      <c r="C34" s="41" t="s">
        <v>1201</v>
      </c>
      <c r="D34" s="15">
        <v>320990</v>
      </c>
      <c r="E34" s="16">
        <v>12767.06</v>
      </c>
      <c r="F34" s="17">
        <v>9.7000000000000003E-3</v>
      </c>
      <c r="G34" s="17"/>
    </row>
    <row r="35" spans="1:7" x14ac:dyDescent="0.35">
      <c r="A35" s="13" t="s">
        <v>1800</v>
      </c>
      <c r="B35" s="41" t="s">
        <v>1801</v>
      </c>
      <c r="C35" s="41" t="s">
        <v>1234</v>
      </c>
      <c r="D35" s="15">
        <v>2179353</v>
      </c>
      <c r="E35" s="16">
        <v>12435.39</v>
      </c>
      <c r="F35" s="17">
        <v>9.4999999999999998E-3</v>
      </c>
      <c r="G35" s="17"/>
    </row>
    <row r="36" spans="1:7" x14ac:dyDescent="0.35">
      <c r="A36" s="13" t="s">
        <v>1222</v>
      </c>
      <c r="B36" s="41" t="s">
        <v>1223</v>
      </c>
      <c r="C36" s="41" t="s">
        <v>1224</v>
      </c>
      <c r="D36" s="15">
        <v>91522</v>
      </c>
      <c r="E36" s="16">
        <v>11617.8</v>
      </c>
      <c r="F36" s="17">
        <v>8.8999999999999999E-3</v>
      </c>
      <c r="G36" s="17"/>
    </row>
    <row r="37" spans="1:7" x14ac:dyDescent="0.35">
      <c r="A37" s="13" t="s">
        <v>1348</v>
      </c>
      <c r="B37" s="41" t="s">
        <v>1349</v>
      </c>
      <c r="C37" s="41" t="s">
        <v>1350</v>
      </c>
      <c r="D37" s="15">
        <v>1500000</v>
      </c>
      <c r="E37" s="16">
        <v>10559.25</v>
      </c>
      <c r="F37" s="17">
        <v>8.0999999999999996E-3</v>
      </c>
      <c r="G37" s="17"/>
    </row>
    <row r="38" spans="1:7" x14ac:dyDescent="0.35">
      <c r="A38" s="13" t="s">
        <v>1488</v>
      </c>
      <c r="B38" s="41" t="s">
        <v>1489</v>
      </c>
      <c r="C38" s="41" t="s">
        <v>1275</v>
      </c>
      <c r="D38" s="15">
        <v>434930</v>
      </c>
      <c r="E38" s="16">
        <v>10320.89</v>
      </c>
      <c r="F38" s="17">
        <v>7.9000000000000008E-3</v>
      </c>
      <c r="G38" s="17"/>
    </row>
    <row r="39" spans="1:7" x14ac:dyDescent="0.35">
      <c r="A39" s="13" t="s">
        <v>1264</v>
      </c>
      <c r="B39" s="41" t="s">
        <v>1265</v>
      </c>
      <c r="C39" s="41" t="s">
        <v>1266</v>
      </c>
      <c r="D39" s="15">
        <v>3751657</v>
      </c>
      <c r="E39" s="16">
        <v>10264.530000000001</v>
      </c>
      <c r="F39" s="17">
        <v>7.7999999999999996E-3</v>
      </c>
      <c r="G39" s="17"/>
    </row>
    <row r="40" spans="1:7" x14ac:dyDescent="0.35">
      <c r="A40" s="13" t="s">
        <v>1227</v>
      </c>
      <c r="B40" s="41" t="s">
        <v>1228</v>
      </c>
      <c r="C40" s="41" t="s">
        <v>1229</v>
      </c>
      <c r="D40" s="15">
        <v>147430</v>
      </c>
      <c r="E40" s="16">
        <v>10261.870000000001</v>
      </c>
      <c r="F40" s="17">
        <v>7.7999999999999996E-3</v>
      </c>
      <c r="G40" s="17"/>
    </row>
    <row r="41" spans="1:7" x14ac:dyDescent="0.35">
      <c r="A41" s="13" t="s">
        <v>1217</v>
      </c>
      <c r="B41" s="41" t="s">
        <v>1218</v>
      </c>
      <c r="C41" s="41" t="s">
        <v>1201</v>
      </c>
      <c r="D41" s="15">
        <v>422184</v>
      </c>
      <c r="E41" s="16">
        <v>10251.89</v>
      </c>
      <c r="F41" s="17">
        <v>7.7999999999999996E-3</v>
      </c>
      <c r="G41" s="17"/>
    </row>
    <row r="42" spans="1:7" x14ac:dyDescent="0.35">
      <c r="A42" s="13" t="s">
        <v>1506</v>
      </c>
      <c r="B42" s="41" t="s">
        <v>1507</v>
      </c>
      <c r="C42" s="41" t="s">
        <v>1234</v>
      </c>
      <c r="D42" s="15">
        <v>474318</v>
      </c>
      <c r="E42" s="16">
        <v>10211.120000000001</v>
      </c>
      <c r="F42" s="17">
        <v>7.7999999999999996E-3</v>
      </c>
      <c r="G42" s="17"/>
    </row>
    <row r="43" spans="1:7" x14ac:dyDescent="0.35">
      <c r="A43" s="13" t="s">
        <v>1219</v>
      </c>
      <c r="B43" s="41" t="s">
        <v>1220</v>
      </c>
      <c r="C43" s="41" t="s">
        <v>1221</v>
      </c>
      <c r="D43" s="15">
        <v>679312</v>
      </c>
      <c r="E43" s="16">
        <v>9721.6299999999992</v>
      </c>
      <c r="F43" s="17">
        <v>7.4000000000000003E-3</v>
      </c>
      <c r="G43" s="17"/>
    </row>
    <row r="44" spans="1:7" x14ac:dyDescent="0.35">
      <c r="A44" s="13" t="s">
        <v>1310</v>
      </c>
      <c r="B44" s="41" t="s">
        <v>1311</v>
      </c>
      <c r="C44" s="41" t="s">
        <v>1261</v>
      </c>
      <c r="D44" s="15">
        <v>4847349</v>
      </c>
      <c r="E44" s="16">
        <v>9361.69</v>
      </c>
      <c r="F44" s="17">
        <v>7.1000000000000004E-3</v>
      </c>
      <c r="G44" s="17"/>
    </row>
    <row r="45" spans="1:7" x14ac:dyDescent="0.35">
      <c r="A45" s="13" t="s">
        <v>1802</v>
      </c>
      <c r="B45" s="41" t="s">
        <v>1803</v>
      </c>
      <c r="C45" s="41" t="s">
        <v>1211</v>
      </c>
      <c r="D45" s="15">
        <v>558136</v>
      </c>
      <c r="E45" s="16">
        <v>9233.24</v>
      </c>
      <c r="F45" s="17">
        <v>7.0000000000000001E-3</v>
      </c>
      <c r="G45" s="17"/>
    </row>
    <row r="46" spans="1:7" x14ac:dyDescent="0.35">
      <c r="A46" s="13" t="s">
        <v>1804</v>
      </c>
      <c r="B46" s="41" t="s">
        <v>1805</v>
      </c>
      <c r="C46" s="41" t="s">
        <v>1382</v>
      </c>
      <c r="D46" s="15">
        <v>1639058</v>
      </c>
      <c r="E46" s="16">
        <v>9225.44</v>
      </c>
      <c r="F46" s="17">
        <v>7.0000000000000001E-3</v>
      </c>
      <c r="G46" s="17"/>
    </row>
    <row r="47" spans="1:7" x14ac:dyDescent="0.35">
      <c r="A47" s="13" t="s">
        <v>1806</v>
      </c>
      <c r="B47" s="41" t="s">
        <v>1807</v>
      </c>
      <c r="C47" s="41" t="s">
        <v>1333</v>
      </c>
      <c r="D47" s="15">
        <v>1236335</v>
      </c>
      <c r="E47" s="16">
        <v>8900.3799999999992</v>
      </c>
      <c r="F47" s="17">
        <v>6.7999999999999996E-3</v>
      </c>
      <c r="G47" s="17"/>
    </row>
    <row r="48" spans="1:7" x14ac:dyDescent="0.35">
      <c r="A48" s="13" t="s">
        <v>1241</v>
      </c>
      <c r="B48" s="41" t="s">
        <v>1242</v>
      </c>
      <c r="C48" s="41" t="s">
        <v>1216</v>
      </c>
      <c r="D48" s="15">
        <v>1210179</v>
      </c>
      <c r="E48" s="16">
        <v>8831.89</v>
      </c>
      <c r="F48" s="17">
        <v>6.7000000000000002E-3</v>
      </c>
      <c r="G48" s="17"/>
    </row>
    <row r="49" spans="1:7" x14ac:dyDescent="0.35">
      <c r="A49" s="13" t="s">
        <v>1808</v>
      </c>
      <c r="B49" s="41" t="s">
        <v>1809</v>
      </c>
      <c r="C49" s="41" t="s">
        <v>1266</v>
      </c>
      <c r="D49" s="15">
        <v>239272</v>
      </c>
      <c r="E49" s="16">
        <v>8827.94</v>
      </c>
      <c r="F49" s="17">
        <v>6.7000000000000002E-3</v>
      </c>
      <c r="G49" s="17"/>
    </row>
    <row r="50" spans="1:7" x14ac:dyDescent="0.35">
      <c r="A50" s="13" t="s">
        <v>1555</v>
      </c>
      <c r="B50" s="41" t="s">
        <v>1556</v>
      </c>
      <c r="C50" s="41" t="s">
        <v>1178</v>
      </c>
      <c r="D50" s="15">
        <v>942107</v>
      </c>
      <c r="E50" s="16">
        <v>8589.19</v>
      </c>
      <c r="F50" s="17">
        <v>6.4999999999999997E-3</v>
      </c>
      <c r="G50" s="17"/>
    </row>
    <row r="51" spans="1:7" x14ac:dyDescent="0.35">
      <c r="A51" s="13" t="s">
        <v>1192</v>
      </c>
      <c r="B51" s="41" t="s">
        <v>1193</v>
      </c>
      <c r="C51" s="41" t="s">
        <v>1191</v>
      </c>
      <c r="D51" s="15">
        <v>145974</v>
      </c>
      <c r="E51" s="16">
        <v>8554.81</v>
      </c>
      <c r="F51" s="17">
        <v>6.4999999999999997E-3</v>
      </c>
      <c r="G51" s="17"/>
    </row>
    <row r="52" spans="1:7" x14ac:dyDescent="0.35">
      <c r="A52" s="13" t="s">
        <v>1325</v>
      </c>
      <c r="B52" s="41" t="s">
        <v>1326</v>
      </c>
      <c r="C52" s="41" t="s">
        <v>1211</v>
      </c>
      <c r="D52" s="15">
        <v>2214816</v>
      </c>
      <c r="E52" s="16">
        <v>8401.9</v>
      </c>
      <c r="F52" s="17">
        <v>6.4000000000000003E-3</v>
      </c>
      <c r="G52" s="17"/>
    </row>
    <row r="53" spans="1:7" x14ac:dyDescent="0.35">
      <c r="A53" s="13" t="s">
        <v>1547</v>
      </c>
      <c r="B53" s="41" t="s">
        <v>1548</v>
      </c>
      <c r="C53" s="41" t="s">
        <v>1369</v>
      </c>
      <c r="D53" s="15">
        <v>138903</v>
      </c>
      <c r="E53" s="16">
        <v>8382.7999999999993</v>
      </c>
      <c r="F53" s="17">
        <v>6.4000000000000003E-3</v>
      </c>
      <c r="G53" s="17"/>
    </row>
    <row r="54" spans="1:7" x14ac:dyDescent="0.35">
      <c r="A54" s="13" t="s">
        <v>1810</v>
      </c>
      <c r="B54" s="41" t="s">
        <v>1811</v>
      </c>
      <c r="C54" s="41" t="s">
        <v>1382</v>
      </c>
      <c r="D54" s="15">
        <v>113007</v>
      </c>
      <c r="E54" s="16">
        <v>8268.7199999999993</v>
      </c>
      <c r="F54" s="17">
        <v>6.3E-3</v>
      </c>
      <c r="G54" s="17"/>
    </row>
    <row r="55" spans="1:7" x14ac:dyDescent="0.35">
      <c r="A55" s="13" t="s">
        <v>1443</v>
      </c>
      <c r="B55" s="41" t="s">
        <v>1444</v>
      </c>
      <c r="C55" s="41" t="s">
        <v>1178</v>
      </c>
      <c r="D55" s="15">
        <v>9884814</v>
      </c>
      <c r="E55" s="16">
        <v>8261.73</v>
      </c>
      <c r="F55" s="17">
        <v>6.3E-3</v>
      </c>
      <c r="G55" s="17"/>
    </row>
    <row r="56" spans="1:7" x14ac:dyDescent="0.35">
      <c r="A56" s="13" t="s">
        <v>1286</v>
      </c>
      <c r="B56" s="41" t="s">
        <v>1287</v>
      </c>
      <c r="C56" s="41" t="s">
        <v>1288</v>
      </c>
      <c r="D56" s="15">
        <v>116802</v>
      </c>
      <c r="E56" s="16">
        <v>8191.91</v>
      </c>
      <c r="F56" s="17">
        <v>6.1999999999999998E-3</v>
      </c>
      <c r="G56" s="17"/>
    </row>
    <row r="57" spans="1:7" x14ac:dyDescent="0.35">
      <c r="A57" s="13" t="s">
        <v>1235</v>
      </c>
      <c r="B57" s="41" t="s">
        <v>1236</v>
      </c>
      <c r="C57" s="41" t="s">
        <v>1178</v>
      </c>
      <c r="D57" s="15">
        <v>1979475</v>
      </c>
      <c r="E57" s="16">
        <v>8076.26</v>
      </c>
      <c r="F57" s="17">
        <v>6.1999999999999998E-3</v>
      </c>
      <c r="G57" s="17"/>
    </row>
    <row r="58" spans="1:7" x14ac:dyDescent="0.35">
      <c r="A58" s="13" t="s">
        <v>1230</v>
      </c>
      <c r="B58" s="41" t="s">
        <v>1231</v>
      </c>
      <c r="C58" s="41" t="s">
        <v>1211</v>
      </c>
      <c r="D58" s="15">
        <v>391850</v>
      </c>
      <c r="E58" s="16">
        <v>7651.26</v>
      </c>
      <c r="F58" s="17">
        <v>5.7999999999999996E-3</v>
      </c>
      <c r="G58" s="17"/>
    </row>
    <row r="59" spans="1:7" x14ac:dyDescent="0.35">
      <c r="A59" s="13" t="s">
        <v>1207</v>
      </c>
      <c r="B59" s="41" t="s">
        <v>1208</v>
      </c>
      <c r="C59" s="41" t="s">
        <v>1185</v>
      </c>
      <c r="D59" s="15">
        <v>1039500</v>
      </c>
      <c r="E59" s="16">
        <v>7598.75</v>
      </c>
      <c r="F59" s="17">
        <v>5.7999999999999996E-3</v>
      </c>
      <c r="G59" s="17"/>
    </row>
    <row r="60" spans="1:7" x14ac:dyDescent="0.35">
      <c r="A60" s="13" t="s">
        <v>1318</v>
      </c>
      <c r="B60" s="41" t="s">
        <v>1319</v>
      </c>
      <c r="C60" s="41" t="s">
        <v>1178</v>
      </c>
      <c r="D60" s="15">
        <v>2500000</v>
      </c>
      <c r="E60" s="16">
        <v>7468.75</v>
      </c>
      <c r="F60" s="17">
        <v>5.7000000000000002E-3</v>
      </c>
      <c r="G60" s="17"/>
    </row>
    <row r="61" spans="1:7" x14ac:dyDescent="0.35">
      <c r="A61" s="13" t="s">
        <v>1361</v>
      </c>
      <c r="B61" s="41" t="s">
        <v>1362</v>
      </c>
      <c r="C61" s="41" t="s">
        <v>1229</v>
      </c>
      <c r="D61" s="15">
        <v>849424</v>
      </c>
      <c r="E61" s="16">
        <v>7232.85</v>
      </c>
      <c r="F61" s="17">
        <v>5.4999999999999997E-3</v>
      </c>
      <c r="G61" s="17"/>
    </row>
    <row r="62" spans="1:7" x14ac:dyDescent="0.35">
      <c r="A62" s="13" t="s">
        <v>1812</v>
      </c>
      <c r="B62" s="41" t="s">
        <v>1813</v>
      </c>
      <c r="C62" s="41" t="s">
        <v>1436</v>
      </c>
      <c r="D62" s="15">
        <v>799458</v>
      </c>
      <c r="E62" s="16">
        <v>6446.43</v>
      </c>
      <c r="F62" s="17">
        <v>4.8999999999999998E-3</v>
      </c>
      <c r="G62" s="17"/>
    </row>
    <row r="63" spans="1:7" x14ac:dyDescent="0.35">
      <c r="A63" s="13" t="s">
        <v>1183</v>
      </c>
      <c r="B63" s="41" t="s">
        <v>1184</v>
      </c>
      <c r="C63" s="41" t="s">
        <v>1185</v>
      </c>
      <c r="D63" s="15">
        <v>320000</v>
      </c>
      <c r="E63" s="16">
        <v>6395.2</v>
      </c>
      <c r="F63" s="17">
        <v>4.8999999999999998E-3</v>
      </c>
      <c r="G63" s="17"/>
    </row>
    <row r="64" spans="1:7" x14ac:dyDescent="0.35">
      <c r="A64" s="13" t="s">
        <v>1343</v>
      </c>
      <c r="B64" s="41" t="s">
        <v>1344</v>
      </c>
      <c r="C64" s="41" t="s">
        <v>1345</v>
      </c>
      <c r="D64" s="15">
        <v>136607</v>
      </c>
      <c r="E64" s="16">
        <v>6279.14</v>
      </c>
      <c r="F64" s="17">
        <v>4.7999999999999996E-3</v>
      </c>
      <c r="G64" s="17"/>
    </row>
    <row r="65" spans="1:7" x14ac:dyDescent="0.35">
      <c r="A65" s="13" t="s">
        <v>1420</v>
      </c>
      <c r="B65" s="41" t="s">
        <v>1421</v>
      </c>
      <c r="C65" s="41" t="s">
        <v>1178</v>
      </c>
      <c r="D65" s="15">
        <v>3394837</v>
      </c>
      <c r="E65" s="16">
        <v>6136.51</v>
      </c>
      <c r="F65" s="17">
        <v>4.7000000000000002E-3</v>
      </c>
      <c r="G65" s="17"/>
    </row>
    <row r="66" spans="1:7" x14ac:dyDescent="0.35">
      <c r="A66" s="13" t="s">
        <v>1314</v>
      </c>
      <c r="B66" s="41" t="s">
        <v>1315</v>
      </c>
      <c r="C66" s="41" t="s">
        <v>1211</v>
      </c>
      <c r="D66" s="15">
        <v>550000</v>
      </c>
      <c r="E66" s="16">
        <v>5610</v>
      </c>
      <c r="F66" s="17">
        <v>4.3E-3</v>
      </c>
      <c r="G66" s="17"/>
    </row>
    <row r="67" spans="1:7" x14ac:dyDescent="0.35">
      <c r="A67" s="13" t="s">
        <v>1299</v>
      </c>
      <c r="B67" s="41" t="s">
        <v>1300</v>
      </c>
      <c r="C67" s="41" t="s">
        <v>1301</v>
      </c>
      <c r="D67" s="15">
        <v>2048618</v>
      </c>
      <c r="E67" s="16">
        <v>5509.96</v>
      </c>
      <c r="F67" s="17">
        <v>4.1999999999999997E-3</v>
      </c>
      <c r="G67" s="17"/>
    </row>
    <row r="68" spans="1:7" x14ac:dyDescent="0.35">
      <c r="A68" s="13" t="s">
        <v>1320</v>
      </c>
      <c r="B68" s="41" t="s">
        <v>1321</v>
      </c>
      <c r="C68" s="41" t="s">
        <v>1211</v>
      </c>
      <c r="D68" s="15">
        <v>1502743</v>
      </c>
      <c r="E68" s="16">
        <v>5471.49</v>
      </c>
      <c r="F68" s="17">
        <v>4.1999999999999997E-3</v>
      </c>
      <c r="G68" s="17"/>
    </row>
    <row r="69" spans="1:7" x14ac:dyDescent="0.35">
      <c r="A69" s="13" t="s">
        <v>1356</v>
      </c>
      <c r="B69" s="41" t="s">
        <v>1357</v>
      </c>
      <c r="C69" s="41" t="s">
        <v>1288</v>
      </c>
      <c r="D69" s="15">
        <v>259804</v>
      </c>
      <c r="E69" s="16">
        <v>5314.81</v>
      </c>
      <c r="F69" s="17">
        <v>4.1000000000000003E-3</v>
      </c>
      <c r="G69" s="17"/>
    </row>
    <row r="70" spans="1:7" x14ac:dyDescent="0.35">
      <c r="A70" s="13" t="s">
        <v>1232</v>
      </c>
      <c r="B70" s="41" t="s">
        <v>1233</v>
      </c>
      <c r="C70" s="41" t="s">
        <v>1234</v>
      </c>
      <c r="D70" s="15">
        <v>133831</v>
      </c>
      <c r="E70" s="16">
        <v>5300.78</v>
      </c>
      <c r="F70" s="17">
        <v>4.0000000000000001E-3</v>
      </c>
      <c r="G70" s="17"/>
    </row>
    <row r="71" spans="1:7" x14ac:dyDescent="0.35">
      <c r="A71" s="13" t="s">
        <v>1490</v>
      </c>
      <c r="B71" s="41" t="s">
        <v>1491</v>
      </c>
      <c r="C71" s="41" t="s">
        <v>1382</v>
      </c>
      <c r="D71" s="15">
        <v>4581912</v>
      </c>
      <c r="E71" s="16">
        <v>5172.9799999999996</v>
      </c>
      <c r="F71" s="17">
        <v>3.8999999999999998E-3</v>
      </c>
      <c r="G71" s="17"/>
    </row>
    <row r="72" spans="1:7" x14ac:dyDescent="0.35">
      <c r="A72" s="13" t="s">
        <v>1327</v>
      </c>
      <c r="B72" s="41" t="s">
        <v>1328</v>
      </c>
      <c r="C72" s="41" t="s">
        <v>1178</v>
      </c>
      <c r="D72" s="15">
        <v>4130121</v>
      </c>
      <c r="E72" s="16">
        <v>5170.5</v>
      </c>
      <c r="F72" s="17">
        <v>3.8999999999999998E-3</v>
      </c>
      <c r="G72" s="17"/>
    </row>
    <row r="73" spans="1:7" x14ac:dyDescent="0.35">
      <c r="A73" s="13" t="s">
        <v>1543</v>
      </c>
      <c r="B73" s="41" t="s">
        <v>1544</v>
      </c>
      <c r="C73" s="41" t="s">
        <v>1206</v>
      </c>
      <c r="D73" s="15">
        <v>1390719</v>
      </c>
      <c r="E73" s="16">
        <v>5069.17</v>
      </c>
      <c r="F73" s="17">
        <v>3.8999999999999998E-3</v>
      </c>
      <c r="G73" s="17"/>
    </row>
    <row r="74" spans="1:7" x14ac:dyDescent="0.35">
      <c r="A74" s="13" t="s">
        <v>1257</v>
      </c>
      <c r="B74" s="41" t="s">
        <v>1258</v>
      </c>
      <c r="C74" s="41" t="s">
        <v>1198</v>
      </c>
      <c r="D74" s="15">
        <v>45000000</v>
      </c>
      <c r="E74" s="16">
        <v>5026.5</v>
      </c>
      <c r="F74" s="17">
        <v>3.8E-3</v>
      </c>
      <c r="G74" s="17"/>
    </row>
    <row r="75" spans="1:7" x14ac:dyDescent="0.35">
      <c r="A75" s="13" t="s">
        <v>1814</v>
      </c>
      <c r="B75" s="41" t="s">
        <v>1815</v>
      </c>
      <c r="C75" s="41" t="s">
        <v>1234</v>
      </c>
      <c r="D75" s="15">
        <v>17911</v>
      </c>
      <c r="E75" s="16">
        <v>4937.17</v>
      </c>
      <c r="F75" s="17">
        <v>3.8E-3</v>
      </c>
      <c r="G75" s="17"/>
    </row>
    <row r="76" spans="1:7" x14ac:dyDescent="0.35">
      <c r="A76" s="13" t="s">
        <v>1816</v>
      </c>
      <c r="B76" s="41" t="s">
        <v>1817</v>
      </c>
      <c r="C76" s="41" t="s">
        <v>1188</v>
      </c>
      <c r="D76" s="15">
        <v>791234</v>
      </c>
      <c r="E76" s="16">
        <v>4915.54</v>
      </c>
      <c r="F76" s="17">
        <v>3.7000000000000002E-3</v>
      </c>
      <c r="G76" s="17"/>
    </row>
    <row r="77" spans="1:7" x14ac:dyDescent="0.35">
      <c r="A77" s="13" t="s">
        <v>1239</v>
      </c>
      <c r="B77" s="41" t="s">
        <v>1240</v>
      </c>
      <c r="C77" s="41" t="s">
        <v>1234</v>
      </c>
      <c r="D77" s="15">
        <v>391249</v>
      </c>
      <c r="E77" s="16">
        <v>4765.8</v>
      </c>
      <c r="F77" s="17">
        <v>3.5999999999999999E-3</v>
      </c>
      <c r="G77" s="17"/>
    </row>
    <row r="78" spans="1:7" x14ac:dyDescent="0.35">
      <c r="A78" s="13" t="s">
        <v>1291</v>
      </c>
      <c r="B78" s="41" t="s">
        <v>1292</v>
      </c>
      <c r="C78" s="41" t="s">
        <v>1206</v>
      </c>
      <c r="D78" s="15">
        <v>1107605</v>
      </c>
      <c r="E78" s="16">
        <v>4729.47</v>
      </c>
      <c r="F78" s="17">
        <v>3.5999999999999999E-3</v>
      </c>
      <c r="G78" s="17"/>
    </row>
    <row r="79" spans="1:7" x14ac:dyDescent="0.35">
      <c r="A79" s="13" t="s">
        <v>1392</v>
      </c>
      <c r="B79" s="41" t="s">
        <v>1393</v>
      </c>
      <c r="C79" s="41" t="s">
        <v>1369</v>
      </c>
      <c r="D79" s="15">
        <v>165877</v>
      </c>
      <c r="E79" s="16">
        <v>4576.55</v>
      </c>
      <c r="F79" s="17">
        <v>3.5000000000000001E-3</v>
      </c>
      <c r="G79" s="17"/>
    </row>
    <row r="80" spans="1:7" x14ac:dyDescent="0.35">
      <c r="A80" s="13" t="s">
        <v>1545</v>
      </c>
      <c r="B80" s="41" t="s">
        <v>1546</v>
      </c>
      <c r="C80" s="41" t="s">
        <v>1436</v>
      </c>
      <c r="D80" s="15">
        <v>131684</v>
      </c>
      <c r="E80" s="16">
        <v>4576.55</v>
      </c>
      <c r="F80" s="17">
        <v>3.5000000000000001E-3</v>
      </c>
      <c r="G80" s="17"/>
    </row>
    <row r="81" spans="1:7" x14ac:dyDescent="0.35">
      <c r="A81" s="13" t="s">
        <v>1498</v>
      </c>
      <c r="B81" s="41" t="s">
        <v>1499</v>
      </c>
      <c r="C81" s="41" t="s">
        <v>1333</v>
      </c>
      <c r="D81" s="15">
        <v>756284</v>
      </c>
      <c r="E81" s="16">
        <v>4417.08</v>
      </c>
      <c r="F81" s="17">
        <v>3.3999999999999998E-3</v>
      </c>
      <c r="G81" s="17"/>
    </row>
    <row r="82" spans="1:7" x14ac:dyDescent="0.35">
      <c r="A82" s="13" t="s">
        <v>1818</v>
      </c>
      <c r="B82" s="41" t="s">
        <v>1819</v>
      </c>
      <c r="C82" s="41" t="s">
        <v>1382</v>
      </c>
      <c r="D82" s="15">
        <v>117682</v>
      </c>
      <c r="E82" s="16">
        <v>4262.5600000000004</v>
      </c>
      <c r="F82" s="17">
        <v>3.2000000000000002E-3</v>
      </c>
      <c r="G82" s="17"/>
    </row>
    <row r="83" spans="1:7" x14ac:dyDescent="0.35">
      <c r="A83" s="13" t="s">
        <v>1353</v>
      </c>
      <c r="B83" s="41" t="s">
        <v>1354</v>
      </c>
      <c r="C83" s="41" t="s">
        <v>1355</v>
      </c>
      <c r="D83" s="15">
        <v>2494114</v>
      </c>
      <c r="E83" s="16">
        <v>4172.3999999999996</v>
      </c>
      <c r="F83" s="17">
        <v>3.2000000000000002E-3</v>
      </c>
      <c r="G83" s="17"/>
    </row>
    <row r="84" spans="1:7" x14ac:dyDescent="0.35">
      <c r="A84" s="13" t="s">
        <v>1461</v>
      </c>
      <c r="B84" s="41" t="s">
        <v>1462</v>
      </c>
      <c r="C84" s="41" t="s">
        <v>1360</v>
      </c>
      <c r="D84" s="15">
        <v>295509</v>
      </c>
      <c r="E84" s="16">
        <v>4026.61</v>
      </c>
      <c r="F84" s="17">
        <v>3.0999999999999999E-3</v>
      </c>
      <c r="G84" s="17"/>
    </row>
    <row r="85" spans="1:7" x14ac:dyDescent="0.35">
      <c r="A85" s="13" t="s">
        <v>1508</v>
      </c>
      <c r="B85" s="41" t="s">
        <v>1509</v>
      </c>
      <c r="C85" s="41" t="s">
        <v>1188</v>
      </c>
      <c r="D85" s="15">
        <v>36687</v>
      </c>
      <c r="E85" s="16">
        <v>3521.03</v>
      </c>
      <c r="F85" s="17">
        <v>2.7000000000000001E-3</v>
      </c>
      <c r="G85" s="17"/>
    </row>
    <row r="86" spans="1:7" x14ac:dyDescent="0.35">
      <c r="A86" s="13" t="s">
        <v>1820</v>
      </c>
      <c r="B86" s="41" t="s">
        <v>1821</v>
      </c>
      <c r="C86" s="41" t="s">
        <v>1324</v>
      </c>
      <c r="D86" s="15">
        <v>467233</v>
      </c>
      <c r="E86" s="16">
        <v>3514.76</v>
      </c>
      <c r="F86" s="17">
        <v>2.7000000000000001E-3</v>
      </c>
      <c r="G86" s="17"/>
    </row>
    <row r="87" spans="1:7" x14ac:dyDescent="0.35">
      <c r="A87" s="13" t="s">
        <v>1484</v>
      </c>
      <c r="B87" s="41" t="s">
        <v>1485</v>
      </c>
      <c r="C87" s="41" t="s">
        <v>1201</v>
      </c>
      <c r="D87" s="15">
        <v>31935</v>
      </c>
      <c r="E87" s="16">
        <v>3335.93</v>
      </c>
      <c r="F87" s="17">
        <v>2.5000000000000001E-3</v>
      </c>
      <c r="G87" s="17"/>
    </row>
    <row r="88" spans="1:7" x14ac:dyDescent="0.35">
      <c r="A88" s="13" t="s">
        <v>1459</v>
      </c>
      <c r="B88" s="41" t="s">
        <v>1460</v>
      </c>
      <c r="C88" s="41" t="s">
        <v>1266</v>
      </c>
      <c r="D88" s="15">
        <v>86996</v>
      </c>
      <c r="E88" s="16">
        <v>3293.23</v>
      </c>
      <c r="F88" s="17">
        <v>2.5000000000000001E-3</v>
      </c>
      <c r="G88" s="17"/>
    </row>
    <row r="89" spans="1:7" x14ac:dyDescent="0.35">
      <c r="A89" s="13" t="s">
        <v>1388</v>
      </c>
      <c r="B89" s="41" t="s">
        <v>1389</v>
      </c>
      <c r="C89" s="41" t="s">
        <v>1211</v>
      </c>
      <c r="D89" s="15">
        <v>1150000</v>
      </c>
      <c r="E89" s="16">
        <v>3273.48</v>
      </c>
      <c r="F89" s="17">
        <v>2.5000000000000001E-3</v>
      </c>
      <c r="G89" s="17"/>
    </row>
    <row r="90" spans="1:7" x14ac:dyDescent="0.35">
      <c r="A90" s="13" t="s">
        <v>1468</v>
      </c>
      <c r="B90" s="41" t="s">
        <v>1469</v>
      </c>
      <c r="C90" s="41" t="s">
        <v>1324</v>
      </c>
      <c r="D90" s="15">
        <v>194355</v>
      </c>
      <c r="E90" s="16">
        <v>3247.09</v>
      </c>
      <c r="F90" s="17">
        <v>2.5000000000000001E-3</v>
      </c>
      <c r="G90" s="17"/>
    </row>
    <row r="91" spans="1:7" x14ac:dyDescent="0.35">
      <c r="A91" s="13" t="s">
        <v>1822</v>
      </c>
      <c r="B91" s="41" t="s">
        <v>1823</v>
      </c>
      <c r="C91" s="41" t="s">
        <v>1266</v>
      </c>
      <c r="D91" s="15">
        <v>2232587</v>
      </c>
      <c r="E91" s="16">
        <v>2811.94</v>
      </c>
      <c r="F91" s="17">
        <v>2.0999999999999999E-3</v>
      </c>
      <c r="G91" s="17"/>
    </row>
    <row r="92" spans="1:7" x14ac:dyDescent="0.35">
      <c r="A92" s="13" t="s">
        <v>1422</v>
      </c>
      <c r="B92" s="41" t="s">
        <v>1423</v>
      </c>
      <c r="C92" s="41" t="s">
        <v>1211</v>
      </c>
      <c r="D92" s="15">
        <v>1447668</v>
      </c>
      <c r="E92" s="16">
        <v>2774.46</v>
      </c>
      <c r="F92" s="17">
        <v>2.0999999999999999E-3</v>
      </c>
      <c r="G92" s="17"/>
    </row>
    <row r="93" spans="1:7" x14ac:dyDescent="0.35">
      <c r="A93" s="13" t="s">
        <v>1346</v>
      </c>
      <c r="B93" s="41" t="s">
        <v>1347</v>
      </c>
      <c r="C93" s="41" t="s">
        <v>1333</v>
      </c>
      <c r="D93" s="15">
        <v>1000000</v>
      </c>
      <c r="E93" s="16">
        <v>2627</v>
      </c>
      <c r="F93" s="17">
        <v>2E-3</v>
      </c>
      <c r="G93" s="17"/>
    </row>
    <row r="94" spans="1:7" x14ac:dyDescent="0.35">
      <c r="A94" s="13" t="s">
        <v>1824</v>
      </c>
      <c r="B94" s="41" t="s">
        <v>1825</v>
      </c>
      <c r="C94" s="41" t="s">
        <v>1350</v>
      </c>
      <c r="D94" s="15">
        <v>77694</v>
      </c>
      <c r="E94" s="16">
        <v>2482.63</v>
      </c>
      <c r="F94" s="17">
        <v>1.9E-3</v>
      </c>
      <c r="G94" s="17"/>
    </row>
    <row r="95" spans="1:7" x14ac:dyDescent="0.35">
      <c r="A95" s="13" t="s">
        <v>1826</v>
      </c>
      <c r="B95" s="41" t="s">
        <v>1827</v>
      </c>
      <c r="C95" s="41" t="s">
        <v>1280</v>
      </c>
      <c r="D95" s="15">
        <v>200000</v>
      </c>
      <c r="E95" s="16">
        <v>2268.6</v>
      </c>
      <c r="F95" s="17">
        <v>1.6999999999999999E-3</v>
      </c>
      <c r="G95" s="17"/>
    </row>
    <row r="96" spans="1:7" x14ac:dyDescent="0.35">
      <c r="A96" s="13" t="s">
        <v>1828</v>
      </c>
      <c r="B96" s="41" t="s">
        <v>1829</v>
      </c>
      <c r="C96" s="41" t="s">
        <v>1280</v>
      </c>
      <c r="D96" s="15">
        <v>72985</v>
      </c>
      <c r="E96" s="16">
        <v>2169.5500000000002</v>
      </c>
      <c r="F96" s="17">
        <v>1.6999999999999999E-3</v>
      </c>
      <c r="G96" s="17"/>
    </row>
    <row r="97" spans="1:7" x14ac:dyDescent="0.35">
      <c r="A97" s="13" t="s">
        <v>1457</v>
      </c>
      <c r="B97" s="41" t="s">
        <v>1458</v>
      </c>
      <c r="C97" s="41" t="s">
        <v>1185</v>
      </c>
      <c r="D97" s="15">
        <v>253076</v>
      </c>
      <c r="E97" s="16">
        <v>2086.61</v>
      </c>
      <c r="F97" s="17">
        <v>1.6000000000000001E-3</v>
      </c>
      <c r="G97" s="17"/>
    </row>
    <row r="98" spans="1:7" x14ac:dyDescent="0.35">
      <c r="A98" s="13" t="s">
        <v>1830</v>
      </c>
      <c r="B98" s="41" t="s">
        <v>1831</v>
      </c>
      <c r="C98" s="41" t="s">
        <v>1305</v>
      </c>
      <c r="D98" s="15">
        <v>2449484</v>
      </c>
      <c r="E98" s="16">
        <v>1775.88</v>
      </c>
      <c r="F98" s="17">
        <v>1.4E-3</v>
      </c>
      <c r="G98" s="17"/>
    </row>
    <row r="99" spans="1:7" x14ac:dyDescent="0.35">
      <c r="A99" s="13" t="s">
        <v>1832</v>
      </c>
      <c r="B99" s="41" t="s">
        <v>1833</v>
      </c>
      <c r="C99" s="41" t="s">
        <v>1221</v>
      </c>
      <c r="D99" s="15">
        <v>394009</v>
      </c>
      <c r="E99" s="16">
        <v>1465.52</v>
      </c>
      <c r="F99" s="17">
        <v>1.1000000000000001E-3</v>
      </c>
      <c r="G99" s="17"/>
    </row>
    <row r="100" spans="1:7" x14ac:dyDescent="0.35">
      <c r="A100" s="13" t="s">
        <v>1512</v>
      </c>
      <c r="B100" s="41" t="s">
        <v>1513</v>
      </c>
      <c r="C100" s="41" t="s">
        <v>1188</v>
      </c>
      <c r="D100" s="15">
        <v>25120</v>
      </c>
      <c r="E100" s="16">
        <v>1390.14</v>
      </c>
      <c r="F100" s="17">
        <v>1.1000000000000001E-3</v>
      </c>
      <c r="G100" s="17"/>
    </row>
    <row r="101" spans="1:7" x14ac:dyDescent="0.35">
      <c r="A101" s="13" t="s">
        <v>1834</v>
      </c>
      <c r="B101" s="41" t="s">
        <v>1835</v>
      </c>
      <c r="C101" s="41" t="s">
        <v>1224</v>
      </c>
      <c r="D101" s="15">
        <v>809163</v>
      </c>
      <c r="E101" s="16">
        <v>924.06</v>
      </c>
      <c r="F101" s="17">
        <v>6.9999999999999999E-4</v>
      </c>
      <c r="G101" s="17"/>
    </row>
    <row r="102" spans="1:7" x14ac:dyDescent="0.35">
      <c r="A102" s="13" t="s">
        <v>1836</v>
      </c>
      <c r="B102" s="41" t="s">
        <v>1837</v>
      </c>
      <c r="C102" s="41" t="s">
        <v>1838</v>
      </c>
      <c r="D102" s="15">
        <v>284549</v>
      </c>
      <c r="E102" s="16">
        <v>501.55</v>
      </c>
      <c r="F102" s="17">
        <v>4.0000000000000002E-4</v>
      </c>
      <c r="G102" s="17"/>
    </row>
    <row r="103" spans="1:7" x14ac:dyDescent="0.35">
      <c r="A103" s="13" t="s">
        <v>1839</v>
      </c>
      <c r="B103" s="41" t="s">
        <v>1840</v>
      </c>
      <c r="C103" s="41" t="s">
        <v>1333</v>
      </c>
      <c r="D103" s="15">
        <v>103908</v>
      </c>
      <c r="E103" s="16">
        <v>211.99</v>
      </c>
      <c r="F103" s="17">
        <v>2.0000000000000001E-4</v>
      </c>
      <c r="G103" s="17"/>
    </row>
    <row r="104" spans="1:7" x14ac:dyDescent="0.35">
      <c r="A104" s="13" t="s">
        <v>1841</v>
      </c>
      <c r="B104" s="41" t="s">
        <v>1842</v>
      </c>
      <c r="C104" s="41" t="s">
        <v>1191</v>
      </c>
      <c r="D104" s="15">
        <v>11444</v>
      </c>
      <c r="E104" s="16">
        <v>67.290000000000006</v>
      </c>
      <c r="F104" s="17">
        <v>1E-4</v>
      </c>
      <c r="G104" s="17"/>
    </row>
    <row r="105" spans="1:7" x14ac:dyDescent="0.35">
      <c r="A105" s="13" t="s">
        <v>1843</v>
      </c>
      <c r="B105" s="41" t="s">
        <v>1844</v>
      </c>
      <c r="C105" s="41" t="s">
        <v>1191</v>
      </c>
      <c r="D105" s="15">
        <v>434930</v>
      </c>
      <c r="E105" s="16">
        <v>157.36000000000001</v>
      </c>
      <c r="F105" s="17">
        <v>1E-4</v>
      </c>
      <c r="G105" s="17"/>
    </row>
    <row r="106" spans="1:7" x14ac:dyDescent="0.35">
      <c r="A106" s="13" t="s">
        <v>1845</v>
      </c>
      <c r="B106" s="41" t="s">
        <v>1846</v>
      </c>
      <c r="C106" s="41" t="s">
        <v>1324</v>
      </c>
      <c r="D106" s="15">
        <v>267</v>
      </c>
      <c r="E106" s="16">
        <v>0.94</v>
      </c>
      <c r="F106" s="17">
        <v>0</v>
      </c>
      <c r="G106" s="17"/>
    </row>
    <row r="107" spans="1:7" x14ac:dyDescent="0.35">
      <c r="A107" s="13" t="s">
        <v>1847</v>
      </c>
      <c r="B107" s="41" t="s">
        <v>1848</v>
      </c>
      <c r="C107" s="41" t="s">
        <v>1849</v>
      </c>
      <c r="D107" s="15">
        <v>284</v>
      </c>
      <c r="E107" s="16">
        <v>0.56000000000000005</v>
      </c>
      <c r="F107" s="17">
        <v>0</v>
      </c>
      <c r="G107" s="17"/>
    </row>
    <row r="108" spans="1:7" x14ac:dyDescent="0.35">
      <c r="A108" s="14" t="s">
        <v>149</v>
      </c>
      <c r="B108" s="42"/>
      <c r="C108" s="42"/>
      <c r="D108" s="18"/>
      <c r="E108" s="19">
        <f>SUM(E8:E107)</f>
        <v>1055114.9000000004</v>
      </c>
      <c r="F108" s="20">
        <f>SUM(F8:F107)</f>
        <v>0.8042999999999999</v>
      </c>
      <c r="G108" s="21"/>
    </row>
    <row r="109" spans="1:7" x14ac:dyDescent="0.35">
      <c r="A109" s="14"/>
      <c r="B109" s="42"/>
      <c r="C109" s="42"/>
      <c r="D109" s="18"/>
      <c r="E109" s="26"/>
      <c r="F109" s="21"/>
      <c r="G109" s="21"/>
    </row>
    <row r="110" spans="1:7" x14ac:dyDescent="0.35">
      <c r="A110" s="14"/>
      <c r="B110" s="42"/>
      <c r="C110" s="42"/>
      <c r="D110" s="18"/>
      <c r="E110" s="26"/>
      <c r="F110" s="21"/>
      <c r="G110" s="21"/>
    </row>
    <row r="111" spans="1:7" x14ac:dyDescent="0.35">
      <c r="A111" s="14"/>
      <c r="B111" s="42"/>
      <c r="C111" s="42"/>
      <c r="D111" s="18"/>
      <c r="E111" s="26"/>
      <c r="F111" s="21"/>
      <c r="G111" s="21"/>
    </row>
    <row r="112" spans="1:7" x14ac:dyDescent="0.35">
      <c r="A112" s="14" t="s">
        <v>1850</v>
      </c>
      <c r="B112" s="41"/>
      <c r="C112" s="41"/>
      <c r="D112" s="15"/>
      <c r="E112" s="59"/>
      <c r="F112" s="60"/>
      <c r="G112" s="17"/>
    </row>
    <row r="113" spans="1:7" x14ac:dyDescent="0.35">
      <c r="A113" s="13" t="s">
        <v>1851</v>
      </c>
      <c r="B113" s="41" t="s">
        <v>1852</v>
      </c>
      <c r="C113" s="41"/>
      <c r="D113" s="15">
        <v>4880</v>
      </c>
      <c r="E113" s="16">
        <v>4329.97</v>
      </c>
      <c r="F113" s="17">
        <v>3.3E-3</v>
      </c>
      <c r="G113" s="17">
        <v>0.14691299999999999</v>
      </c>
    </row>
    <row r="114" spans="1:7" x14ac:dyDescent="0.35">
      <c r="A114" s="14" t="s">
        <v>149</v>
      </c>
      <c r="B114" s="41"/>
      <c r="C114" s="41"/>
      <c r="D114" s="15"/>
      <c r="E114" s="16">
        <v>4329.97</v>
      </c>
      <c r="F114" s="17">
        <v>3.3E-3</v>
      </c>
      <c r="G114" s="21"/>
    </row>
    <row r="115" spans="1:7" x14ac:dyDescent="0.35">
      <c r="A115" s="14"/>
      <c r="B115" s="42"/>
      <c r="C115" s="42"/>
      <c r="D115" s="18"/>
      <c r="E115" s="26"/>
      <c r="F115" s="21"/>
      <c r="G115" s="21"/>
    </row>
    <row r="116" spans="1:7" x14ac:dyDescent="0.35">
      <c r="A116" s="14"/>
      <c r="B116" s="42"/>
      <c r="C116" s="42"/>
      <c r="D116" s="18"/>
      <c r="E116" s="26"/>
      <c r="F116" s="21"/>
      <c r="G116" s="21"/>
    </row>
    <row r="117" spans="1:7" x14ac:dyDescent="0.35">
      <c r="A117" s="22" t="s">
        <v>160</v>
      </c>
      <c r="B117" s="43"/>
      <c r="C117" s="43"/>
      <c r="D117" s="23"/>
      <c r="E117" s="36">
        <f>E114+E108</f>
        <v>1059444.8700000003</v>
      </c>
      <c r="F117" s="37">
        <f>F114+F108</f>
        <v>0.80759999999999987</v>
      </c>
      <c r="G117" s="21"/>
    </row>
    <row r="118" spans="1:7" x14ac:dyDescent="0.35">
      <c r="A118" s="13"/>
      <c r="B118" s="41"/>
      <c r="C118" s="41"/>
      <c r="D118" s="15"/>
      <c r="E118" s="16"/>
      <c r="F118" s="17"/>
      <c r="G118" s="17"/>
    </row>
    <row r="119" spans="1:7" x14ac:dyDescent="0.35">
      <c r="A119" s="14" t="s">
        <v>1571</v>
      </c>
      <c r="B119" s="41"/>
      <c r="C119" s="41"/>
      <c r="D119" s="15"/>
      <c r="E119" s="16"/>
      <c r="F119" s="17"/>
      <c r="G119" s="17"/>
    </row>
    <row r="120" spans="1:7" x14ac:dyDescent="0.35">
      <c r="A120" s="14" t="s">
        <v>1572</v>
      </c>
      <c r="B120" s="41"/>
      <c r="C120" s="41"/>
      <c r="D120" s="15"/>
      <c r="E120" s="16"/>
      <c r="F120" s="17"/>
      <c r="G120" s="17"/>
    </row>
    <row r="121" spans="1:7" x14ac:dyDescent="0.35">
      <c r="A121" s="13" t="s">
        <v>1853</v>
      </c>
      <c r="B121" s="41"/>
      <c r="C121" s="41" t="s">
        <v>1849</v>
      </c>
      <c r="D121" s="15">
        <v>2645000</v>
      </c>
      <c r="E121" s="16">
        <v>5154.3100000000004</v>
      </c>
      <c r="F121" s="17">
        <v>3.9290000000000002E-3</v>
      </c>
      <c r="G121" s="17"/>
    </row>
    <row r="122" spans="1:7" x14ac:dyDescent="0.35">
      <c r="A122" s="13" t="s">
        <v>1854</v>
      </c>
      <c r="B122" s="41"/>
      <c r="C122" s="41" t="s">
        <v>1855</v>
      </c>
      <c r="D122" s="15">
        <v>495</v>
      </c>
      <c r="E122" s="16">
        <v>159.37</v>
      </c>
      <c r="F122" s="17">
        <v>1.21E-4</v>
      </c>
      <c r="G122" s="17"/>
    </row>
    <row r="123" spans="1:7" x14ac:dyDescent="0.35">
      <c r="A123" s="13" t="s">
        <v>1856</v>
      </c>
      <c r="B123" s="41"/>
      <c r="C123" s="41" t="s">
        <v>1857</v>
      </c>
      <c r="D123" s="27">
        <v>-249860</v>
      </c>
      <c r="E123" s="28">
        <v>-63505.42</v>
      </c>
      <c r="F123" s="29">
        <v>-4.8417000000000002E-2</v>
      </c>
      <c r="G123" s="17"/>
    </row>
    <row r="124" spans="1:7" x14ac:dyDescent="0.35">
      <c r="A124" s="14" t="s">
        <v>149</v>
      </c>
      <c r="B124" s="42"/>
      <c r="C124" s="42"/>
      <c r="D124" s="18"/>
      <c r="E124" s="30">
        <v>-58191.74</v>
      </c>
      <c r="F124" s="31">
        <v>-4.4366999999999997E-2</v>
      </c>
      <c r="G124" s="21"/>
    </row>
    <row r="125" spans="1:7" x14ac:dyDescent="0.35">
      <c r="A125" s="13"/>
      <c r="B125" s="41"/>
      <c r="C125" s="41"/>
      <c r="D125" s="15"/>
      <c r="E125" s="16"/>
      <c r="F125" s="17"/>
      <c r="G125" s="17"/>
    </row>
    <row r="126" spans="1:7" x14ac:dyDescent="0.35">
      <c r="A126" s="13"/>
      <c r="B126" s="41"/>
      <c r="C126" s="41"/>
      <c r="D126" s="15"/>
      <c r="E126" s="16"/>
      <c r="F126" s="17"/>
      <c r="G126" s="17"/>
    </row>
    <row r="127" spans="1:7" x14ac:dyDescent="0.35">
      <c r="A127" s="14" t="s">
        <v>1858</v>
      </c>
      <c r="B127" s="42"/>
      <c r="C127" s="42"/>
      <c r="D127" s="18"/>
      <c r="E127" s="26"/>
      <c r="F127" s="21"/>
      <c r="G127" s="21"/>
    </row>
    <row r="128" spans="1:7" x14ac:dyDescent="0.35">
      <c r="A128" s="13" t="s">
        <v>1859</v>
      </c>
      <c r="B128" s="41"/>
      <c r="C128" s="41" t="s">
        <v>1860</v>
      </c>
      <c r="D128" s="15">
        <v>599885</v>
      </c>
      <c r="E128" s="16">
        <v>9539.07</v>
      </c>
      <c r="F128" s="17">
        <v>7.3000000000000001E-3</v>
      </c>
      <c r="G128" s="17"/>
    </row>
    <row r="129" spans="1:7" x14ac:dyDescent="0.35">
      <c r="A129" s="13" t="s">
        <v>1861</v>
      </c>
      <c r="B129" s="41"/>
      <c r="C129" s="41" t="s">
        <v>1860</v>
      </c>
      <c r="D129" s="15">
        <v>599885</v>
      </c>
      <c r="E129" s="16">
        <v>6671.32</v>
      </c>
      <c r="F129" s="17">
        <v>5.1000000000000004E-3</v>
      </c>
      <c r="G129" s="17"/>
    </row>
    <row r="130" spans="1:7" x14ac:dyDescent="0.35">
      <c r="A130" s="14" t="s">
        <v>149</v>
      </c>
      <c r="B130" s="42"/>
      <c r="C130" s="42"/>
      <c r="D130" s="18"/>
      <c r="E130" s="19">
        <v>16210.39</v>
      </c>
      <c r="F130" s="20">
        <v>1.24E-2</v>
      </c>
      <c r="G130" s="21"/>
    </row>
    <row r="131" spans="1:7" x14ac:dyDescent="0.35">
      <c r="A131" s="13"/>
      <c r="B131" s="41"/>
      <c r="C131" s="41"/>
      <c r="D131" s="15"/>
      <c r="E131" s="16"/>
      <c r="F131" s="17"/>
      <c r="G131" s="17"/>
    </row>
    <row r="132" spans="1:7" x14ac:dyDescent="0.35">
      <c r="A132" s="22" t="s">
        <v>160</v>
      </c>
      <c r="B132" s="43"/>
      <c r="C132" s="43"/>
      <c r="D132" s="23"/>
      <c r="E132" s="36">
        <v>16210.39</v>
      </c>
      <c r="F132" s="37">
        <v>1.24E-2</v>
      </c>
      <c r="G132" s="21"/>
    </row>
    <row r="133" spans="1:7" x14ac:dyDescent="0.35">
      <c r="A133" s="14" t="s">
        <v>147</v>
      </c>
      <c r="B133" s="41"/>
      <c r="C133" s="41"/>
      <c r="D133" s="15"/>
      <c r="E133" s="16"/>
      <c r="F133" s="17"/>
      <c r="G133" s="17"/>
    </row>
    <row r="134" spans="1:7" x14ac:dyDescent="0.35">
      <c r="A134" s="14" t="s">
        <v>307</v>
      </c>
      <c r="B134" s="41"/>
      <c r="C134" s="41"/>
      <c r="D134" s="15"/>
      <c r="E134" s="16"/>
      <c r="F134" s="17"/>
      <c r="G134" s="17"/>
    </row>
    <row r="135" spans="1:7" x14ac:dyDescent="0.35">
      <c r="A135" s="13" t="s">
        <v>780</v>
      </c>
      <c r="B135" s="41" t="s">
        <v>781</v>
      </c>
      <c r="C135" s="41" t="s">
        <v>310</v>
      </c>
      <c r="D135" s="15">
        <v>16000000</v>
      </c>
      <c r="E135" s="16">
        <v>16016.58</v>
      </c>
      <c r="F135" s="17">
        <v>1.2200000000000001E-2</v>
      </c>
      <c r="G135" s="17">
        <v>7.535E-2</v>
      </c>
    </row>
    <row r="136" spans="1:7" x14ac:dyDescent="0.35">
      <c r="A136" s="13" t="s">
        <v>1862</v>
      </c>
      <c r="B136" s="41" t="s">
        <v>1863</v>
      </c>
      <c r="C136" s="41" t="s">
        <v>310</v>
      </c>
      <c r="D136" s="15">
        <v>15000000</v>
      </c>
      <c r="E136" s="16">
        <v>14951.22</v>
      </c>
      <c r="F136" s="17">
        <v>1.14E-2</v>
      </c>
      <c r="G136" s="17">
        <v>7.5550000000000006E-2</v>
      </c>
    </row>
    <row r="137" spans="1:7" x14ac:dyDescent="0.35">
      <c r="A137" s="13" t="s">
        <v>1864</v>
      </c>
      <c r="B137" s="41" t="s">
        <v>1865</v>
      </c>
      <c r="C137" s="41" t="s">
        <v>310</v>
      </c>
      <c r="D137" s="15">
        <v>10000000</v>
      </c>
      <c r="E137" s="16">
        <v>10002.870000000001</v>
      </c>
      <c r="F137" s="17">
        <v>7.6E-3</v>
      </c>
      <c r="G137" s="17">
        <v>7.2347999999999996E-2</v>
      </c>
    </row>
    <row r="138" spans="1:7" x14ac:dyDescent="0.35">
      <c r="A138" s="13" t="s">
        <v>1866</v>
      </c>
      <c r="B138" s="41" t="s">
        <v>1867</v>
      </c>
      <c r="C138" s="41" t="s">
        <v>310</v>
      </c>
      <c r="D138" s="15">
        <v>7500000</v>
      </c>
      <c r="E138" s="16">
        <v>7516.8</v>
      </c>
      <c r="F138" s="17">
        <v>5.7000000000000002E-3</v>
      </c>
      <c r="G138" s="17">
        <v>7.3649000000000006E-2</v>
      </c>
    </row>
    <row r="139" spans="1:7" x14ac:dyDescent="0.35">
      <c r="A139" s="13" t="s">
        <v>1868</v>
      </c>
      <c r="B139" s="41" t="s">
        <v>1869</v>
      </c>
      <c r="C139" s="41" t="s">
        <v>310</v>
      </c>
      <c r="D139" s="15">
        <v>5000000</v>
      </c>
      <c r="E139" s="16">
        <v>5042.7700000000004</v>
      </c>
      <c r="F139" s="17">
        <v>3.8E-3</v>
      </c>
      <c r="G139" s="17">
        <v>7.1008000000000002E-2</v>
      </c>
    </row>
    <row r="140" spans="1:7" x14ac:dyDescent="0.35">
      <c r="A140" s="13" t="s">
        <v>681</v>
      </c>
      <c r="B140" s="41" t="s">
        <v>682</v>
      </c>
      <c r="C140" s="41" t="s">
        <v>310</v>
      </c>
      <c r="D140" s="15">
        <v>5000000</v>
      </c>
      <c r="E140" s="16">
        <v>4967.91</v>
      </c>
      <c r="F140" s="17">
        <v>3.8E-3</v>
      </c>
      <c r="G140" s="17">
        <v>7.7299999999999994E-2</v>
      </c>
    </row>
    <row r="141" spans="1:7" x14ac:dyDescent="0.35">
      <c r="A141" s="13" t="s">
        <v>1870</v>
      </c>
      <c r="B141" s="41" t="s">
        <v>1871</v>
      </c>
      <c r="C141" s="41" t="s">
        <v>310</v>
      </c>
      <c r="D141" s="15">
        <v>5000000</v>
      </c>
      <c r="E141" s="16">
        <v>4960.49</v>
      </c>
      <c r="F141" s="17">
        <v>3.8E-3</v>
      </c>
      <c r="G141" s="17">
        <v>7.7049999999999993E-2</v>
      </c>
    </row>
    <row r="142" spans="1:7" x14ac:dyDescent="0.35">
      <c r="A142" s="13" t="s">
        <v>1872</v>
      </c>
      <c r="B142" s="41" t="s">
        <v>1873</v>
      </c>
      <c r="C142" s="41" t="s">
        <v>310</v>
      </c>
      <c r="D142" s="15">
        <v>2500000</v>
      </c>
      <c r="E142" s="16">
        <v>2554.17</v>
      </c>
      <c r="F142" s="17">
        <v>1.9E-3</v>
      </c>
      <c r="G142" s="17">
        <v>7.6699000000000003E-2</v>
      </c>
    </row>
    <row r="143" spans="1:7" x14ac:dyDescent="0.35">
      <c r="A143" s="13" t="s">
        <v>1874</v>
      </c>
      <c r="B143" s="41" t="s">
        <v>1875</v>
      </c>
      <c r="C143" s="41" t="s">
        <v>317</v>
      </c>
      <c r="D143" s="15">
        <v>2500000</v>
      </c>
      <c r="E143" s="16">
        <v>2525.79</v>
      </c>
      <c r="F143" s="17">
        <v>1.9E-3</v>
      </c>
      <c r="G143" s="17">
        <v>7.4149999999999994E-2</v>
      </c>
    </row>
    <row r="144" spans="1:7" x14ac:dyDescent="0.35">
      <c r="A144" s="13" t="s">
        <v>758</v>
      </c>
      <c r="B144" s="41" t="s">
        <v>759</v>
      </c>
      <c r="C144" s="41" t="s">
        <v>361</v>
      </c>
      <c r="D144" s="15">
        <v>1000000</v>
      </c>
      <c r="E144" s="16">
        <v>1009.18</v>
      </c>
      <c r="F144" s="17">
        <v>8.0000000000000004E-4</v>
      </c>
      <c r="G144" s="17">
        <v>7.5850000000000001E-2</v>
      </c>
    </row>
    <row r="145" spans="1:7" x14ac:dyDescent="0.35">
      <c r="A145" s="14" t="s">
        <v>149</v>
      </c>
      <c r="B145" s="42"/>
      <c r="C145" s="42"/>
      <c r="D145" s="18"/>
      <c r="E145" s="19">
        <f>SUM(E135:E144)</f>
        <v>69547.78</v>
      </c>
      <c r="F145" s="20">
        <f>SUM(F135:F144)</f>
        <v>5.2899999999999996E-2</v>
      </c>
      <c r="G145" s="21"/>
    </row>
    <row r="146" spans="1:7" x14ac:dyDescent="0.35">
      <c r="A146" s="13"/>
      <c r="B146" s="41"/>
      <c r="C146" s="41"/>
      <c r="D146" s="15"/>
      <c r="E146" s="16"/>
      <c r="F146" s="17"/>
      <c r="G146" s="17"/>
    </row>
    <row r="147" spans="1:7" x14ac:dyDescent="0.35">
      <c r="A147" s="14" t="s">
        <v>463</v>
      </c>
      <c r="B147" s="41"/>
      <c r="C147" s="41"/>
      <c r="D147" s="15"/>
      <c r="E147" s="16"/>
      <c r="F147" s="17"/>
      <c r="G147" s="17"/>
    </row>
    <row r="148" spans="1:7" x14ac:dyDescent="0.35">
      <c r="A148" s="13" t="s">
        <v>466</v>
      </c>
      <c r="B148" s="41" t="s">
        <v>467</v>
      </c>
      <c r="C148" s="41" t="s">
        <v>153</v>
      </c>
      <c r="D148" s="15">
        <v>9500000</v>
      </c>
      <c r="E148" s="16">
        <v>9785.48</v>
      </c>
      <c r="F148" s="17">
        <v>7.4999999999999997E-3</v>
      </c>
      <c r="G148" s="17">
        <v>6.1441999999999997E-2</v>
      </c>
    </row>
    <row r="149" spans="1:7" x14ac:dyDescent="0.35">
      <c r="A149" s="13" t="s">
        <v>618</v>
      </c>
      <c r="B149" s="41" t="s">
        <v>619</v>
      </c>
      <c r="C149" s="41" t="s">
        <v>153</v>
      </c>
      <c r="D149" s="15">
        <v>7500000</v>
      </c>
      <c r="E149" s="16">
        <v>7473.94</v>
      </c>
      <c r="F149" s="17">
        <v>5.7000000000000002E-3</v>
      </c>
      <c r="G149" s="17">
        <v>6.7199999999999996E-2</v>
      </c>
    </row>
    <row r="150" spans="1:7" x14ac:dyDescent="0.35">
      <c r="A150" s="13" t="s">
        <v>917</v>
      </c>
      <c r="B150" s="41" t="s">
        <v>918</v>
      </c>
      <c r="C150" s="41" t="s">
        <v>153</v>
      </c>
      <c r="D150" s="15">
        <v>1000000</v>
      </c>
      <c r="E150" s="16">
        <v>984.73</v>
      </c>
      <c r="F150" s="17">
        <v>8.0000000000000004E-4</v>
      </c>
      <c r="G150" s="17">
        <v>6.8072999999999995E-2</v>
      </c>
    </row>
    <row r="151" spans="1:7" x14ac:dyDescent="0.35">
      <c r="A151" s="13" t="s">
        <v>790</v>
      </c>
      <c r="B151" s="41" t="s">
        <v>791</v>
      </c>
      <c r="C151" s="41" t="s">
        <v>153</v>
      </c>
      <c r="D151" s="15">
        <v>500000</v>
      </c>
      <c r="E151" s="16">
        <v>511</v>
      </c>
      <c r="F151" s="17">
        <v>4.0000000000000002E-4</v>
      </c>
      <c r="G151" s="17">
        <v>5.7818000000000001E-2</v>
      </c>
    </row>
    <row r="152" spans="1:7" x14ac:dyDescent="0.35">
      <c r="A152" s="13" t="s">
        <v>1876</v>
      </c>
      <c r="B152" s="41" t="s">
        <v>1877</v>
      </c>
      <c r="C152" s="41" t="s">
        <v>153</v>
      </c>
      <c r="D152" s="15">
        <v>500000</v>
      </c>
      <c r="E152" s="16">
        <v>501.13</v>
      </c>
      <c r="F152" s="17">
        <v>4.0000000000000002E-4</v>
      </c>
      <c r="G152" s="17">
        <v>5.5039999999999999E-2</v>
      </c>
    </row>
    <row r="153" spans="1:7" x14ac:dyDescent="0.35">
      <c r="A153" s="13" t="s">
        <v>812</v>
      </c>
      <c r="B153" s="41" t="s">
        <v>813</v>
      </c>
      <c r="C153" s="41" t="s">
        <v>153</v>
      </c>
      <c r="D153" s="15">
        <v>300000</v>
      </c>
      <c r="E153" s="16">
        <v>301.58</v>
      </c>
      <c r="F153" s="17">
        <v>2.0000000000000001E-4</v>
      </c>
      <c r="G153" s="17">
        <v>5.9679000000000003E-2</v>
      </c>
    </row>
    <row r="154" spans="1:7" x14ac:dyDescent="0.35">
      <c r="A154" s="14" t="s">
        <v>149</v>
      </c>
      <c r="B154" s="42"/>
      <c r="C154" s="42"/>
      <c r="D154" s="18"/>
      <c r="E154" s="19">
        <v>19557.86</v>
      </c>
      <c r="F154" s="20">
        <v>1.4999999999999999E-2</v>
      </c>
      <c r="G154" s="21"/>
    </row>
    <row r="155" spans="1:7" x14ac:dyDescent="0.35">
      <c r="A155" s="13"/>
      <c r="B155" s="41"/>
      <c r="C155" s="41"/>
      <c r="D155" s="15"/>
      <c r="E155" s="16"/>
      <c r="F155" s="17"/>
      <c r="G155" s="17"/>
    </row>
    <row r="156" spans="1:7" x14ac:dyDescent="0.35">
      <c r="A156" s="14" t="s">
        <v>158</v>
      </c>
      <c r="B156" s="41"/>
      <c r="C156" s="41"/>
      <c r="D156" s="15"/>
      <c r="E156" s="16"/>
      <c r="F156" s="17"/>
      <c r="G156" s="17"/>
    </row>
    <row r="157" spans="1:7" x14ac:dyDescent="0.35">
      <c r="A157" s="14" t="s">
        <v>149</v>
      </c>
      <c r="B157" s="41"/>
      <c r="C157" s="41"/>
      <c r="D157" s="15"/>
      <c r="E157" s="34" t="s">
        <v>146</v>
      </c>
      <c r="F157" s="35" t="s">
        <v>146</v>
      </c>
      <c r="G157" s="17"/>
    </row>
    <row r="158" spans="1:7" x14ac:dyDescent="0.35">
      <c r="A158" s="13"/>
      <c r="B158" s="41"/>
      <c r="C158" s="41"/>
      <c r="D158" s="15"/>
      <c r="E158" s="16"/>
      <c r="F158" s="17"/>
      <c r="G158" s="17"/>
    </row>
    <row r="159" spans="1:7" x14ac:dyDescent="0.35">
      <c r="A159" s="14" t="s">
        <v>159</v>
      </c>
      <c r="B159" s="41"/>
      <c r="C159" s="41"/>
      <c r="D159" s="15"/>
      <c r="E159" s="16"/>
      <c r="F159" s="17"/>
      <c r="G159" s="17"/>
    </row>
    <row r="160" spans="1:7" x14ac:dyDescent="0.35">
      <c r="A160" s="14" t="s">
        <v>149</v>
      </c>
      <c r="B160" s="41"/>
      <c r="C160" s="41"/>
      <c r="D160" s="15"/>
      <c r="E160" s="34" t="s">
        <v>146</v>
      </c>
      <c r="F160" s="35" t="s">
        <v>146</v>
      </c>
      <c r="G160" s="17"/>
    </row>
    <row r="161" spans="1:7" x14ac:dyDescent="0.35">
      <c r="A161" s="14"/>
      <c r="B161" s="41"/>
      <c r="C161" s="41"/>
      <c r="D161" s="15"/>
      <c r="E161" s="61"/>
      <c r="F161" s="62"/>
      <c r="G161" s="17"/>
    </row>
    <row r="162" spans="1:7" x14ac:dyDescent="0.35">
      <c r="A162" s="58"/>
      <c r="B162" s="42"/>
      <c r="C162" s="42"/>
      <c r="D162" s="18"/>
      <c r="E162" s="26"/>
      <c r="F162" s="21"/>
      <c r="G162" s="21"/>
    </row>
    <row r="163" spans="1:7" x14ac:dyDescent="0.35">
      <c r="A163" s="58" t="s">
        <v>1878</v>
      </c>
      <c r="B163" s="41"/>
      <c r="C163" s="41"/>
      <c r="D163" s="15"/>
      <c r="E163" s="16"/>
      <c r="F163" s="17"/>
      <c r="G163" s="17"/>
    </row>
    <row r="164" spans="1:7" x14ac:dyDescent="0.35">
      <c r="A164" s="58" t="s">
        <v>1250</v>
      </c>
      <c r="B164" s="41"/>
      <c r="C164" s="41"/>
      <c r="D164" s="15"/>
      <c r="E164" s="16"/>
      <c r="F164" s="17"/>
      <c r="G164" s="17"/>
    </row>
    <row r="165" spans="1:7" x14ac:dyDescent="0.35">
      <c r="A165" s="13" t="s">
        <v>1251</v>
      </c>
      <c r="B165" s="41" t="s">
        <v>1252</v>
      </c>
      <c r="C165" s="41" t="s">
        <v>1188</v>
      </c>
      <c r="D165" s="15">
        <v>2808904</v>
      </c>
      <c r="E165" s="16">
        <v>287.16000000000003</v>
      </c>
      <c r="F165" s="17">
        <v>2.0000000000000001E-4</v>
      </c>
      <c r="G165" s="17">
        <v>6.3450000000000006E-2</v>
      </c>
    </row>
    <row r="166" spans="1:7" x14ac:dyDescent="0.35">
      <c r="A166" s="14" t="s">
        <v>149</v>
      </c>
      <c r="B166" s="42"/>
      <c r="C166" s="42"/>
      <c r="D166" s="18"/>
      <c r="E166" s="16">
        <v>287.16000000000003</v>
      </c>
      <c r="F166" s="17">
        <v>2.0000000000000001E-4</v>
      </c>
      <c r="G166" s="21"/>
    </row>
    <row r="167" spans="1:7" x14ac:dyDescent="0.35">
      <c r="A167" s="14"/>
      <c r="B167" s="41"/>
      <c r="C167" s="41"/>
      <c r="D167" s="15"/>
      <c r="E167" s="61"/>
      <c r="F167" s="62"/>
      <c r="G167" s="17"/>
    </row>
    <row r="168" spans="1:7" x14ac:dyDescent="0.35">
      <c r="A168" s="13"/>
      <c r="B168" s="41"/>
      <c r="C168" s="41"/>
      <c r="D168" s="15"/>
      <c r="E168" s="16"/>
      <c r="F168" s="17"/>
      <c r="G168" s="17"/>
    </row>
    <row r="169" spans="1:7" x14ac:dyDescent="0.35">
      <c r="A169" s="22" t="s">
        <v>160</v>
      </c>
      <c r="B169" s="43"/>
      <c r="C169" s="43"/>
      <c r="D169" s="23"/>
      <c r="E169" s="36">
        <v>89392.8</v>
      </c>
      <c r="F169" s="37">
        <v>6.8099999999999994E-2</v>
      </c>
      <c r="G169" s="21"/>
    </row>
    <row r="170" spans="1:7" x14ac:dyDescent="0.35">
      <c r="A170" s="13"/>
      <c r="B170" s="41"/>
      <c r="C170" s="41"/>
      <c r="D170" s="15"/>
      <c r="E170" s="16"/>
      <c r="F170" s="17"/>
      <c r="G170" s="17"/>
    </row>
    <row r="171" spans="1:7" x14ac:dyDescent="0.35">
      <c r="A171" s="13"/>
      <c r="B171" s="41"/>
      <c r="C171" s="41"/>
      <c r="D171" s="15"/>
      <c r="E171" s="16"/>
      <c r="F171" s="17"/>
      <c r="G171" s="17"/>
    </row>
    <row r="172" spans="1:7" x14ac:dyDescent="0.35">
      <c r="A172" s="14" t="s">
        <v>884</v>
      </c>
      <c r="B172" s="41"/>
      <c r="C172" s="41"/>
      <c r="D172" s="15"/>
      <c r="E172" s="16"/>
      <c r="F172" s="17"/>
      <c r="G172" s="17"/>
    </row>
    <row r="173" spans="1:7" x14ac:dyDescent="0.35">
      <c r="A173" s="13" t="s">
        <v>1786</v>
      </c>
      <c r="B173" s="41" t="s">
        <v>1787</v>
      </c>
      <c r="C173" s="41"/>
      <c r="D173" s="15">
        <v>1285375.736</v>
      </c>
      <c r="E173" s="16">
        <v>45308.11</v>
      </c>
      <c r="F173" s="17">
        <v>3.4500000000000003E-2</v>
      </c>
      <c r="G173" s="17"/>
    </row>
    <row r="174" spans="1:7" x14ac:dyDescent="0.35">
      <c r="A174" s="13" t="s">
        <v>1792</v>
      </c>
      <c r="B174" s="41" t="s">
        <v>1793</v>
      </c>
      <c r="C174" s="41"/>
      <c r="D174" s="15">
        <v>17103833.975299999</v>
      </c>
      <c r="E174" s="16">
        <v>1873.21</v>
      </c>
      <c r="F174" s="17">
        <v>1.4E-3</v>
      </c>
      <c r="G174" s="17"/>
    </row>
    <row r="175" spans="1:7" x14ac:dyDescent="0.35">
      <c r="A175" s="13" t="s">
        <v>1879</v>
      </c>
      <c r="B175" s="41" t="s">
        <v>1880</v>
      </c>
      <c r="C175" s="41"/>
      <c r="D175" s="15">
        <v>9574213.4630000014</v>
      </c>
      <c r="E175" s="16">
        <v>1031.6300000000001</v>
      </c>
      <c r="F175" s="17">
        <v>8.0000000000000004E-4</v>
      </c>
      <c r="G175" s="17"/>
    </row>
    <row r="176" spans="1:7" x14ac:dyDescent="0.35">
      <c r="A176" s="13" t="s">
        <v>1788</v>
      </c>
      <c r="B176" s="41" t="s">
        <v>1789</v>
      </c>
      <c r="C176" s="41"/>
      <c r="D176" s="15">
        <v>2.0000000000000001E-4</v>
      </c>
      <c r="E176" s="16">
        <v>0</v>
      </c>
      <c r="F176" s="17">
        <v>0</v>
      </c>
      <c r="G176" s="17"/>
    </row>
    <row r="177" spans="1:7" x14ac:dyDescent="0.35">
      <c r="A177" s="13"/>
      <c r="B177" s="41"/>
      <c r="C177" s="41"/>
      <c r="D177" s="15"/>
      <c r="E177" s="16"/>
      <c r="F177" s="17"/>
      <c r="G177" s="17"/>
    </row>
    <row r="178" spans="1:7" x14ac:dyDescent="0.35">
      <c r="A178" s="22" t="s">
        <v>160</v>
      </c>
      <c r="B178" s="43"/>
      <c r="C178" s="43"/>
      <c r="D178" s="23"/>
      <c r="E178" s="36">
        <v>48212.95</v>
      </c>
      <c r="F178" s="37">
        <v>3.6700000000000003E-2</v>
      </c>
      <c r="G178" s="21"/>
    </row>
    <row r="179" spans="1:7" x14ac:dyDescent="0.35">
      <c r="A179" s="13"/>
      <c r="B179" s="41"/>
      <c r="C179" s="41"/>
      <c r="D179" s="15"/>
      <c r="E179" s="16"/>
      <c r="F179" s="17"/>
      <c r="G179" s="17"/>
    </row>
    <row r="180" spans="1:7" x14ac:dyDescent="0.35">
      <c r="A180" s="14" t="s">
        <v>255</v>
      </c>
      <c r="B180" s="41"/>
      <c r="C180" s="41"/>
      <c r="D180" s="15"/>
      <c r="E180" s="16"/>
      <c r="F180" s="17"/>
      <c r="G180" s="17"/>
    </row>
    <row r="181" spans="1:7" x14ac:dyDescent="0.35">
      <c r="A181" s="13" t="s">
        <v>257</v>
      </c>
      <c r="B181" s="41"/>
      <c r="C181" s="41"/>
      <c r="D181" s="15"/>
      <c r="E181" s="16">
        <v>95807.26</v>
      </c>
      <c r="F181" s="17">
        <v>7.2999999999999995E-2</v>
      </c>
      <c r="G181" s="17">
        <v>5.1742000000000003E-2</v>
      </c>
    </row>
    <row r="182" spans="1:7" x14ac:dyDescent="0.35">
      <c r="A182" s="14" t="s">
        <v>149</v>
      </c>
      <c r="B182" s="42"/>
      <c r="C182" s="42"/>
      <c r="D182" s="18"/>
      <c r="E182" s="19">
        <v>95807.26</v>
      </c>
      <c r="F182" s="20">
        <v>7.2999999999999995E-2</v>
      </c>
      <c r="G182" s="21"/>
    </row>
    <row r="183" spans="1:7" x14ac:dyDescent="0.35">
      <c r="A183" s="13"/>
      <c r="B183" s="41"/>
      <c r="C183" s="41"/>
      <c r="D183" s="15"/>
      <c r="E183" s="16"/>
      <c r="F183" s="17"/>
      <c r="G183" s="17"/>
    </row>
    <row r="184" spans="1:7" x14ac:dyDescent="0.35">
      <c r="A184" s="22" t="s">
        <v>160</v>
      </c>
      <c r="B184" s="43"/>
      <c r="C184" s="43"/>
      <c r="D184" s="23"/>
      <c r="E184" s="36">
        <v>95807.26</v>
      </c>
      <c r="F184" s="37">
        <v>7.2999999999999995E-2</v>
      </c>
      <c r="G184" s="21"/>
    </row>
    <row r="185" spans="1:7" x14ac:dyDescent="0.35">
      <c r="A185" s="13" t="s">
        <v>258</v>
      </c>
      <c r="B185" s="41"/>
      <c r="C185" s="41"/>
      <c r="D185" s="15"/>
      <c r="E185" s="16">
        <v>3331.1925848000001</v>
      </c>
      <c r="F185" s="17">
        <v>2.539E-3</v>
      </c>
      <c r="G185" s="17"/>
    </row>
    <row r="186" spans="1:7" x14ac:dyDescent="0.35">
      <c r="A186" s="13" t="s">
        <v>259</v>
      </c>
      <c r="B186" s="41"/>
      <c r="C186" s="41"/>
      <c r="D186" s="15"/>
      <c r="E186" s="28">
        <v>-790.05258479999998</v>
      </c>
      <c r="F186" s="29">
        <v>-3.39E-4</v>
      </c>
      <c r="G186" s="17">
        <v>5.1742000000000003E-2</v>
      </c>
    </row>
    <row r="187" spans="1:7" x14ac:dyDescent="0.35">
      <c r="A187" s="38" t="s">
        <v>260</v>
      </c>
      <c r="B187" s="44"/>
      <c r="C187" s="44"/>
      <c r="D187" s="39"/>
      <c r="E187" s="24">
        <v>1311609.4099999999</v>
      </c>
      <c r="F187" s="25">
        <v>1</v>
      </c>
      <c r="G187" s="25"/>
    </row>
    <row r="189" spans="1:7" x14ac:dyDescent="0.35">
      <c r="A189" s="1" t="s">
        <v>1794</v>
      </c>
    </row>
    <row r="190" spans="1:7" x14ac:dyDescent="0.35">
      <c r="A190" s="1" t="s">
        <v>262</v>
      </c>
    </row>
    <row r="192" spans="1:7" x14ac:dyDescent="0.35">
      <c r="A192" s="1" t="s">
        <v>263</v>
      </c>
    </row>
    <row r="193" spans="1:4" x14ac:dyDescent="0.35">
      <c r="A193" s="47" t="s">
        <v>264</v>
      </c>
      <c r="B193" s="3" t="s">
        <v>146</v>
      </c>
    </row>
    <row r="194" spans="1:4" x14ac:dyDescent="0.35">
      <c r="A194" t="s">
        <v>265</v>
      </c>
    </row>
    <row r="195" spans="1:4" x14ac:dyDescent="0.35">
      <c r="A195" t="s">
        <v>266</v>
      </c>
      <c r="B195" t="s">
        <v>267</v>
      </c>
      <c r="C195" t="s">
        <v>267</v>
      </c>
    </row>
    <row r="196" spans="1:4" x14ac:dyDescent="0.35">
      <c r="B196" s="49">
        <v>46022</v>
      </c>
      <c r="C196" s="49">
        <v>46052</v>
      </c>
    </row>
    <row r="197" spans="1:4" x14ac:dyDescent="0.35">
      <c r="A197" t="s">
        <v>1881</v>
      </c>
      <c r="B197">
        <v>29.33</v>
      </c>
      <c r="C197">
        <v>28.8</v>
      </c>
    </row>
    <row r="198" spans="1:4" x14ac:dyDescent="0.35">
      <c r="A198" t="s">
        <v>272</v>
      </c>
      <c r="B198">
        <v>60.24</v>
      </c>
      <c r="C198">
        <v>59.14</v>
      </c>
    </row>
    <row r="199" spans="1:4" x14ac:dyDescent="0.35">
      <c r="A199" t="s">
        <v>705</v>
      </c>
      <c r="B199">
        <v>27.15</v>
      </c>
      <c r="C199">
        <v>26.47</v>
      </c>
    </row>
    <row r="200" spans="1:4" x14ac:dyDescent="0.35">
      <c r="A200" t="s">
        <v>1882</v>
      </c>
      <c r="B200">
        <v>21.53</v>
      </c>
      <c r="C200">
        <v>21.12</v>
      </c>
    </row>
    <row r="201" spans="1:4" x14ac:dyDescent="0.35">
      <c r="A201" t="s">
        <v>708</v>
      </c>
      <c r="B201">
        <v>52.7</v>
      </c>
      <c r="C201">
        <v>51.69</v>
      </c>
    </row>
    <row r="202" spans="1:4" x14ac:dyDescent="0.35">
      <c r="A202" t="s">
        <v>710</v>
      </c>
      <c r="B202">
        <v>21.76</v>
      </c>
      <c r="C202">
        <v>21.16</v>
      </c>
    </row>
    <row r="204" spans="1:4" x14ac:dyDescent="0.35">
      <c r="A204" t="s">
        <v>712</v>
      </c>
    </row>
    <row r="206" spans="1:4" x14ac:dyDescent="0.35">
      <c r="A206" s="50" t="s">
        <v>713</v>
      </c>
      <c r="B206" s="50" t="s">
        <v>714</v>
      </c>
      <c r="C206" s="50" t="s">
        <v>715</v>
      </c>
      <c r="D206" s="50" t="s">
        <v>716</v>
      </c>
    </row>
    <row r="207" spans="1:4" x14ac:dyDescent="0.35">
      <c r="A207" s="50" t="s">
        <v>1883</v>
      </c>
      <c r="B207" s="50"/>
      <c r="C207" s="50">
        <v>0.18</v>
      </c>
      <c r="D207" s="50">
        <v>0.18</v>
      </c>
    </row>
    <row r="208" spans="1:4" x14ac:dyDescent="0.35">
      <c r="A208" s="50" t="s">
        <v>1884</v>
      </c>
      <c r="B208" s="50"/>
      <c r="C208" s="50">
        <v>0.18</v>
      </c>
      <c r="D208" s="50">
        <v>0.18</v>
      </c>
    </row>
    <row r="210" spans="1:4" x14ac:dyDescent="0.35">
      <c r="A210" t="s">
        <v>284</v>
      </c>
      <c r="B210" s="3" t="s">
        <v>146</v>
      </c>
    </row>
    <row r="211" spans="1:4" ht="29" customHeight="1" x14ac:dyDescent="0.35">
      <c r="A211" s="47" t="s">
        <v>285</v>
      </c>
      <c r="B211" s="3" t="s">
        <v>146</v>
      </c>
    </row>
    <row r="212" spans="1:4" ht="29" customHeight="1" x14ac:dyDescent="0.35">
      <c r="A212" s="47" t="s">
        <v>286</v>
      </c>
      <c r="B212" s="3" t="s">
        <v>146</v>
      </c>
    </row>
    <row r="213" spans="1:4" x14ac:dyDescent="0.35">
      <c r="A213" t="s">
        <v>1253</v>
      </c>
      <c r="B213" s="48">
        <v>1.6487000000000001</v>
      </c>
    </row>
    <row r="214" spans="1:4" ht="43.5" customHeight="1" x14ac:dyDescent="0.35">
      <c r="A214" s="47" t="s">
        <v>288</v>
      </c>
      <c r="B214" s="3">
        <v>21524.0691625</v>
      </c>
    </row>
    <row r="215" spans="1:4" x14ac:dyDescent="0.35">
      <c r="B215" s="3"/>
    </row>
    <row r="216" spans="1:4" ht="29" customHeight="1" x14ac:dyDescent="0.35">
      <c r="A216" s="47" t="s">
        <v>289</v>
      </c>
      <c r="B216" s="3" t="s">
        <v>146</v>
      </c>
    </row>
    <row r="217" spans="1:4" ht="29" customHeight="1" x14ac:dyDescent="0.35">
      <c r="A217" s="47" t="s">
        <v>290</v>
      </c>
      <c r="B217" t="s">
        <v>146</v>
      </c>
    </row>
    <row r="218" spans="1:4" ht="29" customHeight="1" x14ac:dyDescent="0.35">
      <c r="A218" s="47" t="s">
        <v>291</v>
      </c>
      <c r="B218" s="3" t="s">
        <v>146</v>
      </c>
    </row>
    <row r="219" spans="1:4" ht="29" customHeight="1" x14ac:dyDescent="0.35">
      <c r="A219" s="47" t="s">
        <v>292</v>
      </c>
      <c r="B219" s="3" t="s">
        <v>146</v>
      </c>
    </row>
    <row r="221" spans="1:4" ht="70" customHeight="1" x14ac:dyDescent="0.35">
      <c r="A221" s="70" t="s">
        <v>303</v>
      </c>
      <c r="B221" s="70" t="s">
        <v>304</v>
      </c>
      <c r="C221" s="70" t="s">
        <v>4</v>
      </c>
      <c r="D221" s="70" t="s">
        <v>5</v>
      </c>
    </row>
    <row r="222" spans="1:4" ht="70" customHeight="1" x14ac:dyDescent="0.35">
      <c r="A222" s="70" t="s">
        <v>1885</v>
      </c>
      <c r="B222" s="70"/>
      <c r="C222" s="70" t="s">
        <v>55</v>
      </c>
      <c r="D222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G64"/>
  <sheetViews>
    <sheetView showGridLines="0" workbookViewId="0">
      <pane ySplit="4" topLeftCell="A33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5.542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1886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1887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1278</v>
      </c>
      <c r="B8" s="41" t="s">
        <v>1279</v>
      </c>
      <c r="C8" s="41" t="s">
        <v>1280</v>
      </c>
      <c r="D8" s="15">
        <v>7921</v>
      </c>
      <c r="E8" s="16">
        <v>200</v>
      </c>
      <c r="F8" s="17">
        <v>0.1225</v>
      </c>
      <c r="G8" s="17"/>
    </row>
    <row r="9" spans="1:7" x14ac:dyDescent="0.35">
      <c r="A9" s="13" t="s">
        <v>1183</v>
      </c>
      <c r="B9" s="41" t="s">
        <v>1184</v>
      </c>
      <c r="C9" s="41" t="s">
        <v>1185</v>
      </c>
      <c r="D9" s="15">
        <v>8078</v>
      </c>
      <c r="E9" s="16">
        <v>161.41</v>
      </c>
      <c r="F9" s="17">
        <v>9.8900000000000002E-2</v>
      </c>
      <c r="G9" s="17"/>
    </row>
    <row r="10" spans="1:7" x14ac:dyDescent="0.35">
      <c r="A10" s="13" t="s">
        <v>1441</v>
      </c>
      <c r="B10" s="41" t="s">
        <v>1442</v>
      </c>
      <c r="C10" s="41" t="s">
        <v>1280</v>
      </c>
      <c r="D10" s="15">
        <v>6246</v>
      </c>
      <c r="E10" s="16">
        <v>157.26</v>
      </c>
      <c r="F10" s="17">
        <v>9.6299999999999997E-2</v>
      </c>
      <c r="G10" s="17"/>
    </row>
    <row r="11" spans="1:7" x14ac:dyDescent="0.35">
      <c r="A11" s="13" t="s">
        <v>1207</v>
      </c>
      <c r="B11" s="41" t="s">
        <v>1208</v>
      </c>
      <c r="C11" s="41" t="s">
        <v>1185</v>
      </c>
      <c r="D11" s="15">
        <v>21111</v>
      </c>
      <c r="E11" s="16">
        <v>154.32</v>
      </c>
      <c r="F11" s="17">
        <v>9.4500000000000001E-2</v>
      </c>
      <c r="G11" s="17"/>
    </row>
    <row r="12" spans="1:7" x14ac:dyDescent="0.35">
      <c r="A12" s="13" t="s">
        <v>1529</v>
      </c>
      <c r="B12" s="41" t="s">
        <v>1530</v>
      </c>
      <c r="C12" s="41" t="s">
        <v>1185</v>
      </c>
      <c r="D12" s="15">
        <v>7423</v>
      </c>
      <c r="E12" s="16">
        <v>135.09</v>
      </c>
      <c r="F12" s="17">
        <v>8.2799999999999999E-2</v>
      </c>
      <c r="G12" s="17"/>
    </row>
    <row r="13" spans="1:7" x14ac:dyDescent="0.35">
      <c r="A13" s="13" t="s">
        <v>1225</v>
      </c>
      <c r="B13" s="41" t="s">
        <v>1226</v>
      </c>
      <c r="C13" s="41" t="s">
        <v>1185</v>
      </c>
      <c r="D13" s="15">
        <v>8142</v>
      </c>
      <c r="E13" s="16">
        <v>131.19999999999999</v>
      </c>
      <c r="F13" s="17">
        <v>8.0399999999999999E-2</v>
      </c>
      <c r="G13" s="17"/>
    </row>
    <row r="14" spans="1:7" x14ac:dyDescent="0.35">
      <c r="A14" s="13" t="s">
        <v>1826</v>
      </c>
      <c r="B14" s="41" t="s">
        <v>1827</v>
      </c>
      <c r="C14" s="41" t="s">
        <v>1280</v>
      </c>
      <c r="D14" s="15">
        <v>7925</v>
      </c>
      <c r="E14" s="16">
        <v>89.86</v>
      </c>
      <c r="F14" s="17">
        <v>5.5E-2</v>
      </c>
      <c r="G14" s="17"/>
    </row>
    <row r="15" spans="1:7" x14ac:dyDescent="0.35">
      <c r="A15" s="13" t="s">
        <v>1437</v>
      </c>
      <c r="B15" s="41" t="s">
        <v>1438</v>
      </c>
      <c r="C15" s="41" t="s">
        <v>1185</v>
      </c>
      <c r="D15" s="15">
        <v>12134</v>
      </c>
      <c r="E15" s="16">
        <v>77.37</v>
      </c>
      <c r="F15" s="17">
        <v>4.7399999999999998E-2</v>
      </c>
      <c r="G15" s="17"/>
    </row>
    <row r="16" spans="1:7" x14ac:dyDescent="0.35">
      <c r="A16" s="13" t="s">
        <v>1535</v>
      </c>
      <c r="B16" s="41" t="s">
        <v>1536</v>
      </c>
      <c r="C16" s="41" t="s">
        <v>1280</v>
      </c>
      <c r="D16" s="15">
        <v>7452</v>
      </c>
      <c r="E16" s="16">
        <v>51.78</v>
      </c>
      <c r="F16" s="17">
        <v>3.1699999999999999E-2</v>
      </c>
      <c r="G16" s="17"/>
    </row>
    <row r="17" spans="1:7" x14ac:dyDescent="0.35">
      <c r="A17" s="13" t="s">
        <v>1888</v>
      </c>
      <c r="B17" s="41" t="s">
        <v>1889</v>
      </c>
      <c r="C17" s="41" t="s">
        <v>1280</v>
      </c>
      <c r="D17" s="15">
        <v>5536</v>
      </c>
      <c r="E17" s="16">
        <v>48.64</v>
      </c>
      <c r="F17" s="17">
        <v>2.98E-2</v>
      </c>
      <c r="G17" s="17"/>
    </row>
    <row r="18" spans="1:7" x14ac:dyDescent="0.35">
      <c r="A18" s="13" t="s">
        <v>1457</v>
      </c>
      <c r="B18" s="41" t="s">
        <v>1458</v>
      </c>
      <c r="C18" s="41" t="s">
        <v>1185</v>
      </c>
      <c r="D18" s="15">
        <v>5890</v>
      </c>
      <c r="E18" s="16">
        <v>48.56</v>
      </c>
      <c r="F18" s="17">
        <v>2.9700000000000001E-2</v>
      </c>
      <c r="G18" s="17"/>
    </row>
    <row r="19" spans="1:7" x14ac:dyDescent="0.35">
      <c r="A19" s="13" t="s">
        <v>1890</v>
      </c>
      <c r="B19" s="41" t="s">
        <v>1891</v>
      </c>
      <c r="C19" s="41" t="s">
        <v>1280</v>
      </c>
      <c r="D19" s="15">
        <v>1808</v>
      </c>
      <c r="E19" s="16">
        <v>45.9</v>
      </c>
      <c r="F19" s="17">
        <v>2.81E-2</v>
      </c>
      <c r="G19" s="17"/>
    </row>
    <row r="20" spans="1:7" x14ac:dyDescent="0.35">
      <c r="A20" s="13" t="s">
        <v>1892</v>
      </c>
      <c r="B20" s="41" t="s">
        <v>1893</v>
      </c>
      <c r="C20" s="41" t="s">
        <v>1280</v>
      </c>
      <c r="D20" s="15">
        <v>4121</v>
      </c>
      <c r="E20" s="16">
        <v>41.74</v>
      </c>
      <c r="F20" s="17">
        <v>2.5600000000000001E-2</v>
      </c>
      <c r="G20" s="17"/>
    </row>
    <row r="21" spans="1:7" x14ac:dyDescent="0.35">
      <c r="A21" s="13" t="s">
        <v>1894</v>
      </c>
      <c r="B21" s="41" t="s">
        <v>1895</v>
      </c>
      <c r="C21" s="41" t="s">
        <v>1185</v>
      </c>
      <c r="D21" s="15">
        <v>9802</v>
      </c>
      <c r="E21" s="16">
        <v>37.049999999999997</v>
      </c>
      <c r="F21" s="17">
        <v>2.2700000000000001E-2</v>
      </c>
      <c r="G21" s="17"/>
    </row>
    <row r="22" spans="1:7" x14ac:dyDescent="0.35">
      <c r="A22" s="13" t="s">
        <v>1896</v>
      </c>
      <c r="B22" s="41" t="s">
        <v>1897</v>
      </c>
      <c r="C22" s="41" t="s">
        <v>1280</v>
      </c>
      <c r="D22" s="15">
        <v>1266</v>
      </c>
      <c r="E22" s="16">
        <v>36.49</v>
      </c>
      <c r="F22" s="17">
        <v>2.24E-2</v>
      </c>
      <c r="G22" s="17"/>
    </row>
    <row r="23" spans="1:7" x14ac:dyDescent="0.35">
      <c r="A23" s="13" t="s">
        <v>1898</v>
      </c>
      <c r="B23" s="41" t="s">
        <v>1899</v>
      </c>
      <c r="C23" s="41" t="s">
        <v>1280</v>
      </c>
      <c r="D23" s="15">
        <v>4852</v>
      </c>
      <c r="E23" s="16">
        <v>36.479999999999997</v>
      </c>
      <c r="F23" s="17">
        <v>2.23E-2</v>
      </c>
      <c r="G23" s="17"/>
    </row>
    <row r="24" spans="1:7" x14ac:dyDescent="0.35">
      <c r="A24" s="13" t="s">
        <v>1900</v>
      </c>
      <c r="B24" s="41" t="s">
        <v>1901</v>
      </c>
      <c r="C24" s="41" t="s">
        <v>1185</v>
      </c>
      <c r="D24" s="15">
        <v>7127</v>
      </c>
      <c r="E24" s="16">
        <v>33.46</v>
      </c>
      <c r="F24" s="17">
        <v>2.0500000000000001E-2</v>
      </c>
      <c r="G24" s="17"/>
    </row>
    <row r="25" spans="1:7" x14ac:dyDescent="0.35">
      <c r="A25" s="13" t="s">
        <v>1474</v>
      </c>
      <c r="B25" s="41" t="s">
        <v>1475</v>
      </c>
      <c r="C25" s="41" t="s">
        <v>1280</v>
      </c>
      <c r="D25" s="15">
        <v>2366</v>
      </c>
      <c r="E25" s="16">
        <v>31.82</v>
      </c>
      <c r="F25" s="17">
        <v>1.95E-2</v>
      </c>
      <c r="G25" s="17"/>
    </row>
    <row r="26" spans="1:7" x14ac:dyDescent="0.35">
      <c r="A26" s="13" t="s">
        <v>1902</v>
      </c>
      <c r="B26" s="41" t="s">
        <v>1903</v>
      </c>
      <c r="C26" s="41" t="s">
        <v>1280</v>
      </c>
      <c r="D26" s="15">
        <v>24840</v>
      </c>
      <c r="E26" s="16">
        <v>31.5</v>
      </c>
      <c r="F26" s="17">
        <v>1.9300000000000001E-2</v>
      </c>
      <c r="G26" s="17"/>
    </row>
    <row r="27" spans="1:7" x14ac:dyDescent="0.35">
      <c r="A27" s="13" t="s">
        <v>1904</v>
      </c>
      <c r="B27" s="41" t="s">
        <v>1905</v>
      </c>
      <c r="C27" s="41" t="s">
        <v>1185</v>
      </c>
      <c r="D27" s="15">
        <v>7742</v>
      </c>
      <c r="E27" s="16">
        <v>25.1</v>
      </c>
      <c r="F27" s="17">
        <v>1.54E-2</v>
      </c>
      <c r="G27" s="17"/>
    </row>
    <row r="28" spans="1:7" x14ac:dyDescent="0.35">
      <c r="A28" s="13" t="s">
        <v>1906</v>
      </c>
      <c r="B28" s="41" t="s">
        <v>1907</v>
      </c>
      <c r="C28" s="41" t="s">
        <v>1280</v>
      </c>
      <c r="D28" s="15">
        <v>2241</v>
      </c>
      <c r="E28" s="16">
        <v>17.02</v>
      </c>
      <c r="F28" s="17">
        <v>1.04E-2</v>
      </c>
      <c r="G28" s="17"/>
    </row>
    <row r="29" spans="1:7" x14ac:dyDescent="0.35">
      <c r="A29" s="13" t="s">
        <v>1908</v>
      </c>
      <c r="B29" s="41" t="s">
        <v>1909</v>
      </c>
      <c r="C29" s="41" t="s">
        <v>1185</v>
      </c>
      <c r="D29" s="15">
        <v>18916</v>
      </c>
      <c r="E29" s="16">
        <v>14.89</v>
      </c>
      <c r="F29" s="17">
        <v>9.1000000000000004E-3</v>
      </c>
      <c r="G29" s="17"/>
    </row>
    <row r="30" spans="1:7" x14ac:dyDescent="0.35">
      <c r="A30" s="13" t="s">
        <v>1910</v>
      </c>
      <c r="B30" s="41" t="s">
        <v>1911</v>
      </c>
      <c r="C30" s="41" t="s">
        <v>1280</v>
      </c>
      <c r="D30" s="15">
        <v>1277</v>
      </c>
      <c r="E30" s="16">
        <v>12.39</v>
      </c>
      <c r="F30" s="17">
        <v>7.6E-3</v>
      </c>
      <c r="G30" s="17"/>
    </row>
    <row r="31" spans="1:7" x14ac:dyDescent="0.35">
      <c r="A31" s="13" t="s">
        <v>1912</v>
      </c>
      <c r="B31" s="41" t="s">
        <v>1913</v>
      </c>
      <c r="C31" s="41" t="s">
        <v>1185</v>
      </c>
      <c r="D31" s="15">
        <v>7678</v>
      </c>
      <c r="E31" s="16">
        <v>11.42</v>
      </c>
      <c r="F31" s="17">
        <v>7.0000000000000001E-3</v>
      </c>
      <c r="G31" s="17"/>
    </row>
    <row r="32" spans="1:7" x14ac:dyDescent="0.35">
      <c r="A32" s="14" t="s">
        <v>149</v>
      </c>
      <c r="B32" s="42"/>
      <c r="C32" s="42"/>
      <c r="D32" s="18"/>
      <c r="E32" s="19">
        <v>1630.75</v>
      </c>
      <c r="F32" s="20">
        <v>0.99890000000000001</v>
      </c>
      <c r="G32" s="21"/>
    </row>
    <row r="33" spans="1:7" x14ac:dyDescent="0.35">
      <c r="A33" s="14" t="s">
        <v>1914</v>
      </c>
      <c r="B33" s="41"/>
      <c r="C33" s="41"/>
      <c r="D33" s="15"/>
      <c r="E33" s="16"/>
      <c r="F33" s="17"/>
      <c r="G33" s="17"/>
    </row>
    <row r="34" spans="1:7" x14ac:dyDescent="0.35">
      <c r="A34" s="14" t="s">
        <v>149</v>
      </c>
      <c r="B34" s="41"/>
      <c r="C34" s="41"/>
      <c r="D34" s="15"/>
      <c r="E34" s="34" t="s">
        <v>146</v>
      </c>
      <c r="F34" s="35" t="s">
        <v>146</v>
      </c>
      <c r="G34" s="17"/>
    </row>
    <row r="35" spans="1:7" x14ac:dyDescent="0.35">
      <c r="A35" s="22" t="s">
        <v>160</v>
      </c>
      <c r="B35" s="43"/>
      <c r="C35" s="43"/>
      <c r="D35" s="23"/>
      <c r="E35" s="24">
        <v>1630.75</v>
      </c>
      <c r="F35" s="25">
        <v>0.99890000000000001</v>
      </c>
      <c r="G35" s="21"/>
    </row>
    <row r="36" spans="1:7" x14ac:dyDescent="0.35">
      <c r="A36" s="13"/>
      <c r="B36" s="41"/>
      <c r="C36" s="41"/>
      <c r="D36" s="15"/>
      <c r="E36" s="16"/>
      <c r="F36" s="17"/>
      <c r="G36" s="17"/>
    </row>
    <row r="37" spans="1:7" x14ac:dyDescent="0.35">
      <c r="A37" s="13" t="s">
        <v>258</v>
      </c>
      <c r="B37" s="41"/>
      <c r="C37" s="41"/>
      <c r="D37" s="15"/>
      <c r="E37" s="16">
        <v>0</v>
      </c>
      <c r="F37" s="17">
        <v>0</v>
      </c>
      <c r="G37" s="17"/>
    </row>
    <row r="38" spans="1:7" x14ac:dyDescent="0.35">
      <c r="A38" s="13" t="s">
        <v>259</v>
      </c>
      <c r="B38" s="41"/>
      <c r="C38" s="41"/>
      <c r="D38" s="15"/>
      <c r="E38" s="16">
        <v>1.7</v>
      </c>
      <c r="F38" s="17">
        <v>1.1000000000000001E-3</v>
      </c>
      <c r="G38" s="17"/>
    </row>
    <row r="39" spans="1:7" x14ac:dyDescent="0.35">
      <c r="A39" s="38" t="s">
        <v>260</v>
      </c>
      <c r="B39" s="44"/>
      <c r="C39" s="44"/>
      <c r="D39" s="39"/>
      <c r="E39" s="24">
        <v>1632.45</v>
      </c>
      <c r="F39" s="25">
        <v>1</v>
      </c>
      <c r="G39" s="25"/>
    </row>
    <row r="44" spans="1:7" x14ac:dyDescent="0.35">
      <c r="A44" s="1" t="s">
        <v>263</v>
      </c>
    </row>
    <row r="45" spans="1:7" x14ac:dyDescent="0.35">
      <c r="A45" s="47" t="s">
        <v>264</v>
      </c>
      <c r="B45" s="3" t="s">
        <v>146</v>
      </c>
    </row>
    <row r="46" spans="1:7" x14ac:dyDescent="0.35">
      <c r="A46" t="s">
        <v>265</v>
      </c>
    </row>
    <row r="47" spans="1:7" x14ac:dyDescent="0.35">
      <c r="A47" t="s">
        <v>1915</v>
      </c>
      <c r="B47" t="s">
        <v>267</v>
      </c>
      <c r="C47" t="s">
        <v>267</v>
      </c>
    </row>
    <row r="48" spans="1:7" x14ac:dyDescent="0.35">
      <c r="B48" s="49">
        <v>46022</v>
      </c>
      <c r="C48" s="49">
        <v>46052</v>
      </c>
    </row>
    <row r="49" spans="1:4" x14ac:dyDescent="0.35">
      <c r="A49" t="s">
        <v>753</v>
      </c>
      <c r="B49">
        <v>24.176400000000001</v>
      </c>
      <c r="C49">
        <v>23.635400000000001</v>
      </c>
    </row>
    <row r="51" spans="1:4" x14ac:dyDescent="0.35">
      <c r="A51" t="s">
        <v>283</v>
      </c>
      <c r="B51" s="3" t="s">
        <v>146</v>
      </c>
    </row>
    <row r="52" spans="1:4" x14ac:dyDescent="0.35">
      <c r="A52" t="s">
        <v>284</v>
      </c>
      <c r="B52" s="3" t="s">
        <v>146</v>
      </c>
    </row>
    <row r="53" spans="1:4" ht="29" customHeight="1" x14ac:dyDescent="0.35">
      <c r="A53" s="47" t="s">
        <v>285</v>
      </c>
      <c r="B53" s="3" t="s">
        <v>146</v>
      </c>
    </row>
    <row r="54" spans="1:4" ht="29" customHeight="1" x14ac:dyDescent="0.35">
      <c r="A54" s="47" t="s">
        <v>286</v>
      </c>
      <c r="B54" s="3" t="s">
        <v>146</v>
      </c>
    </row>
    <row r="55" spans="1:4" x14ac:dyDescent="0.35">
      <c r="A55" t="s">
        <v>1253</v>
      </c>
      <c r="B55" s="48">
        <v>1.0615000000000001</v>
      </c>
    </row>
    <row r="56" spans="1:4" ht="43.5" customHeight="1" x14ac:dyDescent="0.35">
      <c r="A56" s="47" t="s">
        <v>288</v>
      </c>
      <c r="B56" s="3" t="s">
        <v>146</v>
      </c>
    </row>
    <row r="57" spans="1:4" x14ac:dyDescent="0.35">
      <c r="B57" s="3"/>
    </row>
    <row r="58" spans="1:4" ht="29" customHeight="1" x14ac:dyDescent="0.35">
      <c r="A58" s="47" t="s">
        <v>289</v>
      </c>
      <c r="B58" s="3" t="s">
        <v>146</v>
      </c>
    </row>
    <row r="59" spans="1:4" ht="29" customHeight="1" x14ac:dyDescent="0.35">
      <c r="A59" s="47" t="s">
        <v>290</v>
      </c>
      <c r="B59" t="s">
        <v>146</v>
      </c>
    </row>
    <row r="60" spans="1:4" ht="29" customHeight="1" x14ac:dyDescent="0.35">
      <c r="A60" s="47" t="s">
        <v>291</v>
      </c>
      <c r="B60" s="3" t="s">
        <v>146</v>
      </c>
    </row>
    <row r="61" spans="1:4" ht="29" customHeight="1" x14ac:dyDescent="0.35">
      <c r="A61" s="47" t="s">
        <v>292</v>
      </c>
      <c r="B61" s="3" t="s">
        <v>146</v>
      </c>
    </row>
    <row r="63" spans="1:4" ht="70" customHeight="1" x14ac:dyDescent="0.35">
      <c r="A63" s="70" t="s">
        <v>303</v>
      </c>
      <c r="B63" s="70" t="s">
        <v>304</v>
      </c>
      <c r="C63" s="70" t="s">
        <v>4</v>
      </c>
      <c r="D63" s="70" t="s">
        <v>5</v>
      </c>
    </row>
    <row r="64" spans="1:4" ht="70" customHeight="1" x14ac:dyDescent="0.35">
      <c r="A64" s="70" t="s">
        <v>1916</v>
      </c>
      <c r="B64" s="70"/>
      <c r="C64" s="70" t="s">
        <v>57</v>
      </c>
      <c r="D64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38"/>
  <sheetViews>
    <sheetView showGridLines="0" workbookViewId="0">
      <pane ySplit="4" topLeftCell="A56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1917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1918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1553</v>
      </c>
      <c r="B8" s="41" t="s">
        <v>1554</v>
      </c>
      <c r="C8" s="41" t="s">
        <v>1211</v>
      </c>
      <c r="D8" s="15">
        <v>170366</v>
      </c>
      <c r="E8" s="16">
        <v>6524.34</v>
      </c>
      <c r="F8" s="17">
        <v>4.1099999999999998E-2</v>
      </c>
      <c r="G8" s="17"/>
    </row>
    <row r="9" spans="1:7" x14ac:dyDescent="0.35">
      <c r="A9" s="13" t="s">
        <v>1426</v>
      </c>
      <c r="B9" s="41" t="s">
        <v>1427</v>
      </c>
      <c r="C9" s="41" t="s">
        <v>1178</v>
      </c>
      <c r="D9" s="15">
        <v>600322</v>
      </c>
      <c r="E9" s="16">
        <v>5897.26</v>
      </c>
      <c r="F9" s="17">
        <v>3.7199999999999997E-2</v>
      </c>
      <c r="G9" s="17"/>
    </row>
    <row r="10" spans="1:7" x14ac:dyDescent="0.35">
      <c r="A10" s="13" t="s">
        <v>1555</v>
      </c>
      <c r="B10" s="41" t="s">
        <v>1556</v>
      </c>
      <c r="C10" s="41" t="s">
        <v>1178</v>
      </c>
      <c r="D10" s="15">
        <v>598376</v>
      </c>
      <c r="E10" s="16">
        <v>5455.39</v>
      </c>
      <c r="F10" s="17">
        <v>3.44E-2</v>
      </c>
      <c r="G10" s="17"/>
    </row>
    <row r="11" spans="1:7" x14ac:dyDescent="0.35">
      <c r="A11" s="13" t="s">
        <v>1919</v>
      </c>
      <c r="B11" s="41" t="s">
        <v>1920</v>
      </c>
      <c r="C11" s="41" t="s">
        <v>1178</v>
      </c>
      <c r="D11" s="15">
        <v>3432687</v>
      </c>
      <c r="E11" s="16">
        <v>5060.47</v>
      </c>
      <c r="F11" s="17">
        <v>3.1899999999999998E-2</v>
      </c>
      <c r="G11" s="17"/>
    </row>
    <row r="12" spans="1:7" x14ac:dyDescent="0.35">
      <c r="A12" s="13" t="s">
        <v>1176</v>
      </c>
      <c r="B12" s="41" t="s">
        <v>1177</v>
      </c>
      <c r="C12" s="41" t="s">
        <v>1178</v>
      </c>
      <c r="D12" s="15">
        <v>448406</v>
      </c>
      <c r="E12" s="16">
        <v>4830.01</v>
      </c>
      <c r="F12" s="17">
        <v>3.04E-2</v>
      </c>
      <c r="G12" s="17"/>
    </row>
    <row r="13" spans="1:7" x14ac:dyDescent="0.35">
      <c r="A13" s="13" t="s">
        <v>1281</v>
      </c>
      <c r="B13" s="41" t="s">
        <v>1282</v>
      </c>
      <c r="C13" s="41" t="s">
        <v>1234</v>
      </c>
      <c r="D13" s="15">
        <v>197095</v>
      </c>
      <c r="E13" s="16">
        <v>3973.24</v>
      </c>
      <c r="F13" s="17">
        <v>2.5000000000000001E-2</v>
      </c>
      <c r="G13" s="17"/>
    </row>
    <row r="14" spans="1:7" x14ac:dyDescent="0.35">
      <c r="A14" s="13" t="s">
        <v>1420</v>
      </c>
      <c r="B14" s="41" t="s">
        <v>1421</v>
      </c>
      <c r="C14" s="41" t="s">
        <v>1178</v>
      </c>
      <c r="D14" s="15">
        <v>2174165</v>
      </c>
      <c r="E14" s="16">
        <v>3930.02</v>
      </c>
      <c r="F14" s="17">
        <v>2.4799999999999999E-2</v>
      </c>
      <c r="G14" s="17"/>
    </row>
    <row r="15" spans="1:7" x14ac:dyDescent="0.35">
      <c r="A15" s="13" t="s">
        <v>1798</v>
      </c>
      <c r="B15" s="41" t="s">
        <v>1799</v>
      </c>
      <c r="C15" s="41" t="s">
        <v>1333</v>
      </c>
      <c r="D15" s="15">
        <v>121033</v>
      </c>
      <c r="E15" s="16">
        <v>3909.73</v>
      </c>
      <c r="F15" s="17">
        <v>2.46E-2</v>
      </c>
      <c r="G15" s="17"/>
    </row>
    <row r="16" spans="1:7" x14ac:dyDescent="0.35">
      <c r="A16" s="13" t="s">
        <v>1289</v>
      </c>
      <c r="B16" s="41" t="s">
        <v>1290</v>
      </c>
      <c r="C16" s="41" t="s">
        <v>1285</v>
      </c>
      <c r="D16" s="15">
        <v>863327</v>
      </c>
      <c r="E16" s="16">
        <v>3876.34</v>
      </c>
      <c r="F16" s="17">
        <v>2.4400000000000002E-2</v>
      </c>
      <c r="G16" s="17"/>
    </row>
    <row r="17" spans="1:7" x14ac:dyDescent="0.35">
      <c r="A17" s="13" t="s">
        <v>1278</v>
      </c>
      <c r="B17" s="41" t="s">
        <v>1279</v>
      </c>
      <c r="C17" s="41" t="s">
        <v>1280</v>
      </c>
      <c r="D17" s="15">
        <v>140000</v>
      </c>
      <c r="E17" s="16">
        <v>3539.2</v>
      </c>
      <c r="F17" s="17">
        <v>2.23E-2</v>
      </c>
      <c r="G17" s="17"/>
    </row>
    <row r="18" spans="1:7" x14ac:dyDescent="0.35">
      <c r="A18" s="13" t="s">
        <v>1194</v>
      </c>
      <c r="B18" s="41" t="s">
        <v>1195</v>
      </c>
      <c r="C18" s="41" t="s">
        <v>1188</v>
      </c>
      <c r="D18" s="15">
        <v>47127</v>
      </c>
      <c r="E18" s="16">
        <v>3356.62</v>
      </c>
      <c r="F18" s="17">
        <v>2.12E-2</v>
      </c>
      <c r="G18" s="17"/>
    </row>
    <row r="19" spans="1:7" x14ac:dyDescent="0.35">
      <c r="A19" s="13" t="s">
        <v>1472</v>
      </c>
      <c r="B19" s="41" t="s">
        <v>1473</v>
      </c>
      <c r="C19" s="41" t="s">
        <v>1419</v>
      </c>
      <c r="D19" s="15">
        <v>344866</v>
      </c>
      <c r="E19" s="16">
        <v>3319.68</v>
      </c>
      <c r="F19" s="17">
        <v>2.0899999999999998E-2</v>
      </c>
      <c r="G19" s="17"/>
    </row>
    <row r="20" spans="1:7" x14ac:dyDescent="0.35">
      <c r="A20" s="13" t="s">
        <v>1921</v>
      </c>
      <c r="B20" s="41" t="s">
        <v>1922</v>
      </c>
      <c r="C20" s="41" t="s">
        <v>1350</v>
      </c>
      <c r="D20" s="15">
        <v>129578</v>
      </c>
      <c r="E20" s="16">
        <v>2957.75</v>
      </c>
      <c r="F20" s="17">
        <v>1.8599999999999998E-2</v>
      </c>
      <c r="G20" s="17"/>
    </row>
    <row r="21" spans="1:7" x14ac:dyDescent="0.35">
      <c r="A21" s="13" t="s">
        <v>1567</v>
      </c>
      <c r="B21" s="41" t="s">
        <v>1568</v>
      </c>
      <c r="C21" s="41" t="s">
        <v>1266</v>
      </c>
      <c r="D21" s="15">
        <v>1244360</v>
      </c>
      <c r="E21" s="16">
        <v>2955.36</v>
      </c>
      <c r="F21" s="17">
        <v>1.8599999999999998E-2</v>
      </c>
      <c r="G21" s="17"/>
    </row>
    <row r="22" spans="1:7" x14ac:dyDescent="0.35">
      <c r="A22" s="13" t="s">
        <v>1202</v>
      </c>
      <c r="B22" s="41" t="s">
        <v>1203</v>
      </c>
      <c r="C22" s="41" t="s">
        <v>1178</v>
      </c>
      <c r="D22" s="15">
        <v>1023212</v>
      </c>
      <c r="E22" s="16">
        <v>2944.29</v>
      </c>
      <c r="F22" s="17">
        <v>1.8599999999999998E-2</v>
      </c>
      <c r="G22" s="17"/>
    </row>
    <row r="23" spans="1:7" x14ac:dyDescent="0.35">
      <c r="A23" s="13" t="s">
        <v>1455</v>
      </c>
      <c r="B23" s="41" t="s">
        <v>1456</v>
      </c>
      <c r="C23" s="41" t="s">
        <v>1234</v>
      </c>
      <c r="D23" s="15">
        <v>302665</v>
      </c>
      <c r="E23" s="16">
        <v>2920.72</v>
      </c>
      <c r="F23" s="17">
        <v>1.84E-2</v>
      </c>
      <c r="G23" s="17"/>
    </row>
    <row r="24" spans="1:7" x14ac:dyDescent="0.35">
      <c r="A24" s="13" t="s">
        <v>1356</v>
      </c>
      <c r="B24" s="41" t="s">
        <v>1357</v>
      </c>
      <c r="C24" s="41" t="s">
        <v>1288</v>
      </c>
      <c r="D24" s="15">
        <v>142287</v>
      </c>
      <c r="E24" s="16">
        <v>2910.77</v>
      </c>
      <c r="F24" s="17">
        <v>1.83E-2</v>
      </c>
      <c r="G24" s="17"/>
    </row>
    <row r="25" spans="1:7" x14ac:dyDescent="0.35">
      <c r="A25" s="13" t="s">
        <v>1183</v>
      </c>
      <c r="B25" s="41" t="s">
        <v>1184</v>
      </c>
      <c r="C25" s="41" t="s">
        <v>1185</v>
      </c>
      <c r="D25" s="15">
        <v>128507</v>
      </c>
      <c r="E25" s="16">
        <v>2568.21</v>
      </c>
      <c r="F25" s="17">
        <v>1.6199999999999999E-2</v>
      </c>
      <c r="G25" s="17"/>
    </row>
    <row r="26" spans="1:7" x14ac:dyDescent="0.35">
      <c r="A26" s="13" t="s">
        <v>1314</v>
      </c>
      <c r="B26" s="41" t="s">
        <v>1315</v>
      </c>
      <c r="C26" s="41" t="s">
        <v>1211</v>
      </c>
      <c r="D26" s="15">
        <v>250956</v>
      </c>
      <c r="E26" s="16">
        <v>2559.75</v>
      </c>
      <c r="F26" s="17">
        <v>1.61E-2</v>
      </c>
      <c r="G26" s="17"/>
    </row>
    <row r="27" spans="1:7" x14ac:dyDescent="0.35">
      <c r="A27" s="13" t="s">
        <v>1512</v>
      </c>
      <c r="B27" s="41" t="s">
        <v>1513</v>
      </c>
      <c r="C27" s="41" t="s">
        <v>1188</v>
      </c>
      <c r="D27" s="15">
        <v>46020</v>
      </c>
      <c r="E27" s="16">
        <v>2546.75</v>
      </c>
      <c r="F27" s="17">
        <v>1.6E-2</v>
      </c>
      <c r="G27" s="17"/>
    </row>
    <row r="28" spans="1:7" x14ac:dyDescent="0.35">
      <c r="A28" s="13" t="s">
        <v>1181</v>
      </c>
      <c r="B28" s="41" t="s">
        <v>1182</v>
      </c>
      <c r="C28" s="41" t="s">
        <v>1178</v>
      </c>
      <c r="D28" s="15">
        <v>183333</v>
      </c>
      <c r="E28" s="16">
        <v>2484.16</v>
      </c>
      <c r="F28" s="17">
        <v>1.5699999999999999E-2</v>
      </c>
      <c r="G28" s="17"/>
    </row>
    <row r="29" spans="1:7" x14ac:dyDescent="0.35">
      <c r="A29" s="13" t="s">
        <v>1361</v>
      </c>
      <c r="B29" s="41" t="s">
        <v>1362</v>
      </c>
      <c r="C29" s="41" t="s">
        <v>1229</v>
      </c>
      <c r="D29" s="15">
        <v>279495</v>
      </c>
      <c r="E29" s="16">
        <v>2379.9</v>
      </c>
      <c r="F29" s="17">
        <v>1.4999999999999999E-2</v>
      </c>
      <c r="G29" s="17"/>
    </row>
    <row r="30" spans="1:7" x14ac:dyDescent="0.35">
      <c r="A30" s="13" t="s">
        <v>1437</v>
      </c>
      <c r="B30" s="41" t="s">
        <v>1438</v>
      </c>
      <c r="C30" s="41" t="s">
        <v>1185</v>
      </c>
      <c r="D30" s="15">
        <v>365737</v>
      </c>
      <c r="E30" s="16">
        <v>2329.1999999999998</v>
      </c>
      <c r="F30" s="17">
        <v>1.47E-2</v>
      </c>
      <c r="G30" s="17"/>
    </row>
    <row r="31" spans="1:7" x14ac:dyDescent="0.35">
      <c r="A31" s="13" t="s">
        <v>1376</v>
      </c>
      <c r="B31" s="41" t="s">
        <v>1377</v>
      </c>
      <c r="C31" s="41" t="s">
        <v>1280</v>
      </c>
      <c r="D31" s="15">
        <v>82349</v>
      </c>
      <c r="E31" s="16">
        <v>2303.3000000000002</v>
      </c>
      <c r="F31" s="17">
        <v>1.4500000000000001E-2</v>
      </c>
      <c r="G31" s="17"/>
    </row>
    <row r="32" spans="1:7" x14ac:dyDescent="0.35">
      <c r="A32" s="13" t="s">
        <v>1506</v>
      </c>
      <c r="B32" s="41" t="s">
        <v>1507</v>
      </c>
      <c r="C32" s="41" t="s">
        <v>1234</v>
      </c>
      <c r="D32" s="15">
        <v>105860</v>
      </c>
      <c r="E32" s="16">
        <v>2278.9499999999998</v>
      </c>
      <c r="F32" s="17">
        <v>1.44E-2</v>
      </c>
      <c r="G32" s="17"/>
    </row>
    <row r="33" spans="1:7" x14ac:dyDescent="0.35">
      <c r="A33" s="13" t="s">
        <v>1295</v>
      </c>
      <c r="B33" s="41" t="s">
        <v>1296</v>
      </c>
      <c r="C33" s="41" t="s">
        <v>1188</v>
      </c>
      <c r="D33" s="15">
        <v>65564</v>
      </c>
      <c r="E33" s="16">
        <v>2250.0300000000002</v>
      </c>
      <c r="F33" s="17">
        <v>1.4200000000000001E-2</v>
      </c>
      <c r="G33" s="17"/>
    </row>
    <row r="34" spans="1:7" x14ac:dyDescent="0.35">
      <c r="A34" s="13" t="s">
        <v>1196</v>
      </c>
      <c r="B34" s="41" t="s">
        <v>1302</v>
      </c>
      <c r="C34" s="41" t="s">
        <v>1198</v>
      </c>
      <c r="D34" s="15">
        <v>136000</v>
      </c>
      <c r="E34" s="16">
        <v>2127.1799999999998</v>
      </c>
      <c r="F34" s="17">
        <v>1.34E-2</v>
      </c>
      <c r="G34" s="17"/>
    </row>
    <row r="35" spans="1:7" x14ac:dyDescent="0.35">
      <c r="A35" s="13" t="s">
        <v>1217</v>
      </c>
      <c r="B35" s="41" t="s">
        <v>1218</v>
      </c>
      <c r="C35" s="41" t="s">
        <v>1201</v>
      </c>
      <c r="D35" s="15">
        <v>82710</v>
      </c>
      <c r="E35" s="16">
        <v>2008.45</v>
      </c>
      <c r="F35" s="17">
        <v>1.2699999999999999E-2</v>
      </c>
      <c r="G35" s="17"/>
    </row>
    <row r="36" spans="1:7" x14ac:dyDescent="0.35">
      <c r="A36" s="13" t="s">
        <v>1923</v>
      </c>
      <c r="B36" s="41" t="s">
        <v>1924</v>
      </c>
      <c r="C36" s="41" t="s">
        <v>1224</v>
      </c>
      <c r="D36" s="15">
        <v>35609</v>
      </c>
      <c r="E36" s="16">
        <v>1966.86</v>
      </c>
      <c r="F36" s="17">
        <v>1.24E-2</v>
      </c>
      <c r="G36" s="17"/>
    </row>
    <row r="37" spans="1:7" x14ac:dyDescent="0.35">
      <c r="A37" s="13" t="s">
        <v>1925</v>
      </c>
      <c r="B37" s="41" t="s">
        <v>1926</v>
      </c>
      <c r="C37" s="41" t="s">
        <v>1419</v>
      </c>
      <c r="D37" s="15">
        <v>507672</v>
      </c>
      <c r="E37" s="16">
        <v>1956.82</v>
      </c>
      <c r="F37" s="17">
        <v>1.23E-2</v>
      </c>
      <c r="G37" s="17"/>
    </row>
    <row r="38" spans="1:7" x14ac:dyDescent="0.35">
      <c r="A38" s="13" t="s">
        <v>1262</v>
      </c>
      <c r="B38" s="41" t="s">
        <v>1263</v>
      </c>
      <c r="C38" s="41" t="s">
        <v>1178</v>
      </c>
      <c r="D38" s="15">
        <v>141176</v>
      </c>
      <c r="E38" s="16">
        <v>1934.68</v>
      </c>
      <c r="F38" s="17">
        <v>1.2200000000000001E-2</v>
      </c>
      <c r="G38" s="17"/>
    </row>
    <row r="39" spans="1:7" x14ac:dyDescent="0.35">
      <c r="A39" s="13" t="s">
        <v>1802</v>
      </c>
      <c r="B39" s="41" t="s">
        <v>1803</v>
      </c>
      <c r="C39" s="41" t="s">
        <v>1211</v>
      </c>
      <c r="D39" s="15">
        <v>115978</v>
      </c>
      <c r="E39" s="16">
        <v>1918.62</v>
      </c>
      <c r="F39" s="17">
        <v>1.21E-2</v>
      </c>
      <c r="G39" s="17"/>
    </row>
    <row r="40" spans="1:7" x14ac:dyDescent="0.35">
      <c r="A40" s="13" t="s">
        <v>1428</v>
      </c>
      <c r="B40" s="41" t="s">
        <v>1429</v>
      </c>
      <c r="C40" s="41" t="s">
        <v>1206</v>
      </c>
      <c r="D40" s="15">
        <v>1114022</v>
      </c>
      <c r="E40" s="16">
        <v>1818.53</v>
      </c>
      <c r="F40" s="17">
        <v>1.15E-2</v>
      </c>
      <c r="G40" s="17"/>
    </row>
    <row r="41" spans="1:7" x14ac:dyDescent="0.35">
      <c r="A41" s="13" t="s">
        <v>1443</v>
      </c>
      <c r="B41" s="41" t="s">
        <v>1444</v>
      </c>
      <c r="C41" s="41" t="s">
        <v>1178</v>
      </c>
      <c r="D41" s="15">
        <v>2107882</v>
      </c>
      <c r="E41" s="16">
        <v>1761.77</v>
      </c>
      <c r="F41" s="17">
        <v>1.11E-2</v>
      </c>
      <c r="G41" s="17"/>
    </row>
    <row r="42" spans="1:7" x14ac:dyDescent="0.35">
      <c r="A42" s="13" t="s">
        <v>1336</v>
      </c>
      <c r="B42" s="41" t="s">
        <v>1337</v>
      </c>
      <c r="C42" s="41" t="s">
        <v>1211</v>
      </c>
      <c r="D42" s="15">
        <v>494095</v>
      </c>
      <c r="E42" s="16">
        <v>1678.93</v>
      </c>
      <c r="F42" s="17">
        <v>1.06E-2</v>
      </c>
      <c r="G42" s="17"/>
    </row>
    <row r="43" spans="1:7" x14ac:dyDescent="0.35">
      <c r="A43" s="13" t="s">
        <v>1327</v>
      </c>
      <c r="B43" s="41" t="s">
        <v>1328</v>
      </c>
      <c r="C43" s="41" t="s">
        <v>1178</v>
      </c>
      <c r="D43" s="15">
        <v>1331244</v>
      </c>
      <c r="E43" s="16">
        <v>1666.58</v>
      </c>
      <c r="F43" s="17">
        <v>1.0500000000000001E-2</v>
      </c>
      <c r="G43" s="17"/>
    </row>
    <row r="44" spans="1:7" x14ac:dyDescent="0.35">
      <c r="A44" s="13" t="s">
        <v>1230</v>
      </c>
      <c r="B44" s="41" t="s">
        <v>1231</v>
      </c>
      <c r="C44" s="41" t="s">
        <v>1211</v>
      </c>
      <c r="D44" s="15">
        <v>85026</v>
      </c>
      <c r="E44" s="16">
        <v>1660.22</v>
      </c>
      <c r="F44" s="17">
        <v>1.0500000000000001E-2</v>
      </c>
      <c r="G44" s="17"/>
    </row>
    <row r="45" spans="1:7" x14ac:dyDescent="0.35">
      <c r="A45" s="13" t="s">
        <v>1492</v>
      </c>
      <c r="B45" s="41" t="s">
        <v>1493</v>
      </c>
      <c r="C45" s="41" t="s">
        <v>1234</v>
      </c>
      <c r="D45" s="15">
        <v>28896</v>
      </c>
      <c r="E45" s="16">
        <v>1640.57</v>
      </c>
      <c r="F45" s="17">
        <v>1.03E-2</v>
      </c>
      <c r="G45" s="17"/>
    </row>
    <row r="46" spans="1:7" x14ac:dyDescent="0.35">
      <c r="A46" s="13" t="s">
        <v>1204</v>
      </c>
      <c r="B46" s="41" t="s">
        <v>1205</v>
      </c>
      <c r="C46" s="41" t="s">
        <v>1206</v>
      </c>
      <c r="D46" s="15">
        <v>116491</v>
      </c>
      <c r="E46" s="16">
        <v>1625.52</v>
      </c>
      <c r="F46" s="17">
        <v>1.0200000000000001E-2</v>
      </c>
      <c r="G46" s="17"/>
    </row>
    <row r="47" spans="1:7" x14ac:dyDescent="0.35">
      <c r="A47" s="13" t="s">
        <v>1241</v>
      </c>
      <c r="B47" s="41" t="s">
        <v>1242</v>
      </c>
      <c r="C47" s="41" t="s">
        <v>1216</v>
      </c>
      <c r="D47" s="15">
        <v>222233</v>
      </c>
      <c r="E47" s="16">
        <v>1621.86</v>
      </c>
      <c r="F47" s="17">
        <v>1.0200000000000001E-2</v>
      </c>
      <c r="G47" s="17"/>
    </row>
    <row r="48" spans="1:7" x14ac:dyDescent="0.35">
      <c r="A48" s="13" t="s">
        <v>1225</v>
      </c>
      <c r="B48" s="41" t="s">
        <v>1226</v>
      </c>
      <c r="C48" s="41" t="s">
        <v>1185</v>
      </c>
      <c r="D48" s="15">
        <v>100000</v>
      </c>
      <c r="E48" s="16">
        <v>1613.6</v>
      </c>
      <c r="F48" s="17">
        <v>1.0200000000000001E-2</v>
      </c>
      <c r="G48" s="17"/>
    </row>
    <row r="49" spans="1:7" x14ac:dyDescent="0.35">
      <c r="A49" s="13" t="s">
        <v>1237</v>
      </c>
      <c r="B49" s="41" t="s">
        <v>1238</v>
      </c>
      <c r="C49" s="41" t="s">
        <v>1234</v>
      </c>
      <c r="D49" s="15">
        <v>100805</v>
      </c>
      <c r="E49" s="16">
        <v>1608.14</v>
      </c>
      <c r="F49" s="17">
        <v>1.01E-2</v>
      </c>
      <c r="G49" s="17"/>
    </row>
    <row r="50" spans="1:7" x14ac:dyDescent="0.35">
      <c r="A50" s="13" t="s">
        <v>1559</v>
      </c>
      <c r="B50" s="41" t="s">
        <v>1560</v>
      </c>
      <c r="C50" s="41" t="s">
        <v>1211</v>
      </c>
      <c r="D50" s="15">
        <v>560138</v>
      </c>
      <c r="E50" s="16">
        <v>1603.96</v>
      </c>
      <c r="F50" s="17">
        <v>1.01E-2</v>
      </c>
      <c r="G50" s="17"/>
    </row>
    <row r="51" spans="1:7" x14ac:dyDescent="0.35">
      <c r="A51" s="13" t="s">
        <v>1186</v>
      </c>
      <c r="B51" s="41" t="s">
        <v>1187</v>
      </c>
      <c r="C51" s="41" t="s">
        <v>1188</v>
      </c>
      <c r="D51" s="15">
        <v>10985</v>
      </c>
      <c r="E51" s="16">
        <v>1603.7</v>
      </c>
      <c r="F51" s="17">
        <v>1.01E-2</v>
      </c>
      <c r="G51" s="17"/>
    </row>
    <row r="52" spans="1:7" x14ac:dyDescent="0.35">
      <c r="A52" s="13" t="s">
        <v>1299</v>
      </c>
      <c r="B52" s="41" t="s">
        <v>1300</v>
      </c>
      <c r="C52" s="41" t="s">
        <v>1301</v>
      </c>
      <c r="D52" s="15">
        <v>591326</v>
      </c>
      <c r="E52" s="16">
        <v>1590.43</v>
      </c>
      <c r="F52" s="17">
        <v>0.01</v>
      </c>
      <c r="G52" s="17"/>
    </row>
    <row r="53" spans="1:7" x14ac:dyDescent="0.35">
      <c r="A53" s="13" t="s">
        <v>1179</v>
      </c>
      <c r="B53" s="41" t="s">
        <v>1180</v>
      </c>
      <c r="C53" s="41" t="s">
        <v>1178</v>
      </c>
      <c r="D53" s="15">
        <v>170238</v>
      </c>
      <c r="E53" s="16">
        <v>1581.94</v>
      </c>
      <c r="F53" s="17">
        <v>0.01</v>
      </c>
      <c r="G53" s="17"/>
    </row>
    <row r="54" spans="1:7" x14ac:dyDescent="0.35">
      <c r="A54" s="13" t="s">
        <v>1367</v>
      </c>
      <c r="B54" s="41" t="s">
        <v>1368</v>
      </c>
      <c r="C54" s="41" t="s">
        <v>1369</v>
      </c>
      <c r="D54" s="15">
        <v>94851</v>
      </c>
      <c r="E54" s="16">
        <v>1556.5</v>
      </c>
      <c r="F54" s="17">
        <v>9.7999999999999997E-3</v>
      </c>
      <c r="G54" s="17"/>
    </row>
    <row r="55" spans="1:7" x14ac:dyDescent="0.35">
      <c r="A55" s="13" t="s">
        <v>1543</v>
      </c>
      <c r="B55" s="41" t="s">
        <v>1544</v>
      </c>
      <c r="C55" s="41" t="s">
        <v>1206</v>
      </c>
      <c r="D55" s="15">
        <v>425843</v>
      </c>
      <c r="E55" s="16">
        <v>1552.2</v>
      </c>
      <c r="F55" s="17">
        <v>9.7999999999999997E-3</v>
      </c>
      <c r="G55" s="17"/>
    </row>
    <row r="56" spans="1:7" x14ac:dyDescent="0.35">
      <c r="A56" s="13" t="s">
        <v>1927</v>
      </c>
      <c r="B56" s="41" t="s">
        <v>1928</v>
      </c>
      <c r="C56" s="41" t="s">
        <v>1229</v>
      </c>
      <c r="D56" s="15">
        <v>280000</v>
      </c>
      <c r="E56" s="16">
        <v>1546.02</v>
      </c>
      <c r="F56" s="17">
        <v>9.7000000000000003E-3</v>
      </c>
      <c r="G56" s="17"/>
    </row>
    <row r="57" spans="1:7" x14ac:dyDescent="0.35">
      <c r="A57" s="13" t="s">
        <v>1343</v>
      </c>
      <c r="B57" s="41" t="s">
        <v>1344</v>
      </c>
      <c r="C57" s="41" t="s">
        <v>1345</v>
      </c>
      <c r="D57" s="15">
        <v>33547</v>
      </c>
      <c r="E57" s="16">
        <v>1541.99</v>
      </c>
      <c r="F57" s="17">
        <v>9.7000000000000003E-3</v>
      </c>
      <c r="G57" s="17"/>
    </row>
    <row r="58" spans="1:7" x14ac:dyDescent="0.35">
      <c r="A58" s="13" t="s">
        <v>1929</v>
      </c>
      <c r="B58" s="41" t="s">
        <v>1930</v>
      </c>
      <c r="C58" s="41" t="s">
        <v>1211</v>
      </c>
      <c r="D58" s="15">
        <v>408681</v>
      </c>
      <c r="E58" s="16">
        <v>1534.8</v>
      </c>
      <c r="F58" s="17">
        <v>9.7000000000000003E-3</v>
      </c>
      <c r="G58" s="17"/>
    </row>
    <row r="59" spans="1:7" x14ac:dyDescent="0.35">
      <c r="A59" s="13" t="s">
        <v>1209</v>
      </c>
      <c r="B59" s="41" t="s">
        <v>1210</v>
      </c>
      <c r="C59" s="41" t="s">
        <v>1211</v>
      </c>
      <c r="D59" s="15">
        <v>164905</v>
      </c>
      <c r="E59" s="16">
        <v>1533.37</v>
      </c>
      <c r="F59" s="17">
        <v>9.7000000000000003E-3</v>
      </c>
      <c r="G59" s="17"/>
    </row>
    <row r="60" spans="1:7" x14ac:dyDescent="0.35">
      <c r="A60" s="13" t="s">
        <v>1291</v>
      </c>
      <c r="B60" s="41" t="s">
        <v>1292</v>
      </c>
      <c r="C60" s="41" t="s">
        <v>1206</v>
      </c>
      <c r="D60" s="15">
        <v>356329</v>
      </c>
      <c r="E60" s="16">
        <v>1521.52</v>
      </c>
      <c r="F60" s="17">
        <v>9.5999999999999992E-3</v>
      </c>
      <c r="G60" s="17"/>
    </row>
    <row r="61" spans="1:7" x14ac:dyDescent="0.35">
      <c r="A61" s="13" t="s">
        <v>1931</v>
      </c>
      <c r="B61" s="41" t="s">
        <v>1932</v>
      </c>
      <c r="C61" s="41" t="s">
        <v>1261</v>
      </c>
      <c r="D61" s="15">
        <v>183339</v>
      </c>
      <c r="E61" s="16">
        <v>1508.05</v>
      </c>
      <c r="F61" s="17">
        <v>9.4999999999999998E-3</v>
      </c>
      <c r="G61" s="17"/>
    </row>
    <row r="62" spans="1:7" x14ac:dyDescent="0.35">
      <c r="A62" s="13" t="s">
        <v>1212</v>
      </c>
      <c r="B62" s="41" t="s">
        <v>1213</v>
      </c>
      <c r="C62" s="41" t="s">
        <v>1188</v>
      </c>
      <c r="D62" s="15">
        <v>40293</v>
      </c>
      <c r="E62" s="16">
        <v>1481.73</v>
      </c>
      <c r="F62" s="17">
        <v>9.2999999999999992E-3</v>
      </c>
      <c r="G62" s="17"/>
    </row>
    <row r="63" spans="1:7" x14ac:dyDescent="0.35">
      <c r="A63" s="13" t="s">
        <v>1476</v>
      </c>
      <c r="B63" s="41" t="s">
        <v>1477</v>
      </c>
      <c r="C63" s="41" t="s">
        <v>1221</v>
      </c>
      <c r="D63" s="15">
        <v>52258</v>
      </c>
      <c r="E63" s="16">
        <v>1471.74</v>
      </c>
      <c r="F63" s="17">
        <v>9.2999999999999992E-3</v>
      </c>
      <c r="G63" s="17"/>
    </row>
    <row r="64" spans="1:7" x14ac:dyDescent="0.35">
      <c r="A64" s="13" t="s">
        <v>1933</v>
      </c>
      <c r="B64" s="41" t="s">
        <v>1934</v>
      </c>
      <c r="C64" s="41" t="s">
        <v>1382</v>
      </c>
      <c r="D64" s="15">
        <v>60353</v>
      </c>
      <c r="E64" s="16">
        <v>1464.65</v>
      </c>
      <c r="F64" s="17">
        <v>9.1999999999999998E-3</v>
      </c>
      <c r="G64" s="17"/>
    </row>
    <row r="65" spans="1:7" x14ac:dyDescent="0.35">
      <c r="A65" s="13" t="s">
        <v>1935</v>
      </c>
      <c r="B65" s="41" t="s">
        <v>1936</v>
      </c>
      <c r="C65" s="41" t="s">
        <v>1221</v>
      </c>
      <c r="D65" s="15">
        <v>23917</v>
      </c>
      <c r="E65" s="16">
        <v>1458.7</v>
      </c>
      <c r="F65" s="17">
        <v>9.1999999999999998E-3</v>
      </c>
      <c r="G65" s="17"/>
    </row>
    <row r="66" spans="1:7" x14ac:dyDescent="0.35">
      <c r="A66" s="13" t="s">
        <v>1348</v>
      </c>
      <c r="B66" s="41" t="s">
        <v>1349</v>
      </c>
      <c r="C66" s="41" t="s">
        <v>1350</v>
      </c>
      <c r="D66" s="15">
        <v>207086</v>
      </c>
      <c r="E66" s="16">
        <v>1457.78</v>
      </c>
      <c r="F66" s="17">
        <v>9.1999999999999998E-3</v>
      </c>
      <c r="G66" s="17"/>
    </row>
    <row r="67" spans="1:7" x14ac:dyDescent="0.35">
      <c r="A67" s="13" t="s">
        <v>1937</v>
      </c>
      <c r="B67" s="41" t="s">
        <v>1938</v>
      </c>
      <c r="C67" s="41" t="s">
        <v>1301</v>
      </c>
      <c r="D67" s="15">
        <v>282408</v>
      </c>
      <c r="E67" s="16">
        <v>1440.42</v>
      </c>
      <c r="F67" s="17">
        <v>9.1000000000000004E-3</v>
      </c>
      <c r="G67" s="17"/>
    </row>
    <row r="68" spans="1:7" x14ac:dyDescent="0.35">
      <c r="A68" s="13" t="s">
        <v>1939</v>
      </c>
      <c r="B68" s="41" t="s">
        <v>1940</v>
      </c>
      <c r="C68" s="41" t="s">
        <v>1178</v>
      </c>
      <c r="D68" s="15">
        <v>474930</v>
      </c>
      <c r="E68" s="16">
        <v>1431.44</v>
      </c>
      <c r="F68" s="17">
        <v>8.9999999999999993E-3</v>
      </c>
      <c r="G68" s="17"/>
    </row>
    <row r="69" spans="1:7" x14ac:dyDescent="0.35">
      <c r="A69" s="13" t="s">
        <v>1941</v>
      </c>
      <c r="B69" s="41" t="s">
        <v>1942</v>
      </c>
      <c r="C69" s="41" t="s">
        <v>1198</v>
      </c>
      <c r="D69" s="15">
        <v>91307</v>
      </c>
      <c r="E69" s="16">
        <v>1410.51</v>
      </c>
      <c r="F69" s="17">
        <v>8.8999999999999999E-3</v>
      </c>
      <c r="G69" s="17"/>
    </row>
    <row r="70" spans="1:7" x14ac:dyDescent="0.35">
      <c r="A70" s="13" t="s">
        <v>1943</v>
      </c>
      <c r="B70" s="41" t="s">
        <v>1944</v>
      </c>
      <c r="C70" s="41" t="s">
        <v>1360</v>
      </c>
      <c r="D70" s="15">
        <v>48880</v>
      </c>
      <c r="E70" s="16">
        <v>1382.38</v>
      </c>
      <c r="F70" s="17">
        <v>8.6999999999999994E-3</v>
      </c>
      <c r="G70" s="17"/>
    </row>
    <row r="71" spans="1:7" x14ac:dyDescent="0.35">
      <c r="A71" s="13" t="s">
        <v>1945</v>
      </c>
      <c r="B71" s="41" t="s">
        <v>1946</v>
      </c>
      <c r="C71" s="41" t="s">
        <v>1211</v>
      </c>
      <c r="D71" s="15">
        <v>25823</v>
      </c>
      <c r="E71" s="16">
        <v>1362.94</v>
      </c>
      <c r="F71" s="17">
        <v>8.6E-3</v>
      </c>
      <c r="G71" s="17"/>
    </row>
    <row r="72" spans="1:7" x14ac:dyDescent="0.35">
      <c r="A72" s="13" t="s">
        <v>1814</v>
      </c>
      <c r="B72" s="41" t="s">
        <v>1815</v>
      </c>
      <c r="C72" s="41" t="s">
        <v>1234</v>
      </c>
      <c r="D72" s="15">
        <v>4894</v>
      </c>
      <c r="E72" s="16">
        <v>1349.03</v>
      </c>
      <c r="F72" s="17">
        <v>8.5000000000000006E-3</v>
      </c>
      <c r="G72" s="17"/>
    </row>
    <row r="73" spans="1:7" x14ac:dyDescent="0.35">
      <c r="A73" s="13" t="s">
        <v>1508</v>
      </c>
      <c r="B73" s="41" t="s">
        <v>1509</v>
      </c>
      <c r="C73" s="41" t="s">
        <v>1188</v>
      </c>
      <c r="D73" s="15">
        <v>8415</v>
      </c>
      <c r="E73" s="16">
        <v>807.63</v>
      </c>
      <c r="F73" s="17">
        <v>5.1000000000000004E-3</v>
      </c>
      <c r="G73" s="17"/>
    </row>
    <row r="74" spans="1:7" x14ac:dyDescent="0.35">
      <c r="A74" s="13" t="s">
        <v>1847</v>
      </c>
      <c r="B74" s="41" t="s">
        <v>1848</v>
      </c>
      <c r="C74" s="41" t="s">
        <v>1849</v>
      </c>
      <c r="D74" s="15">
        <v>200</v>
      </c>
      <c r="E74" s="16">
        <v>0.39</v>
      </c>
      <c r="F74" s="17">
        <v>0</v>
      </c>
      <c r="G74" s="17"/>
    </row>
    <row r="75" spans="1:7" x14ac:dyDescent="0.35">
      <c r="A75" s="14" t="s">
        <v>149</v>
      </c>
      <c r="B75" s="42"/>
      <c r="C75" s="42"/>
      <c r="D75" s="18"/>
      <c r="E75" s="19">
        <v>153863.59</v>
      </c>
      <c r="F75" s="20">
        <v>0.96960000000000002</v>
      </c>
      <c r="G75" s="21"/>
    </row>
    <row r="76" spans="1:7" x14ac:dyDescent="0.35">
      <c r="A76" s="14"/>
      <c r="B76" s="42"/>
      <c r="C76" s="42"/>
      <c r="D76" s="18"/>
      <c r="E76" s="26"/>
      <c r="F76" s="21"/>
      <c r="G76" s="21"/>
    </row>
    <row r="77" spans="1:7" x14ac:dyDescent="0.35">
      <c r="A77" s="58" t="s">
        <v>147</v>
      </c>
      <c r="B77" s="42"/>
      <c r="C77" s="42"/>
      <c r="D77" s="18"/>
      <c r="E77" s="26"/>
      <c r="F77" s="21"/>
      <c r="G77" s="21"/>
    </row>
    <row r="78" spans="1:7" x14ac:dyDescent="0.35">
      <c r="A78" s="58" t="s">
        <v>1249</v>
      </c>
      <c r="B78" s="41"/>
      <c r="C78" s="41"/>
      <c r="D78" s="15"/>
      <c r="E78" s="16"/>
      <c r="F78" s="17"/>
      <c r="G78" s="17"/>
    </row>
    <row r="79" spans="1:7" x14ac:dyDescent="0.35">
      <c r="A79" s="58" t="s">
        <v>1250</v>
      </c>
      <c r="B79" s="41"/>
      <c r="C79" s="41"/>
      <c r="D79" s="15"/>
      <c r="E79" s="16"/>
      <c r="F79" s="17"/>
      <c r="G79" s="17"/>
    </row>
    <row r="80" spans="1:7" x14ac:dyDescent="0.35">
      <c r="A80" s="13" t="s">
        <v>1251</v>
      </c>
      <c r="B80" s="41" t="s">
        <v>1252</v>
      </c>
      <c r="C80" s="41" t="s">
        <v>1188</v>
      </c>
      <c r="D80" s="15">
        <v>405392</v>
      </c>
      <c r="E80" s="16">
        <v>41.44</v>
      </c>
      <c r="F80" s="17">
        <v>2.9999999999999997E-4</v>
      </c>
      <c r="G80" s="17">
        <v>6.3450000000000006E-2</v>
      </c>
    </row>
    <row r="81" spans="1:7" x14ac:dyDescent="0.35">
      <c r="A81" s="14" t="s">
        <v>149</v>
      </c>
      <c r="B81" s="42"/>
      <c r="C81" s="42"/>
      <c r="D81" s="18"/>
      <c r="E81" s="19">
        <v>41.44</v>
      </c>
      <c r="F81" s="20">
        <v>2.9999999999999997E-4</v>
      </c>
      <c r="G81" s="21"/>
    </row>
    <row r="82" spans="1:7" x14ac:dyDescent="0.35">
      <c r="A82" s="22" t="s">
        <v>160</v>
      </c>
      <c r="B82" s="43"/>
      <c r="C82" s="43"/>
      <c r="D82" s="23"/>
      <c r="E82" s="24">
        <f>E81+E75</f>
        <v>153905.03</v>
      </c>
      <c r="F82" s="25">
        <f>F81+F75</f>
        <v>0.96989999999999998</v>
      </c>
      <c r="G82" s="21"/>
    </row>
    <row r="83" spans="1:7" x14ac:dyDescent="0.35">
      <c r="A83" s="13"/>
      <c r="B83" s="41"/>
      <c r="C83" s="41"/>
      <c r="D83" s="15"/>
      <c r="E83" s="16"/>
      <c r="F83" s="17"/>
      <c r="G83" s="17"/>
    </row>
    <row r="84" spans="1:7" x14ac:dyDescent="0.35">
      <c r="A84" s="14" t="s">
        <v>1571</v>
      </c>
      <c r="B84" s="41"/>
      <c r="C84" s="41"/>
      <c r="D84" s="15"/>
      <c r="E84" s="16"/>
      <c r="F84" s="17"/>
      <c r="G84" s="17"/>
    </row>
    <row r="85" spans="1:7" x14ac:dyDescent="0.35">
      <c r="A85" s="14" t="s">
        <v>1572</v>
      </c>
      <c r="B85" s="41"/>
      <c r="C85" s="41"/>
      <c r="D85" s="15"/>
      <c r="E85" s="16"/>
      <c r="F85" s="17"/>
      <c r="G85" s="17"/>
    </row>
    <row r="86" spans="1:7" x14ac:dyDescent="0.35">
      <c r="A86" s="13" t="s">
        <v>1853</v>
      </c>
      <c r="B86" s="41"/>
      <c r="C86" s="41" t="s">
        <v>1849</v>
      </c>
      <c r="D86" s="15">
        <v>2010000</v>
      </c>
      <c r="E86" s="16">
        <v>3916.89</v>
      </c>
      <c r="F86" s="17">
        <v>2.4683E-2</v>
      </c>
      <c r="G86" s="17"/>
    </row>
    <row r="87" spans="1:7" x14ac:dyDescent="0.35">
      <c r="A87" s="14" t="s">
        <v>149</v>
      </c>
      <c r="B87" s="42"/>
      <c r="C87" s="42"/>
      <c r="D87" s="18"/>
      <c r="E87" s="19">
        <v>3916.89</v>
      </c>
      <c r="F87" s="20">
        <v>2.4683E-2</v>
      </c>
      <c r="G87" s="21"/>
    </row>
    <row r="88" spans="1:7" x14ac:dyDescent="0.35">
      <c r="A88" s="13"/>
      <c r="B88" s="41"/>
      <c r="C88" s="41"/>
      <c r="D88" s="15"/>
      <c r="E88" s="16"/>
      <c r="F88" s="17"/>
      <c r="G88" s="17"/>
    </row>
    <row r="89" spans="1:7" x14ac:dyDescent="0.35">
      <c r="A89" s="13"/>
      <c r="B89" s="41"/>
      <c r="C89" s="41"/>
      <c r="D89" s="15"/>
      <c r="E89" s="16"/>
      <c r="F89" s="17"/>
      <c r="G89" s="17"/>
    </row>
    <row r="90" spans="1:7" x14ac:dyDescent="0.35">
      <c r="A90" s="13"/>
      <c r="B90" s="41"/>
      <c r="C90" s="41"/>
      <c r="D90" s="15"/>
      <c r="E90" s="16"/>
      <c r="F90" s="17"/>
      <c r="G90" s="17"/>
    </row>
    <row r="91" spans="1:7" x14ac:dyDescent="0.35">
      <c r="A91" s="22" t="s">
        <v>160</v>
      </c>
      <c r="B91" s="43"/>
      <c r="C91" s="43"/>
      <c r="D91" s="23"/>
      <c r="E91" s="36">
        <v>3916.89</v>
      </c>
      <c r="F91" s="37">
        <v>2.4683E-2</v>
      </c>
      <c r="G91" s="21"/>
    </row>
    <row r="92" spans="1:7" x14ac:dyDescent="0.35">
      <c r="A92" s="13"/>
      <c r="B92" s="41"/>
      <c r="C92" s="41"/>
      <c r="D92" s="15"/>
      <c r="E92" s="16"/>
      <c r="F92" s="17"/>
      <c r="G92" s="17"/>
    </row>
    <row r="93" spans="1:7" x14ac:dyDescent="0.35">
      <c r="A93" s="14" t="s">
        <v>161</v>
      </c>
      <c r="B93" s="41"/>
      <c r="C93" s="41"/>
      <c r="D93" s="15"/>
      <c r="E93" s="16"/>
      <c r="F93" s="17"/>
      <c r="G93" s="17"/>
    </row>
    <row r="94" spans="1:7" x14ac:dyDescent="0.35">
      <c r="A94" s="13"/>
      <c r="B94" s="41"/>
      <c r="C94" s="41"/>
      <c r="D94" s="15"/>
      <c r="E94" s="16"/>
      <c r="F94" s="17"/>
      <c r="G94" s="17"/>
    </row>
    <row r="95" spans="1:7" x14ac:dyDescent="0.35">
      <c r="A95" s="14" t="s">
        <v>162</v>
      </c>
      <c r="B95" s="41"/>
      <c r="C95" s="41"/>
      <c r="D95" s="15"/>
      <c r="E95" s="16"/>
      <c r="F95" s="17"/>
      <c r="G95" s="17"/>
    </row>
    <row r="96" spans="1:7" x14ac:dyDescent="0.35">
      <c r="A96" s="13" t="s">
        <v>925</v>
      </c>
      <c r="B96" s="41" t="s">
        <v>926</v>
      </c>
      <c r="C96" s="41" t="s">
        <v>153</v>
      </c>
      <c r="D96" s="15">
        <v>500000</v>
      </c>
      <c r="E96" s="16">
        <v>499.72</v>
      </c>
      <c r="F96" s="17">
        <v>3.0999999999999999E-3</v>
      </c>
      <c r="G96" s="17">
        <v>5.0763000000000003E-2</v>
      </c>
    </row>
    <row r="97" spans="1:7" x14ac:dyDescent="0.35">
      <c r="A97" s="13" t="s">
        <v>1947</v>
      </c>
      <c r="B97" s="41" t="s">
        <v>1948</v>
      </c>
      <c r="C97" s="41" t="s">
        <v>153</v>
      </c>
      <c r="D97" s="15">
        <v>500000</v>
      </c>
      <c r="E97" s="16">
        <v>495.58</v>
      </c>
      <c r="F97" s="17">
        <v>3.0999999999999999E-3</v>
      </c>
      <c r="G97" s="17">
        <v>5.4200999999999999E-2</v>
      </c>
    </row>
    <row r="98" spans="1:7" x14ac:dyDescent="0.35">
      <c r="A98" s="14" t="s">
        <v>149</v>
      </c>
      <c r="B98" s="42"/>
      <c r="C98" s="42"/>
      <c r="D98" s="18"/>
      <c r="E98" s="19">
        <v>995.3</v>
      </c>
      <c r="F98" s="20">
        <v>6.1999999999999998E-3</v>
      </c>
      <c r="G98" s="21"/>
    </row>
    <row r="99" spans="1:7" x14ac:dyDescent="0.35">
      <c r="A99" s="13"/>
      <c r="B99" s="41"/>
      <c r="C99" s="41"/>
      <c r="D99" s="15"/>
      <c r="E99" s="16"/>
      <c r="F99" s="17"/>
      <c r="G99" s="17"/>
    </row>
    <row r="100" spans="1:7" x14ac:dyDescent="0.35">
      <c r="A100" s="22" t="s">
        <v>160</v>
      </c>
      <c r="B100" s="43"/>
      <c r="C100" s="43"/>
      <c r="D100" s="23"/>
      <c r="E100" s="36">
        <v>995.3</v>
      </c>
      <c r="F100" s="37">
        <v>6.1999999999999998E-3</v>
      </c>
      <c r="G100" s="21"/>
    </row>
    <row r="101" spans="1:7" x14ac:dyDescent="0.35">
      <c r="A101" s="13"/>
      <c r="B101" s="41"/>
      <c r="C101" s="41"/>
      <c r="D101" s="15"/>
      <c r="E101" s="16"/>
      <c r="F101" s="17"/>
      <c r="G101" s="17"/>
    </row>
    <row r="102" spans="1:7" x14ac:dyDescent="0.35">
      <c r="A102" s="13"/>
      <c r="B102" s="41"/>
      <c r="C102" s="41"/>
      <c r="D102" s="15"/>
      <c r="E102" s="16"/>
      <c r="F102" s="17"/>
      <c r="G102" s="17"/>
    </row>
    <row r="103" spans="1:7" x14ac:dyDescent="0.35">
      <c r="A103" s="14" t="s">
        <v>255</v>
      </c>
      <c r="B103" s="41"/>
      <c r="C103" s="41"/>
      <c r="D103" s="15"/>
      <c r="E103" s="16"/>
      <c r="F103" s="17"/>
      <c r="G103" s="17"/>
    </row>
    <row r="104" spans="1:7" x14ac:dyDescent="0.35">
      <c r="A104" s="13" t="s">
        <v>257</v>
      </c>
      <c r="B104" s="41"/>
      <c r="C104" s="41"/>
      <c r="D104" s="15"/>
      <c r="E104" s="16">
        <v>3899.34</v>
      </c>
      <c r="F104" s="17">
        <v>2.46E-2</v>
      </c>
      <c r="G104" s="17">
        <v>5.1742000000000003E-2</v>
      </c>
    </row>
    <row r="105" spans="1:7" x14ac:dyDescent="0.35">
      <c r="A105" s="14" t="s">
        <v>149</v>
      </c>
      <c r="B105" s="42"/>
      <c r="C105" s="42"/>
      <c r="D105" s="18"/>
      <c r="E105" s="19">
        <v>3899.34</v>
      </c>
      <c r="F105" s="20">
        <v>2.46E-2</v>
      </c>
      <c r="G105" s="21"/>
    </row>
    <row r="106" spans="1:7" x14ac:dyDescent="0.35">
      <c r="A106" s="13"/>
      <c r="B106" s="41"/>
      <c r="C106" s="41"/>
      <c r="D106" s="15"/>
      <c r="E106" s="16"/>
      <c r="F106" s="17"/>
      <c r="G106" s="17"/>
    </row>
    <row r="107" spans="1:7" x14ac:dyDescent="0.35">
      <c r="A107" s="22" t="s">
        <v>160</v>
      </c>
      <c r="B107" s="43"/>
      <c r="C107" s="43"/>
      <c r="D107" s="23"/>
      <c r="E107" s="36">
        <v>3899.34</v>
      </c>
      <c r="F107" s="37">
        <v>2.46E-2</v>
      </c>
      <c r="G107" s="21"/>
    </row>
    <row r="108" spans="1:7" x14ac:dyDescent="0.35">
      <c r="A108" s="13" t="s">
        <v>258</v>
      </c>
      <c r="B108" s="41"/>
      <c r="C108" s="41"/>
      <c r="D108" s="15"/>
      <c r="E108" s="16">
        <v>1.1055328</v>
      </c>
      <c r="F108" s="17">
        <v>6.0000000000000002E-6</v>
      </c>
      <c r="G108" s="17"/>
    </row>
    <row r="109" spans="1:7" x14ac:dyDescent="0.35">
      <c r="A109" s="13" t="s">
        <v>259</v>
      </c>
      <c r="B109" s="41"/>
      <c r="C109" s="41"/>
      <c r="D109" s="15"/>
      <c r="E109" s="28">
        <v>-118.63553279999999</v>
      </c>
      <c r="F109" s="29">
        <v>-7.0600000000000003E-4</v>
      </c>
      <c r="G109" s="17">
        <v>5.1741000000000002E-2</v>
      </c>
    </row>
    <row r="110" spans="1:7" x14ac:dyDescent="0.35">
      <c r="A110" s="38" t="s">
        <v>260</v>
      </c>
      <c r="B110" s="44"/>
      <c r="C110" s="44"/>
      <c r="D110" s="39"/>
      <c r="E110" s="24">
        <v>158682.14000000001</v>
      </c>
      <c r="F110" s="25">
        <v>1</v>
      </c>
      <c r="G110" s="25"/>
    </row>
    <row r="112" spans="1:7" x14ac:dyDescent="0.35">
      <c r="A112" s="1" t="s">
        <v>1794</v>
      </c>
    </row>
    <row r="115" spans="1:3" x14ac:dyDescent="0.35">
      <c r="A115" s="1" t="s">
        <v>263</v>
      </c>
    </row>
    <row r="116" spans="1:3" x14ac:dyDescent="0.35">
      <c r="A116" s="47" t="s">
        <v>264</v>
      </c>
      <c r="B116" s="3" t="s">
        <v>146</v>
      </c>
    </row>
    <row r="117" spans="1:3" x14ac:dyDescent="0.35">
      <c r="A117" t="s">
        <v>265</v>
      </c>
    </row>
    <row r="118" spans="1:3" x14ac:dyDescent="0.35">
      <c r="A118" t="s">
        <v>266</v>
      </c>
      <c r="B118" t="s">
        <v>267</v>
      </c>
      <c r="C118" t="s">
        <v>267</v>
      </c>
    </row>
    <row r="119" spans="1:3" x14ac:dyDescent="0.35">
      <c r="B119" s="49">
        <v>46022</v>
      </c>
      <c r="C119" s="49">
        <v>46052</v>
      </c>
    </row>
    <row r="120" spans="1:3" x14ac:dyDescent="0.35">
      <c r="A120" t="s">
        <v>752</v>
      </c>
      <c r="B120">
        <v>9.2624999999999993</v>
      </c>
      <c r="C120">
        <v>9.0274999999999999</v>
      </c>
    </row>
    <row r="121" spans="1:3" x14ac:dyDescent="0.35">
      <c r="A121" t="s">
        <v>273</v>
      </c>
      <c r="B121">
        <v>9.2624999999999993</v>
      </c>
      <c r="C121">
        <v>9.0274999999999999</v>
      </c>
    </row>
    <row r="122" spans="1:3" x14ac:dyDescent="0.35">
      <c r="A122" t="s">
        <v>753</v>
      </c>
      <c r="B122">
        <v>9.0495000000000001</v>
      </c>
      <c r="C122">
        <v>8.8085000000000004</v>
      </c>
    </row>
    <row r="123" spans="1:3" x14ac:dyDescent="0.35">
      <c r="A123" t="s">
        <v>709</v>
      </c>
      <c r="B123">
        <v>9.0495000000000001</v>
      </c>
      <c r="C123">
        <v>8.8085000000000004</v>
      </c>
    </row>
    <row r="125" spans="1:3" x14ac:dyDescent="0.35">
      <c r="A125" t="s">
        <v>283</v>
      </c>
      <c r="B125" s="3" t="s">
        <v>146</v>
      </c>
    </row>
    <row r="126" spans="1:3" x14ac:dyDescent="0.35">
      <c r="A126" t="s">
        <v>284</v>
      </c>
      <c r="B126" s="3" t="s">
        <v>146</v>
      </c>
    </row>
    <row r="127" spans="1:3" ht="29" customHeight="1" x14ac:dyDescent="0.35">
      <c r="A127" s="47" t="s">
        <v>285</v>
      </c>
      <c r="B127" s="3" t="s">
        <v>146</v>
      </c>
    </row>
    <row r="128" spans="1:3" ht="29" customHeight="1" x14ac:dyDescent="0.35">
      <c r="A128" s="47" t="s">
        <v>286</v>
      </c>
      <c r="B128" s="3" t="s">
        <v>146</v>
      </c>
    </row>
    <row r="129" spans="1:4" x14ac:dyDescent="0.35">
      <c r="A129" t="s">
        <v>1253</v>
      </c>
      <c r="B129" s="48">
        <v>2.2538</v>
      </c>
    </row>
    <row r="130" spans="1:4" ht="43.5" customHeight="1" x14ac:dyDescent="0.35">
      <c r="A130" s="47" t="s">
        <v>288</v>
      </c>
      <c r="B130" s="3">
        <v>3916.8870000000002</v>
      </c>
    </row>
    <row r="131" spans="1:4" x14ac:dyDescent="0.35">
      <c r="B131" s="3"/>
    </row>
    <row r="132" spans="1:4" ht="29" customHeight="1" x14ac:dyDescent="0.35">
      <c r="A132" s="47" t="s">
        <v>289</v>
      </c>
      <c r="B132" s="3" t="s">
        <v>146</v>
      </c>
    </row>
    <row r="133" spans="1:4" ht="29" customHeight="1" x14ac:dyDescent="0.35">
      <c r="A133" s="47" t="s">
        <v>290</v>
      </c>
      <c r="B133" t="s">
        <v>146</v>
      </c>
    </row>
    <row r="134" spans="1:4" ht="29" customHeight="1" x14ac:dyDescent="0.35">
      <c r="A134" s="47" t="s">
        <v>291</v>
      </c>
      <c r="B134" s="3" t="s">
        <v>146</v>
      </c>
    </row>
    <row r="135" spans="1:4" ht="29" customHeight="1" x14ac:dyDescent="0.35">
      <c r="A135" s="47" t="s">
        <v>292</v>
      </c>
      <c r="B135" s="3" t="s">
        <v>146</v>
      </c>
    </row>
    <row r="137" spans="1:4" ht="70" customHeight="1" x14ac:dyDescent="0.35">
      <c r="A137" s="70" t="s">
        <v>303</v>
      </c>
      <c r="B137" s="70" t="s">
        <v>304</v>
      </c>
      <c r="C137" s="70" t="s">
        <v>4</v>
      </c>
      <c r="D137" s="70" t="s">
        <v>5</v>
      </c>
    </row>
    <row r="138" spans="1:4" ht="70" customHeight="1" x14ac:dyDescent="0.35">
      <c r="A138" s="70" t="s">
        <v>1949</v>
      </c>
      <c r="B138" s="70"/>
      <c r="C138" s="70" t="s">
        <v>59</v>
      </c>
      <c r="D138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69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1950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1951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1264</v>
      </c>
      <c r="B8" s="41" t="s">
        <v>1265</v>
      </c>
      <c r="C8" s="41" t="s">
        <v>1266</v>
      </c>
      <c r="D8" s="15">
        <v>172878</v>
      </c>
      <c r="E8" s="16">
        <v>473.17</v>
      </c>
      <c r="F8" s="17">
        <v>0.14899999999999999</v>
      </c>
      <c r="G8" s="17"/>
    </row>
    <row r="9" spans="1:7" x14ac:dyDescent="0.35">
      <c r="A9" s="13" t="s">
        <v>1196</v>
      </c>
      <c r="B9" s="41" t="s">
        <v>1197</v>
      </c>
      <c r="C9" s="41" t="s">
        <v>1198</v>
      </c>
      <c r="D9" s="15">
        <v>23711</v>
      </c>
      <c r="E9" s="16">
        <v>466.66</v>
      </c>
      <c r="F9" s="17">
        <v>0.14699999999999999</v>
      </c>
      <c r="G9" s="17"/>
    </row>
    <row r="10" spans="1:7" x14ac:dyDescent="0.35">
      <c r="A10" s="13" t="s">
        <v>1278</v>
      </c>
      <c r="B10" s="41" t="s">
        <v>1279</v>
      </c>
      <c r="C10" s="41" t="s">
        <v>1280</v>
      </c>
      <c r="D10" s="15">
        <v>12870</v>
      </c>
      <c r="E10" s="16">
        <v>324.95999999999998</v>
      </c>
      <c r="F10" s="17">
        <v>0.1024</v>
      </c>
      <c r="G10" s="17"/>
    </row>
    <row r="11" spans="1:7" x14ac:dyDescent="0.35">
      <c r="A11" s="13" t="s">
        <v>1463</v>
      </c>
      <c r="B11" s="41" t="s">
        <v>1464</v>
      </c>
      <c r="C11" s="41" t="s">
        <v>1465</v>
      </c>
      <c r="D11" s="15">
        <v>17009</v>
      </c>
      <c r="E11" s="16">
        <v>281.12</v>
      </c>
      <c r="F11" s="17">
        <v>8.8499999999999995E-2</v>
      </c>
      <c r="G11" s="17"/>
    </row>
    <row r="12" spans="1:7" x14ac:dyDescent="0.35">
      <c r="A12" s="13" t="s">
        <v>1565</v>
      </c>
      <c r="B12" s="41" t="s">
        <v>1566</v>
      </c>
      <c r="C12" s="41" t="s">
        <v>1266</v>
      </c>
      <c r="D12" s="15">
        <v>19652</v>
      </c>
      <c r="E12" s="16">
        <v>245.5</v>
      </c>
      <c r="F12" s="17">
        <v>7.7299999999999994E-2</v>
      </c>
      <c r="G12" s="17"/>
    </row>
    <row r="13" spans="1:7" x14ac:dyDescent="0.35">
      <c r="A13" s="13" t="s">
        <v>1486</v>
      </c>
      <c r="B13" s="41" t="s">
        <v>1487</v>
      </c>
      <c r="C13" s="41" t="s">
        <v>1465</v>
      </c>
      <c r="D13" s="15">
        <v>20334</v>
      </c>
      <c r="E13" s="16">
        <v>231.2</v>
      </c>
      <c r="F13" s="17">
        <v>7.2800000000000004E-2</v>
      </c>
      <c r="G13" s="17"/>
    </row>
    <row r="14" spans="1:7" x14ac:dyDescent="0.35">
      <c r="A14" s="13" t="s">
        <v>1952</v>
      </c>
      <c r="B14" s="41" t="s">
        <v>1953</v>
      </c>
      <c r="C14" s="41" t="s">
        <v>1266</v>
      </c>
      <c r="D14" s="15">
        <v>69676</v>
      </c>
      <c r="E14" s="16">
        <v>216.76</v>
      </c>
      <c r="F14" s="17">
        <v>6.83E-2</v>
      </c>
      <c r="G14" s="17"/>
    </row>
    <row r="15" spans="1:7" x14ac:dyDescent="0.35">
      <c r="A15" s="13" t="s">
        <v>1567</v>
      </c>
      <c r="B15" s="41" t="s">
        <v>1568</v>
      </c>
      <c r="C15" s="41" t="s">
        <v>1266</v>
      </c>
      <c r="D15" s="15">
        <v>69356</v>
      </c>
      <c r="E15" s="16">
        <v>164.72</v>
      </c>
      <c r="F15" s="17">
        <v>5.1900000000000002E-2</v>
      </c>
      <c r="G15" s="17"/>
    </row>
    <row r="16" spans="1:7" x14ac:dyDescent="0.35">
      <c r="A16" s="13" t="s">
        <v>1257</v>
      </c>
      <c r="B16" s="41" t="s">
        <v>1258</v>
      </c>
      <c r="C16" s="41" t="s">
        <v>1198</v>
      </c>
      <c r="D16" s="15">
        <v>1367621</v>
      </c>
      <c r="E16" s="16">
        <v>152.76</v>
      </c>
      <c r="F16" s="17">
        <v>4.8099999999999997E-2</v>
      </c>
      <c r="G16" s="17"/>
    </row>
    <row r="17" spans="1:7" x14ac:dyDescent="0.35">
      <c r="A17" s="13" t="s">
        <v>1954</v>
      </c>
      <c r="B17" s="41" t="s">
        <v>1955</v>
      </c>
      <c r="C17" s="41" t="s">
        <v>1412</v>
      </c>
      <c r="D17" s="15">
        <v>15355</v>
      </c>
      <c r="E17" s="16">
        <v>95.67</v>
      </c>
      <c r="F17" s="17">
        <v>3.0099999999999998E-2</v>
      </c>
      <c r="G17" s="17"/>
    </row>
    <row r="18" spans="1:7" x14ac:dyDescent="0.35">
      <c r="A18" s="13" t="s">
        <v>1956</v>
      </c>
      <c r="B18" s="41" t="s">
        <v>1957</v>
      </c>
      <c r="C18" s="41" t="s">
        <v>1198</v>
      </c>
      <c r="D18" s="15">
        <v>5901</v>
      </c>
      <c r="E18" s="16">
        <v>92.69</v>
      </c>
      <c r="F18" s="17">
        <v>2.92E-2</v>
      </c>
      <c r="G18" s="17"/>
    </row>
    <row r="19" spans="1:7" x14ac:dyDescent="0.35">
      <c r="A19" s="13" t="s">
        <v>1535</v>
      </c>
      <c r="B19" s="41" t="s">
        <v>1536</v>
      </c>
      <c r="C19" s="41" t="s">
        <v>1280</v>
      </c>
      <c r="D19" s="15">
        <v>12117</v>
      </c>
      <c r="E19" s="16">
        <v>84.19</v>
      </c>
      <c r="F19" s="17">
        <v>2.6499999999999999E-2</v>
      </c>
      <c r="G19" s="17"/>
    </row>
    <row r="20" spans="1:7" x14ac:dyDescent="0.35">
      <c r="A20" s="13" t="s">
        <v>1890</v>
      </c>
      <c r="B20" s="41" t="s">
        <v>1891</v>
      </c>
      <c r="C20" s="41" t="s">
        <v>1280</v>
      </c>
      <c r="D20" s="15">
        <v>2935</v>
      </c>
      <c r="E20" s="16">
        <v>74.510000000000005</v>
      </c>
      <c r="F20" s="17">
        <v>2.35E-2</v>
      </c>
      <c r="G20" s="17"/>
    </row>
    <row r="21" spans="1:7" x14ac:dyDescent="0.35">
      <c r="A21" s="13" t="s">
        <v>1892</v>
      </c>
      <c r="B21" s="41" t="s">
        <v>1893</v>
      </c>
      <c r="C21" s="41" t="s">
        <v>1280</v>
      </c>
      <c r="D21" s="15">
        <v>6700</v>
      </c>
      <c r="E21" s="16">
        <v>67.86</v>
      </c>
      <c r="F21" s="17">
        <v>2.1399999999999999E-2</v>
      </c>
      <c r="G21" s="17"/>
    </row>
    <row r="22" spans="1:7" x14ac:dyDescent="0.35">
      <c r="A22" s="13" t="s">
        <v>1898</v>
      </c>
      <c r="B22" s="41" t="s">
        <v>1899</v>
      </c>
      <c r="C22" s="41" t="s">
        <v>1280</v>
      </c>
      <c r="D22" s="15">
        <v>7891</v>
      </c>
      <c r="E22" s="16">
        <v>59.33</v>
      </c>
      <c r="F22" s="17">
        <v>1.8700000000000001E-2</v>
      </c>
      <c r="G22" s="17"/>
    </row>
    <row r="23" spans="1:7" x14ac:dyDescent="0.35">
      <c r="A23" s="13" t="s">
        <v>1902</v>
      </c>
      <c r="B23" s="41" t="s">
        <v>1903</v>
      </c>
      <c r="C23" s="41" t="s">
        <v>1280</v>
      </c>
      <c r="D23" s="15">
        <v>40394</v>
      </c>
      <c r="E23" s="16">
        <v>51.22</v>
      </c>
      <c r="F23" s="17">
        <v>1.61E-2</v>
      </c>
      <c r="G23" s="17"/>
    </row>
    <row r="24" spans="1:7" x14ac:dyDescent="0.35">
      <c r="A24" s="13" t="s">
        <v>1958</v>
      </c>
      <c r="B24" s="41" t="s">
        <v>1959</v>
      </c>
      <c r="C24" s="41" t="s">
        <v>1266</v>
      </c>
      <c r="D24" s="15">
        <v>1546</v>
      </c>
      <c r="E24" s="16">
        <v>34.11</v>
      </c>
      <c r="F24" s="17">
        <v>1.0699999999999999E-2</v>
      </c>
      <c r="G24" s="17"/>
    </row>
    <row r="25" spans="1:7" x14ac:dyDescent="0.35">
      <c r="A25" s="13" t="s">
        <v>1960</v>
      </c>
      <c r="B25" s="41" t="s">
        <v>1961</v>
      </c>
      <c r="C25" s="41" t="s">
        <v>1412</v>
      </c>
      <c r="D25" s="15">
        <v>1701</v>
      </c>
      <c r="E25" s="16">
        <v>23.64</v>
      </c>
      <c r="F25" s="17">
        <v>7.4000000000000003E-3</v>
      </c>
      <c r="G25" s="17"/>
    </row>
    <row r="26" spans="1:7" x14ac:dyDescent="0.35">
      <c r="A26" s="13" t="s">
        <v>1962</v>
      </c>
      <c r="B26" s="41" t="s">
        <v>1963</v>
      </c>
      <c r="C26" s="41" t="s">
        <v>1412</v>
      </c>
      <c r="D26" s="15">
        <v>6033</v>
      </c>
      <c r="E26" s="16">
        <v>15.55</v>
      </c>
      <c r="F26" s="17">
        <v>4.8999999999999998E-3</v>
      </c>
      <c r="G26" s="17"/>
    </row>
    <row r="27" spans="1:7" x14ac:dyDescent="0.35">
      <c r="A27" s="13" t="s">
        <v>1964</v>
      </c>
      <c r="B27" s="41" t="s">
        <v>1965</v>
      </c>
      <c r="C27" s="41" t="s">
        <v>1966</v>
      </c>
      <c r="D27" s="15">
        <v>4118</v>
      </c>
      <c r="E27" s="16">
        <v>14.03</v>
      </c>
      <c r="F27" s="17">
        <v>4.4000000000000003E-3</v>
      </c>
      <c r="G27" s="17"/>
    </row>
    <row r="28" spans="1:7" x14ac:dyDescent="0.35">
      <c r="A28" s="14" t="s">
        <v>149</v>
      </c>
      <c r="B28" s="42"/>
      <c r="C28" s="42"/>
      <c r="D28" s="18"/>
      <c r="E28" s="19">
        <v>3169.65</v>
      </c>
      <c r="F28" s="20">
        <v>0.99819999999999998</v>
      </c>
      <c r="G28" s="21"/>
    </row>
    <row r="29" spans="1:7" x14ac:dyDescent="0.35">
      <c r="A29" s="14" t="s">
        <v>1914</v>
      </c>
      <c r="B29" s="41"/>
      <c r="C29" s="41"/>
      <c r="D29" s="15"/>
      <c r="E29" s="16"/>
      <c r="F29" s="17"/>
      <c r="G29" s="17"/>
    </row>
    <row r="30" spans="1:7" x14ac:dyDescent="0.35">
      <c r="A30" s="14" t="s">
        <v>149</v>
      </c>
      <c r="B30" s="41"/>
      <c r="C30" s="41"/>
      <c r="D30" s="15"/>
      <c r="E30" s="34" t="s">
        <v>146</v>
      </c>
      <c r="F30" s="35" t="s">
        <v>146</v>
      </c>
      <c r="G30" s="17"/>
    </row>
    <row r="31" spans="1:7" x14ac:dyDescent="0.35">
      <c r="A31" s="22" t="s">
        <v>160</v>
      </c>
      <c r="B31" s="43"/>
      <c r="C31" s="43"/>
      <c r="D31" s="23"/>
      <c r="E31" s="24">
        <v>3169.65</v>
      </c>
      <c r="F31" s="25">
        <v>0.99819999999999998</v>
      </c>
      <c r="G31" s="21"/>
    </row>
    <row r="32" spans="1:7" x14ac:dyDescent="0.35">
      <c r="A32" s="13"/>
      <c r="B32" s="41"/>
      <c r="C32" s="41"/>
      <c r="D32" s="15"/>
      <c r="E32" s="16"/>
      <c r="F32" s="17"/>
      <c r="G32" s="17"/>
    </row>
    <row r="33" spans="1:7" x14ac:dyDescent="0.35">
      <c r="A33" s="13"/>
      <c r="B33" s="41"/>
      <c r="C33" s="41"/>
      <c r="D33" s="15"/>
      <c r="E33" s="16"/>
      <c r="F33" s="17"/>
      <c r="G33" s="17"/>
    </row>
    <row r="34" spans="1:7" x14ac:dyDescent="0.35">
      <c r="A34" s="14" t="s">
        <v>255</v>
      </c>
      <c r="B34" s="41"/>
      <c r="C34" s="41"/>
      <c r="D34" s="15"/>
      <c r="E34" s="16"/>
      <c r="F34" s="17"/>
      <c r="G34" s="17"/>
    </row>
    <row r="35" spans="1:7" x14ac:dyDescent="0.35">
      <c r="A35" s="13" t="s">
        <v>257</v>
      </c>
      <c r="B35" s="41"/>
      <c r="C35" s="41"/>
      <c r="D35" s="15"/>
      <c r="E35" s="16">
        <v>11.99</v>
      </c>
      <c r="F35" s="17">
        <v>3.8E-3</v>
      </c>
      <c r="G35" s="17">
        <v>5.1742000000000003E-2</v>
      </c>
    </row>
    <row r="36" spans="1:7" x14ac:dyDescent="0.35">
      <c r="A36" s="14" t="s">
        <v>149</v>
      </c>
      <c r="B36" s="42"/>
      <c r="C36" s="42"/>
      <c r="D36" s="18"/>
      <c r="E36" s="19">
        <v>11.99</v>
      </c>
      <c r="F36" s="20">
        <v>3.8E-3</v>
      </c>
      <c r="G36" s="21"/>
    </row>
    <row r="37" spans="1:7" x14ac:dyDescent="0.35">
      <c r="A37" s="13"/>
      <c r="B37" s="41"/>
      <c r="C37" s="41"/>
      <c r="D37" s="15"/>
      <c r="E37" s="16"/>
      <c r="F37" s="17"/>
      <c r="G37" s="17"/>
    </row>
    <row r="38" spans="1:7" x14ac:dyDescent="0.35">
      <c r="A38" s="22" t="s">
        <v>160</v>
      </c>
      <c r="B38" s="43"/>
      <c r="C38" s="43"/>
      <c r="D38" s="23"/>
      <c r="E38" s="36">
        <v>11.99</v>
      </c>
      <c r="F38" s="37">
        <v>3.8E-3</v>
      </c>
      <c r="G38" s="21"/>
    </row>
    <row r="39" spans="1:7" x14ac:dyDescent="0.35">
      <c r="A39" s="13" t="s">
        <v>258</v>
      </c>
      <c r="B39" s="41"/>
      <c r="C39" s="41"/>
      <c r="D39" s="15"/>
      <c r="E39" s="16">
        <v>3.4007999999999998E-3</v>
      </c>
      <c r="F39" s="17">
        <v>9.9999999999999995E-7</v>
      </c>
      <c r="G39" s="17"/>
    </row>
    <row r="40" spans="1:7" x14ac:dyDescent="0.35">
      <c r="A40" s="13" t="s">
        <v>259</v>
      </c>
      <c r="B40" s="41"/>
      <c r="C40" s="41"/>
      <c r="D40" s="15"/>
      <c r="E40" s="28">
        <v>-6.8634008</v>
      </c>
      <c r="F40" s="29">
        <v>-2.0010000000000002E-3</v>
      </c>
      <c r="G40" s="17">
        <v>5.1742000000000003E-2</v>
      </c>
    </row>
    <row r="41" spans="1:7" x14ac:dyDescent="0.35">
      <c r="A41" s="38" t="s">
        <v>260</v>
      </c>
      <c r="B41" s="44"/>
      <c r="C41" s="44"/>
      <c r="D41" s="39"/>
      <c r="E41" s="24">
        <v>3174.78</v>
      </c>
      <c r="F41" s="25">
        <v>1</v>
      </c>
      <c r="G41" s="25"/>
    </row>
    <row r="46" spans="1:7" x14ac:dyDescent="0.35">
      <c r="A46" s="1" t="s">
        <v>263</v>
      </c>
    </row>
    <row r="47" spans="1:7" x14ac:dyDescent="0.35">
      <c r="A47" s="47" t="s">
        <v>264</v>
      </c>
      <c r="B47" s="3" t="s">
        <v>146</v>
      </c>
    </row>
    <row r="48" spans="1:7" x14ac:dyDescent="0.35">
      <c r="A48" t="s">
        <v>265</v>
      </c>
    </row>
    <row r="49" spans="1:3" x14ac:dyDescent="0.35">
      <c r="A49" t="s">
        <v>266</v>
      </c>
      <c r="B49" t="s">
        <v>267</v>
      </c>
      <c r="C49" t="s">
        <v>267</v>
      </c>
    </row>
    <row r="50" spans="1:3" x14ac:dyDescent="0.35">
      <c r="B50" s="49">
        <v>46022</v>
      </c>
      <c r="C50" s="49">
        <v>46052</v>
      </c>
    </row>
    <row r="51" spans="1:3" x14ac:dyDescent="0.35">
      <c r="A51" t="s">
        <v>752</v>
      </c>
      <c r="B51">
        <v>11.0509</v>
      </c>
      <c r="C51">
        <v>10.414199999999999</v>
      </c>
    </row>
    <row r="52" spans="1:3" x14ac:dyDescent="0.35">
      <c r="A52" t="s">
        <v>273</v>
      </c>
      <c r="B52">
        <v>11.0509</v>
      </c>
      <c r="C52">
        <v>10.414199999999999</v>
      </c>
    </row>
    <row r="53" spans="1:3" x14ac:dyDescent="0.35">
      <c r="A53" t="s">
        <v>753</v>
      </c>
      <c r="B53">
        <v>11.0015</v>
      </c>
      <c r="C53">
        <v>10.3619</v>
      </c>
    </row>
    <row r="54" spans="1:3" x14ac:dyDescent="0.35">
      <c r="A54" t="s">
        <v>709</v>
      </c>
      <c r="B54">
        <v>11.0015</v>
      </c>
      <c r="C54">
        <v>10.3619</v>
      </c>
    </row>
    <row r="56" spans="1:3" x14ac:dyDescent="0.35">
      <c r="A56" t="s">
        <v>283</v>
      </c>
      <c r="B56" s="3" t="s">
        <v>146</v>
      </c>
    </row>
    <row r="57" spans="1:3" x14ac:dyDescent="0.35">
      <c r="A57" t="s">
        <v>284</v>
      </c>
      <c r="B57" s="3" t="s">
        <v>146</v>
      </c>
    </row>
    <row r="58" spans="1:3" ht="29" customHeight="1" x14ac:dyDescent="0.35">
      <c r="A58" s="47" t="s">
        <v>285</v>
      </c>
      <c r="B58" s="3" t="s">
        <v>146</v>
      </c>
    </row>
    <row r="59" spans="1:3" ht="29" customHeight="1" x14ac:dyDescent="0.35">
      <c r="A59" s="47" t="s">
        <v>286</v>
      </c>
      <c r="B59" s="3" t="s">
        <v>146</v>
      </c>
    </row>
    <row r="60" spans="1:3" x14ac:dyDescent="0.35">
      <c r="A60" t="s">
        <v>1253</v>
      </c>
      <c r="B60" s="48">
        <v>0.71230000000000004</v>
      </c>
    </row>
    <row r="61" spans="1:3" ht="43.5" customHeight="1" x14ac:dyDescent="0.35">
      <c r="A61" s="47" t="s">
        <v>288</v>
      </c>
      <c r="B61" s="3" t="s">
        <v>146</v>
      </c>
    </row>
    <row r="62" spans="1:3" x14ac:dyDescent="0.35">
      <c r="B62" s="3"/>
    </row>
    <row r="63" spans="1:3" ht="29" customHeight="1" x14ac:dyDescent="0.35">
      <c r="A63" s="47" t="s">
        <v>289</v>
      </c>
      <c r="B63" s="3" t="s">
        <v>146</v>
      </c>
    </row>
    <row r="64" spans="1:3" ht="29" customHeight="1" x14ac:dyDescent="0.35">
      <c r="A64" s="47" t="s">
        <v>290</v>
      </c>
      <c r="B64" t="s">
        <v>146</v>
      </c>
    </row>
    <row r="65" spans="1:4" ht="29" customHeight="1" x14ac:dyDescent="0.35">
      <c r="A65" s="47" t="s">
        <v>291</v>
      </c>
      <c r="B65" s="3" t="s">
        <v>146</v>
      </c>
    </row>
    <row r="66" spans="1:4" ht="29" customHeight="1" x14ac:dyDescent="0.35">
      <c r="A66" s="47" t="s">
        <v>292</v>
      </c>
      <c r="B66" s="3" t="s">
        <v>146</v>
      </c>
    </row>
    <row r="68" spans="1:4" ht="70" customHeight="1" x14ac:dyDescent="0.35">
      <c r="A68" s="70" t="s">
        <v>303</v>
      </c>
      <c r="B68" s="70" t="s">
        <v>304</v>
      </c>
      <c r="C68" s="70" t="s">
        <v>4</v>
      </c>
      <c r="D68" s="70" t="s">
        <v>5</v>
      </c>
    </row>
    <row r="69" spans="1:4" ht="70" customHeight="1" x14ac:dyDescent="0.35">
      <c r="A69" s="70" t="s">
        <v>1967</v>
      </c>
      <c r="B69" s="70"/>
      <c r="C69" s="70" t="s">
        <v>61</v>
      </c>
      <c r="D6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99"/>
  <sheetViews>
    <sheetView showGridLines="0" workbookViewId="0">
      <pane ySplit="4" topLeftCell="A41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1968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1969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1295</v>
      </c>
      <c r="B8" s="41" t="s">
        <v>1296</v>
      </c>
      <c r="C8" s="41" t="s">
        <v>1188</v>
      </c>
      <c r="D8" s="15">
        <v>118662</v>
      </c>
      <c r="E8" s="16">
        <v>4072.24</v>
      </c>
      <c r="F8" s="17">
        <v>8.4699999999999998E-2</v>
      </c>
      <c r="G8" s="17"/>
    </row>
    <row r="9" spans="1:7" x14ac:dyDescent="0.35">
      <c r="A9" s="13" t="s">
        <v>1196</v>
      </c>
      <c r="B9" s="41" t="s">
        <v>1197</v>
      </c>
      <c r="C9" s="41" t="s">
        <v>1198</v>
      </c>
      <c r="D9" s="15">
        <v>133032</v>
      </c>
      <c r="E9" s="16">
        <v>2619</v>
      </c>
      <c r="F9" s="17">
        <v>5.45E-2</v>
      </c>
      <c r="G9" s="17"/>
    </row>
    <row r="10" spans="1:7" x14ac:dyDescent="0.35">
      <c r="A10" s="13" t="s">
        <v>1186</v>
      </c>
      <c r="B10" s="41" t="s">
        <v>1187</v>
      </c>
      <c r="C10" s="41" t="s">
        <v>1188</v>
      </c>
      <c r="D10" s="15">
        <v>17196</v>
      </c>
      <c r="E10" s="16">
        <v>2510.44</v>
      </c>
      <c r="F10" s="17">
        <v>5.2200000000000003E-2</v>
      </c>
      <c r="G10" s="17"/>
    </row>
    <row r="11" spans="1:7" x14ac:dyDescent="0.35">
      <c r="A11" s="13" t="s">
        <v>1199</v>
      </c>
      <c r="B11" s="41" t="s">
        <v>1200</v>
      </c>
      <c r="C11" s="41" t="s">
        <v>1201</v>
      </c>
      <c r="D11" s="15">
        <v>60797</v>
      </c>
      <c r="E11" s="16">
        <v>2418.14</v>
      </c>
      <c r="F11" s="17">
        <v>5.0299999999999997E-2</v>
      </c>
      <c r="G11" s="17"/>
    </row>
    <row r="12" spans="1:7" x14ac:dyDescent="0.35">
      <c r="A12" s="13" t="s">
        <v>1488</v>
      </c>
      <c r="B12" s="41" t="s">
        <v>1489</v>
      </c>
      <c r="C12" s="41" t="s">
        <v>1275</v>
      </c>
      <c r="D12" s="15">
        <v>94652</v>
      </c>
      <c r="E12" s="16">
        <v>2246.09</v>
      </c>
      <c r="F12" s="17">
        <v>4.6699999999999998E-2</v>
      </c>
      <c r="G12" s="17"/>
    </row>
    <row r="13" spans="1:7" x14ac:dyDescent="0.35">
      <c r="A13" s="13" t="s">
        <v>1273</v>
      </c>
      <c r="B13" s="41" t="s">
        <v>1274</v>
      </c>
      <c r="C13" s="41" t="s">
        <v>1275</v>
      </c>
      <c r="D13" s="15">
        <v>613164</v>
      </c>
      <c r="E13" s="16">
        <v>1975.31</v>
      </c>
      <c r="F13" s="17">
        <v>4.1099999999999998E-2</v>
      </c>
      <c r="G13" s="17"/>
    </row>
    <row r="14" spans="1:7" x14ac:dyDescent="0.35">
      <c r="A14" s="13" t="s">
        <v>1264</v>
      </c>
      <c r="B14" s="41" t="s">
        <v>1265</v>
      </c>
      <c r="C14" s="41" t="s">
        <v>1266</v>
      </c>
      <c r="D14" s="15">
        <v>698233</v>
      </c>
      <c r="E14" s="16">
        <v>1910.37</v>
      </c>
      <c r="F14" s="17">
        <v>3.9800000000000002E-2</v>
      </c>
      <c r="G14" s="17"/>
    </row>
    <row r="15" spans="1:7" x14ac:dyDescent="0.35">
      <c r="A15" s="13" t="s">
        <v>1217</v>
      </c>
      <c r="B15" s="41" t="s">
        <v>1218</v>
      </c>
      <c r="C15" s="41" t="s">
        <v>1201</v>
      </c>
      <c r="D15" s="15">
        <v>57435</v>
      </c>
      <c r="E15" s="16">
        <v>1394.69</v>
      </c>
      <c r="F15" s="17">
        <v>2.9000000000000001E-2</v>
      </c>
      <c r="G15" s="17"/>
    </row>
    <row r="16" spans="1:7" x14ac:dyDescent="0.35">
      <c r="A16" s="13" t="s">
        <v>1219</v>
      </c>
      <c r="B16" s="41" t="s">
        <v>1220</v>
      </c>
      <c r="C16" s="41" t="s">
        <v>1221</v>
      </c>
      <c r="D16" s="15">
        <v>95582</v>
      </c>
      <c r="E16" s="16">
        <v>1367.87</v>
      </c>
      <c r="F16" s="17">
        <v>2.8500000000000001E-2</v>
      </c>
      <c r="G16" s="17"/>
    </row>
    <row r="17" spans="1:7" x14ac:dyDescent="0.35">
      <c r="A17" s="13" t="s">
        <v>1194</v>
      </c>
      <c r="B17" s="41" t="s">
        <v>1195</v>
      </c>
      <c r="C17" s="41" t="s">
        <v>1188</v>
      </c>
      <c r="D17" s="15">
        <v>18205</v>
      </c>
      <c r="E17" s="16">
        <v>1296.6500000000001</v>
      </c>
      <c r="F17" s="17">
        <v>2.7E-2</v>
      </c>
      <c r="G17" s="17"/>
    </row>
    <row r="18" spans="1:7" x14ac:dyDescent="0.35">
      <c r="A18" s="13" t="s">
        <v>1214</v>
      </c>
      <c r="B18" s="41" t="s">
        <v>1215</v>
      </c>
      <c r="C18" s="41" t="s">
        <v>1216</v>
      </c>
      <c r="D18" s="15">
        <v>108492</v>
      </c>
      <c r="E18" s="16">
        <v>1230.19</v>
      </c>
      <c r="F18" s="17">
        <v>2.5600000000000001E-2</v>
      </c>
      <c r="G18" s="17"/>
    </row>
    <row r="19" spans="1:7" x14ac:dyDescent="0.35">
      <c r="A19" s="13" t="s">
        <v>1192</v>
      </c>
      <c r="B19" s="41" t="s">
        <v>1193</v>
      </c>
      <c r="C19" s="41" t="s">
        <v>1191</v>
      </c>
      <c r="D19" s="15">
        <v>18479</v>
      </c>
      <c r="E19" s="16">
        <v>1082.96</v>
      </c>
      <c r="F19" s="17">
        <v>2.2499999999999999E-2</v>
      </c>
      <c r="G19" s="17"/>
    </row>
    <row r="20" spans="1:7" x14ac:dyDescent="0.35">
      <c r="A20" s="13" t="s">
        <v>1209</v>
      </c>
      <c r="B20" s="41" t="s">
        <v>1210</v>
      </c>
      <c r="C20" s="41" t="s">
        <v>1211</v>
      </c>
      <c r="D20" s="15">
        <v>113821</v>
      </c>
      <c r="E20" s="16">
        <v>1058.3599999999999</v>
      </c>
      <c r="F20" s="17">
        <v>2.1999999999999999E-2</v>
      </c>
      <c r="G20" s="17"/>
    </row>
    <row r="21" spans="1:7" x14ac:dyDescent="0.35">
      <c r="A21" s="13" t="s">
        <v>1189</v>
      </c>
      <c r="B21" s="41" t="s">
        <v>1190</v>
      </c>
      <c r="C21" s="41" t="s">
        <v>1191</v>
      </c>
      <c r="D21" s="15">
        <v>76948</v>
      </c>
      <c r="E21" s="16">
        <v>1025.26</v>
      </c>
      <c r="F21" s="17">
        <v>2.1299999999999999E-2</v>
      </c>
      <c r="G21" s="17"/>
    </row>
    <row r="22" spans="1:7" x14ac:dyDescent="0.35">
      <c r="A22" s="13" t="s">
        <v>1970</v>
      </c>
      <c r="B22" s="41" t="s">
        <v>1971</v>
      </c>
      <c r="C22" s="41" t="s">
        <v>1201</v>
      </c>
      <c r="D22" s="15">
        <v>68875</v>
      </c>
      <c r="E22" s="16">
        <v>1007.37</v>
      </c>
      <c r="F22" s="17">
        <v>2.1000000000000001E-2</v>
      </c>
      <c r="G22" s="17"/>
    </row>
    <row r="23" spans="1:7" x14ac:dyDescent="0.35">
      <c r="A23" s="13" t="s">
        <v>1972</v>
      </c>
      <c r="B23" s="41" t="s">
        <v>1973</v>
      </c>
      <c r="C23" s="41" t="s">
        <v>1201</v>
      </c>
      <c r="D23" s="15">
        <v>115257</v>
      </c>
      <c r="E23" s="16">
        <v>926.44</v>
      </c>
      <c r="F23" s="17">
        <v>1.9300000000000001E-2</v>
      </c>
      <c r="G23" s="17"/>
    </row>
    <row r="24" spans="1:7" x14ac:dyDescent="0.35">
      <c r="A24" s="13" t="s">
        <v>1974</v>
      </c>
      <c r="B24" s="41" t="s">
        <v>1975</v>
      </c>
      <c r="C24" s="41" t="s">
        <v>1855</v>
      </c>
      <c r="D24" s="15">
        <v>2699</v>
      </c>
      <c r="E24" s="16">
        <v>890.54</v>
      </c>
      <c r="F24" s="17">
        <v>1.8499999999999999E-2</v>
      </c>
      <c r="G24" s="17"/>
    </row>
    <row r="25" spans="1:7" x14ac:dyDescent="0.35">
      <c r="A25" s="13" t="s">
        <v>1976</v>
      </c>
      <c r="B25" s="41" t="s">
        <v>1977</v>
      </c>
      <c r="C25" s="41" t="s">
        <v>1201</v>
      </c>
      <c r="D25" s="15">
        <v>84170</v>
      </c>
      <c r="E25" s="16">
        <v>884.21</v>
      </c>
      <c r="F25" s="17">
        <v>1.84E-2</v>
      </c>
      <c r="G25" s="17"/>
    </row>
    <row r="26" spans="1:7" x14ac:dyDescent="0.35">
      <c r="A26" s="13" t="s">
        <v>1512</v>
      </c>
      <c r="B26" s="41" t="s">
        <v>1513</v>
      </c>
      <c r="C26" s="41" t="s">
        <v>1188</v>
      </c>
      <c r="D26" s="15">
        <v>15976</v>
      </c>
      <c r="E26" s="16">
        <v>884.11</v>
      </c>
      <c r="F26" s="17">
        <v>1.84E-2</v>
      </c>
      <c r="G26" s="17"/>
    </row>
    <row r="27" spans="1:7" x14ac:dyDescent="0.35">
      <c r="A27" s="13" t="s">
        <v>1241</v>
      </c>
      <c r="B27" s="41" t="s">
        <v>1242</v>
      </c>
      <c r="C27" s="41" t="s">
        <v>1216</v>
      </c>
      <c r="D27" s="15">
        <v>115542</v>
      </c>
      <c r="E27" s="16">
        <v>843.23</v>
      </c>
      <c r="F27" s="17">
        <v>1.7500000000000002E-2</v>
      </c>
      <c r="G27" s="17"/>
    </row>
    <row r="28" spans="1:7" x14ac:dyDescent="0.35">
      <c r="A28" s="13" t="s">
        <v>1461</v>
      </c>
      <c r="B28" s="41" t="s">
        <v>1462</v>
      </c>
      <c r="C28" s="41" t="s">
        <v>1360</v>
      </c>
      <c r="D28" s="15">
        <v>61429</v>
      </c>
      <c r="E28" s="16">
        <v>837.03</v>
      </c>
      <c r="F28" s="17">
        <v>1.7399999999999999E-2</v>
      </c>
      <c r="G28" s="17"/>
    </row>
    <row r="29" spans="1:7" x14ac:dyDescent="0.35">
      <c r="A29" s="13" t="s">
        <v>1407</v>
      </c>
      <c r="B29" s="41" t="s">
        <v>1408</v>
      </c>
      <c r="C29" s="41" t="s">
        <v>1409</v>
      </c>
      <c r="D29" s="15">
        <v>68642</v>
      </c>
      <c r="E29" s="16">
        <v>792.2</v>
      </c>
      <c r="F29" s="17">
        <v>1.6500000000000001E-2</v>
      </c>
      <c r="G29" s="17"/>
    </row>
    <row r="30" spans="1:7" x14ac:dyDescent="0.35">
      <c r="A30" s="13" t="s">
        <v>1370</v>
      </c>
      <c r="B30" s="41" t="s">
        <v>1371</v>
      </c>
      <c r="C30" s="41" t="s">
        <v>1345</v>
      </c>
      <c r="D30" s="15">
        <v>186368</v>
      </c>
      <c r="E30" s="16">
        <v>788.24</v>
      </c>
      <c r="F30" s="17">
        <v>1.6400000000000001E-2</v>
      </c>
      <c r="G30" s="17"/>
    </row>
    <row r="31" spans="1:7" x14ac:dyDescent="0.35">
      <c r="A31" s="13" t="s">
        <v>1822</v>
      </c>
      <c r="B31" s="41" t="s">
        <v>1823</v>
      </c>
      <c r="C31" s="41" t="s">
        <v>1266</v>
      </c>
      <c r="D31" s="15">
        <v>598087</v>
      </c>
      <c r="E31" s="16">
        <v>753.29</v>
      </c>
      <c r="F31" s="17">
        <v>1.5699999999999999E-2</v>
      </c>
      <c r="G31" s="17"/>
    </row>
    <row r="32" spans="1:7" x14ac:dyDescent="0.35">
      <c r="A32" s="13" t="s">
        <v>1952</v>
      </c>
      <c r="B32" s="41" t="s">
        <v>1953</v>
      </c>
      <c r="C32" s="41" t="s">
        <v>1266</v>
      </c>
      <c r="D32" s="15">
        <v>242202</v>
      </c>
      <c r="E32" s="16">
        <v>750.22</v>
      </c>
      <c r="F32" s="17">
        <v>1.5599999999999999E-2</v>
      </c>
      <c r="G32" s="17"/>
    </row>
    <row r="33" spans="1:7" x14ac:dyDescent="0.35">
      <c r="A33" s="13" t="s">
        <v>1468</v>
      </c>
      <c r="B33" s="41" t="s">
        <v>1469</v>
      </c>
      <c r="C33" s="41" t="s">
        <v>1324</v>
      </c>
      <c r="D33" s="15">
        <v>40969</v>
      </c>
      <c r="E33" s="16">
        <v>684.47</v>
      </c>
      <c r="F33" s="17">
        <v>1.4200000000000001E-2</v>
      </c>
      <c r="G33" s="17"/>
    </row>
    <row r="34" spans="1:7" x14ac:dyDescent="0.35">
      <c r="A34" s="13" t="s">
        <v>1808</v>
      </c>
      <c r="B34" s="41" t="s">
        <v>1809</v>
      </c>
      <c r="C34" s="41" t="s">
        <v>1266</v>
      </c>
      <c r="D34" s="15">
        <v>18057</v>
      </c>
      <c r="E34" s="16">
        <v>666.21</v>
      </c>
      <c r="F34" s="17">
        <v>1.3899999999999999E-2</v>
      </c>
      <c r="G34" s="17"/>
    </row>
    <row r="35" spans="1:7" x14ac:dyDescent="0.35">
      <c r="A35" s="13" t="s">
        <v>1358</v>
      </c>
      <c r="B35" s="41" t="s">
        <v>1359</v>
      </c>
      <c r="C35" s="41" t="s">
        <v>1360</v>
      </c>
      <c r="D35" s="15">
        <v>140214</v>
      </c>
      <c r="E35" s="16">
        <v>660.76</v>
      </c>
      <c r="F35" s="17">
        <v>1.38E-2</v>
      </c>
      <c r="G35" s="17"/>
    </row>
    <row r="36" spans="1:7" x14ac:dyDescent="0.35">
      <c r="A36" s="13" t="s">
        <v>1569</v>
      </c>
      <c r="B36" s="41" t="s">
        <v>1570</v>
      </c>
      <c r="C36" s="41" t="s">
        <v>1201</v>
      </c>
      <c r="D36" s="15">
        <v>35730</v>
      </c>
      <c r="E36" s="16">
        <v>649.17999999999995</v>
      </c>
      <c r="F36" s="17">
        <v>1.35E-2</v>
      </c>
      <c r="G36" s="17"/>
    </row>
    <row r="37" spans="1:7" x14ac:dyDescent="0.35">
      <c r="A37" s="13" t="s">
        <v>1978</v>
      </c>
      <c r="B37" s="41" t="s">
        <v>1979</v>
      </c>
      <c r="C37" s="41" t="s">
        <v>1288</v>
      </c>
      <c r="D37" s="15">
        <v>43570</v>
      </c>
      <c r="E37" s="16">
        <v>643.35</v>
      </c>
      <c r="F37" s="17">
        <v>1.34E-2</v>
      </c>
      <c r="G37" s="17"/>
    </row>
    <row r="38" spans="1:7" x14ac:dyDescent="0.35">
      <c r="A38" s="13" t="s">
        <v>1356</v>
      </c>
      <c r="B38" s="41" t="s">
        <v>1357</v>
      </c>
      <c r="C38" s="41" t="s">
        <v>1288</v>
      </c>
      <c r="D38" s="15">
        <v>30525</v>
      </c>
      <c r="E38" s="16">
        <v>624.45000000000005</v>
      </c>
      <c r="F38" s="17">
        <v>1.2999999999999999E-2</v>
      </c>
      <c r="G38" s="17"/>
    </row>
    <row r="39" spans="1:7" x14ac:dyDescent="0.35">
      <c r="A39" s="13" t="s">
        <v>1980</v>
      </c>
      <c r="B39" s="41" t="s">
        <v>1981</v>
      </c>
      <c r="C39" s="41" t="s">
        <v>1266</v>
      </c>
      <c r="D39" s="15">
        <v>120620</v>
      </c>
      <c r="E39" s="16">
        <v>551.66</v>
      </c>
      <c r="F39" s="17">
        <v>1.15E-2</v>
      </c>
      <c r="G39" s="17"/>
    </row>
    <row r="40" spans="1:7" x14ac:dyDescent="0.35">
      <c r="A40" s="13" t="s">
        <v>1506</v>
      </c>
      <c r="B40" s="41" t="s">
        <v>1507</v>
      </c>
      <c r="C40" s="41" t="s">
        <v>1234</v>
      </c>
      <c r="D40" s="15">
        <v>23417</v>
      </c>
      <c r="E40" s="16">
        <v>504.12</v>
      </c>
      <c r="F40" s="17">
        <v>1.0500000000000001E-2</v>
      </c>
      <c r="G40" s="17"/>
    </row>
    <row r="41" spans="1:7" x14ac:dyDescent="0.35">
      <c r="A41" s="13" t="s">
        <v>1943</v>
      </c>
      <c r="B41" s="41" t="s">
        <v>1944</v>
      </c>
      <c r="C41" s="41" t="s">
        <v>1360</v>
      </c>
      <c r="D41" s="15">
        <v>17720</v>
      </c>
      <c r="E41" s="16">
        <v>501.14</v>
      </c>
      <c r="F41" s="17">
        <v>1.04E-2</v>
      </c>
      <c r="G41" s="17"/>
    </row>
    <row r="42" spans="1:7" x14ac:dyDescent="0.35">
      <c r="A42" s="13" t="s">
        <v>1982</v>
      </c>
      <c r="B42" s="41" t="s">
        <v>1983</v>
      </c>
      <c r="C42" s="41" t="s">
        <v>1191</v>
      </c>
      <c r="D42" s="15">
        <v>73845</v>
      </c>
      <c r="E42" s="16">
        <v>485.79</v>
      </c>
      <c r="F42" s="17">
        <v>1.01E-2</v>
      </c>
      <c r="G42" s="17"/>
    </row>
    <row r="43" spans="1:7" x14ac:dyDescent="0.35">
      <c r="A43" s="13" t="s">
        <v>1459</v>
      </c>
      <c r="B43" s="41" t="s">
        <v>1460</v>
      </c>
      <c r="C43" s="41" t="s">
        <v>1266</v>
      </c>
      <c r="D43" s="15">
        <v>12653</v>
      </c>
      <c r="E43" s="16">
        <v>478.98</v>
      </c>
      <c r="F43" s="17">
        <v>0.01</v>
      </c>
      <c r="G43" s="17"/>
    </row>
    <row r="44" spans="1:7" x14ac:dyDescent="0.35">
      <c r="A44" s="13" t="s">
        <v>1410</v>
      </c>
      <c r="B44" s="41" t="s">
        <v>1411</v>
      </c>
      <c r="C44" s="41" t="s">
        <v>1412</v>
      </c>
      <c r="D44" s="15">
        <v>70914</v>
      </c>
      <c r="E44" s="16">
        <v>478.07</v>
      </c>
      <c r="F44" s="17">
        <v>9.9000000000000008E-3</v>
      </c>
      <c r="G44" s="17"/>
    </row>
    <row r="45" spans="1:7" x14ac:dyDescent="0.35">
      <c r="A45" s="13" t="s">
        <v>1490</v>
      </c>
      <c r="B45" s="41" t="s">
        <v>1491</v>
      </c>
      <c r="C45" s="41" t="s">
        <v>1382</v>
      </c>
      <c r="D45" s="15">
        <v>421022</v>
      </c>
      <c r="E45" s="16">
        <v>475.33</v>
      </c>
      <c r="F45" s="17">
        <v>9.9000000000000008E-3</v>
      </c>
      <c r="G45" s="17"/>
    </row>
    <row r="46" spans="1:7" x14ac:dyDescent="0.35">
      <c r="A46" s="13" t="s">
        <v>1361</v>
      </c>
      <c r="B46" s="41" t="s">
        <v>1362</v>
      </c>
      <c r="C46" s="41" t="s">
        <v>1229</v>
      </c>
      <c r="D46" s="15">
        <v>53945</v>
      </c>
      <c r="E46" s="16">
        <v>459.34</v>
      </c>
      <c r="F46" s="17">
        <v>9.5999999999999992E-3</v>
      </c>
      <c r="G46" s="17"/>
    </row>
    <row r="47" spans="1:7" x14ac:dyDescent="0.35">
      <c r="A47" s="13" t="s">
        <v>1984</v>
      </c>
      <c r="B47" s="41" t="s">
        <v>1985</v>
      </c>
      <c r="C47" s="41" t="s">
        <v>1986</v>
      </c>
      <c r="D47" s="15">
        <v>35919</v>
      </c>
      <c r="E47" s="16">
        <v>454.88</v>
      </c>
      <c r="F47" s="17">
        <v>9.4999999999999998E-3</v>
      </c>
      <c r="G47" s="17"/>
    </row>
    <row r="48" spans="1:7" x14ac:dyDescent="0.35">
      <c r="A48" s="13" t="s">
        <v>1518</v>
      </c>
      <c r="B48" s="41" t="s">
        <v>1519</v>
      </c>
      <c r="C48" s="41" t="s">
        <v>1305</v>
      </c>
      <c r="D48" s="15">
        <v>119398</v>
      </c>
      <c r="E48" s="16">
        <v>437.35</v>
      </c>
      <c r="F48" s="17">
        <v>9.1000000000000004E-3</v>
      </c>
      <c r="G48" s="17"/>
    </row>
    <row r="49" spans="1:7" x14ac:dyDescent="0.35">
      <c r="A49" s="13" t="s">
        <v>1987</v>
      </c>
      <c r="B49" s="41" t="s">
        <v>1988</v>
      </c>
      <c r="C49" s="41" t="s">
        <v>1412</v>
      </c>
      <c r="D49" s="15">
        <v>85965</v>
      </c>
      <c r="E49" s="16">
        <v>427.29</v>
      </c>
      <c r="F49" s="17">
        <v>8.8999999999999999E-3</v>
      </c>
      <c r="G49" s="17"/>
    </row>
    <row r="50" spans="1:7" x14ac:dyDescent="0.35">
      <c r="A50" s="13" t="s">
        <v>1522</v>
      </c>
      <c r="B50" s="41" t="s">
        <v>1523</v>
      </c>
      <c r="C50" s="41" t="s">
        <v>1324</v>
      </c>
      <c r="D50" s="15">
        <v>28603</v>
      </c>
      <c r="E50" s="16">
        <v>426.44</v>
      </c>
      <c r="F50" s="17">
        <v>8.8999999999999999E-3</v>
      </c>
      <c r="G50" s="17"/>
    </row>
    <row r="51" spans="1:7" x14ac:dyDescent="0.35">
      <c r="A51" s="13" t="s">
        <v>1816</v>
      </c>
      <c r="B51" s="41" t="s">
        <v>1817</v>
      </c>
      <c r="C51" s="41" t="s">
        <v>1188</v>
      </c>
      <c r="D51" s="15">
        <v>65423</v>
      </c>
      <c r="E51" s="16">
        <v>406.44</v>
      </c>
      <c r="F51" s="17">
        <v>8.5000000000000006E-3</v>
      </c>
      <c r="G51" s="17"/>
    </row>
    <row r="52" spans="1:7" x14ac:dyDescent="0.35">
      <c r="A52" s="13" t="s">
        <v>1989</v>
      </c>
      <c r="B52" s="41" t="s">
        <v>1990</v>
      </c>
      <c r="C52" s="41" t="s">
        <v>1382</v>
      </c>
      <c r="D52" s="15">
        <v>779969</v>
      </c>
      <c r="E52" s="16">
        <v>336.63</v>
      </c>
      <c r="F52" s="17">
        <v>7.0000000000000001E-3</v>
      </c>
      <c r="G52" s="17"/>
    </row>
    <row r="53" spans="1:7" x14ac:dyDescent="0.35">
      <c r="A53" s="13" t="s">
        <v>1991</v>
      </c>
      <c r="B53" s="41" t="s">
        <v>1992</v>
      </c>
      <c r="C53" s="41" t="s">
        <v>1855</v>
      </c>
      <c r="D53" s="15">
        <v>36725</v>
      </c>
      <c r="E53" s="16">
        <v>319.33999999999997</v>
      </c>
      <c r="F53" s="17">
        <v>6.6E-3</v>
      </c>
      <c r="G53" s="17"/>
    </row>
    <row r="54" spans="1:7" x14ac:dyDescent="0.35">
      <c r="A54" s="13" t="s">
        <v>1993</v>
      </c>
      <c r="B54" s="41" t="s">
        <v>1994</v>
      </c>
      <c r="C54" s="41" t="s">
        <v>1288</v>
      </c>
      <c r="D54" s="15">
        <v>7493</v>
      </c>
      <c r="E54" s="16">
        <v>301.3</v>
      </c>
      <c r="F54" s="17">
        <v>6.3E-3</v>
      </c>
      <c r="G54" s="17"/>
    </row>
    <row r="55" spans="1:7" x14ac:dyDescent="0.35">
      <c r="A55" s="13" t="s">
        <v>1365</v>
      </c>
      <c r="B55" s="41" t="s">
        <v>1366</v>
      </c>
      <c r="C55" s="41" t="s">
        <v>1201</v>
      </c>
      <c r="D55" s="15">
        <v>114847</v>
      </c>
      <c r="E55" s="16">
        <v>254.33</v>
      </c>
      <c r="F55" s="17">
        <v>5.3E-3</v>
      </c>
      <c r="G55" s="17"/>
    </row>
    <row r="56" spans="1:7" x14ac:dyDescent="0.35">
      <c r="A56" s="13" t="s">
        <v>1995</v>
      </c>
      <c r="B56" s="41" t="s">
        <v>1996</v>
      </c>
      <c r="C56" s="41" t="s">
        <v>1412</v>
      </c>
      <c r="D56" s="15">
        <v>206097</v>
      </c>
      <c r="E56" s="16">
        <v>239.44</v>
      </c>
      <c r="F56" s="17">
        <v>5.0000000000000001E-3</v>
      </c>
      <c r="G56" s="17"/>
    </row>
    <row r="57" spans="1:7" x14ac:dyDescent="0.35">
      <c r="A57" s="13" t="s">
        <v>1997</v>
      </c>
      <c r="B57" s="41" t="s">
        <v>1998</v>
      </c>
      <c r="C57" s="41" t="s">
        <v>1999</v>
      </c>
      <c r="D57" s="15">
        <v>91790</v>
      </c>
      <c r="E57" s="16">
        <v>109.64</v>
      </c>
      <c r="F57" s="17">
        <v>2.3E-3</v>
      </c>
      <c r="G57" s="17"/>
    </row>
    <row r="58" spans="1:7" x14ac:dyDescent="0.35">
      <c r="A58" s="13" t="s">
        <v>1843</v>
      </c>
      <c r="B58" s="41" t="s">
        <v>1844</v>
      </c>
      <c r="C58" s="41" t="s">
        <v>1191</v>
      </c>
      <c r="D58" s="15">
        <v>74688</v>
      </c>
      <c r="E58" s="16">
        <v>27.02</v>
      </c>
      <c r="F58" s="17">
        <v>5.9999999999999995E-4</v>
      </c>
      <c r="G58" s="17"/>
    </row>
    <row r="59" spans="1:7" x14ac:dyDescent="0.35">
      <c r="A59" s="14" t="s">
        <v>149</v>
      </c>
      <c r="B59" s="42"/>
      <c r="C59" s="42"/>
      <c r="D59" s="18"/>
      <c r="E59" s="19">
        <f>SUM(E8:E58)</f>
        <v>47167.399999999994</v>
      </c>
      <c r="F59" s="20">
        <f>SUM(F8:F58)</f>
        <v>0.98159999999999981</v>
      </c>
      <c r="G59" s="21"/>
    </row>
    <row r="60" spans="1:7" x14ac:dyDescent="0.35">
      <c r="A60" s="13"/>
      <c r="B60" s="41"/>
      <c r="C60" s="41"/>
      <c r="D60" s="15"/>
      <c r="E60" s="16"/>
      <c r="F60" s="17"/>
      <c r="G60" s="17"/>
    </row>
    <row r="61" spans="1:7" x14ac:dyDescent="0.35">
      <c r="A61" s="22" t="s">
        <v>160</v>
      </c>
      <c r="B61" s="43"/>
      <c r="C61" s="43"/>
      <c r="D61" s="23"/>
      <c r="E61" s="19">
        <v>47167.399999999987</v>
      </c>
      <c r="F61" s="20">
        <v>0.98159999999999981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3"/>
      <c r="B63" s="41"/>
      <c r="C63" s="41"/>
      <c r="D63" s="15"/>
      <c r="E63" s="16"/>
      <c r="F63" s="17"/>
      <c r="G63" s="17"/>
    </row>
    <row r="64" spans="1:7" x14ac:dyDescent="0.35">
      <c r="A64" s="14" t="s">
        <v>255</v>
      </c>
      <c r="B64" s="41"/>
      <c r="C64" s="41"/>
      <c r="D64" s="15"/>
      <c r="E64" s="16"/>
      <c r="F64" s="17"/>
      <c r="G64" s="17"/>
    </row>
    <row r="65" spans="1:7" x14ac:dyDescent="0.35">
      <c r="A65" s="13" t="s">
        <v>257</v>
      </c>
      <c r="B65" s="41"/>
      <c r="C65" s="41"/>
      <c r="D65" s="15"/>
      <c r="E65" s="16">
        <v>1237.47</v>
      </c>
      <c r="F65" s="17">
        <v>2.58E-2</v>
      </c>
      <c r="G65" s="17">
        <v>5.1742000000000003E-2</v>
      </c>
    </row>
    <row r="66" spans="1:7" x14ac:dyDescent="0.35">
      <c r="A66" s="14" t="s">
        <v>149</v>
      </c>
      <c r="B66" s="42"/>
      <c r="C66" s="42"/>
      <c r="D66" s="18"/>
      <c r="E66" s="19">
        <v>1237.47</v>
      </c>
      <c r="F66" s="20">
        <v>2.58E-2</v>
      </c>
      <c r="G66" s="21"/>
    </row>
    <row r="67" spans="1:7" x14ac:dyDescent="0.35">
      <c r="A67" s="13"/>
      <c r="B67" s="41"/>
      <c r="C67" s="41"/>
      <c r="D67" s="15"/>
      <c r="E67" s="16"/>
      <c r="F67" s="17"/>
      <c r="G67" s="17"/>
    </row>
    <row r="68" spans="1:7" x14ac:dyDescent="0.35">
      <c r="A68" s="22" t="s">
        <v>160</v>
      </c>
      <c r="B68" s="43"/>
      <c r="C68" s="43"/>
      <c r="D68" s="23"/>
      <c r="E68" s="36">
        <v>1237.47</v>
      </c>
      <c r="F68" s="37">
        <v>2.58E-2</v>
      </c>
      <c r="G68" s="21"/>
    </row>
    <row r="69" spans="1:7" x14ac:dyDescent="0.35">
      <c r="A69" s="13" t="s">
        <v>258</v>
      </c>
      <c r="B69" s="41"/>
      <c r="C69" s="41"/>
      <c r="D69" s="15"/>
      <c r="E69" s="16">
        <v>0.35084579999999999</v>
      </c>
      <c r="F69" s="17">
        <v>6.9999999999999999E-6</v>
      </c>
      <c r="G69" s="17"/>
    </row>
    <row r="70" spans="1:7" x14ac:dyDescent="0.35">
      <c r="A70" s="13" t="s">
        <v>259</v>
      </c>
      <c r="B70" s="41"/>
      <c r="C70" s="41"/>
      <c r="D70" s="15"/>
      <c r="E70" s="28">
        <v>-351.65084580000001</v>
      </c>
      <c r="F70" s="29">
        <v>-7.4070000000000004E-3</v>
      </c>
      <c r="G70" s="17">
        <v>5.1742000000000003E-2</v>
      </c>
    </row>
    <row r="71" spans="1:7" x14ac:dyDescent="0.35">
      <c r="A71" s="38" t="s">
        <v>260</v>
      </c>
      <c r="B71" s="44"/>
      <c r="C71" s="44"/>
      <c r="D71" s="39"/>
      <c r="E71" s="24">
        <v>48053.57</v>
      </c>
      <c r="F71" s="25">
        <v>1</v>
      </c>
      <c r="G71" s="25"/>
    </row>
    <row r="76" spans="1:7" x14ac:dyDescent="0.35">
      <c r="A76" s="1" t="s">
        <v>263</v>
      </c>
    </row>
    <row r="77" spans="1:7" x14ac:dyDescent="0.35">
      <c r="A77" s="47" t="s">
        <v>264</v>
      </c>
      <c r="B77" s="3" t="s">
        <v>146</v>
      </c>
    </row>
    <row r="78" spans="1:7" x14ac:dyDescent="0.35">
      <c r="A78" t="s">
        <v>265</v>
      </c>
    </row>
    <row r="79" spans="1:7" x14ac:dyDescent="0.35">
      <c r="A79" t="s">
        <v>266</v>
      </c>
      <c r="B79" t="s">
        <v>267</v>
      </c>
      <c r="C79" t="s">
        <v>267</v>
      </c>
    </row>
    <row r="80" spans="1:7" x14ac:dyDescent="0.35">
      <c r="B80" s="49">
        <v>46022</v>
      </c>
      <c r="C80" s="49">
        <v>46052</v>
      </c>
    </row>
    <row r="81" spans="1:3" x14ac:dyDescent="0.35">
      <c r="A81" t="s">
        <v>752</v>
      </c>
      <c r="B81">
        <v>11.668799999999999</v>
      </c>
      <c r="C81">
        <v>10.8871</v>
      </c>
    </row>
    <row r="82" spans="1:3" x14ac:dyDescent="0.35">
      <c r="A82" t="s">
        <v>273</v>
      </c>
      <c r="B82">
        <v>11.668799999999999</v>
      </c>
      <c r="C82">
        <v>10.8871</v>
      </c>
    </row>
    <row r="83" spans="1:3" x14ac:dyDescent="0.35">
      <c r="A83" t="s">
        <v>753</v>
      </c>
      <c r="B83">
        <v>11.4983</v>
      </c>
      <c r="C83">
        <v>10.7134</v>
      </c>
    </row>
    <row r="84" spans="1:3" x14ac:dyDescent="0.35">
      <c r="A84" t="s">
        <v>709</v>
      </c>
      <c r="B84">
        <v>11.4983</v>
      </c>
      <c r="C84">
        <v>10.7134</v>
      </c>
    </row>
    <row r="86" spans="1:3" x14ac:dyDescent="0.35">
      <c r="A86" t="s">
        <v>283</v>
      </c>
      <c r="B86" s="3" t="s">
        <v>146</v>
      </c>
    </row>
    <row r="87" spans="1:3" x14ac:dyDescent="0.35">
      <c r="A87" t="s">
        <v>284</v>
      </c>
      <c r="B87" s="3" t="s">
        <v>146</v>
      </c>
    </row>
    <row r="88" spans="1:3" ht="29" customHeight="1" x14ac:dyDescent="0.35">
      <c r="A88" s="47" t="s">
        <v>285</v>
      </c>
      <c r="B88" s="3" t="s">
        <v>146</v>
      </c>
    </row>
    <row r="89" spans="1:3" ht="29" customHeight="1" x14ac:dyDescent="0.35">
      <c r="A89" s="47" t="s">
        <v>286</v>
      </c>
      <c r="B89" s="3" t="s">
        <v>146</v>
      </c>
    </row>
    <row r="90" spans="1:3" x14ac:dyDescent="0.35">
      <c r="A90" t="s">
        <v>1253</v>
      </c>
      <c r="B90" s="48">
        <v>0.1208</v>
      </c>
    </row>
    <row r="91" spans="1:3" ht="43.5" customHeight="1" x14ac:dyDescent="0.35">
      <c r="A91" s="47" t="s">
        <v>288</v>
      </c>
      <c r="B91" s="3" t="s">
        <v>146</v>
      </c>
    </row>
    <row r="92" spans="1:3" x14ac:dyDescent="0.35">
      <c r="B92" s="3"/>
    </row>
    <row r="93" spans="1:3" ht="29" customHeight="1" x14ac:dyDescent="0.35">
      <c r="A93" s="47" t="s">
        <v>289</v>
      </c>
      <c r="B93" s="3" t="s">
        <v>146</v>
      </c>
    </row>
    <row r="94" spans="1:3" ht="29" customHeight="1" x14ac:dyDescent="0.35">
      <c r="A94" s="47" t="s">
        <v>290</v>
      </c>
      <c r="B94">
        <v>1923.56</v>
      </c>
    </row>
    <row r="95" spans="1:3" ht="29" customHeight="1" x14ac:dyDescent="0.35">
      <c r="A95" s="47" t="s">
        <v>291</v>
      </c>
      <c r="B95" s="3" t="s">
        <v>146</v>
      </c>
    </row>
    <row r="96" spans="1:3" ht="29" customHeight="1" x14ac:dyDescent="0.35">
      <c r="A96" s="47" t="s">
        <v>292</v>
      </c>
      <c r="B96" s="3" t="s">
        <v>146</v>
      </c>
    </row>
    <row r="98" spans="1:4" ht="70" customHeight="1" x14ac:dyDescent="0.35">
      <c r="A98" s="70" t="s">
        <v>303</v>
      </c>
      <c r="B98" s="70" t="s">
        <v>304</v>
      </c>
      <c r="C98" s="70" t="s">
        <v>4</v>
      </c>
      <c r="D98" s="70" t="s">
        <v>5</v>
      </c>
    </row>
    <row r="99" spans="1:4" ht="70" customHeight="1" x14ac:dyDescent="0.35">
      <c r="A99" s="70" t="s">
        <v>2000</v>
      </c>
      <c r="B99" s="70"/>
      <c r="C99" s="70" t="s">
        <v>63</v>
      </c>
      <c r="D9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50"/>
  <sheetViews>
    <sheetView showGridLines="0" workbookViewId="0">
      <pane ySplit="4" topLeftCell="A6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2001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2002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1195523</v>
      </c>
      <c r="E8" s="16">
        <v>11109.4</v>
      </c>
      <c r="F8" s="17">
        <v>7.6899999999999996E-2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709623</v>
      </c>
      <c r="E9" s="16">
        <v>9615.39</v>
      </c>
      <c r="F9" s="17">
        <v>6.6600000000000006E-2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610000</v>
      </c>
      <c r="E10" s="16">
        <v>8511.94</v>
      </c>
      <c r="F10" s="17">
        <v>5.8900000000000001E-2</v>
      </c>
      <c r="G10" s="17"/>
    </row>
    <row r="11" spans="1:7" x14ac:dyDescent="0.35">
      <c r="A11" s="13" t="s">
        <v>1176</v>
      </c>
      <c r="B11" s="41" t="s">
        <v>1177</v>
      </c>
      <c r="C11" s="41" t="s">
        <v>1178</v>
      </c>
      <c r="D11" s="15">
        <v>575223</v>
      </c>
      <c r="E11" s="16">
        <v>6196.01</v>
      </c>
      <c r="F11" s="17">
        <v>4.2900000000000001E-2</v>
      </c>
      <c r="G11" s="17"/>
    </row>
    <row r="12" spans="1:7" x14ac:dyDescent="0.35">
      <c r="A12" s="13" t="s">
        <v>1385</v>
      </c>
      <c r="B12" s="41" t="s">
        <v>1386</v>
      </c>
      <c r="C12" s="41" t="s">
        <v>1387</v>
      </c>
      <c r="D12" s="15">
        <v>150176</v>
      </c>
      <c r="E12" s="16">
        <v>5905.37</v>
      </c>
      <c r="F12" s="17">
        <v>4.0899999999999999E-2</v>
      </c>
      <c r="G12" s="17"/>
    </row>
    <row r="13" spans="1:7" x14ac:dyDescent="0.35">
      <c r="A13" s="13" t="s">
        <v>1367</v>
      </c>
      <c r="B13" s="41" t="s">
        <v>1368</v>
      </c>
      <c r="C13" s="41" t="s">
        <v>1369</v>
      </c>
      <c r="D13" s="15">
        <v>308384</v>
      </c>
      <c r="E13" s="16">
        <v>5060.58</v>
      </c>
      <c r="F13" s="17">
        <v>3.5000000000000003E-2</v>
      </c>
      <c r="G13" s="17"/>
    </row>
    <row r="14" spans="1:7" x14ac:dyDescent="0.35">
      <c r="A14" s="13" t="s">
        <v>1262</v>
      </c>
      <c r="B14" s="41" t="s">
        <v>1263</v>
      </c>
      <c r="C14" s="41" t="s">
        <v>1178</v>
      </c>
      <c r="D14" s="15">
        <v>338554</v>
      </c>
      <c r="E14" s="16">
        <v>4639.54</v>
      </c>
      <c r="F14" s="17">
        <v>3.2099999999999997E-2</v>
      </c>
      <c r="G14" s="17"/>
    </row>
    <row r="15" spans="1:7" x14ac:dyDescent="0.35">
      <c r="A15" s="13" t="s">
        <v>1196</v>
      </c>
      <c r="B15" s="41" t="s">
        <v>1197</v>
      </c>
      <c r="C15" s="41" t="s">
        <v>1198</v>
      </c>
      <c r="D15" s="15">
        <v>208229</v>
      </c>
      <c r="E15" s="16">
        <v>4099.3999999999996</v>
      </c>
      <c r="F15" s="17">
        <v>2.8400000000000002E-2</v>
      </c>
      <c r="G15" s="17"/>
    </row>
    <row r="16" spans="1:7" x14ac:dyDescent="0.35">
      <c r="A16" s="13" t="s">
        <v>1295</v>
      </c>
      <c r="B16" s="41" t="s">
        <v>1296</v>
      </c>
      <c r="C16" s="41" t="s">
        <v>1188</v>
      </c>
      <c r="D16" s="15">
        <v>112287</v>
      </c>
      <c r="E16" s="16">
        <v>3853.47</v>
      </c>
      <c r="F16" s="17">
        <v>2.6700000000000002E-2</v>
      </c>
      <c r="G16" s="17"/>
    </row>
    <row r="17" spans="1:7" x14ac:dyDescent="0.35">
      <c r="A17" s="13" t="s">
        <v>1209</v>
      </c>
      <c r="B17" s="41" t="s">
        <v>1210</v>
      </c>
      <c r="C17" s="41" t="s">
        <v>1211</v>
      </c>
      <c r="D17" s="15">
        <v>410493</v>
      </c>
      <c r="E17" s="16">
        <v>3816.97</v>
      </c>
      <c r="F17" s="17">
        <v>2.64E-2</v>
      </c>
      <c r="G17" s="17"/>
    </row>
    <row r="18" spans="1:7" x14ac:dyDescent="0.35">
      <c r="A18" s="13" t="s">
        <v>1186</v>
      </c>
      <c r="B18" s="41" t="s">
        <v>1187</v>
      </c>
      <c r="C18" s="41" t="s">
        <v>1188</v>
      </c>
      <c r="D18" s="15">
        <v>20438</v>
      </c>
      <c r="E18" s="16">
        <v>2983.74</v>
      </c>
      <c r="F18" s="17">
        <v>2.07E-2</v>
      </c>
      <c r="G18" s="17"/>
    </row>
    <row r="19" spans="1:7" x14ac:dyDescent="0.35">
      <c r="A19" s="13" t="s">
        <v>1553</v>
      </c>
      <c r="B19" s="41" t="s">
        <v>1554</v>
      </c>
      <c r="C19" s="41" t="s">
        <v>1211</v>
      </c>
      <c r="D19" s="15">
        <v>72786</v>
      </c>
      <c r="E19" s="16">
        <v>2787.41</v>
      </c>
      <c r="F19" s="17">
        <v>1.9300000000000001E-2</v>
      </c>
      <c r="G19" s="17"/>
    </row>
    <row r="20" spans="1:7" x14ac:dyDescent="0.35">
      <c r="A20" s="13" t="s">
        <v>1351</v>
      </c>
      <c r="B20" s="41" t="s">
        <v>1352</v>
      </c>
      <c r="C20" s="41" t="s">
        <v>1305</v>
      </c>
      <c r="D20" s="15">
        <v>770445</v>
      </c>
      <c r="E20" s="16">
        <v>2742.78</v>
      </c>
      <c r="F20" s="17">
        <v>1.9E-2</v>
      </c>
      <c r="G20" s="17"/>
    </row>
    <row r="21" spans="1:7" x14ac:dyDescent="0.35">
      <c r="A21" s="13" t="s">
        <v>1222</v>
      </c>
      <c r="B21" s="41" t="s">
        <v>1223</v>
      </c>
      <c r="C21" s="41" t="s">
        <v>1224</v>
      </c>
      <c r="D21" s="15">
        <v>21128</v>
      </c>
      <c r="E21" s="16">
        <v>2681.99</v>
      </c>
      <c r="F21" s="17">
        <v>1.8599999999999998E-2</v>
      </c>
      <c r="G21" s="17"/>
    </row>
    <row r="22" spans="1:7" x14ac:dyDescent="0.35">
      <c r="A22" s="13" t="s">
        <v>1273</v>
      </c>
      <c r="B22" s="41" t="s">
        <v>1274</v>
      </c>
      <c r="C22" s="41" t="s">
        <v>1275</v>
      </c>
      <c r="D22" s="15">
        <v>798525</v>
      </c>
      <c r="E22" s="16">
        <v>2572.4499999999998</v>
      </c>
      <c r="F22" s="17">
        <v>1.78E-2</v>
      </c>
      <c r="G22" s="17"/>
    </row>
    <row r="23" spans="1:7" x14ac:dyDescent="0.35">
      <c r="A23" s="13" t="s">
        <v>1237</v>
      </c>
      <c r="B23" s="41" t="s">
        <v>1238</v>
      </c>
      <c r="C23" s="41" t="s">
        <v>1234</v>
      </c>
      <c r="D23" s="15">
        <v>154016</v>
      </c>
      <c r="E23" s="16">
        <v>2457.02</v>
      </c>
      <c r="F23" s="17">
        <v>1.7000000000000001E-2</v>
      </c>
      <c r="G23" s="17"/>
    </row>
    <row r="24" spans="1:7" x14ac:dyDescent="0.35">
      <c r="A24" s="13" t="s">
        <v>1472</v>
      </c>
      <c r="B24" s="41" t="s">
        <v>1473</v>
      </c>
      <c r="C24" s="41" t="s">
        <v>1419</v>
      </c>
      <c r="D24" s="15">
        <v>252834</v>
      </c>
      <c r="E24" s="16">
        <v>2433.7800000000002</v>
      </c>
      <c r="F24" s="17">
        <v>1.6899999999999998E-2</v>
      </c>
      <c r="G24" s="17"/>
    </row>
    <row r="25" spans="1:7" x14ac:dyDescent="0.35">
      <c r="A25" s="13" t="s">
        <v>1227</v>
      </c>
      <c r="B25" s="41" t="s">
        <v>1228</v>
      </c>
      <c r="C25" s="41" t="s">
        <v>1229</v>
      </c>
      <c r="D25" s="15">
        <v>34112</v>
      </c>
      <c r="E25" s="16">
        <v>2374.37</v>
      </c>
      <c r="F25" s="17">
        <v>1.6400000000000001E-2</v>
      </c>
      <c r="G25" s="17"/>
    </row>
    <row r="26" spans="1:7" x14ac:dyDescent="0.35">
      <c r="A26" s="13" t="s">
        <v>1207</v>
      </c>
      <c r="B26" s="41" t="s">
        <v>1208</v>
      </c>
      <c r="C26" s="41" t="s">
        <v>1185</v>
      </c>
      <c r="D26" s="15">
        <v>284541</v>
      </c>
      <c r="E26" s="16">
        <v>2079.9899999999998</v>
      </c>
      <c r="F26" s="17">
        <v>1.44E-2</v>
      </c>
      <c r="G26" s="17"/>
    </row>
    <row r="27" spans="1:7" x14ac:dyDescent="0.35">
      <c r="A27" s="13" t="s">
        <v>1478</v>
      </c>
      <c r="B27" s="41" t="s">
        <v>1479</v>
      </c>
      <c r="C27" s="41" t="s">
        <v>1369</v>
      </c>
      <c r="D27" s="15">
        <v>61954</v>
      </c>
      <c r="E27" s="16">
        <v>1935.38</v>
      </c>
      <c r="F27" s="17">
        <v>1.34E-2</v>
      </c>
      <c r="G27" s="17"/>
    </row>
    <row r="28" spans="1:7" x14ac:dyDescent="0.35">
      <c r="A28" s="13" t="s">
        <v>1232</v>
      </c>
      <c r="B28" s="41" t="s">
        <v>1233</v>
      </c>
      <c r="C28" s="41" t="s">
        <v>1234</v>
      </c>
      <c r="D28" s="15">
        <v>40419</v>
      </c>
      <c r="E28" s="16">
        <v>1600.92</v>
      </c>
      <c r="F28" s="17">
        <v>1.11E-2</v>
      </c>
      <c r="G28" s="17"/>
    </row>
    <row r="29" spans="1:7" x14ac:dyDescent="0.35">
      <c r="A29" s="13" t="s">
        <v>1555</v>
      </c>
      <c r="B29" s="41" t="s">
        <v>1556</v>
      </c>
      <c r="C29" s="41" t="s">
        <v>1178</v>
      </c>
      <c r="D29" s="15">
        <v>174776</v>
      </c>
      <c r="E29" s="16">
        <v>1593.43</v>
      </c>
      <c r="F29" s="17">
        <v>1.0999999999999999E-2</v>
      </c>
      <c r="G29" s="17"/>
    </row>
    <row r="30" spans="1:7" x14ac:dyDescent="0.35">
      <c r="A30" s="13" t="s">
        <v>1394</v>
      </c>
      <c r="B30" s="41" t="s">
        <v>1395</v>
      </c>
      <c r="C30" s="41" t="s">
        <v>1369</v>
      </c>
      <c r="D30" s="15">
        <v>91001</v>
      </c>
      <c r="E30" s="16">
        <v>1586.24</v>
      </c>
      <c r="F30" s="17">
        <v>1.0999999999999999E-2</v>
      </c>
      <c r="G30" s="17"/>
    </row>
    <row r="31" spans="1:7" x14ac:dyDescent="0.35">
      <c r="A31" s="13" t="s">
        <v>1235</v>
      </c>
      <c r="B31" s="41" t="s">
        <v>1236</v>
      </c>
      <c r="C31" s="41" t="s">
        <v>1178</v>
      </c>
      <c r="D31" s="15">
        <v>385140</v>
      </c>
      <c r="E31" s="16">
        <v>1571.37</v>
      </c>
      <c r="F31" s="17">
        <v>1.09E-2</v>
      </c>
      <c r="G31" s="17"/>
    </row>
    <row r="32" spans="1:7" x14ac:dyDescent="0.35">
      <c r="A32" s="13" t="s">
        <v>1506</v>
      </c>
      <c r="B32" s="41" t="s">
        <v>1507</v>
      </c>
      <c r="C32" s="41" t="s">
        <v>1234</v>
      </c>
      <c r="D32" s="15">
        <v>69376</v>
      </c>
      <c r="E32" s="16">
        <v>1493.53</v>
      </c>
      <c r="F32" s="17">
        <v>1.03E-2</v>
      </c>
      <c r="G32" s="17"/>
    </row>
    <row r="33" spans="1:7" x14ac:dyDescent="0.35">
      <c r="A33" s="13" t="s">
        <v>1798</v>
      </c>
      <c r="B33" s="41" t="s">
        <v>1799</v>
      </c>
      <c r="C33" s="41" t="s">
        <v>1333</v>
      </c>
      <c r="D33" s="15">
        <v>45850</v>
      </c>
      <c r="E33" s="16">
        <v>1481.09</v>
      </c>
      <c r="F33" s="17">
        <v>1.03E-2</v>
      </c>
      <c r="G33" s="17"/>
    </row>
    <row r="34" spans="1:7" x14ac:dyDescent="0.35">
      <c r="A34" s="13" t="s">
        <v>1374</v>
      </c>
      <c r="B34" s="41" t="s">
        <v>1375</v>
      </c>
      <c r="C34" s="41" t="s">
        <v>1178</v>
      </c>
      <c r="D34" s="15">
        <v>493953</v>
      </c>
      <c r="E34" s="16">
        <v>1478.9</v>
      </c>
      <c r="F34" s="17">
        <v>1.0200000000000001E-2</v>
      </c>
      <c r="G34" s="17"/>
    </row>
    <row r="35" spans="1:7" x14ac:dyDescent="0.35">
      <c r="A35" s="13" t="s">
        <v>1199</v>
      </c>
      <c r="B35" s="41" t="s">
        <v>1200</v>
      </c>
      <c r="C35" s="41" t="s">
        <v>1201</v>
      </c>
      <c r="D35" s="15">
        <v>36562</v>
      </c>
      <c r="E35" s="16">
        <v>1454.22</v>
      </c>
      <c r="F35" s="17">
        <v>1.01E-2</v>
      </c>
      <c r="G35" s="17"/>
    </row>
    <row r="36" spans="1:7" x14ac:dyDescent="0.35">
      <c r="A36" s="13" t="s">
        <v>1919</v>
      </c>
      <c r="B36" s="41" t="s">
        <v>1920</v>
      </c>
      <c r="C36" s="41" t="s">
        <v>1178</v>
      </c>
      <c r="D36" s="15">
        <v>966781</v>
      </c>
      <c r="E36" s="16">
        <v>1425.23</v>
      </c>
      <c r="F36" s="17">
        <v>9.9000000000000008E-3</v>
      </c>
      <c r="G36" s="17"/>
    </row>
    <row r="37" spans="1:7" x14ac:dyDescent="0.35">
      <c r="A37" s="13" t="s">
        <v>1183</v>
      </c>
      <c r="B37" s="41" t="s">
        <v>1184</v>
      </c>
      <c r="C37" s="41" t="s">
        <v>1185</v>
      </c>
      <c r="D37" s="15">
        <v>70057</v>
      </c>
      <c r="E37" s="16">
        <v>1400.09</v>
      </c>
      <c r="F37" s="17">
        <v>9.7000000000000003E-3</v>
      </c>
      <c r="G37" s="17"/>
    </row>
    <row r="38" spans="1:7" x14ac:dyDescent="0.35">
      <c r="A38" s="13" t="s">
        <v>1426</v>
      </c>
      <c r="B38" s="41" t="s">
        <v>1427</v>
      </c>
      <c r="C38" s="41" t="s">
        <v>1178</v>
      </c>
      <c r="D38" s="15">
        <v>139707</v>
      </c>
      <c r="E38" s="16">
        <v>1372.41</v>
      </c>
      <c r="F38" s="17">
        <v>9.4999999999999998E-3</v>
      </c>
      <c r="G38" s="17"/>
    </row>
    <row r="39" spans="1:7" x14ac:dyDescent="0.35">
      <c r="A39" s="13" t="s">
        <v>1488</v>
      </c>
      <c r="B39" s="41" t="s">
        <v>1489</v>
      </c>
      <c r="C39" s="41" t="s">
        <v>1275</v>
      </c>
      <c r="D39" s="15">
        <v>56993</v>
      </c>
      <c r="E39" s="16">
        <v>1352.44</v>
      </c>
      <c r="F39" s="17">
        <v>9.4000000000000004E-3</v>
      </c>
      <c r="G39" s="17"/>
    </row>
    <row r="40" spans="1:7" x14ac:dyDescent="0.35">
      <c r="A40" s="13" t="s">
        <v>1496</v>
      </c>
      <c r="B40" s="41" t="s">
        <v>1497</v>
      </c>
      <c r="C40" s="41" t="s">
        <v>1211</v>
      </c>
      <c r="D40" s="15">
        <v>78697</v>
      </c>
      <c r="E40" s="16">
        <v>1284.02</v>
      </c>
      <c r="F40" s="17">
        <v>8.8999999999999999E-3</v>
      </c>
      <c r="G40" s="17"/>
    </row>
    <row r="41" spans="1:7" x14ac:dyDescent="0.35">
      <c r="A41" s="13" t="s">
        <v>1818</v>
      </c>
      <c r="B41" s="41" t="s">
        <v>1819</v>
      </c>
      <c r="C41" s="41" t="s">
        <v>1382</v>
      </c>
      <c r="D41" s="15">
        <v>34910</v>
      </c>
      <c r="E41" s="16">
        <v>1264.48</v>
      </c>
      <c r="F41" s="17">
        <v>8.8000000000000005E-3</v>
      </c>
      <c r="G41" s="17"/>
    </row>
    <row r="42" spans="1:7" x14ac:dyDescent="0.35">
      <c r="A42" s="13" t="s">
        <v>1212</v>
      </c>
      <c r="B42" s="41" t="s">
        <v>1213</v>
      </c>
      <c r="C42" s="41" t="s">
        <v>1188</v>
      </c>
      <c r="D42" s="15">
        <v>34195</v>
      </c>
      <c r="E42" s="16">
        <v>1257.49</v>
      </c>
      <c r="F42" s="17">
        <v>8.6999999999999994E-3</v>
      </c>
      <c r="G42" s="17"/>
    </row>
    <row r="43" spans="1:7" x14ac:dyDescent="0.35">
      <c r="A43" s="13" t="s">
        <v>1343</v>
      </c>
      <c r="B43" s="41" t="s">
        <v>1344</v>
      </c>
      <c r="C43" s="41" t="s">
        <v>1345</v>
      </c>
      <c r="D43" s="15">
        <v>25403</v>
      </c>
      <c r="E43" s="16">
        <v>1167.6500000000001</v>
      </c>
      <c r="F43" s="17">
        <v>8.0999999999999996E-3</v>
      </c>
      <c r="G43" s="17"/>
    </row>
    <row r="44" spans="1:7" x14ac:dyDescent="0.35">
      <c r="A44" s="13" t="s">
        <v>1264</v>
      </c>
      <c r="B44" s="41" t="s">
        <v>1265</v>
      </c>
      <c r="C44" s="41" t="s">
        <v>1266</v>
      </c>
      <c r="D44" s="15">
        <v>425194</v>
      </c>
      <c r="E44" s="16">
        <v>1163.33</v>
      </c>
      <c r="F44" s="17">
        <v>8.0999999999999996E-3</v>
      </c>
      <c r="G44" s="17"/>
    </row>
    <row r="45" spans="1:7" x14ac:dyDescent="0.35">
      <c r="A45" s="13" t="s">
        <v>1392</v>
      </c>
      <c r="B45" s="41" t="s">
        <v>1393</v>
      </c>
      <c r="C45" s="41" t="s">
        <v>1369</v>
      </c>
      <c r="D45" s="15">
        <v>40269</v>
      </c>
      <c r="E45" s="16">
        <v>1111.02</v>
      </c>
      <c r="F45" s="17">
        <v>7.7000000000000002E-3</v>
      </c>
      <c r="G45" s="17"/>
    </row>
    <row r="46" spans="1:7" x14ac:dyDescent="0.35">
      <c r="A46" s="13" t="s">
        <v>2003</v>
      </c>
      <c r="B46" s="41" t="s">
        <v>2004</v>
      </c>
      <c r="C46" s="41" t="s">
        <v>1211</v>
      </c>
      <c r="D46" s="15">
        <v>400000</v>
      </c>
      <c r="E46" s="16">
        <v>1101.5999999999999</v>
      </c>
      <c r="F46" s="17">
        <v>7.6E-3</v>
      </c>
      <c r="G46" s="17"/>
    </row>
    <row r="47" spans="1:7" x14ac:dyDescent="0.35">
      <c r="A47" s="13" t="s">
        <v>1189</v>
      </c>
      <c r="B47" s="41" t="s">
        <v>1190</v>
      </c>
      <c r="C47" s="41" t="s">
        <v>1191</v>
      </c>
      <c r="D47" s="15">
        <v>82465</v>
      </c>
      <c r="E47" s="16">
        <v>1098.76</v>
      </c>
      <c r="F47" s="17">
        <v>7.6E-3</v>
      </c>
      <c r="G47" s="17"/>
    </row>
    <row r="48" spans="1:7" x14ac:dyDescent="0.35">
      <c r="A48" s="13" t="s">
        <v>1241</v>
      </c>
      <c r="B48" s="41" t="s">
        <v>1242</v>
      </c>
      <c r="C48" s="41" t="s">
        <v>1216</v>
      </c>
      <c r="D48" s="15">
        <v>145850</v>
      </c>
      <c r="E48" s="16">
        <v>1064.4100000000001</v>
      </c>
      <c r="F48" s="17">
        <v>7.4000000000000003E-3</v>
      </c>
      <c r="G48" s="17"/>
    </row>
    <row r="49" spans="1:7" x14ac:dyDescent="0.35">
      <c r="A49" s="13" t="s">
        <v>1219</v>
      </c>
      <c r="B49" s="41" t="s">
        <v>1220</v>
      </c>
      <c r="C49" s="41" t="s">
        <v>1221</v>
      </c>
      <c r="D49" s="15">
        <v>73262</v>
      </c>
      <c r="E49" s="16">
        <v>1048.45</v>
      </c>
      <c r="F49" s="17">
        <v>7.3000000000000001E-3</v>
      </c>
      <c r="G49" s="17"/>
    </row>
    <row r="50" spans="1:7" x14ac:dyDescent="0.35">
      <c r="A50" s="13" t="s">
        <v>1214</v>
      </c>
      <c r="B50" s="41" t="s">
        <v>1215</v>
      </c>
      <c r="C50" s="41" t="s">
        <v>1216</v>
      </c>
      <c r="D50" s="15">
        <v>90967</v>
      </c>
      <c r="E50" s="16">
        <v>1031.47</v>
      </c>
      <c r="F50" s="17">
        <v>7.1000000000000004E-3</v>
      </c>
      <c r="G50" s="17"/>
    </row>
    <row r="51" spans="1:7" x14ac:dyDescent="0.35">
      <c r="A51" s="13" t="s">
        <v>1403</v>
      </c>
      <c r="B51" s="41" t="s">
        <v>1404</v>
      </c>
      <c r="C51" s="41" t="s">
        <v>1234</v>
      </c>
      <c r="D51" s="15">
        <v>16615</v>
      </c>
      <c r="E51" s="16">
        <v>1005.37</v>
      </c>
      <c r="F51" s="17">
        <v>7.0000000000000001E-3</v>
      </c>
      <c r="G51" s="17"/>
    </row>
    <row r="52" spans="1:7" x14ac:dyDescent="0.35">
      <c r="A52" s="13" t="s">
        <v>1543</v>
      </c>
      <c r="B52" s="41" t="s">
        <v>1544</v>
      </c>
      <c r="C52" s="41" t="s">
        <v>1206</v>
      </c>
      <c r="D52" s="15">
        <v>242245</v>
      </c>
      <c r="E52" s="16">
        <v>882.98</v>
      </c>
      <c r="F52" s="17">
        <v>6.1000000000000004E-3</v>
      </c>
      <c r="G52" s="17"/>
    </row>
    <row r="53" spans="1:7" x14ac:dyDescent="0.35">
      <c r="A53" s="13" t="s">
        <v>1217</v>
      </c>
      <c r="B53" s="41" t="s">
        <v>1218</v>
      </c>
      <c r="C53" s="41" t="s">
        <v>1201</v>
      </c>
      <c r="D53" s="15">
        <v>36046</v>
      </c>
      <c r="E53" s="16">
        <v>875.31</v>
      </c>
      <c r="F53" s="17">
        <v>6.1000000000000004E-3</v>
      </c>
      <c r="G53" s="17"/>
    </row>
    <row r="54" spans="1:7" x14ac:dyDescent="0.35">
      <c r="A54" s="13" t="s">
        <v>1828</v>
      </c>
      <c r="B54" s="41" t="s">
        <v>1829</v>
      </c>
      <c r="C54" s="41" t="s">
        <v>1280</v>
      </c>
      <c r="D54" s="15">
        <v>27025</v>
      </c>
      <c r="E54" s="16">
        <v>803.35</v>
      </c>
      <c r="F54" s="17">
        <v>5.5999999999999999E-3</v>
      </c>
      <c r="G54" s="17"/>
    </row>
    <row r="55" spans="1:7" x14ac:dyDescent="0.35">
      <c r="A55" s="13" t="s">
        <v>1490</v>
      </c>
      <c r="B55" s="41" t="s">
        <v>1491</v>
      </c>
      <c r="C55" s="41" t="s">
        <v>1382</v>
      </c>
      <c r="D55" s="15">
        <v>687674</v>
      </c>
      <c r="E55" s="16">
        <v>776.38</v>
      </c>
      <c r="F55" s="17">
        <v>5.4000000000000003E-3</v>
      </c>
      <c r="G55" s="17"/>
    </row>
    <row r="56" spans="1:7" x14ac:dyDescent="0.35">
      <c r="A56" s="13" t="s">
        <v>1297</v>
      </c>
      <c r="B56" s="41" t="s">
        <v>1298</v>
      </c>
      <c r="C56" s="41" t="s">
        <v>1198</v>
      </c>
      <c r="D56" s="15">
        <v>174369</v>
      </c>
      <c r="E56" s="16">
        <v>774.72</v>
      </c>
      <c r="F56" s="17">
        <v>5.4000000000000003E-3</v>
      </c>
      <c r="G56" s="17"/>
    </row>
    <row r="57" spans="1:7" x14ac:dyDescent="0.35">
      <c r="A57" s="13" t="s">
        <v>1954</v>
      </c>
      <c r="B57" s="41" t="s">
        <v>1955</v>
      </c>
      <c r="C57" s="41" t="s">
        <v>1412</v>
      </c>
      <c r="D57" s="15">
        <v>123332</v>
      </c>
      <c r="E57" s="16">
        <v>768.42</v>
      </c>
      <c r="F57" s="17">
        <v>5.3E-3</v>
      </c>
      <c r="G57" s="17"/>
    </row>
    <row r="58" spans="1:7" x14ac:dyDescent="0.35">
      <c r="A58" s="13" t="s">
        <v>1310</v>
      </c>
      <c r="B58" s="41" t="s">
        <v>1311</v>
      </c>
      <c r="C58" s="41" t="s">
        <v>1261</v>
      </c>
      <c r="D58" s="15">
        <v>396363</v>
      </c>
      <c r="E58" s="16">
        <v>765.5</v>
      </c>
      <c r="F58" s="17">
        <v>5.3E-3</v>
      </c>
      <c r="G58" s="17"/>
    </row>
    <row r="59" spans="1:7" x14ac:dyDescent="0.35">
      <c r="A59" s="13" t="s">
        <v>1502</v>
      </c>
      <c r="B59" s="41" t="s">
        <v>1503</v>
      </c>
      <c r="C59" s="41" t="s">
        <v>1369</v>
      </c>
      <c r="D59" s="15">
        <v>45028</v>
      </c>
      <c r="E59" s="16">
        <v>763.49</v>
      </c>
      <c r="F59" s="17">
        <v>5.3E-3</v>
      </c>
      <c r="G59" s="17"/>
    </row>
    <row r="60" spans="1:7" x14ac:dyDescent="0.35">
      <c r="A60" s="13" t="s">
        <v>1276</v>
      </c>
      <c r="B60" s="41" t="s">
        <v>1277</v>
      </c>
      <c r="C60" s="41" t="s">
        <v>1261</v>
      </c>
      <c r="D60" s="15">
        <v>487430</v>
      </c>
      <c r="E60" s="16">
        <v>736.65</v>
      </c>
      <c r="F60" s="17">
        <v>5.1000000000000004E-3</v>
      </c>
      <c r="G60" s="17"/>
    </row>
    <row r="61" spans="1:7" x14ac:dyDescent="0.35">
      <c r="A61" s="13" t="s">
        <v>1508</v>
      </c>
      <c r="B61" s="41" t="s">
        <v>1509</v>
      </c>
      <c r="C61" s="41" t="s">
        <v>1188</v>
      </c>
      <c r="D61" s="15">
        <v>7500</v>
      </c>
      <c r="E61" s="16">
        <v>719.81</v>
      </c>
      <c r="F61" s="17">
        <v>5.0000000000000001E-3</v>
      </c>
      <c r="G61" s="17"/>
    </row>
    <row r="62" spans="1:7" x14ac:dyDescent="0.35">
      <c r="A62" s="13" t="s">
        <v>1512</v>
      </c>
      <c r="B62" s="41" t="s">
        <v>1513</v>
      </c>
      <c r="C62" s="41" t="s">
        <v>1188</v>
      </c>
      <c r="D62" s="15">
        <v>13000</v>
      </c>
      <c r="E62" s="16">
        <v>719.42</v>
      </c>
      <c r="F62" s="17">
        <v>5.0000000000000001E-3</v>
      </c>
      <c r="G62" s="17"/>
    </row>
    <row r="63" spans="1:7" x14ac:dyDescent="0.35">
      <c r="A63" s="13" t="s">
        <v>1194</v>
      </c>
      <c r="B63" s="41" t="s">
        <v>1195</v>
      </c>
      <c r="C63" s="41" t="s">
        <v>1188</v>
      </c>
      <c r="D63" s="15">
        <v>9935</v>
      </c>
      <c r="E63" s="16">
        <v>707.62</v>
      </c>
      <c r="F63" s="17">
        <v>4.8999999999999998E-3</v>
      </c>
      <c r="G63" s="17"/>
    </row>
    <row r="64" spans="1:7" x14ac:dyDescent="0.35">
      <c r="A64" s="13" t="s">
        <v>1808</v>
      </c>
      <c r="B64" s="41" t="s">
        <v>1809</v>
      </c>
      <c r="C64" s="41" t="s">
        <v>1266</v>
      </c>
      <c r="D64" s="15">
        <v>18137</v>
      </c>
      <c r="E64" s="16">
        <v>669.16</v>
      </c>
      <c r="F64" s="17">
        <v>4.5999999999999999E-3</v>
      </c>
      <c r="G64" s="17"/>
    </row>
    <row r="65" spans="1:7" x14ac:dyDescent="0.35">
      <c r="A65" s="13" t="s">
        <v>2005</v>
      </c>
      <c r="B65" s="41" t="s">
        <v>2006</v>
      </c>
      <c r="C65" s="41" t="s">
        <v>1305</v>
      </c>
      <c r="D65" s="15">
        <v>250236</v>
      </c>
      <c r="E65" s="16">
        <v>641.86</v>
      </c>
      <c r="F65" s="17">
        <v>4.4000000000000003E-3</v>
      </c>
      <c r="G65" s="17"/>
    </row>
    <row r="66" spans="1:7" x14ac:dyDescent="0.35">
      <c r="A66" s="13" t="s">
        <v>1516</v>
      </c>
      <c r="B66" s="41" t="s">
        <v>1517</v>
      </c>
      <c r="C66" s="41" t="s">
        <v>1188</v>
      </c>
      <c r="D66" s="15">
        <v>180252</v>
      </c>
      <c r="E66" s="16">
        <v>630.97</v>
      </c>
      <c r="F66" s="17">
        <v>4.4000000000000003E-3</v>
      </c>
      <c r="G66" s="17"/>
    </row>
    <row r="67" spans="1:7" x14ac:dyDescent="0.35">
      <c r="A67" s="13" t="s">
        <v>1361</v>
      </c>
      <c r="B67" s="41" t="s">
        <v>1362</v>
      </c>
      <c r="C67" s="41" t="s">
        <v>1229</v>
      </c>
      <c r="D67" s="15">
        <v>74013</v>
      </c>
      <c r="E67" s="16">
        <v>630.22</v>
      </c>
      <c r="F67" s="17">
        <v>4.4000000000000003E-3</v>
      </c>
      <c r="G67" s="17"/>
    </row>
    <row r="68" spans="1:7" x14ac:dyDescent="0.35">
      <c r="A68" s="13" t="s">
        <v>1470</v>
      </c>
      <c r="B68" s="41" t="s">
        <v>1471</v>
      </c>
      <c r="C68" s="41" t="s">
        <v>1382</v>
      </c>
      <c r="D68" s="15">
        <v>51865</v>
      </c>
      <c r="E68" s="16">
        <v>613.20000000000005</v>
      </c>
      <c r="F68" s="17">
        <v>4.1999999999999997E-3</v>
      </c>
      <c r="G68" s="17"/>
    </row>
    <row r="69" spans="1:7" x14ac:dyDescent="0.35">
      <c r="A69" s="13" t="s">
        <v>1291</v>
      </c>
      <c r="B69" s="41" t="s">
        <v>1292</v>
      </c>
      <c r="C69" s="41" t="s">
        <v>1206</v>
      </c>
      <c r="D69" s="15">
        <v>128150</v>
      </c>
      <c r="E69" s="16">
        <v>547.20000000000005</v>
      </c>
      <c r="F69" s="17">
        <v>3.8E-3</v>
      </c>
      <c r="G69" s="17"/>
    </row>
    <row r="70" spans="1:7" x14ac:dyDescent="0.35">
      <c r="A70" s="13" t="s">
        <v>1449</v>
      </c>
      <c r="B70" s="41" t="s">
        <v>1450</v>
      </c>
      <c r="C70" s="41" t="s">
        <v>1229</v>
      </c>
      <c r="D70" s="15">
        <v>54520</v>
      </c>
      <c r="E70" s="16">
        <v>521.65</v>
      </c>
      <c r="F70" s="17">
        <v>3.5999999999999999E-3</v>
      </c>
      <c r="G70" s="17"/>
    </row>
    <row r="71" spans="1:7" x14ac:dyDescent="0.35">
      <c r="A71" s="13" t="s">
        <v>1281</v>
      </c>
      <c r="B71" s="41" t="s">
        <v>1282</v>
      </c>
      <c r="C71" s="41" t="s">
        <v>1234</v>
      </c>
      <c r="D71" s="15">
        <v>23940</v>
      </c>
      <c r="E71" s="16">
        <v>482.61</v>
      </c>
      <c r="F71" s="17">
        <v>3.3E-3</v>
      </c>
      <c r="G71" s="17"/>
    </row>
    <row r="72" spans="1:7" x14ac:dyDescent="0.35">
      <c r="A72" s="13" t="s">
        <v>1814</v>
      </c>
      <c r="B72" s="41" t="s">
        <v>1815</v>
      </c>
      <c r="C72" s="41" t="s">
        <v>1234</v>
      </c>
      <c r="D72" s="15">
        <v>1711</v>
      </c>
      <c r="E72" s="16">
        <v>471.64</v>
      </c>
      <c r="F72" s="17">
        <v>3.3E-3</v>
      </c>
      <c r="G72" s="17"/>
    </row>
    <row r="73" spans="1:7" x14ac:dyDescent="0.35">
      <c r="A73" s="13" t="s">
        <v>1941</v>
      </c>
      <c r="B73" s="41" t="s">
        <v>1942</v>
      </c>
      <c r="C73" s="41" t="s">
        <v>1198</v>
      </c>
      <c r="D73" s="15">
        <v>26816</v>
      </c>
      <c r="E73" s="16">
        <v>414.25</v>
      </c>
      <c r="F73" s="17">
        <v>2.8999999999999998E-3</v>
      </c>
      <c r="G73" s="17"/>
    </row>
    <row r="74" spans="1:7" x14ac:dyDescent="0.35">
      <c r="A74" s="13" t="s">
        <v>2007</v>
      </c>
      <c r="B74" s="41" t="s">
        <v>2008</v>
      </c>
      <c r="C74" s="41" t="s">
        <v>1465</v>
      </c>
      <c r="D74" s="15">
        <v>151455</v>
      </c>
      <c r="E74" s="16">
        <v>377.43</v>
      </c>
      <c r="F74" s="17">
        <v>2.5999999999999999E-3</v>
      </c>
      <c r="G74" s="17"/>
    </row>
    <row r="75" spans="1:7" x14ac:dyDescent="0.35">
      <c r="A75" s="13" t="s">
        <v>1970</v>
      </c>
      <c r="B75" s="41" t="s">
        <v>1971</v>
      </c>
      <c r="C75" s="41" t="s">
        <v>1201</v>
      </c>
      <c r="D75" s="15">
        <v>25261</v>
      </c>
      <c r="E75" s="16">
        <v>369.47</v>
      </c>
      <c r="F75" s="17">
        <v>2.5999999999999999E-3</v>
      </c>
      <c r="G75" s="17"/>
    </row>
    <row r="76" spans="1:7" x14ac:dyDescent="0.35">
      <c r="A76" s="13" t="s">
        <v>2009</v>
      </c>
      <c r="B76" s="41" t="s">
        <v>2010</v>
      </c>
      <c r="C76" s="41" t="s">
        <v>1266</v>
      </c>
      <c r="D76" s="15">
        <v>242658</v>
      </c>
      <c r="E76" s="16">
        <v>301.58</v>
      </c>
      <c r="F76" s="17">
        <v>2.0999999999999999E-3</v>
      </c>
      <c r="G76" s="17"/>
    </row>
    <row r="77" spans="1:7" x14ac:dyDescent="0.35">
      <c r="A77" s="13" t="s">
        <v>2011</v>
      </c>
      <c r="B77" s="41" t="s">
        <v>2012</v>
      </c>
      <c r="C77" s="41" t="s">
        <v>1188</v>
      </c>
      <c r="D77" s="15">
        <v>11000</v>
      </c>
      <c r="E77" s="16">
        <v>241.58</v>
      </c>
      <c r="F77" s="17">
        <v>1.6999999999999999E-3</v>
      </c>
      <c r="G77" s="17"/>
    </row>
    <row r="78" spans="1:7" x14ac:dyDescent="0.35">
      <c r="A78" s="13" t="s">
        <v>2013</v>
      </c>
      <c r="B78" s="41" t="s">
        <v>2014</v>
      </c>
      <c r="C78" s="41" t="s">
        <v>1288</v>
      </c>
      <c r="D78" s="15">
        <v>1882</v>
      </c>
      <c r="E78" s="16">
        <v>77.400000000000006</v>
      </c>
      <c r="F78" s="17">
        <v>5.0000000000000001E-4</v>
      </c>
      <c r="G78" s="17"/>
    </row>
    <row r="79" spans="1:7" x14ac:dyDescent="0.35">
      <c r="A79" s="13" t="s">
        <v>1843</v>
      </c>
      <c r="B79" s="41" t="s">
        <v>1844</v>
      </c>
      <c r="C79" s="41" t="s">
        <v>1191</v>
      </c>
      <c r="D79" s="15">
        <v>56993</v>
      </c>
      <c r="E79" s="16">
        <v>20.62</v>
      </c>
      <c r="F79" s="17">
        <v>1E-4</v>
      </c>
      <c r="G79" s="17"/>
    </row>
    <row r="80" spans="1:7" x14ac:dyDescent="0.35">
      <c r="A80" s="13" t="s">
        <v>1847</v>
      </c>
      <c r="B80" s="41" t="s">
        <v>1848</v>
      </c>
      <c r="C80" s="41" t="s">
        <v>1849</v>
      </c>
      <c r="D80" s="15">
        <v>1739</v>
      </c>
      <c r="E80" s="16">
        <v>3.42</v>
      </c>
      <c r="F80" s="17">
        <v>0</v>
      </c>
      <c r="G80" s="17"/>
    </row>
    <row r="81" spans="1:7" x14ac:dyDescent="0.35">
      <c r="A81" s="14" t="s">
        <v>149</v>
      </c>
      <c r="B81" s="42"/>
      <c r="C81" s="42"/>
      <c r="D81" s="18"/>
      <c r="E81" s="19">
        <f>SUM(E8:E80)</f>
        <v>135572.81</v>
      </c>
      <c r="F81" s="20">
        <f>SUM(F8:F80)</f>
        <v>0.93899999999999995</v>
      </c>
      <c r="G81" s="21"/>
    </row>
    <row r="82" spans="1:7" x14ac:dyDescent="0.35">
      <c r="A82" s="14"/>
      <c r="B82" s="42"/>
      <c r="C82" s="42"/>
      <c r="D82" s="18"/>
      <c r="E82" s="26"/>
      <c r="F82" s="21"/>
      <c r="G82" s="21"/>
    </row>
    <row r="83" spans="1:7" x14ac:dyDescent="0.35">
      <c r="A83" s="14"/>
      <c r="B83" s="42"/>
      <c r="C83" s="42"/>
      <c r="D83" s="18"/>
      <c r="E83" s="26"/>
      <c r="F83" s="21"/>
      <c r="G83" s="21"/>
    </row>
    <row r="84" spans="1:7" x14ac:dyDescent="0.35">
      <c r="A84" s="58" t="s">
        <v>147</v>
      </c>
      <c r="B84" s="42"/>
      <c r="C84" s="42"/>
      <c r="D84" s="18"/>
      <c r="E84" s="26"/>
      <c r="F84" s="21"/>
      <c r="G84" s="21"/>
    </row>
    <row r="85" spans="1:7" x14ac:dyDescent="0.35">
      <c r="A85" s="58" t="s">
        <v>1249</v>
      </c>
      <c r="B85" s="41"/>
      <c r="C85" s="41"/>
      <c r="D85" s="15"/>
      <c r="E85" s="16"/>
      <c r="F85" s="17"/>
      <c r="G85" s="17"/>
    </row>
    <row r="86" spans="1:7" x14ac:dyDescent="0.35">
      <c r="A86" s="58" t="s">
        <v>1250</v>
      </c>
      <c r="B86" s="41"/>
      <c r="C86" s="41"/>
      <c r="D86" s="15"/>
      <c r="E86" s="16"/>
      <c r="F86" s="17"/>
      <c r="G86" s="17"/>
    </row>
    <row r="87" spans="1:7" x14ac:dyDescent="0.35">
      <c r="A87" s="13" t="s">
        <v>1251</v>
      </c>
      <c r="B87" s="41" t="s">
        <v>1252</v>
      </c>
      <c r="C87" s="41" t="s">
        <v>1188</v>
      </c>
      <c r="D87" s="15">
        <v>136780</v>
      </c>
      <c r="E87" s="16">
        <v>13.98</v>
      </c>
      <c r="F87" s="17">
        <v>1E-4</v>
      </c>
      <c r="G87" s="17">
        <v>6.3450000000000006E-2</v>
      </c>
    </row>
    <row r="88" spans="1:7" x14ac:dyDescent="0.35">
      <c r="A88" s="14" t="s">
        <v>149</v>
      </c>
      <c r="B88" s="42"/>
      <c r="C88" s="42"/>
      <c r="D88" s="18"/>
      <c r="E88" s="16">
        <v>13.98</v>
      </c>
      <c r="F88" s="17">
        <v>1E-4</v>
      </c>
      <c r="G88" s="21"/>
    </row>
    <row r="89" spans="1:7" x14ac:dyDescent="0.35">
      <c r="A89" s="22" t="s">
        <v>160</v>
      </c>
      <c r="B89" s="43"/>
      <c r="C89" s="43"/>
      <c r="D89" s="23"/>
      <c r="E89" s="36">
        <f>E88+E81</f>
        <v>135586.79</v>
      </c>
      <c r="F89" s="37">
        <f>F88+F81</f>
        <v>0.93909999999999993</v>
      </c>
      <c r="G89" s="21"/>
    </row>
    <row r="90" spans="1:7" x14ac:dyDescent="0.35">
      <c r="A90" s="13"/>
      <c r="B90" s="41"/>
      <c r="C90" s="41"/>
      <c r="D90" s="15"/>
      <c r="E90" s="16"/>
      <c r="F90" s="17"/>
      <c r="G90" s="17"/>
    </row>
    <row r="91" spans="1:7" x14ac:dyDescent="0.35">
      <c r="A91" s="14" t="s">
        <v>1571</v>
      </c>
      <c r="B91" s="41"/>
      <c r="C91" s="41"/>
      <c r="D91" s="15"/>
      <c r="E91" s="16"/>
      <c r="F91" s="17"/>
      <c r="G91" s="17"/>
    </row>
    <row r="92" spans="1:7" x14ac:dyDescent="0.35">
      <c r="A92" s="14" t="s">
        <v>1572</v>
      </c>
      <c r="B92" s="41"/>
      <c r="C92" s="41"/>
      <c r="D92" s="15"/>
      <c r="E92" s="16"/>
      <c r="F92" s="17"/>
      <c r="G92" s="17"/>
    </row>
    <row r="93" spans="1:7" x14ac:dyDescent="0.35">
      <c r="A93" s="13" t="s">
        <v>1856</v>
      </c>
      <c r="B93" s="41"/>
      <c r="C93" s="41" t="s">
        <v>1857</v>
      </c>
      <c r="D93" s="15">
        <v>9295</v>
      </c>
      <c r="E93" s="16">
        <v>2362.4499999999998</v>
      </c>
      <c r="F93" s="17">
        <v>1.6358000000000001E-2</v>
      </c>
      <c r="G93" s="17"/>
    </row>
    <row r="94" spans="1:7" x14ac:dyDescent="0.35">
      <c r="A94" s="13" t="s">
        <v>1853</v>
      </c>
      <c r="B94" s="41"/>
      <c r="C94" s="41" t="s">
        <v>1849</v>
      </c>
      <c r="D94" s="15">
        <v>810000</v>
      </c>
      <c r="E94" s="16">
        <v>1578.45</v>
      </c>
      <c r="F94" s="17">
        <v>1.0928999999999999E-2</v>
      </c>
      <c r="G94" s="17"/>
    </row>
    <row r="95" spans="1:7" x14ac:dyDescent="0.35">
      <c r="A95" s="14" t="s">
        <v>149</v>
      </c>
      <c r="B95" s="42"/>
      <c r="C95" s="42"/>
      <c r="D95" s="18"/>
      <c r="E95" s="19">
        <v>3940.9</v>
      </c>
      <c r="F95" s="20">
        <v>2.7286999999999999E-2</v>
      </c>
      <c r="G95" s="21"/>
    </row>
    <row r="96" spans="1:7" x14ac:dyDescent="0.35">
      <c r="A96" s="13"/>
      <c r="B96" s="41"/>
      <c r="C96" s="41"/>
      <c r="D96" s="15"/>
      <c r="E96" s="16"/>
      <c r="F96" s="17"/>
      <c r="G96" s="17"/>
    </row>
    <row r="97" spans="1:7" x14ac:dyDescent="0.35">
      <c r="A97" s="13"/>
      <c r="B97" s="41"/>
      <c r="C97" s="41"/>
      <c r="D97" s="15"/>
      <c r="E97" s="16"/>
      <c r="F97" s="17"/>
      <c r="G97" s="17"/>
    </row>
    <row r="98" spans="1:7" x14ac:dyDescent="0.35">
      <c r="A98" s="13"/>
      <c r="B98" s="41"/>
      <c r="C98" s="41"/>
      <c r="D98" s="15"/>
      <c r="E98" s="16"/>
      <c r="F98" s="17"/>
      <c r="G98" s="17"/>
    </row>
    <row r="99" spans="1:7" x14ac:dyDescent="0.35">
      <c r="A99" s="22" t="s">
        <v>160</v>
      </c>
      <c r="B99" s="43"/>
      <c r="C99" s="43"/>
      <c r="D99" s="23"/>
      <c r="E99" s="36">
        <v>3940.9</v>
      </c>
      <c r="F99" s="37">
        <v>2.7286999999999999E-2</v>
      </c>
      <c r="G99" s="21"/>
    </row>
    <row r="100" spans="1:7" x14ac:dyDescent="0.35">
      <c r="A100" s="13"/>
      <c r="B100" s="41"/>
      <c r="C100" s="41"/>
      <c r="D100" s="15"/>
      <c r="E100" s="16"/>
      <c r="F100" s="17"/>
      <c r="G100" s="17"/>
    </row>
    <row r="101" spans="1:7" x14ac:dyDescent="0.35">
      <c r="A101" s="14" t="s">
        <v>161</v>
      </c>
      <c r="B101" s="41"/>
      <c r="C101" s="41"/>
      <c r="D101" s="15"/>
      <c r="E101" s="16"/>
      <c r="F101" s="17"/>
      <c r="G101" s="17"/>
    </row>
    <row r="102" spans="1:7" x14ac:dyDescent="0.35">
      <c r="A102" s="13"/>
      <c r="B102" s="41"/>
      <c r="C102" s="41"/>
      <c r="D102" s="15"/>
      <c r="E102" s="16"/>
      <c r="F102" s="17"/>
      <c r="G102" s="17"/>
    </row>
    <row r="103" spans="1:7" x14ac:dyDescent="0.35">
      <c r="A103" s="14" t="s">
        <v>162</v>
      </c>
      <c r="B103" s="41"/>
      <c r="C103" s="41"/>
      <c r="D103" s="15"/>
      <c r="E103" s="16"/>
      <c r="F103" s="17"/>
      <c r="G103" s="17"/>
    </row>
    <row r="104" spans="1:7" x14ac:dyDescent="0.35">
      <c r="A104" s="13" t="s">
        <v>925</v>
      </c>
      <c r="B104" s="41" t="s">
        <v>926</v>
      </c>
      <c r="C104" s="41" t="s">
        <v>153</v>
      </c>
      <c r="D104" s="15">
        <v>350000</v>
      </c>
      <c r="E104" s="16">
        <v>349.81</v>
      </c>
      <c r="F104" s="17">
        <v>2.3999999999999998E-3</v>
      </c>
      <c r="G104" s="17">
        <v>5.0763000000000003E-2</v>
      </c>
    </row>
    <row r="105" spans="1:7" x14ac:dyDescent="0.35">
      <c r="A105" s="13" t="s">
        <v>1947</v>
      </c>
      <c r="B105" s="41" t="s">
        <v>1948</v>
      </c>
      <c r="C105" s="41" t="s">
        <v>153</v>
      </c>
      <c r="D105" s="15">
        <v>350000</v>
      </c>
      <c r="E105" s="16">
        <v>346.91</v>
      </c>
      <c r="F105" s="17">
        <v>2.3999999999999998E-3</v>
      </c>
      <c r="G105" s="17">
        <v>5.4200999999999999E-2</v>
      </c>
    </row>
    <row r="106" spans="1:7" x14ac:dyDescent="0.35">
      <c r="A106" s="14" t="s">
        <v>149</v>
      </c>
      <c r="B106" s="42"/>
      <c r="C106" s="42"/>
      <c r="D106" s="18"/>
      <c r="E106" s="19">
        <v>696.72</v>
      </c>
      <c r="F106" s="20">
        <v>4.7999999999999996E-3</v>
      </c>
      <c r="G106" s="21"/>
    </row>
    <row r="107" spans="1:7" x14ac:dyDescent="0.35">
      <c r="A107" s="13"/>
      <c r="B107" s="41"/>
      <c r="C107" s="41"/>
      <c r="D107" s="15"/>
      <c r="E107" s="16"/>
      <c r="F107" s="17"/>
      <c r="G107" s="17"/>
    </row>
    <row r="108" spans="1:7" x14ac:dyDescent="0.35">
      <c r="A108" s="22" t="s">
        <v>160</v>
      </c>
      <c r="B108" s="43"/>
      <c r="C108" s="43"/>
      <c r="D108" s="23"/>
      <c r="E108" s="36">
        <v>696.72</v>
      </c>
      <c r="F108" s="37">
        <v>4.7999999999999996E-3</v>
      </c>
      <c r="G108" s="21"/>
    </row>
    <row r="109" spans="1:7" x14ac:dyDescent="0.35">
      <c r="A109" s="13"/>
      <c r="B109" s="41"/>
      <c r="C109" s="41"/>
      <c r="D109" s="15"/>
      <c r="E109" s="16"/>
      <c r="F109" s="17"/>
      <c r="G109" s="17"/>
    </row>
    <row r="110" spans="1:7" x14ac:dyDescent="0.35">
      <c r="A110" s="13"/>
      <c r="B110" s="41"/>
      <c r="C110" s="41"/>
      <c r="D110" s="15"/>
      <c r="E110" s="16"/>
      <c r="F110" s="17"/>
      <c r="G110" s="17"/>
    </row>
    <row r="111" spans="1:7" x14ac:dyDescent="0.35">
      <c r="A111" s="14" t="s">
        <v>255</v>
      </c>
      <c r="B111" s="41"/>
      <c r="C111" s="41"/>
      <c r="D111" s="15"/>
      <c r="E111" s="16"/>
      <c r="F111" s="17"/>
      <c r="G111" s="17"/>
    </row>
    <row r="112" spans="1:7" x14ac:dyDescent="0.35">
      <c r="A112" s="13" t="s">
        <v>257</v>
      </c>
      <c r="B112" s="41"/>
      <c r="C112" s="41"/>
      <c r="D112" s="15"/>
      <c r="E112" s="16">
        <v>8205.51</v>
      </c>
      <c r="F112" s="17">
        <v>5.6800000000000003E-2</v>
      </c>
      <c r="G112" s="17">
        <v>5.1742000000000003E-2</v>
      </c>
    </row>
    <row r="113" spans="1:7" x14ac:dyDescent="0.35">
      <c r="A113" s="14" t="s">
        <v>149</v>
      </c>
      <c r="B113" s="42"/>
      <c r="C113" s="42"/>
      <c r="D113" s="18"/>
      <c r="E113" s="19">
        <v>8205.51</v>
      </c>
      <c r="F113" s="20">
        <v>5.6800000000000003E-2</v>
      </c>
      <c r="G113" s="21"/>
    </row>
    <row r="114" spans="1:7" x14ac:dyDescent="0.35">
      <c r="A114" s="13"/>
      <c r="B114" s="41"/>
      <c r="C114" s="41"/>
      <c r="D114" s="15"/>
      <c r="E114" s="16"/>
      <c r="F114" s="17"/>
      <c r="G114" s="17"/>
    </row>
    <row r="115" spans="1:7" x14ac:dyDescent="0.35">
      <c r="A115" s="22" t="s">
        <v>160</v>
      </c>
      <c r="B115" s="43"/>
      <c r="C115" s="43"/>
      <c r="D115" s="23"/>
      <c r="E115" s="36">
        <v>8205.51</v>
      </c>
      <c r="F115" s="37">
        <v>5.6800000000000003E-2</v>
      </c>
      <c r="G115" s="21"/>
    </row>
    <row r="116" spans="1:7" x14ac:dyDescent="0.35">
      <c r="A116" s="13" t="s">
        <v>258</v>
      </c>
      <c r="B116" s="41"/>
      <c r="C116" s="41"/>
      <c r="D116" s="15"/>
      <c r="E116" s="16">
        <v>2.3264083000000002</v>
      </c>
      <c r="F116" s="17">
        <v>1.5999999999999999E-5</v>
      </c>
      <c r="G116" s="17"/>
    </row>
    <row r="117" spans="1:7" x14ac:dyDescent="0.35">
      <c r="A117" s="13" t="s">
        <v>259</v>
      </c>
      <c r="B117" s="41"/>
      <c r="C117" s="41"/>
      <c r="D117" s="15"/>
      <c r="E117" s="28">
        <v>-73.396408300000004</v>
      </c>
      <c r="F117" s="29">
        <v>-7.1599999999999995E-4</v>
      </c>
      <c r="G117" s="17">
        <v>5.1741000000000002E-2</v>
      </c>
    </row>
    <row r="118" spans="1:7" x14ac:dyDescent="0.35">
      <c r="A118" s="38" t="s">
        <v>260</v>
      </c>
      <c r="B118" s="44"/>
      <c r="C118" s="44"/>
      <c r="D118" s="39"/>
      <c r="E118" s="24">
        <v>144417.95000000001</v>
      </c>
      <c r="F118" s="25">
        <v>1</v>
      </c>
      <c r="G118" s="25"/>
    </row>
    <row r="120" spans="1:7" x14ac:dyDescent="0.35">
      <c r="A120" s="1" t="s">
        <v>1794</v>
      </c>
    </row>
    <row r="123" spans="1:7" x14ac:dyDescent="0.35">
      <c r="A123" s="1" t="s">
        <v>263</v>
      </c>
    </row>
    <row r="124" spans="1:7" x14ac:dyDescent="0.35">
      <c r="A124" s="47" t="s">
        <v>264</v>
      </c>
      <c r="B124" s="3" t="s">
        <v>146</v>
      </c>
    </row>
    <row r="125" spans="1:7" x14ac:dyDescent="0.35">
      <c r="A125" t="s">
        <v>265</v>
      </c>
    </row>
    <row r="126" spans="1:7" x14ac:dyDescent="0.35">
      <c r="A126" t="s">
        <v>266</v>
      </c>
      <c r="B126" t="s">
        <v>267</v>
      </c>
      <c r="C126" t="s">
        <v>267</v>
      </c>
    </row>
    <row r="127" spans="1:7" x14ac:dyDescent="0.35">
      <c r="B127" s="49">
        <v>46022</v>
      </c>
      <c r="C127" s="49">
        <v>46052</v>
      </c>
    </row>
    <row r="128" spans="1:7" x14ac:dyDescent="0.35">
      <c r="A128" t="s">
        <v>272</v>
      </c>
      <c r="B128">
        <v>100.62</v>
      </c>
      <c r="C128">
        <v>98.23</v>
      </c>
    </row>
    <row r="129" spans="1:3" x14ac:dyDescent="0.35">
      <c r="A129" t="s">
        <v>273</v>
      </c>
      <c r="B129">
        <v>40.98</v>
      </c>
      <c r="C129">
        <v>40.01</v>
      </c>
    </row>
    <row r="130" spans="1:3" x14ac:dyDescent="0.35">
      <c r="A130" t="s">
        <v>2015</v>
      </c>
      <c r="B130">
        <v>87.58</v>
      </c>
      <c r="C130">
        <v>85.4</v>
      </c>
    </row>
    <row r="131" spans="1:3" x14ac:dyDescent="0.35">
      <c r="A131" t="s">
        <v>2016</v>
      </c>
      <c r="B131">
        <v>88.63</v>
      </c>
      <c r="C131">
        <v>86.42</v>
      </c>
    </row>
    <row r="132" spans="1:3" x14ac:dyDescent="0.35">
      <c r="A132" t="s">
        <v>2017</v>
      </c>
      <c r="B132">
        <v>86.44</v>
      </c>
      <c r="C132">
        <v>84.28</v>
      </c>
    </row>
    <row r="133" spans="1:3" x14ac:dyDescent="0.35">
      <c r="A133" t="s">
        <v>2018</v>
      </c>
      <c r="B133">
        <v>70.650000000000006</v>
      </c>
      <c r="C133">
        <v>68.89</v>
      </c>
    </row>
    <row r="134" spans="1:3" x14ac:dyDescent="0.35">
      <c r="A134" t="s">
        <v>708</v>
      </c>
      <c r="B134">
        <v>87.06</v>
      </c>
      <c r="C134">
        <v>84.88</v>
      </c>
    </row>
    <row r="135" spans="1:3" x14ac:dyDescent="0.35">
      <c r="A135" t="s">
        <v>709</v>
      </c>
      <c r="B135">
        <v>28.7</v>
      </c>
      <c r="C135">
        <v>27.99</v>
      </c>
    </row>
    <row r="137" spans="1:3" x14ac:dyDescent="0.35">
      <c r="A137" t="s">
        <v>283</v>
      </c>
      <c r="B137" s="3" t="s">
        <v>146</v>
      </c>
    </row>
    <row r="138" spans="1:3" x14ac:dyDescent="0.35">
      <c r="A138" t="s">
        <v>284</v>
      </c>
      <c r="B138" s="3" t="s">
        <v>146</v>
      </c>
    </row>
    <row r="139" spans="1:3" ht="29" customHeight="1" x14ac:dyDescent="0.35">
      <c r="A139" s="47" t="s">
        <v>285</v>
      </c>
      <c r="B139" s="3" t="s">
        <v>146</v>
      </c>
    </row>
    <row r="140" spans="1:3" ht="29" customHeight="1" x14ac:dyDescent="0.35">
      <c r="A140" s="47" t="s">
        <v>286</v>
      </c>
      <c r="B140" s="3" t="s">
        <v>146</v>
      </c>
    </row>
    <row r="141" spans="1:3" x14ac:dyDescent="0.35">
      <c r="A141" t="s">
        <v>1253</v>
      </c>
      <c r="B141" s="48">
        <v>1.3041</v>
      </c>
    </row>
    <row r="142" spans="1:3" ht="43.5" customHeight="1" x14ac:dyDescent="0.35">
      <c r="A142" s="47" t="s">
        <v>288</v>
      </c>
      <c r="B142" s="3">
        <v>3940.9013799999998</v>
      </c>
    </row>
    <row r="143" spans="1:3" x14ac:dyDescent="0.35">
      <c r="B143" s="3"/>
    </row>
    <row r="144" spans="1:3" ht="29" customHeight="1" x14ac:dyDescent="0.35">
      <c r="A144" s="47" t="s">
        <v>289</v>
      </c>
      <c r="B144" s="3" t="s">
        <v>146</v>
      </c>
    </row>
    <row r="145" spans="1:4" ht="29" customHeight="1" x14ac:dyDescent="0.35">
      <c r="A145" s="47" t="s">
        <v>290</v>
      </c>
      <c r="B145">
        <v>4031.47</v>
      </c>
    </row>
    <row r="146" spans="1:4" ht="29" customHeight="1" x14ac:dyDescent="0.35">
      <c r="A146" s="47" t="s">
        <v>291</v>
      </c>
      <c r="B146" s="3" t="s">
        <v>146</v>
      </c>
    </row>
    <row r="147" spans="1:4" ht="29" customHeight="1" x14ac:dyDescent="0.35">
      <c r="A147" s="47" t="s">
        <v>292</v>
      </c>
      <c r="B147" s="3" t="s">
        <v>146</v>
      </c>
    </row>
    <row r="149" spans="1:4" ht="70" customHeight="1" x14ac:dyDescent="0.35">
      <c r="A149" s="70" t="s">
        <v>303</v>
      </c>
      <c r="B149" s="70" t="s">
        <v>304</v>
      </c>
      <c r="C149" s="70" t="s">
        <v>4</v>
      </c>
      <c r="D149" s="70" t="s">
        <v>5</v>
      </c>
    </row>
    <row r="150" spans="1:4" ht="70" customHeight="1" x14ac:dyDescent="0.35">
      <c r="A150" s="70" t="s">
        <v>2019</v>
      </c>
      <c r="B150" s="70"/>
      <c r="C150" s="70" t="s">
        <v>65</v>
      </c>
      <c r="D15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150"/>
  <sheetViews>
    <sheetView showGridLines="0" workbookViewId="0">
      <pane ySplit="4" topLeftCell="A72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2020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2021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2190827</v>
      </c>
      <c r="E8" s="16">
        <v>20358.259999999998</v>
      </c>
      <c r="F8" s="17">
        <v>6.5000000000000002E-2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1124807</v>
      </c>
      <c r="E9" s="16">
        <v>15241.13</v>
      </c>
      <c r="F9" s="17">
        <v>4.8599999999999997E-2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794855</v>
      </c>
      <c r="E10" s="16">
        <v>11091.41</v>
      </c>
      <c r="F10" s="17">
        <v>3.5400000000000001E-2</v>
      </c>
      <c r="G10" s="17"/>
    </row>
    <row r="11" spans="1:7" x14ac:dyDescent="0.35">
      <c r="A11" s="13" t="s">
        <v>1176</v>
      </c>
      <c r="B11" s="41" t="s">
        <v>1177</v>
      </c>
      <c r="C11" s="41" t="s">
        <v>1178</v>
      </c>
      <c r="D11" s="15">
        <v>926234</v>
      </c>
      <c r="E11" s="16">
        <v>9976.93</v>
      </c>
      <c r="F11" s="17">
        <v>3.1800000000000002E-2</v>
      </c>
      <c r="G11" s="17"/>
    </row>
    <row r="12" spans="1:7" x14ac:dyDescent="0.35">
      <c r="A12" s="13" t="s">
        <v>1385</v>
      </c>
      <c r="B12" s="41" t="s">
        <v>1386</v>
      </c>
      <c r="C12" s="41" t="s">
        <v>1387</v>
      </c>
      <c r="D12" s="15">
        <v>241612</v>
      </c>
      <c r="E12" s="16">
        <v>9500.91</v>
      </c>
      <c r="F12" s="17">
        <v>3.0300000000000001E-2</v>
      </c>
      <c r="G12" s="17"/>
    </row>
    <row r="13" spans="1:7" x14ac:dyDescent="0.35">
      <c r="A13" s="13" t="s">
        <v>1367</v>
      </c>
      <c r="B13" s="41" t="s">
        <v>1368</v>
      </c>
      <c r="C13" s="41" t="s">
        <v>1369</v>
      </c>
      <c r="D13" s="15">
        <v>532965</v>
      </c>
      <c r="E13" s="16">
        <v>8745.9599999999991</v>
      </c>
      <c r="F13" s="17">
        <v>2.7900000000000001E-2</v>
      </c>
      <c r="G13" s="17"/>
    </row>
    <row r="14" spans="1:7" x14ac:dyDescent="0.35">
      <c r="A14" s="13" t="s">
        <v>1351</v>
      </c>
      <c r="B14" s="41" t="s">
        <v>1352</v>
      </c>
      <c r="C14" s="41" t="s">
        <v>1305</v>
      </c>
      <c r="D14" s="15">
        <v>2209438</v>
      </c>
      <c r="E14" s="16">
        <v>7865.6</v>
      </c>
      <c r="F14" s="17">
        <v>2.5100000000000001E-2</v>
      </c>
      <c r="G14" s="17"/>
    </row>
    <row r="15" spans="1:7" x14ac:dyDescent="0.35">
      <c r="A15" s="13" t="s">
        <v>1196</v>
      </c>
      <c r="B15" s="41" t="s">
        <v>1197</v>
      </c>
      <c r="C15" s="41" t="s">
        <v>1198</v>
      </c>
      <c r="D15" s="15">
        <v>375230</v>
      </c>
      <c r="E15" s="16">
        <v>7387.15</v>
      </c>
      <c r="F15" s="17">
        <v>2.3599999999999999E-2</v>
      </c>
      <c r="G15" s="17"/>
    </row>
    <row r="16" spans="1:7" x14ac:dyDescent="0.35">
      <c r="A16" s="13" t="s">
        <v>1222</v>
      </c>
      <c r="B16" s="41" t="s">
        <v>1223</v>
      </c>
      <c r="C16" s="41" t="s">
        <v>1224</v>
      </c>
      <c r="D16" s="15">
        <v>53675</v>
      </c>
      <c r="E16" s="16">
        <v>6813.5</v>
      </c>
      <c r="F16" s="17">
        <v>2.1700000000000001E-2</v>
      </c>
      <c r="G16" s="17"/>
    </row>
    <row r="17" spans="1:7" x14ac:dyDescent="0.35">
      <c r="A17" s="13" t="s">
        <v>1310</v>
      </c>
      <c r="B17" s="41" t="s">
        <v>1311</v>
      </c>
      <c r="C17" s="41" t="s">
        <v>1261</v>
      </c>
      <c r="D17" s="15">
        <v>3492787</v>
      </c>
      <c r="E17" s="16">
        <v>6745.62</v>
      </c>
      <c r="F17" s="17">
        <v>2.1499999999999998E-2</v>
      </c>
      <c r="G17" s="17"/>
    </row>
    <row r="18" spans="1:7" x14ac:dyDescent="0.35">
      <c r="A18" s="13" t="s">
        <v>1278</v>
      </c>
      <c r="B18" s="41" t="s">
        <v>1279</v>
      </c>
      <c r="C18" s="41" t="s">
        <v>1280</v>
      </c>
      <c r="D18" s="15">
        <v>240895</v>
      </c>
      <c r="E18" s="16">
        <v>6089.83</v>
      </c>
      <c r="F18" s="17">
        <v>1.9400000000000001E-2</v>
      </c>
      <c r="G18" s="17"/>
    </row>
    <row r="19" spans="1:7" x14ac:dyDescent="0.35">
      <c r="A19" s="13" t="s">
        <v>1295</v>
      </c>
      <c r="B19" s="41" t="s">
        <v>1296</v>
      </c>
      <c r="C19" s="41" t="s">
        <v>1188</v>
      </c>
      <c r="D19" s="15">
        <v>173883</v>
      </c>
      <c r="E19" s="16">
        <v>5967.32</v>
      </c>
      <c r="F19" s="17">
        <v>1.9E-2</v>
      </c>
      <c r="G19" s="17"/>
    </row>
    <row r="20" spans="1:7" x14ac:dyDescent="0.35">
      <c r="A20" s="13" t="s">
        <v>1209</v>
      </c>
      <c r="B20" s="41" t="s">
        <v>1210</v>
      </c>
      <c r="C20" s="41" t="s">
        <v>1211</v>
      </c>
      <c r="D20" s="15">
        <v>633716</v>
      </c>
      <c r="E20" s="16">
        <v>5892.61</v>
      </c>
      <c r="F20" s="17">
        <v>1.8800000000000001E-2</v>
      </c>
      <c r="G20" s="17"/>
    </row>
    <row r="21" spans="1:7" x14ac:dyDescent="0.35">
      <c r="A21" s="13" t="s">
        <v>1314</v>
      </c>
      <c r="B21" s="41" t="s">
        <v>1315</v>
      </c>
      <c r="C21" s="41" t="s">
        <v>1211</v>
      </c>
      <c r="D21" s="15">
        <v>519565</v>
      </c>
      <c r="E21" s="16">
        <v>5299.56</v>
      </c>
      <c r="F21" s="17">
        <v>1.6899999999999998E-2</v>
      </c>
      <c r="G21" s="17"/>
    </row>
    <row r="22" spans="1:7" x14ac:dyDescent="0.35">
      <c r="A22" s="13" t="s">
        <v>1199</v>
      </c>
      <c r="B22" s="41" t="s">
        <v>1200</v>
      </c>
      <c r="C22" s="41" t="s">
        <v>1201</v>
      </c>
      <c r="D22" s="15">
        <v>126676</v>
      </c>
      <c r="E22" s="16">
        <v>5038.41</v>
      </c>
      <c r="F22" s="17">
        <v>1.61E-2</v>
      </c>
      <c r="G22" s="17"/>
    </row>
    <row r="23" spans="1:7" x14ac:dyDescent="0.35">
      <c r="A23" s="13" t="s">
        <v>1937</v>
      </c>
      <c r="B23" s="41" t="s">
        <v>1938</v>
      </c>
      <c r="C23" s="41" t="s">
        <v>1301</v>
      </c>
      <c r="D23" s="15">
        <v>978649</v>
      </c>
      <c r="E23" s="16">
        <v>4991.6000000000004</v>
      </c>
      <c r="F23" s="17">
        <v>1.5900000000000001E-2</v>
      </c>
      <c r="G23" s="17"/>
    </row>
    <row r="24" spans="1:7" x14ac:dyDescent="0.35">
      <c r="A24" s="13" t="s">
        <v>1235</v>
      </c>
      <c r="B24" s="41" t="s">
        <v>1236</v>
      </c>
      <c r="C24" s="41" t="s">
        <v>1178</v>
      </c>
      <c r="D24" s="15">
        <v>1169615</v>
      </c>
      <c r="E24" s="16">
        <v>4772.03</v>
      </c>
      <c r="F24" s="17">
        <v>1.52E-2</v>
      </c>
      <c r="G24" s="17"/>
    </row>
    <row r="25" spans="1:7" x14ac:dyDescent="0.35">
      <c r="A25" s="13" t="s">
        <v>1547</v>
      </c>
      <c r="B25" s="41" t="s">
        <v>1548</v>
      </c>
      <c r="C25" s="41" t="s">
        <v>1369</v>
      </c>
      <c r="D25" s="15">
        <v>76035</v>
      </c>
      <c r="E25" s="16">
        <v>4588.71</v>
      </c>
      <c r="F25" s="17">
        <v>1.46E-2</v>
      </c>
      <c r="G25" s="17"/>
    </row>
    <row r="26" spans="1:7" x14ac:dyDescent="0.35">
      <c r="A26" s="13" t="s">
        <v>1403</v>
      </c>
      <c r="B26" s="41" t="s">
        <v>1404</v>
      </c>
      <c r="C26" s="41" t="s">
        <v>1234</v>
      </c>
      <c r="D26" s="15">
        <v>74421</v>
      </c>
      <c r="E26" s="16">
        <v>4503.21</v>
      </c>
      <c r="F26" s="17">
        <v>1.44E-2</v>
      </c>
      <c r="G26" s="17"/>
    </row>
    <row r="27" spans="1:7" x14ac:dyDescent="0.35">
      <c r="A27" s="13" t="s">
        <v>1361</v>
      </c>
      <c r="B27" s="41" t="s">
        <v>1362</v>
      </c>
      <c r="C27" s="41" t="s">
        <v>1229</v>
      </c>
      <c r="D27" s="15">
        <v>517328</v>
      </c>
      <c r="E27" s="16">
        <v>4405.05</v>
      </c>
      <c r="F27" s="17">
        <v>1.41E-2</v>
      </c>
      <c r="G27" s="17"/>
    </row>
    <row r="28" spans="1:7" x14ac:dyDescent="0.35">
      <c r="A28" s="13" t="s">
        <v>1553</v>
      </c>
      <c r="B28" s="41" t="s">
        <v>1554</v>
      </c>
      <c r="C28" s="41" t="s">
        <v>1211</v>
      </c>
      <c r="D28" s="15">
        <v>109389</v>
      </c>
      <c r="E28" s="16">
        <v>4189.16</v>
      </c>
      <c r="F28" s="17">
        <v>1.34E-2</v>
      </c>
      <c r="G28" s="17"/>
    </row>
    <row r="29" spans="1:7" x14ac:dyDescent="0.35">
      <c r="A29" s="13" t="s">
        <v>1472</v>
      </c>
      <c r="B29" s="41" t="s">
        <v>1473</v>
      </c>
      <c r="C29" s="41" t="s">
        <v>1419</v>
      </c>
      <c r="D29" s="15">
        <v>423900</v>
      </c>
      <c r="E29" s="16">
        <v>4080.46</v>
      </c>
      <c r="F29" s="17">
        <v>1.2999999999999999E-2</v>
      </c>
      <c r="G29" s="17"/>
    </row>
    <row r="30" spans="1:7" x14ac:dyDescent="0.35">
      <c r="A30" s="13" t="s">
        <v>1241</v>
      </c>
      <c r="B30" s="41" t="s">
        <v>1242</v>
      </c>
      <c r="C30" s="41" t="s">
        <v>1216</v>
      </c>
      <c r="D30" s="15">
        <v>545098</v>
      </c>
      <c r="E30" s="16">
        <v>3978.13</v>
      </c>
      <c r="F30" s="17">
        <v>1.2699999999999999E-2</v>
      </c>
      <c r="G30" s="17"/>
    </row>
    <row r="31" spans="1:7" x14ac:dyDescent="0.35">
      <c r="A31" s="13" t="s">
        <v>1559</v>
      </c>
      <c r="B31" s="41" t="s">
        <v>1560</v>
      </c>
      <c r="C31" s="41" t="s">
        <v>1211</v>
      </c>
      <c r="D31" s="15">
        <v>1325235</v>
      </c>
      <c r="E31" s="16">
        <v>3794.81</v>
      </c>
      <c r="F31" s="17">
        <v>1.21E-2</v>
      </c>
      <c r="G31" s="17"/>
    </row>
    <row r="32" spans="1:7" x14ac:dyDescent="0.35">
      <c r="A32" s="13" t="s">
        <v>1289</v>
      </c>
      <c r="B32" s="41" t="s">
        <v>1290</v>
      </c>
      <c r="C32" s="41" t="s">
        <v>1285</v>
      </c>
      <c r="D32" s="15">
        <v>827523</v>
      </c>
      <c r="E32" s="16">
        <v>3715.58</v>
      </c>
      <c r="F32" s="17">
        <v>1.1900000000000001E-2</v>
      </c>
      <c r="G32" s="17"/>
    </row>
    <row r="33" spans="1:7" x14ac:dyDescent="0.35">
      <c r="A33" s="13" t="s">
        <v>1531</v>
      </c>
      <c r="B33" s="41" t="s">
        <v>1532</v>
      </c>
      <c r="C33" s="41" t="s">
        <v>1369</v>
      </c>
      <c r="D33" s="15">
        <v>222274</v>
      </c>
      <c r="E33" s="16">
        <v>3675.97</v>
      </c>
      <c r="F33" s="17">
        <v>1.17E-2</v>
      </c>
      <c r="G33" s="17"/>
    </row>
    <row r="34" spans="1:7" x14ac:dyDescent="0.35">
      <c r="A34" s="13" t="s">
        <v>2022</v>
      </c>
      <c r="B34" s="41" t="s">
        <v>2023</v>
      </c>
      <c r="C34" s="41" t="s">
        <v>1178</v>
      </c>
      <c r="D34" s="15">
        <v>1193620</v>
      </c>
      <c r="E34" s="16">
        <v>3601.75</v>
      </c>
      <c r="F34" s="17">
        <v>1.15E-2</v>
      </c>
      <c r="G34" s="17"/>
    </row>
    <row r="35" spans="1:7" x14ac:dyDescent="0.35">
      <c r="A35" s="13" t="s">
        <v>1214</v>
      </c>
      <c r="B35" s="41" t="s">
        <v>1215</v>
      </c>
      <c r="C35" s="41" t="s">
        <v>1216</v>
      </c>
      <c r="D35" s="15">
        <v>309531</v>
      </c>
      <c r="E35" s="16">
        <v>3509.77</v>
      </c>
      <c r="F35" s="17">
        <v>1.12E-2</v>
      </c>
      <c r="G35" s="17"/>
    </row>
    <row r="36" spans="1:7" x14ac:dyDescent="0.35">
      <c r="A36" s="13" t="s">
        <v>1192</v>
      </c>
      <c r="B36" s="41" t="s">
        <v>1193</v>
      </c>
      <c r="C36" s="41" t="s">
        <v>1191</v>
      </c>
      <c r="D36" s="15">
        <v>56693</v>
      </c>
      <c r="E36" s="16">
        <v>3322.49</v>
      </c>
      <c r="F36" s="17">
        <v>1.06E-2</v>
      </c>
      <c r="G36" s="17"/>
    </row>
    <row r="37" spans="1:7" x14ac:dyDescent="0.35">
      <c r="A37" s="13" t="s">
        <v>1212</v>
      </c>
      <c r="B37" s="41" t="s">
        <v>1213</v>
      </c>
      <c r="C37" s="41" t="s">
        <v>1188</v>
      </c>
      <c r="D37" s="15">
        <v>88242</v>
      </c>
      <c r="E37" s="16">
        <v>3245.01</v>
      </c>
      <c r="F37" s="17">
        <v>1.04E-2</v>
      </c>
      <c r="G37" s="17"/>
    </row>
    <row r="38" spans="1:7" x14ac:dyDescent="0.35">
      <c r="A38" s="13" t="s">
        <v>1488</v>
      </c>
      <c r="B38" s="41" t="s">
        <v>1489</v>
      </c>
      <c r="C38" s="41" t="s">
        <v>1275</v>
      </c>
      <c r="D38" s="15">
        <v>135313</v>
      </c>
      <c r="E38" s="16">
        <v>3210.98</v>
      </c>
      <c r="F38" s="17">
        <v>1.0200000000000001E-2</v>
      </c>
      <c r="G38" s="17"/>
    </row>
    <row r="39" spans="1:7" x14ac:dyDescent="0.35">
      <c r="A39" s="13" t="s">
        <v>1443</v>
      </c>
      <c r="B39" s="41" t="s">
        <v>1444</v>
      </c>
      <c r="C39" s="41" t="s">
        <v>1178</v>
      </c>
      <c r="D39" s="15">
        <v>3790945</v>
      </c>
      <c r="E39" s="16">
        <v>3168.47</v>
      </c>
      <c r="F39" s="17">
        <v>1.01E-2</v>
      </c>
      <c r="G39" s="17"/>
    </row>
    <row r="40" spans="1:7" x14ac:dyDescent="0.35">
      <c r="A40" s="13" t="s">
        <v>1426</v>
      </c>
      <c r="B40" s="41" t="s">
        <v>1427</v>
      </c>
      <c r="C40" s="41" t="s">
        <v>1178</v>
      </c>
      <c r="D40" s="15">
        <v>319871</v>
      </c>
      <c r="E40" s="16">
        <v>3142.25</v>
      </c>
      <c r="F40" s="17">
        <v>0.01</v>
      </c>
      <c r="G40" s="17"/>
    </row>
    <row r="41" spans="1:7" x14ac:dyDescent="0.35">
      <c r="A41" s="13" t="s">
        <v>1919</v>
      </c>
      <c r="B41" s="41" t="s">
        <v>1920</v>
      </c>
      <c r="C41" s="41" t="s">
        <v>1178</v>
      </c>
      <c r="D41" s="15">
        <v>2124745</v>
      </c>
      <c r="E41" s="16">
        <v>3132.3</v>
      </c>
      <c r="F41" s="17">
        <v>0.01</v>
      </c>
      <c r="G41" s="17"/>
    </row>
    <row r="42" spans="1:7" x14ac:dyDescent="0.35">
      <c r="A42" s="13" t="s">
        <v>1283</v>
      </c>
      <c r="B42" s="41" t="s">
        <v>1284</v>
      </c>
      <c r="C42" s="41" t="s">
        <v>1285</v>
      </c>
      <c r="D42" s="15">
        <v>67748</v>
      </c>
      <c r="E42" s="16">
        <v>3129.55</v>
      </c>
      <c r="F42" s="17">
        <v>0.01</v>
      </c>
      <c r="G42" s="17"/>
    </row>
    <row r="43" spans="1:7" x14ac:dyDescent="0.35">
      <c r="A43" s="13" t="s">
        <v>1463</v>
      </c>
      <c r="B43" s="41" t="s">
        <v>1464</v>
      </c>
      <c r="C43" s="41" t="s">
        <v>1465</v>
      </c>
      <c r="D43" s="15">
        <v>185575</v>
      </c>
      <c r="E43" s="16">
        <v>3070.34</v>
      </c>
      <c r="F43" s="17">
        <v>9.7999999999999997E-3</v>
      </c>
      <c r="G43" s="17"/>
    </row>
    <row r="44" spans="1:7" x14ac:dyDescent="0.35">
      <c r="A44" s="13" t="s">
        <v>1468</v>
      </c>
      <c r="B44" s="41" t="s">
        <v>1469</v>
      </c>
      <c r="C44" s="41" t="s">
        <v>1324</v>
      </c>
      <c r="D44" s="15">
        <v>181084</v>
      </c>
      <c r="E44" s="16">
        <v>3025.37</v>
      </c>
      <c r="F44" s="17">
        <v>9.7000000000000003E-3</v>
      </c>
      <c r="G44" s="17"/>
    </row>
    <row r="45" spans="1:7" x14ac:dyDescent="0.35">
      <c r="A45" s="13" t="s">
        <v>1931</v>
      </c>
      <c r="B45" s="41" t="s">
        <v>1932</v>
      </c>
      <c r="C45" s="41" t="s">
        <v>1261</v>
      </c>
      <c r="D45" s="15">
        <v>366902</v>
      </c>
      <c r="E45" s="16">
        <v>3017.95</v>
      </c>
      <c r="F45" s="17">
        <v>9.5999999999999992E-3</v>
      </c>
      <c r="G45" s="17"/>
    </row>
    <row r="46" spans="1:7" x14ac:dyDescent="0.35">
      <c r="A46" s="13" t="s">
        <v>1237</v>
      </c>
      <c r="B46" s="41" t="s">
        <v>1238</v>
      </c>
      <c r="C46" s="41" t="s">
        <v>1234</v>
      </c>
      <c r="D46" s="15">
        <v>187341</v>
      </c>
      <c r="E46" s="16">
        <v>2988.65</v>
      </c>
      <c r="F46" s="17">
        <v>9.4999999999999998E-3</v>
      </c>
      <c r="G46" s="17"/>
    </row>
    <row r="47" spans="1:7" x14ac:dyDescent="0.35">
      <c r="A47" s="13" t="s">
        <v>1993</v>
      </c>
      <c r="B47" s="41" t="s">
        <v>1994</v>
      </c>
      <c r="C47" s="41" t="s">
        <v>1288</v>
      </c>
      <c r="D47" s="15">
        <v>74270</v>
      </c>
      <c r="E47" s="16">
        <v>2986.47</v>
      </c>
      <c r="F47" s="17">
        <v>9.4999999999999998E-3</v>
      </c>
      <c r="G47" s="17"/>
    </row>
    <row r="48" spans="1:7" x14ac:dyDescent="0.35">
      <c r="A48" s="13" t="s">
        <v>1217</v>
      </c>
      <c r="B48" s="41" t="s">
        <v>1218</v>
      </c>
      <c r="C48" s="41" t="s">
        <v>1201</v>
      </c>
      <c r="D48" s="15">
        <v>122335</v>
      </c>
      <c r="E48" s="16">
        <v>2970.66</v>
      </c>
      <c r="F48" s="17">
        <v>9.4999999999999998E-3</v>
      </c>
      <c r="G48" s="17"/>
    </row>
    <row r="49" spans="1:7" x14ac:dyDescent="0.35">
      <c r="A49" s="13" t="s">
        <v>1945</v>
      </c>
      <c r="B49" s="41" t="s">
        <v>1946</v>
      </c>
      <c r="C49" s="41" t="s">
        <v>1211</v>
      </c>
      <c r="D49" s="15">
        <v>56273</v>
      </c>
      <c r="E49" s="16">
        <v>2970.09</v>
      </c>
      <c r="F49" s="17">
        <v>9.4999999999999998E-3</v>
      </c>
      <c r="G49" s="17"/>
    </row>
    <row r="50" spans="1:7" x14ac:dyDescent="0.35">
      <c r="A50" s="13" t="s">
        <v>2024</v>
      </c>
      <c r="B50" s="41" t="s">
        <v>2025</v>
      </c>
      <c r="C50" s="41" t="s">
        <v>1211</v>
      </c>
      <c r="D50" s="15">
        <v>223683</v>
      </c>
      <c r="E50" s="16">
        <v>2967.15</v>
      </c>
      <c r="F50" s="17">
        <v>9.4999999999999998E-3</v>
      </c>
      <c r="G50" s="17"/>
    </row>
    <row r="51" spans="1:7" x14ac:dyDescent="0.35">
      <c r="A51" s="13" t="s">
        <v>1943</v>
      </c>
      <c r="B51" s="41" t="s">
        <v>1944</v>
      </c>
      <c r="C51" s="41" t="s">
        <v>1360</v>
      </c>
      <c r="D51" s="15">
        <v>104713</v>
      </c>
      <c r="E51" s="16">
        <v>2961.39</v>
      </c>
      <c r="F51" s="17">
        <v>9.4999999999999998E-3</v>
      </c>
      <c r="G51" s="17"/>
    </row>
    <row r="52" spans="1:7" x14ac:dyDescent="0.35">
      <c r="A52" s="13" t="s">
        <v>1822</v>
      </c>
      <c r="B52" s="41" t="s">
        <v>1823</v>
      </c>
      <c r="C52" s="41" t="s">
        <v>1266</v>
      </c>
      <c r="D52" s="15">
        <v>2328639</v>
      </c>
      <c r="E52" s="16">
        <v>2932.92</v>
      </c>
      <c r="F52" s="17">
        <v>9.4000000000000004E-3</v>
      </c>
      <c r="G52" s="17"/>
    </row>
    <row r="53" spans="1:7" x14ac:dyDescent="0.35">
      <c r="A53" s="13" t="s">
        <v>1555</v>
      </c>
      <c r="B53" s="41" t="s">
        <v>1556</v>
      </c>
      <c r="C53" s="41" t="s">
        <v>1178</v>
      </c>
      <c r="D53" s="15">
        <v>318954</v>
      </c>
      <c r="E53" s="16">
        <v>2907.9</v>
      </c>
      <c r="F53" s="17">
        <v>9.2999999999999992E-3</v>
      </c>
      <c r="G53" s="17"/>
    </row>
    <row r="54" spans="1:7" x14ac:dyDescent="0.35">
      <c r="A54" s="13" t="s">
        <v>1186</v>
      </c>
      <c r="B54" s="41" t="s">
        <v>1187</v>
      </c>
      <c r="C54" s="41" t="s">
        <v>1188</v>
      </c>
      <c r="D54" s="15">
        <v>19765</v>
      </c>
      <c r="E54" s="16">
        <v>2885.49</v>
      </c>
      <c r="F54" s="17">
        <v>9.1999999999999998E-3</v>
      </c>
      <c r="G54" s="17"/>
    </row>
    <row r="55" spans="1:7" x14ac:dyDescent="0.35">
      <c r="A55" s="13" t="s">
        <v>1449</v>
      </c>
      <c r="B55" s="41" t="s">
        <v>1450</v>
      </c>
      <c r="C55" s="41" t="s">
        <v>1229</v>
      </c>
      <c r="D55" s="15">
        <v>300543</v>
      </c>
      <c r="E55" s="16">
        <v>2875.6</v>
      </c>
      <c r="F55" s="17">
        <v>9.1999999999999998E-3</v>
      </c>
      <c r="G55" s="17"/>
    </row>
    <row r="56" spans="1:7" x14ac:dyDescent="0.35">
      <c r="A56" s="13" t="s">
        <v>1262</v>
      </c>
      <c r="B56" s="41" t="s">
        <v>1263</v>
      </c>
      <c r="C56" s="41" t="s">
        <v>1178</v>
      </c>
      <c r="D56" s="15">
        <v>202190</v>
      </c>
      <c r="E56" s="16">
        <v>2770.81</v>
      </c>
      <c r="F56" s="17">
        <v>8.8000000000000005E-3</v>
      </c>
      <c r="G56" s="17"/>
    </row>
    <row r="57" spans="1:7" x14ac:dyDescent="0.35">
      <c r="A57" s="13" t="s">
        <v>1264</v>
      </c>
      <c r="B57" s="41" t="s">
        <v>1265</v>
      </c>
      <c r="C57" s="41" t="s">
        <v>1266</v>
      </c>
      <c r="D57" s="15">
        <v>1005893</v>
      </c>
      <c r="E57" s="16">
        <v>2752.12</v>
      </c>
      <c r="F57" s="17">
        <v>8.8000000000000005E-3</v>
      </c>
      <c r="G57" s="17"/>
    </row>
    <row r="58" spans="1:7" x14ac:dyDescent="0.35">
      <c r="A58" s="13" t="s">
        <v>1502</v>
      </c>
      <c r="B58" s="41" t="s">
        <v>1503</v>
      </c>
      <c r="C58" s="41" t="s">
        <v>1369</v>
      </c>
      <c r="D58" s="15">
        <v>159059</v>
      </c>
      <c r="E58" s="16">
        <v>2697</v>
      </c>
      <c r="F58" s="17">
        <v>8.6E-3</v>
      </c>
      <c r="G58" s="17"/>
    </row>
    <row r="59" spans="1:7" x14ac:dyDescent="0.35">
      <c r="A59" s="13" t="s">
        <v>1892</v>
      </c>
      <c r="B59" s="41" t="s">
        <v>1893</v>
      </c>
      <c r="C59" s="41" t="s">
        <v>1280</v>
      </c>
      <c r="D59" s="15">
        <v>261867</v>
      </c>
      <c r="E59" s="16">
        <v>2655.33</v>
      </c>
      <c r="F59" s="17">
        <v>8.5000000000000006E-3</v>
      </c>
      <c r="G59" s="17"/>
    </row>
    <row r="60" spans="1:7" x14ac:dyDescent="0.35">
      <c r="A60" s="13" t="s">
        <v>1410</v>
      </c>
      <c r="B60" s="41" t="s">
        <v>1411</v>
      </c>
      <c r="C60" s="41" t="s">
        <v>1412</v>
      </c>
      <c r="D60" s="15">
        <v>374013</v>
      </c>
      <c r="E60" s="16">
        <v>2521.41</v>
      </c>
      <c r="F60" s="17">
        <v>8.0000000000000002E-3</v>
      </c>
      <c r="G60" s="17"/>
    </row>
    <row r="61" spans="1:7" x14ac:dyDescent="0.35">
      <c r="A61" s="13" t="s">
        <v>2026</v>
      </c>
      <c r="B61" s="41" t="s">
        <v>2027</v>
      </c>
      <c r="C61" s="41" t="s">
        <v>1234</v>
      </c>
      <c r="D61" s="15">
        <v>170367</v>
      </c>
      <c r="E61" s="16">
        <v>2505.7600000000002</v>
      </c>
      <c r="F61" s="17">
        <v>8.0000000000000002E-3</v>
      </c>
      <c r="G61" s="17"/>
    </row>
    <row r="62" spans="1:7" x14ac:dyDescent="0.35">
      <c r="A62" s="13" t="s">
        <v>1533</v>
      </c>
      <c r="B62" s="41" t="s">
        <v>1534</v>
      </c>
      <c r="C62" s="41" t="s">
        <v>1369</v>
      </c>
      <c r="D62" s="15">
        <v>39440</v>
      </c>
      <c r="E62" s="16">
        <v>2356.34</v>
      </c>
      <c r="F62" s="17">
        <v>7.4999999999999997E-3</v>
      </c>
      <c r="G62" s="17"/>
    </row>
    <row r="63" spans="1:7" x14ac:dyDescent="0.35">
      <c r="A63" s="13" t="s">
        <v>1394</v>
      </c>
      <c r="B63" s="41" t="s">
        <v>1395</v>
      </c>
      <c r="C63" s="41" t="s">
        <v>1369</v>
      </c>
      <c r="D63" s="15">
        <v>132733</v>
      </c>
      <c r="E63" s="16">
        <v>2313.67</v>
      </c>
      <c r="F63" s="17">
        <v>7.4000000000000003E-3</v>
      </c>
      <c r="G63" s="17"/>
    </row>
    <row r="64" spans="1:7" x14ac:dyDescent="0.35">
      <c r="A64" s="13" t="s">
        <v>1470</v>
      </c>
      <c r="B64" s="41" t="s">
        <v>1471</v>
      </c>
      <c r="C64" s="41" t="s">
        <v>1382</v>
      </c>
      <c r="D64" s="15">
        <v>188748</v>
      </c>
      <c r="E64" s="16">
        <v>2231.5700000000002</v>
      </c>
      <c r="F64" s="17">
        <v>7.1000000000000004E-3</v>
      </c>
      <c r="G64" s="17"/>
    </row>
    <row r="65" spans="1:7" x14ac:dyDescent="0.35">
      <c r="A65" s="13" t="s">
        <v>1496</v>
      </c>
      <c r="B65" s="41" t="s">
        <v>1497</v>
      </c>
      <c r="C65" s="41" t="s">
        <v>1211</v>
      </c>
      <c r="D65" s="15">
        <v>136715</v>
      </c>
      <c r="E65" s="16">
        <v>2230.64</v>
      </c>
      <c r="F65" s="17">
        <v>7.1000000000000004E-3</v>
      </c>
      <c r="G65" s="17"/>
    </row>
    <row r="66" spans="1:7" x14ac:dyDescent="0.35">
      <c r="A66" s="13" t="s">
        <v>1291</v>
      </c>
      <c r="B66" s="41" t="s">
        <v>1292</v>
      </c>
      <c r="C66" s="41" t="s">
        <v>1206</v>
      </c>
      <c r="D66" s="15">
        <v>515134</v>
      </c>
      <c r="E66" s="16">
        <v>2199.62</v>
      </c>
      <c r="F66" s="17">
        <v>7.0000000000000001E-3</v>
      </c>
      <c r="G66" s="17"/>
    </row>
    <row r="67" spans="1:7" x14ac:dyDescent="0.35">
      <c r="A67" s="13" t="s">
        <v>1970</v>
      </c>
      <c r="B67" s="41" t="s">
        <v>1971</v>
      </c>
      <c r="C67" s="41" t="s">
        <v>1201</v>
      </c>
      <c r="D67" s="15">
        <v>141802</v>
      </c>
      <c r="E67" s="16">
        <v>2074</v>
      </c>
      <c r="F67" s="17">
        <v>6.6E-3</v>
      </c>
      <c r="G67" s="17"/>
    </row>
    <row r="68" spans="1:7" x14ac:dyDescent="0.35">
      <c r="A68" s="13" t="s">
        <v>1939</v>
      </c>
      <c r="B68" s="41" t="s">
        <v>1940</v>
      </c>
      <c r="C68" s="41" t="s">
        <v>1178</v>
      </c>
      <c r="D68" s="15">
        <v>657146</v>
      </c>
      <c r="E68" s="16">
        <v>1980.64</v>
      </c>
      <c r="F68" s="17">
        <v>6.3E-3</v>
      </c>
      <c r="G68" s="17"/>
    </row>
    <row r="69" spans="1:7" x14ac:dyDescent="0.35">
      <c r="A69" s="13" t="s">
        <v>1935</v>
      </c>
      <c r="B69" s="41" t="s">
        <v>1936</v>
      </c>
      <c r="C69" s="41" t="s">
        <v>1221</v>
      </c>
      <c r="D69" s="15">
        <v>30683</v>
      </c>
      <c r="E69" s="16">
        <v>1871.36</v>
      </c>
      <c r="F69" s="17">
        <v>6.0000000000000001E-3</v>
      </c>
      <c r="G69" s="17"/>
    </row>
    <row r="70" spans="1:7" x14ac:dyDescent="0.35">
      <c r="A70" s="13" t="s">
        <v>1982</v>
      </c>
      <c r="B70" s="41" t="s">
        <v>1983</v>
      </c>
      <c r="C70" s="41" t="s">
        <v>1191</v>
      </c>
      <c r="D70" s="15">
        <v>283746</v>
      </c>
      <c r="E70" s="16">
        <v>1866.62</v>
      </c>
      <c r="F70" s="17">
        <v>6.0000000000000001E-3</v>
      </c>
      <c r="G70" s="17"/>
    </row>
    <row r="71" spans="1:7" x14ac:dyDescent="0.35">
      <c r="A71" s="13" t="s">
        <v>1933</v>
      </c>
      <c r="B71" s="41" t="s">
        <v>1934</v>
      </c>
      <c r="C71" s="41" t="s">
        <v>1382</v>
      </c>
      <c r="D71" s="15">
        <v>76503</v>
      </c>
      <c r="E71" s="16">
        <v>1856.57</v>
      </c>
      <c r="F71" s="17">
        <v>5.8999999999999999E-3</v>
      </c>
      <c r="G71" s="17"/>
    </row>
    <row r="72" spans="1:7" x14ac:dyDescent="0.35">
      <c r="A72" s="13" t="s">
        <v>1506</v>
      </c>
      <c r="B72" s="41" t="s">
        <v>1507</v>
      </c>
      <c r="C72" s="41" t="s">
        <v>1234</v>
      </c>
      <c r="D72" s="15">
        <v>84831</v>
      </c>
      <c r="E72" s="16">
        <v>1826.24</v>
      </c>
      <c r="F72" s="17">
        <v>5.7999999999999996E-3</v>
      </c>
      <c r="G72" s="17"/>
    </row>
    <row r="73" spans="1:7" x14ac:dyDescent="0.35">
      <c r="A73" s="13" t="s">
        <v>1798</v>
      </c>
      <c r="B73" s="41" t="s">
        <v>1799</v>
      </c>
      <c r="C73" s="41" t="s">
        <v>1333</v>
      </c>
      <c r="D73" s="15">
        <v>55360</v>
      </c>
      <c r="E73" s="16">
        <v>1788.29</v>
      </c>
      <c r="F73" s="17">
        <v>5.7000000000000002E-3</v>
      </c>
      <c r="G73" s="17"/>
    </row>
    <row r="74" spans="1:7" x14ac:dyDescent="0.35">
      <c r="A74" s="13" t="s">
        <v>1810</v>
      </c>
      <c r="B74" s="41" t="s">
        <v>1811</v>
      </c>
      <c r="C74" s="41" t="s">
        <v>1382</v>
      </c>
      <c r="D74" s="15">
        <v>22932</v>
      </c>
      <c r="E74" s="16">
        <v>1677.93</v>
      </c>
      <c r="F74" s="17">
        <v>5.4000000000000003E-3</v>
      </c>
      <c r="G74" s="17"/>
    </row>
    <row r="75" spans="1:7" x14ac:dyDescent="0.35">
      <c r="A75" s="13" t="s">
        <v>1447</v>
      </c>
      <c r="B75" s="41" t="s">
        <v>1448</v>
      </c>
      <c r="C75" s="41" t="s">
        <v>1285</v>
      </c>
      <c r="D75" s="15">
        <v>105627</v>
      </c>
      <c r="E75" s="16">
        <v>1624.75</v>
      </c>
      <c r="F75" s="17">
        <v>5.1999999999999998E-3</v>
      </c>
      <c r="G75" s="17"/>
    </row>
    <row r="76" spans="1:7" x14ac:dyDescent="0.35">
      <c r="A76" s="13" t="s">
        <v>1929</v>
      </c>
      <c r="B76" s="41" t="s">
        <v>1930</v>
      </c>
      <c r="C76" s="41" t="s">
        <v>1211</v>
      </c>
      <c r="D76" s="15">
        <v>425213</v>
      </c>
      <c r="E76" s="16">
        <v>1596.89</v>
      </c>
      <c r="F76" s="17">
        <v>5.1000000000000004E-3</v>
      </c>
      <c r="G76" s="17"/>
    </row>
    <row r="77" spans="1:7" x14ac:dyDescent="0.35">
      <c r="A77" s="13" t="s">
        <v>2028</v>
      </c>
      <c r="B77" s="41" t="s">
        <v>2029</v>
      </c>
      <c r="C77" s="41" t="s">
        <v>1849</v>
      </c>
      <c r="D77" s="15">
        <v>347085</v>
      </c>
      <c r="E77" s="16">
        <v>1591.38</v>
      </c>
      <c r="F77" s="17">
        <v>5.1000000000000004E-3</v>
      </c>
      <c r="G77" s="17"/>
    </row>
    <row r="78" spans="1:7" x14ac:dyDescent="0.35">
      <c r="A78" s="13" t="s">
        <v>1194</v>
      </c>
      <c r="B78" s="41" t="s">
        <v>1195</v>
      </c>
      <c r="C78" s="41" t="s">
        <v>1188</v>
      </c>
      <c r="D78" s="15">
        <v>21923</v>
      </c>
      <c r="E78" s="16">
        <v>1561.47</v>
      </c>
      <c r="F78" s="17">
        <v>5.0000000000000001E-3</v>
      </c>
      <c r="G78" s="17"/>
    </row>
    <row r="79" spans="1:7" x14ac:dyDescent="0.35">
      <c r="A79" s="13" t="s">
        <v>1498</v>
      </c>
      <c r="B79" s="41" t="s">
        <v>1499</v>
      </c>
      <c r="C79" s="41" t="s">
        <v>1333</v>
      </c>
      <c r="D79" s="15">
        <v>264969</v>
      </c>
      <c r="E79" s="16">
        <v>1547.55</v>
      </c>
      <c r="F79" s="17">
        <v>4.8999999999999998E-3</v>
      </c>
      <c r="G79" s="17"/>
    </row>
    <row r="80" spans="1:7" x14ac:dyDescent="0.35">
      <c r="A80" s="13" t="s">
        <v>1847</v>
      </c>
      <c r="B80" s="41" t="s">
        <v>1848</v>
      </c>
      <c r="C80" s="41" t="s">
        <v>1849</v>
      </c>
      <c r="D80" s="15">
        <v>782842</v>
      </c>
      <c r="E80" s="16">
        <v>1539.77</v>
      </c>
      <c r="F80" s="17">
        <v>4.8999999999999998E-3</v>
      </c>
      <c r="G80" s="17"/>
    </row>
    <row r="81" spans="1:7" x14ac:dyDescent="0.35">
      <c r="A81" s="13" t="s">
        <v>1476</v>
      </c>
      <c r="B81" s="41" t="s">
        <v>1477</v>
      </c>
      <c r="C81" s="41" t="s">
        <v>1221</v>
      </c>
      <c r="D81" s="15">
        <v>50936</v>
      </c>
      <c r="E81" s="16">
        <v>1434.51</v>
      </c>
      <c r="F81" s="17">
        <v>4.5999999999999999E-3</v>
      </c>
      <c r="G81" s="17"/>
    </row>
    <row r="82" spans="1:7" x14ac:dyDescent="0.35">
      <c r="A82" s="13" t="s">
        <v>1828</v>
      </c>
      <c r="B82" s="41" t="s">
        <v>1829</v>
      </c>
      <c r="C82" s="41" t="s">
        <v>1280</v>
      </c>
      <c r="D82" s="15">
        <v>39330</v>
      </c>
      <c r="E82" s="16">
        <v>1169.1199999999999</v>
      </c>
      <c r="F82" s="17">
        <v>3.7000000000000002E-3</v>
      </c>
      <c r="G82" s="17"/>
    </row>
    <row r="83" spans="1:7" x14ac:dyDescent="0.35">
      <c r="A83" s="13" t="s">
        <v>1480</v>
      </c>
      <c r="B83" s="41" t="s">
        <v>1481</v>
      </c>
      <c r="C83" s="41" t="s">
        <v>1382</v>
      </c>
      <c r="D83" s="15">
        <v>73626</v>
      </c>
      <c r="E83" s="16">
        <v>1061.25</v>
      </c>
      <c r="F83" s="17">
        <v>3.3999999999999998E-3</v>
      </c>
      <c r="G83" s="17"/>
    </row>
    <row r="84" spans="1:7" x14ac:dyDescent="0.35">
      <c r="A84" s="13" t="s">
        <v>2030</v>
      </c>
      <c r="B84" s="41" t="s">
        <v>2031</v>
      </c>
      <c r="C84" s="41" t="s">
        <v>1838</v>
      </c>
      <c r="D84" s="15">
        <v>303211</v>
      </c>
      <c r="E84" s="16">
        <v>969.82</v>
      </c>
      <c r="F84" s="17">
        <v>3.0999999999999999E-3</v>
      </c>
      <c r="G84" s="17"/>
    </row>
    <row r="85" spans="1:7" x14ac:dyDescent="0.35">
      <c r="A85" s="13" t="s">
        <v>2013</v>
      </c>
      <c r="B85" s="41" t="s">
        <v>2014</v>
      </c>
      <c r="C85" s="41" t="s">
        <v>1288</v>
      </c>
      <c r="D85" s="15">
        <v>21976</v>
      </c>
      <c r="E85" s="16">
        <v>903.76</v>
      </c>
      <c r="F85" s="17">
        <v>2.8999999999999998E-3</v>
      </c>
      <c r="G85" s="17"/>
    </row>
    <row r="86" spans="1:7" x14ac:dyDescent="0.35">
      <c r="A86" s="13" t="s">
        <v>1453</v>
      </c>
      <c r="B86" s="41" t="s">
        <v>1454</v>
      </c>
      <c r="C86" s="41" t="s">
        <v>1324</v>
      </c>
      <c r="D86" s="15">
        <v>59447</v>
      </c>
      <c r="E86" s="16">
        <v>868.82</v>
      </c>
      <c r="F86" s="17">
        <v>2.8E-3</v>
      </c>
      <c r="G86" s="17"/>
    </row>
    <row r="87" spans="1:7" x14ac:dyDescent="0.35">
      <c r="A87" s="13" t="s">
        <v>1484</v>
      </c>
      <c r="B87" s="41" t="s">
        <v>1485</v>
      </c>
      <c r="C87" s="41" t="s">
        <v>1201</v>
      </c>
      <c r="D87" s="15">
        <v>2515</v>
      </c>
      <c r="E87" s="16">
        <v>262.72000000000003</v>
      </c>
      <c r="F87" s="17">
        <v>8.0000000000000004E-4</v>
      </c>
      <c r="G87" s="17"/>
    </row>
    <row r="88" spans="1:7" x14ac:dyDescent="0.35">
      <c r="A88" s="13" t="s">
        <v>1843</v>
      </c>
      <c r="B88" s="41" t="s">
        <v>1844</v>
      </c>
      <c r="C88" s="41" t="s">
        <v>1191</v>
      </c>
      <c r="D88" s="15">
        <v>121402</v>
      </c>
      <c r="E88" s="16">
        <v>43.92</v>
      </c>
      <c r="F88" s="17">
        <v>1E-4</v>
      </c>
      <c r="G88" s="17"/>
    </row>
    <row r="89" spans="1:7" x14ac:dyDescent="0.35">
      <c r="A89" s="14" t="s">
        <v>149</v>
      </c>
      <c r="B89" s="42"/>
      <c r="C89" s="42"/>
      <c r="D89" s="18"/>
      <c r="E89" s="19">
        <f>SUM(E8:E88)</f>
        <v>305083.10999999987</v>
      </c>
      <c r="F89" s="20">
        <f>SUM(F8:F88)</f>
        <v>0.97340000000000004</v>
      </c>
      <c r="G89" s="21"/>
    </row>
    <row r="90" spans="1:7" x14ac:dyDescent="0.35">
      <c r="A90" s="14"/>
      <c r="B90" s="42"/>
      <c r="C90" s="42"/>
      <c r="D90" s="18"/>
      <c r="E90" s="26"/>
      <c r="F90" s="21"/>
      <c r="G90" s="21"/>
    </row>
    <row r="91" spans="1:7" x14ac:dyDescent="0.35">
      <c r="A91" s="14"/>
      <c r="B91" s="42"/>
      <c r="C91" s="42"/>
      <c r="D91" s="18"/>
      <c r="E91" s="26"/>
      <c r="F91" s="21"/>
      <c r="G91" s="21"/>
    </row>
    <row r="92" spans="1:7" x14ac:dyDescent="0.35">
      <c r="A92" s="14"/>
      <c r="B92" s="42"/>
      <c r="C92" s="42"/>
      <c r="D92" s="18"/>
      <c r="E92" s="26"/>
      <c r="F92" s="21"/>
      <c r="G92" s="21"/>
    </row>
    <row r="93" spans="1:7" x14ac:dyDescent="0.35">
      <c r="A93" s="58" t="s">
        <v>147</v>
      </c>
      <c r="B93" s="42"/>
      <c r="C93" s="42"/>
      <c r="D93" s="18"/>
      <c r="E93" s="26"/>
      <c r="F93" s="21"/>
      <c r="G93" s="21"/>
    </row>
    <row r="94" spans="1:7" x14ac:dyDescent="0.35">
      <c r="A94" s="58" t="s">
        <v>1249</v>
      </c>
      <c r="B94" s="41"/>
      <c r="C94" s="41"/>
      <c r="D94" s="15"/>
      <c r="E94" s="16"/>
      <c r="F94" s="17"/>
      <c r="G94" s="17"/>
    </row>
    <row r="95" spans="1:7" x14ac:dyDescent="0.35">
      <c r="A95" s="58" t="s">
        <v>1250</v>
      </c>
      <c r="B95" s="41"/>
      <c r="C95" s="41"/>
      <c r="D95" s="15"/>
      <c r="E95" s="16"/>
      <c r="F95" s="17"/>
      <c r="G95" s="17"/>
    </row>
    <row r="96" spans="1:7" x14ac:dyDescent="0.35">
      <c r="A96" s="13" t="s">
        <v>1251</v>
      </c>
      <c r="B96" s="41" t="s">
        <v>1252</v>
      </c>
      <c r="C96" s="41" t="s">
        <v>1188</v>
      </c>
      <c r="D96" s="15">
        <v>455844</v>
      </c>
      <c r="E96" s="16">
        <v>46.6</v>
      </c>
      <c r="F96" s="17">
        <v>1E-4</v>
      </c>
      <c r="G96" s="17">
        <v>6.3450000000000006E-2</v>
      </c>
    </row>
    <row r="97" spans="1:7" x14ac:dyDescent="0.35">
      <c r="A97" s="14" t="s">
        <v>149</v>
      </c>
      <c r="B97" s="42"/>
      <c r="C97" s="42"/>
      <c r="D97" s="18"/>
      <c r="E97" s="16">
        <v>46.6</v>
      </c>
      <c r="F97" s="17">
        <v>1E-4</v>
      </c>
      <c r="G97" s="21"/>
    </row>
    <row r="98" spans="1:7" x14ac:dyDescent="0.35">
      <c r="A98" s="22" t="s">
        <v>160</v>
      </c>
      <c r="B98" s="43"/>
      <c r="C98" s="43"/>
      <c r="D98" s="23"/>
      <c r="E98" s="36">
        <f>E97+E89</f>
        <v>305129.70999999985</v>
      </c>
      <c r="F98" s="37">
        <f>F97+F89</f>
        <v>0.97350000000000003</v>
      </c>
      <c r="G98" s="21"/>
    </row>
    <row r="99" spans="1:7" x14ac:dyDescent="0.35">
      <c r="A99" s="13"/>
      <c r="B99" s="41"/>
      <c r="C99" s="41"/>
      <c r="D99" s="15"/>
      <c r="E99" s="16"/>
      <c r="F99" s="17"/>
      <c r="G99" s="17"/>
    </row>
    <row r="100" spans="1:7" x14ac:dyDescent="0.35">
      <c r="A100" s="14" t="s">
        <v>1571</v>
      </c>
      <c r="B100" s="41"/>
      <c r="C100" s="41"/>
      <c r="D100" s="15"/>
      <c r="E100" s="16"/>
      <c r="F100" s="17"/>
      <c r="G100" s="17"/>
    </row>
    <row r="101" spans="1:7" x14ac:dyDescent="0.35">
      <c r="A101" s="14" t="s">
        <v>1572</v>
      </c>
      <c r="B101" s="41"/>
      <c r="C101" s="41"/>
      <c r="D101" s="15"/>
      <c r="E101" s="16"/>
      <c r="F101" s="17"/>
      <c r="G101" s="17"/>
    </row>
    <row r="102" spans="1:7" x14ac:dyDescent="0.35">
      <c r="A102" s="13" t="s">
        <v>1853</v>
      </c>
      <c r="B102" s="41"/>
      <c r="C102" s="41" t="s">
        <v>1849</v>
      </c>
      <c r="D102" s="15">
        <v>700000</v>
      </c>
      <c r="E102" s="16">
        <v>1364.09</v>
      </c>
      <c r="F102" s="17">
        <v>4.3530000000000001E-3</v>
      </c>
      <c r="G102" s="17"/>
    </row>
    <row r="103" spans="1:7" x14ac:dyDescent="0.35">
      <c r="A103" s="14" t="s">
        <v>149</v>
      </c>
      <c r="B103" s="42"/>
      <c r="C103" s="42"/>
      <c r="D103" s="18"/>
      <c r="E103" s="19">
        <v>1364.09</v>
      </c>
      <c r="F103" s="20">
        <v>4.3530000000000001E-3</v>
      </c>
      <c r="G103" s="21"/>
    </row>
    <row r="104" spans="1:7" x14ac:dyDescent="0.35">
      <c r="A104" s="13"/>
      <c r="B104" s="41"/>
      <c r="C104" s="41"/>
      <c r="D104" s="15"/>
      <c r="E104" s="16"/>
      <c r="F104" s="17"/>
      <c r="G104" s="17"/>
    </row>
    <row r="105" spans="1:7" x14ac:dyDescent="0.35">
      <c r="A105" s="13"/>
      <c r="B105" s="41"/>
      <c r="C105" s="41"/>
      <c r="D105" s="15"/>
      <c r="E105" s="16"/>
      <c r="F105" s="17"/>
      <c r="G105" s="17"/>
    </row>
    <row r="106" spans="1:7" x14ac:dyDescent="0.35">
      <c r="A106" s="13"/>
      <c r="B106" s="41"/>
      <c r="C106" s="41"/>
      <c r="D106" s="15"/>
      <c r="E106" s="16"/>
      <c r="F106" s="17"/>
      <c r="G106" s="17"/>
    </row>
    <row r="107" spans="1:7" x14ac:dyDescent="0.35">
      <c r="A107" s="22" t="s">
        <v>160</v>
      </c>
      <c r="B107" s="43"/>
      <c r="C107" s="43"/>
      <c r="D107" s="23"/>
      <c r="E107" s="36">
        <v>1364.09</v>
      </c>
      <c r="F107" s="37">
        <v>4.3530000000000001E-3</v>
      </c>
      <c r="G107" s="21"/>
    </row>
    <row r="108" spans="1:7" x14ac:dyDescent="0.35">
      <c r="A108" s="13"/>
      <c r="B108" s="41"/>
      <c r="C108" s="41"/>
      <c r="D108" s="15"/>
      <c r="E108" s="16"/>
      <c r="F108" s="17"/>
      <c r="G108" s="17"/>
    </row>
    <row r="109" spans="1:7" x14ac:dyDescent="0.35">
      <c r="A109" s="13"/>
      <c r="B109" s="41"/>
      <c r="C109" s="41"/>
      <c r="D109" s="15"/>
      <c r="E109" s="16"/>
      <c r="F109" s="17"/>
      <c r="G109" s="17"/>
    </row>
    <row r="110" spans="1:7" x14ac:dyDescent="0.35">
      <c r="A110" s="14" t="s">
        <v>884</v>
      </c>
      <c r="B110" s="41"/>
      <c r="C110" s="41"/>
      <c r="D110" s="15"/>
      <c r="E110" s="16"/>
      <c r="F110" s="17"/>
      <c r="G110" s="17"/>
    </row>
    <row r="111" spans="1:7" x14ac:dyDescent="0.35">
      <c r="A111" s="13" t="s">
        <v>1786</v>
      </c>
      <c r="B111" s="41" t="s">
        <v>1787</v>
      </c>
      <c r="C111" s="41"/>
      <c r="D111" s="15">
        <v>65997.112999999998</v>
      </c>
      <c r="E111" s="16">
        <v>2326.33</v>
      </c>
      <c r="F111" s="17">
        <v>7.4000000000000003E-3</v>
      </c>
      <c r="G111" s="17"/>
    </row>
    <row r="112" spans="1:7" x14ac:dyDescent="0.35">
      <c r="A112" s="13"/>
      <c r="B112" s="41"/>
      <c r="C112" s="41"/>
      <c r="D112" s="15"/>
      <c r="E112" s="16"/>
      <c r="F112" s="17"/>
      <c r="G112" s="17"/>
    </row>
    <row r="113" spans="1:7" x14ac:dyDescent="0.35">
      <c r="A113" s="22" t="s">
        <v>160</v>
      </c>
      <c r="B113" s="43"/>
      <c r="C113" s="43"/>
      <c r="D113" s="23"/>
      <c r="E113" s="36">
        <v>2326.33</v>
      </c>
      <c r="F113" s="37">
        <v>7.4000000000000003E-3</v>
      </c>
      <c r="G113" s="21"/>
    </row>
    <row r="114" spans="1:7" x14ac:dyDescent="0.35">
      <c r="A114" s="13"/>
      <c r="B114" s="41"/>
      <c r="C114" s="41"/>
      <c r="D114" s="15"/>
      <c r="E114" s="16"/>
      <c r="F114" s="17"/>
      <c r="G114" s="17"/>
    </row>
    <row r="115" spans="1:7" x14ac:dyDescent="0.35">
      <c r="A115" s="14" t="s">
        <v>255</v>
      </c>
      <c r="B115" s="41"/>
      <c r="C115" s="41"/>
      <c r="D115" s="15"/>
      <c r="E115" s="16"/>
      <c r="F115" s="17"/>
      <c r="G115" s="17"/>
    </row>
    <row r="116" spans="1:7" x14ac:dyDescent="0.35">
      <c r="A116" s="13" t="s">
        <v>257</v>
      </c>
      <c r="B116" s="41"/>
      <c r="C116" s="41"/>
      <c r="D116" s="15"/>
      <c r="E116" s="16">
        <v>11125.27</v>
      </c>
      <c r="F116" s="17">
        <v>3.5499999999999997E-2</v>
      </c>
      <c r="G116" s="17">
        <v>5.1742000000000003E-2</v>
      </c>
    </row>
    <row r="117" spans="1:7" x14ac:dyDescent="0.35">
      <c r="A117" s="14" t="s">
        <v>149</v>
      </c>
      <c r="B117" s="42"/>
      <c r="C117" s="42"/>
      <c r="D117" s="18"/>
      <c r="E117" s="19">
        <v>11125.27</v>
      </c>
      <c r="F117" s="20">
        <v>3.5499999999999997E-2</v>
      </c>
      <c r="G117" s="21"/>
    </row>
    <row r="118" spans="1:7" x14ac:dyDescent="0.35">
      <c r="A118" s="13"/>
      <c r="B118" s="41"/>
      <c r="C118" s="41"/>
      <c r="D118" s="15"/>
      <c r="E118" s="16"/>
      <c r="F118" s="17"/>
      <c r="G118" s="17"/>
    </row>
    <row r="119" spans="1:7" x14ac:dyDescent="0.35">
      <c r="A119" s="22" t="s">
        <v>160</v>
      </c>
      <c r="B119" s="43"/>
      <c r="C119" s="43"/>
      <c r="D119" s="23"/>
      <c r="E119" s="36">
        <v>11125.27</v>
      </c>
      <c r="F119" s="37">
        <v>3.5499999999999997E-2</v>
      </c>
      <c r="G119" s="21"/>
    </row>
    <row r="120" spans="1:7" x14ac:dyDescent="0.35">
      <c r="A120" s="13" t="s">
        <v>258</v>
      </c>
      <c r="B120" s="41"/>
      <c r="C120" s="41"/>
      <c r="D120" s="15"/>
      <c r="E120" s="16">
        <v>3.1542118000000001</v>
      </c>
      <c r="F120" s="17">
        <v>1.0000000000000001E-5</v>
      </c>
      <c r="G120" s="17"/>
    </row>
    <row r="121" spans="1:7" x14ac:dyDescent="0.35">
      <c r="A121" s="13" t="s">
        <v>259</v>
      </c>
      <c r="B121" s="41"/>
      <c r="C121" s="41"/>
      <c r="D121" s="15"/>
      <c r="E121" s="28">
        <v>-5261.3542117999996</v>
      </c>
      <c r="F121" s="29">
        <v>-1.6410000000000001E-2</v>
      </c>
      <c r="G121" s="17">
        <v>5.1741000000000002E-2</v>
      </c>
    </row>
    <row r="122" spans="1:7" x14ac:dyDescent="0.35">
      <c r="A122" s="38" t="s">
        <v>260</v>
      </c>
      <c r="B122" s="44"/>
      <c r="C122" s="44"/>
      <c r="D122" s="39"/>
      <c r="E122" s="24">
        <v>313323.11</v>
      </c>
      <c r="F122" s="25">
        <v>1</v>
      </c>
      <c r="G122" s="25"/>
    </row>
    <row r="124" spans="1:7" x14ac:dyDescent="0.35">
      <c r="A124" s="1" t="s">
        <v>1794</v>
      </c>
    </row>
    <row r="127" spans="1:7" x14ac:dyDescent="0.35">
      <c r="A127" s="1" t="s">
        <v>263</v>
      </c>
    </row>
    <row r="128" spans="1:7" x14ac:dyDescent="0.35">
      <c r="A128" s="47" t="s">
        <v>264</v>
      </c>
      <c r="B128" s="3" t="s">
        <v>146</v>
      </c>
    </row>
    <row r="129" spans="1:3" x14ac:dyDescent="0.35">
      <c r="A129" t="s">
        <v>265</v>
      </c>
    </row>
    <row r="130" spans="1:3" x14ac:dyDescent="0.35">
      <c r="A130" t="s">
        <v>266</v>
      </c>
      <c r="B130" t="s">
        <v>267</v>
      </c>
      <c r="C130" t="s">
        <v>267</v>
      </c>
    </row>
    <row r="131" spans="1:3" x14ac:dyDescent="0.35">
      <c r="B131" s="49">
        <v>46022</v>
      </c>
      <c r="C131" s="49">
        <v>46052</v>
      </c>
    </row>
    <row r="132" spans="1:3" x14ac:dyDescent="0.35">
      <c r="A132" t="s">
        <v>272</v>
      </c>
      <c r="B132">
        <v>46.433999999999997</v>
      </c>
      <c r="C132">
        <v>45.534999999999997</v>
      </c>
    </row>
    <row r="133" spans="1:3" x14ac:dyDescent="0.35">
      <c r="A133" t="s">
        <v>273</v>
      </c>
      <c r="B133">
        <v>38.122</v>
      </c>
      <c r="C133">
        <v>37.384</v>
      </c>
    </row>
    <row r="134" spans="1:3" x14ac:dyDescent="0.35">
      <c r="A134" t="s">
        <v>708</v>
      </c>
      <c r="B134">
        <v>39.877000000000002</v>
      </c>
      <c r="C134">
        <v>39.058</v>
      </c>
    </row>
    <row r="135" spans="1:3" x14ac:dyDescent="0.35">
      <c r="A135" t="s">
        <v>709</v>
      </c>
      <c r="B135">
        <v>32.743000000000002</v>
      </c>
      <c r="C135">
        <v>32.07</v>
      </c>
    </row>
    <row r="137" spans="1:3" x14ac:dyDescent="0.35">
      <c r="A137" t="s">
        <v>283</v>
      </c>
      <c r="B137" s="3" t="s">
        <v>146</v>
      </c>
    </row>
    <row r="138" spans="1:3" x14ac:dyDescent="0.35">
      <c r="A138" t="s">
        <v>284</v>
      </c>
      <c r="B138" s="3" t="s">
        <v>146</v>
      </c>
    </row>
    <row r="139" spans="1:3" ht="29" customHeight="1" x14ac:dyDescent="0.35">
      <c r="A139" s="47" t="s">
        <v>285</v>
      </c>
      <c r="B139" s="3" t="s">
        <v>146</v>
      </c>
    </row>
    <row r="140" spans="1:3" ht="29" customHeight="1" x14ac:dyDescent="0.35">
      <c r="A140" s="47" t="s">
        <v>286</v>
      </c>
      <c r="B140" s="3" t="s">
        <v>146</v>
      </c>
    </row>
    <row r="141" spans="1:3" x14ac:dyDescent="0.35">
      <c r="A141" t="s">
        <v>1253</v>
      </c>
      <c r="B141" s="48">
        <v>0.45610000000000001</v>
      </c>
    </row>
    <row r="142" spans="1:3" ht="43.5" customHeight="1" x14ac:dyDescent="0.35">
      <c r="A142" s="47" t="s">
        <v>288</v>
      </c>
      <c r="B142" s="3">
        <v>1364.09</v>
      </c>
    </row>
    <row r="143" spans="1:3" x14ac:dyDescent="0.35">
      <c r="B143" s="3"/>
    </row>
    <row r="144" spans="1:3" ht="29" customHeight="1" x14ac:dyDescent="0.35">
      <c r="A144" s="47" t="s">
        <v>289</v>
      </c>
      <c r="B144" s="3" t="s">
        <v>146</v>
      </c>
    </row>
    <row r="145" spans="1:4" ht="29" customHeight="1" x14ac:dyDescent="0.35">
      <c r="A145" s="47" t="s">
        <v>290</v>
      </c>
      <c r="B145" t="s">
        <v>146</v>
      </c>
    </row>
    <row r="146" spans="1:4" ht="29" customHeight="1" x14ac:dyDescent="0.35">
      <c r="A146" s="47" t="s">
        <v>291</v>
      </c>
      <c r="B146" s="3" t="s">
        <v>146</v>
      </c>
    </row>
    <row r="147" spans="1:4" ht="29" customHeight="1" x14ac:dyDescent="0.35">
      <c r="A147" s="47" t="s">
        <v>292</v>
      </c>
      <c r="B147" s="3" t="s">
        <v>146</v>
      </c>
    </row>
    <row r="149" spans="1:4" ht="70" customHeight="1" x14ac:dyDescent="0.35">
      <c r="A149" s="70" t="s">
        <v>303</v>
      </c>
      <c r="B149" s="70" t="s">
        <v>304</v>
      </c>
      <c r="C149" s="70" t="s">
        <v>4</v>
      </c>
      <c r="D149" s="70" t="s">
        <v>5</v>
      </c>
    </row>
    <row r="150" spans="1:4" ht="70" customHeight="1" x14ac:dyDescent="0.35">
      <c r="A150" s="70" t="s">
        <v>2032</v>
      </c>
      <c r="B150" s="70"/>
      <c r="C150" s="70" t="s">
        <v>59</v>
      </c>
      <c r="D15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150"/>
  <sheetViews>
    <sheetView showGridLines="0" workbookViewId="0">
      <pane ySplit="4" topLeftCell="A86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2033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2034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264546</v>
      </c>
      <c r="E8" s="16">
        <v>2458.29</v>
      </c>
      <c r="F8" s="17">
        <v>5.5899999999999998E-2</v>
      </c>
      <c r="G8" s="17"/>
    </row>
    <row r="9" spans="1:7" x14ac:dyDescent="0.35">
      <c r="A9" s="13" t="s">
        <v>1204</v>
      </c>
      <c r="B9" s="41" t="s">
        <v>1205</v>
      </c>
      <c r="C9" s="41" t="s">
        <v>1206</v>
      </c>
      <c r="D9" s="15">
        <v>154769</v>
      </c>
      <c r="E9" s="16">
        <v>2159.65</v>
      </c>
      <c r="F9" s="17">
        <v>4.9099999999999998E-2</v>
      </c>
      <c r="G9" s="17"/>
    </row>
    <row r="10" spans="1:7" x14ac:dyDescent="0.35">
      <c r="A10" s="13" t="s">
        <v>1196</v>
      </c>
      <c r="B10" s="41" t="s">
        <v>1197</v>
      </c>
      <c r="C10" s="41" t="s">
        <v>1198</v>
      </c>
      <c r="D10" s="15">
        <v>84003</v>
      </c>
      <c r="E10" s="16">
        <v>1653.77</v>
      </c>
      <c r="F10" s="17">
        <v>3.7600000000000001E-2</v>
      </c>
      <c r="G10" s="17"/>
    </row>
    <row r="11" spans="1:7" x14ac:dyDescent="0.35">
      <c r="A11" s="13" t="s">
        <v>1181</v>
      </c>
      <c r="B11" s="41" t="s">
        <v>1182</v>
      </c>
      <c r="C11" s="41" t="s">
        <v>1178</v>
      </c>
      <c r="D11" s="15">
        <v>102311</v>
      </c>
      <c r="E11" s="16">
        <v>1386.31</v>
      </c>
      <c r="F11" s="17">
        <v>3.15E-2</v>
      </c>
      <c r="G11" s="17"/>
    </row>
    <row r="12" spans="1:7" x14ac:dyDescent="0.35">
      <c r="A12" s="13" t="s">
        <v>1385</v>
      </c>
      <c r="B12" s="41" t="s">
        <v>1386</v>
      </c>
      <c r="C12" s="41" t="s">
        <v>1387</v>
      </c>
      <c r="D12" s="15">
        <v>33431</v>
      </c>
      <c r="E12" s="16">
        <v>1314.61</v>
      </c>
      <c r="F12" s="17">
        <v>2.9899999999999999E-2</v>
      </c>
      <c r="G12" s="17"/>
    </row>
    <row r="13" spans="1:7" x14ac:dyDescent="0.35">
      <c r="A13" s="13" t="s">
        <v>1176</v>
      </c>
      <c r="B13" s="41" t="s">
        <v>1177</v>
      </c>
      <c r="C13" s="41" t="s">
        <v>1178</v>
      </c>
      <c r="D13" s="15">
        <v>111376</v>
      </c>
      <c r="E13" s="16">
        <v>1199.69</v>
      </c>
      <c r="F13" s="17">
        <v>2.7300000000000001E-2</v>
      </c>
      <c r="G13" s="17"/>
    </row>
    <row r="14" spans="1:7" x14ac:dyDescent="0.35">
      <c r="A14" s="13" t="s">
        <v>1553</v>
      </c>
      <c r="B14" s="41" t="s">
        <v>1554</v>
      </c>
      <c r="C14" s="41" t="s">
        <v>1211</v>
      </c>
      <c r="D14" s="15">
        <v>28474</v>
      </c>
      <c r="E14" s="16">
        <v>1090.44</v>
      </c>
      <c r="F14" s="17">
        <v>2.4799999999999999E-2</v>
      </c>
      <c r="G14" s="17"/>
    </row>
    <row r="15" spans="1:7" x14ac:dyDescent="0.35">
      <c r="A15" s="13" t="s">
        <v>1278</v>
      </c>
      <c r="B15" s="41" t="s">
        <v>1279</v>
      </c>
      <c r="C15" s="41" t="s">
        <v>1280</v>
      </c>
      <c r="D15" s="15">
        <v>42695</v>
      </c>
      <c r="E15" s="16">
        <v>1079.33</v>
      </c>
      <c r="F15" s="17">
        <v>2.4500000000000001E-2</v>
      </c>
      <c r="G15" s="17"/>
    </row>
    <row r="16" spans="1:7" x14ac:dyDescent="0.35">
      <c r="A16" s="13" t="s">
        <v>1289</v>
      </c>
      <c r="B16" s="41" t="s">
        <v>1290</v>
      </c>
      <c r="C16" s="41" t="s">
        <v>1285</v>
      </c>
      <c r="D16" s="15">
        <v>219943</v>
      </c>
      <c r="E16" s="16">
        <v>987.54</v>
      </c>
      <c r="F16" s="17">
        <v>2.24E-2</v>
      </c>
      <c r="G16" s="17"/>
    </row>
    <row r="17" spans="1:7" x14ac:dyDescent="0.35">
      <c r="A17" s="13" t="s">
        <v>1367</v>
      </c>
      <c r="B17" s="41" t="s">
        <v>1368</v>
      </c>
      <c r="C17" s="41" t="s">
        <v>1369</v>
      </c>
      <c r="D17" s="15">
        <v>55040</v>
      </c>
      <c r="E17" s="16">
        <v>903.21</v>
      </c>
      <c r="F17" s="17">
        <v>2.0500000000000001E-2</v>
      </c>
      <c r="G17" s="17"/>
    </row>
    <row r="18" spans="1:7" x14ac:dyDescent="0.35">
      <c r="A18" s="13" t="s">
        <v>1295</v>
      </c>
      <c r="B18" s="41" t="s">
        <v>1296</v>
      </c>
      <c r="C18" s="41" t="s">
        <v>1188</v>
      </c>
      <c r="D18" s="15">
        <v>24276</v>
      </c>
      <c r="E18" s="16">
        <v>833.1</v>
      </c>
      <c r="F18" s="17">
        <v>1.89E-2</v>
      </c>
      <c r="G18" s="17"/>
    </row>
    <row r="19" spans="1:7" x14ac:dyDescent="0.35">
      <c r="A19" s="13" t="s">
        <v>1376</v>
      </c>
      <c r="B19" s="41" t="s">
        <v>1377</v>
      </c>
      <c r="C19" s="41" t="s">
        <v>1280</v>
      </c>
      <c r="D19" s="15">
        <v>27069</v>
      </c>
      <c r="E19" s="16">
        <v>757.12</v>
      </c>
      <c r="F19" s="17">
        <v>1.72E-2</v>
      </c>
      <c r="G19" s="17"/>
    </row>
    <row r="20" spans="1:7" x14ac:dyDescent="0.35">
      <c r="A20" s="13" t="s">
        <v>1939</v>
      </c>
      <c r="B20" s="41" t="s">
        <v>1940</v>
      </c>
      <c r="C20" s="41" t="s">
        <v>1178</v>
      </c>
      <c r="D20" s="15">
        <v>239574</v>
      </c>
      <c r="E20" s="16">
        <v>722.08</v>
      </c>
      <c r="F20" s="17">
        <v>1.6400000000000001E-2</v>
      </c>
      <c r="G20" s="17"/>
    </row>
    <row r="21" spans="1:7" x14ac:dyDescent="0.35">
      <c r="A21" s="13" t="s">
        <v>1351</v>
      </c>
      <c r="B21" s="41" t="s">
        <v>1352</v>
      </c>
      <c r="C21" s="41" t="s">
        <v>1305</v>
      </c>
      <c r="D21" s="15">
        <v>183670</v>
      </c>
      <c r="E21" s="16">
        <v>653.87</v>
      </c>
      <c r="F21" s="17">
        <v>1.49E-2</v>
      </c>
      <c r="G21" s="17"/>
    </row>
    <row r="22" spans="1:7" x14ac:dyDescent="0.35">
      <c r="A22" s="13" t="s">
        <v>1237</v>
      </c>
      <c r="B22" s="41" t="s">
        <v>1238</v>
      </c>
      <c r="C22" s="41" t="s">
        <v>1234</v>
      </c>
      <c r="D22" s="15">
        <v>39348</v>
      </c>
      <c r="E22" s="16">
        <v>627.72</v>
      </c>
      <c r="F22" s="17">
        <v>1.43E-2</v>
      </c>
      <c r="G22" s="17"/>
    </row>
    <row r="23" spans="1:7" x14ac:dyDescent="0.35">
      <c r="A23" s="13" t="s">
        <v>2022</v>
      </c>
      <c r="B23" s="41" t="s">
        <v>2023</v>
      </c>
      <c r="C23" s="41" t="s">
        <v>1178</v>
      </c>
      <c r="D23" s="15">
        <v>206897</v>
      </c>
      <c r="E23" s="16">
        <v>624.30999999999995</v>
      </c>
      <c r="F23" s="17">
        <v>1.4200000000000001E-2</v>
      </c>
      <c r="G23" s="17"/>
    </row>
    <row r="24" spans="1:7" x14ac:dyDescent="0.35">
      <c r="A24" s="13" t="s">
        <v>1314</v>
      </c>
      <c r="B24" s="41" t="s">
        <v>1315</v>
      </c>
      <c r="C24" s="41" t="s">
        <v>1211</v>
      </c>
      <c r="D24" s="15">
        <v>59166</v>
      </c>
      <c r="E24" s="16">
        <v>603.49</v>
      </c>
      <c r="F24" s="17">
        <v>1.37E-2</v>
      </c>
      <c r="G24" s="17"/>
    </row>
    <row r="25" spans="1:7" x14ac:dyDescent="0.35">
      <c r="A25" s="13" t="s">
        <v>1394</v>
      </c>
      <c r="B25" s="41" t="s">
        <v>1395</v>
      </c>
      <c r="C25" s="41" t="s">
        <v>1369</v>
      </c>
      <c r="D25" s="15">
        <v>33651</v>
      </c>
      <c r="E25" s="16">
        <v>586.57000000000005</v>
      </c>
      <c r="F25" s="17">
        <v>1.3299999999999999E-2</v>
      </c>
      <c r="G25" s="17"/>
    </row>
    <row r="26" spans="1:7" x14ac:dyDescent="0.35">
      <c r="A26" s="13" t="s">
        <v>1502</v>
      </c>
      <c r="B26" s="41" t="s">
        <v>1503</v>
      </c>
      <c r="C26" s="41" t="s">
        <v>1369</v>
      </c>
      <c r="D26" s="15">
        <v>34446</v>
      </c>
      <c r="E26" s="16">
        <v>584.07000000000005</v>
      </c>
      <c r="F26" s="17">
        <v>1.3299999999999999E-2</v>
      </c>
      <c r="G26" s="17"/>
    </row>
    <row r="27" spans="1:7" x14ac:dyDescent="0.35">
      <c r="A27" s="13" t="s">
        <v>1232</v>
      </c>
      <c r="B27" s="41" t="s">
        <v>1233</v>
      </c>
      <c r="C27" s="41" t="s">
        <v>1234</v>
      </c>
      <c r="D27" s="15">
        <v>14589</v>
      </c>
      <c r="E27" s="16">
        <v>577.84</v>
      </c>
      <c r="F27" s="17">
        <v>1.3100000000000001E-2</v>
      </c>
      <c r="G27" s="17"/>
    </row>
    <row r="28" spans="1:7" x14ac:dyDescent="0.35">
      <c r="A28" s="13" t="s">
        <v>1459</v>
      </c>
      <c r="B28" s="41" t="s">
        <v>1460</v>
      </c>
      <c r="C28" s="41" t="s">
        <v>1266</v>
      </c>
      <c r="D28" s="15">
        <v>15256</v>
      </c>
      <c r="E28" s="16">
        <v>577.52</v>
      </c>
      <c r="F28" s="17">
        <v>1.3100000000000001E-2</v>
      </c>
      <c r="G28" s="17"/>
    </row>
    <row r="29" spans="1:7" x14ac:dyDescent="0.35">
      <c r="A29" s="13" t="s">
        <v>1262</v>
      </c>
      <c r="B29" s="41" t="s">
        <v>1263</v>
      </c>
      <c r="C29" s="41" t="s">
        <v>1178</v>
      </c>
      <c r="D29" s="15">
        <v>41786</v>
      </c>
      <c r="E29" s="16">
        <v>572.64</v>
      </c>
      <c r="F29" s="17">
        <v>1.2999999999999999E-2</v>
      </c>
      <c r="G29" s="17"/>
    </row>
    <row r="30" spans="1:7" x14ac:dyDescent="0.35">
      <c r="A30" s="13" t="s">
        <v>2024</v>
      </c>
      <c r="B30" s="41" t="s">
        <v>2025</v>
      </c>
      <c r="C30" s="41" t="s">
        <v>1211</v>
      </c>
      <c r="D30" s="15">
        <v>42114</v>
      </c>
      <c r="E30" s="16">
        <v>558.64</v>
      </c>
      <c r="F30" s="17">
        <v>1.2699999999999999E-2</v>
      </c>
      <c r="G30" s="17"/>
    </row>
    <row r="31" spans="1:7" x14ac:dyDescent="0.35">
      <c r="A31" s="13" t="s">
        <v>1222</v>
      </c>
      <c r="B31" s="41" t="s">
        <v>1223</v>
      </c>
      <c r="C31" s="41" t="s">
        <v>1224</v>
      </c>
      <c r="D31" s="15">
        <v>4337</v>
      </c>
      <c r="E31" s="16">
        <v>550.54</v>
      </c>
      <c r="F31" s="17">
        <v>1.2500000000000001E-2</v>
      </c>
      <c r="G31" s="17"/>
    </row>
    <row r="32" spans="1:7" x14ac:dyDescent="0.35">
      <c r="A32" s="13" t="s">
        <v>2035</v>
      </c>
      <c r="B32" s="41" t="s">
        <v>2036</v>
      </c>
      <c r="C32" s="41" t="s">
        <v>1382</v>
      </c>
      <c r="D32" s="15">
        <v>58896</v>
      </c>
      <c r="E32" s="16">
        <v>549.74</v>
      </c>
      <c r="F32" s="17">
        <v>1.2500000000000001E-2</v>
      </c>
      <c r="G32" s="17"/>
    </row>
    <row r="33" spans="1:7" x14ac:dyDescent="0.35">
      <c r="A33" s="13" t="s">
        <v>1235</v>
      </c>
      <c r="B33" s="41" t="s">
        <v>1236</v>
      </c>
      <c r="C33" s="41" t="s">
        <v>1178</v>
      </c>
      <c r="D33" s="15">
        <v>128627</v>
      </c>
      <c r="E33" s="16">
        <v>524.79999999999995</v>
      </c>
      <c r="F33" s="17">
        <v>1.1900000000000001E-2</v>
      </c>
      <c r="G33" s="17"/>
    </row>
    <row r="34" spans="1:7" x14ac:dyDescent="0.35">
      <c r="A34" s="13" t="s">
        <v>1183</v>
      </c>
      <c r="B34" s="41" t="s">
        <v>1184</v>
      </c>
      <c r="C34" s="41" t="s">
        <v>1185</v>
      </c>
      <c r="D34" s="15">
        <v>25823</v>
      </c>
      <c r="E34" s="16">
        <v>516.07000000000005</v>
      </c>
      <c r="F34" s="17">
        <v>1.17E-2</v>
      </c>
      <c r="G34" s="17"/>
    </row>
    <row r="35" spans="1:7" x14ac:dyDescent="0.35">
      <c r="A35" s="13" t="s">
        <v>1816</v>
      </c>
      <c r="B35" s="41" t="s">
        <v>1817</v>
      </c>
      <c r="C35" s="41" t="s">
        <v>1188</v>
      </c>
      <c r="D35" s="15">
        <v>80511</v>
      </c>
      <c r="E35" s="16">
        <v>500.17</v>
      </c>
      <c r="F35" s="17">
        <v>1.14E-2</v>
      </c>
      <c r="G35" s="17"/>
    </row>
    <row r="36" spans="1:7" x14ac:dyDescent="0.35">
      <c r="A36" s="13" t="s">
        <v>1547</v>
      </c>
      <c r="B36" s="41" t="s">
        <v>1548</v>
      </c>
      <c r="C36" s="41" t="s">
        <v>1369</v>
      </c>
      <c r="D36" s="15">
        <v>8130</v>
      </c>
      <c r="E36" s="16">
        <v>490.65</v>
      </c>
      <c r="F36" s="17">
        <v>1.11E-2</v>
      </c>
      <c r="G36" s="17"/>
    </row>
    <row r="37" spans="1:7" x14ac:dyDescent="0.35">
      <c r="A37" s="13" t="s">
        <v>1559</v>
      </c>
      <c r="B37" s="41" t="s">
        <v>1560</v>
      </c>
      <c r="C37" s="41" t="s">
        <v>1211</v>
      </c>
      <c r="D37" s="15">
        <v>170406</v>
      </c>
      <c r="E37" s="16">
        <v>487.96</v>
      </c>
      <c r="F37" s="17">
        <v>1.11E-2</v>
      </c>
      <c r="G37" s="17"/>
    </row>
    <row r="38" spans="1:7" x14ac:dyDescent="0.35">
      <c r="A38" s="13" t="s">
        <v>1982</v>
      </c>
      <c r="B38" s="41" t="s">
        <v>1983</v>
      </c>
      <c r="C38" s="41" t="s">
        <v>1191</v>
      </c>
      <c r="D38" s="15">
        <v>74140</v>
      </c>
      <c r="E38" s="16">
        <v>487.73</v>
      </c>
      <c r="F38" s="17">
        <v>1.11E-2</v>
      </c>
      <c r="G38" s="17"/>
    </row>
    <row r="39" spans="1:7" x14ac:dyDescent="0.35">
      <c r="A39" s="13" t="s">
        <v>1490</v>
      </c>
      <c r="B39" s="41" t="s">
        <v>1491</v>
      </c>
      <c r="C39" s="41" t="s">
        <v>1382</v>
      </c>
      <c r="D39" s="15">
        <v>425270</v>
      </c>
      <c r="E39" s="16">
        <v>480.13</v>
      </c>
      <c r="F39" s="17">
        <v>1.09E-2</v>
      </c>
      <c r="G39" s="17"/>
    </row>
    <row r="40" spans="1:7" x14ac:dyDescent="0.35">
      <c r="A40" s="13" t="s">
        <v>1496</v>
      </c>
      <c r="B40" s="41" t="s">
        <v>1497</v>
      </c>
      <c r="C40" s="41" t="s">
        <v>1211</v>
      </c>
      <c r="D40" s="15">
        <v>29328</v>
      </c>
      <c r="E40" s="16">
        <v>478.52</v>
      </c>
      <c r="F40" s="17">
        <v>1.09E-2</v>
      </c>
      <c r="G40" s="17"/>
    </row>
    <row r="41" spans="1:7" x14ac:dyDescent="0.35">
      <c r="A41" s="13" t="s">
        <v>1478</v>
      </c>
      <c r="B41" s="41" t="s">
        <v>1479</v>
      </c>
      <c r="C41" s="41" t="s">
        <v>1369</v>
      </c>
      <c r="D41" s="15">
        <v>15057</v>
      </c>
      <c r="E41" s="16">
        <v>470.37</v>
      </c>
      <c r="F41" s="17">
        <v>1.0699999999999999E-2</v>
      </c>
      <c r="G41" s="17"/>
    </row>
    <row r="42" spans="1:7" x14ac:dyDescent="0.35">
      <c r="A42" s="13" t="s">
        <v>2037</v>
      </c>
      <c r="B42" s="41" t="s">
        <v>2038</v>
      </c>
      <c r="C42" s="41" t="s">
        <v>1526</v>
      </c>
      <c r="D42" s="15">
        <v>14122</v>
      </c>
      <c r="E42" s="16">
        <v>444.09</v>
      </c>
      <c r="F42" s="17">
        <v>1.01E-2</v>
      </c>
      <c r="G42" s="17"/>
    </row>
    <row r="43" spans="1:7" x14ac:dyDescent="0.35">
      <c r="A43" s="13" t="s">
        <v>1463</v>
      </c>
      <c r="B43" s="41" t="s">
        <v>1464</v>
      </c>
      <c r="C43" s="41" t="s">
        <v>1465</v>
      </c>
      <c r="D43" s="15">
        <v>26469</v>
      </c>
      <c r="E43" s="16">
        <v>437.93</v>
      </c>
      <c r="F43" s="17">
        <v>0.01</v>
      </c>
      <c r="G43" s="17"/>
    </row>
    <row r="44" spans="1:7" x14ac:dyDescent="0.35">
      <c r="A44" s="13" t="s">
        <v>1273</v>
      </c>
      <c r="B44" s="41" t="s">
        <v>1274</v>
      </c>
      <c r="C44" s="41" t="s">
        <v>1275</v>
      </c>
      <c r="D44" s="15">
        <v>123968</v>
      </c>
      <c r="E44" s="16">
        <v>399.36</v>
      </c>
      <c r="F44" s="17">
        <v>9.1000000000000004E-3</v>
      </c>
      <c r="G44" s="17"/>
    </row>
    <row r="45" spans="1:7" x14ac:dyDescent="0.35">
      <c r="A45" s="13" t="s">
        <v>1531</v>
      </c>
      <c r="B45" s="41" t="s">
        <v>1532</v>
      </c>
      <c r="C45" s="41" t="s">
        <v>1369</v>
      </c>
      <c r="D45" s="15">
        <v>23630</v>
      </c>
      <c r="E45" s="16">
        <v>390.79</v>
      </c>
      <c r="F45" s="17">
        <v>8.8999999999999999E-3</v>
      </c>
      <c r="G45" s="17"/>
    </row>
    <row r="46" spans="1:7" x14ac:dyDescent="0.35">
      <c r="A46" s="13" t="s">
        <v>1449</v>
      </c>
      <c r="B46" s="41" t="s">
        <v>1450</v>
      </c>
      <c r="C46" s="41" t="s">
        <v>1229</v>
      </c>
      <c r="D46" s="15">
        <v>40506</v>
      </c>
      <c r="E46" s="16">
        <v>387.56</v>
      </c>
      <c r="F46" s="17">
        <v>8.8000000000000005E-3</v>
      </c>
      <c r="G46" s="17"/>
    </row>
    <row r="47" spans="1:7" x14ac:dyDescent="0.35">
      <c r="A47" s="13" t="s">
        <v>1212</v>
      </c>
      <c r="B47" s="41" t="s">
        <v>1213</v>
      </c>
      <c r="C47" s="41" t="s">
        <v>1188</v>
      </c>
      <c r="D47" s="15">
        <v>10395</v>
      </c>
      <c r="E47" s="16">
        <v>382.27</v>
      </c>
      <c r="F47" s="17">
        <v>8.6999999999999994E-3</v>
      </c>
      <c r="G47" s="17"/>
    </row>
    <row r="48" spans="1:7" x14ac:dyDescent="0.35">
      <c r="A48" s="13" t="s">
        <v>1506</v>
      </c>
      <c r="B48" s="41" t="s">
        <v>1507</v>
      </c>
      <c r="C48" s="41" t="s">
        <v>1234</v>
      </c>
      <c r="D48" s="15">
        <v>17554</v>
      </c>
      <c r="E48" s="16">
        <v>377.9</v>
      </c>
      <c r="F48" s="17">
        <v>8.6E-3</v>
      </c>
      <c r="G48" s="17"/>
    </row>
    <row r="49" spans="1:7" x14ac:dyDescent="0.35">
      <c r="A49" s="13" t="s">
        <v>1202</v>
      </c>
      <c r="B49" s="41" t="s">
        <v>1203</v>
      </c>
      <c r="C49" s="41" t="s">
        <v>1178</v>
      </c>
      <c r="D49" s="15">
        <v>131204</v>
      </c>
      <c r="E49" s="16">
        <v>377.54</v>
      </c>
      <c r="F49" s="17">
        <v>8.6E-3</v>
      </c>
      <c r="G49" s="17"/>
    </row>
    <row r="50" spans="1:7" x14ac:dyDescent="0.35">
      <c r="A50" s="13" t="s">
        <v>2026</v>
      </c>
      <c r="B50" s="41" t="s">
        <v>2027</v>
      </c>
      <c r="C50" s="41" t="s">
        <v>1234</v>
      </c>
      <c r="D50" s="15">
        <v>25558</v>
      </c>
      <c r="E50" s="16">
        <v>375.91</v>
      </c>
      <c r="F50" s="17">
        <v>8.5000000000000006E-3</v>
      </c>
      <c r="G50" s="17"/>
    </row>
    <row r="51" spans="1:7" x14ac:dyDescent="0.35">
      <c r="A51" s="13" t="s">
        <v>1199</v>
      </c>
      <c r="B51" s="41" t="s">
        <v>1200</v>
      </c>
      <c r="C51" s="41" t="s">
        <v>1201</v>
      </c>
      <c r="D51" s="15">
        <v>9427</v>
      </c>
      <c r="E51" s="16">
        <v>374.95</v>
      </c>
      <c r="F51" s="17">
        <v>8.5000000000000006E-3</v>
      </c>
      <c r="G51" s="17"/>
    </row>
    <row r="52" spans="1:7" x14ac:dyDescent="0.35">
      <c r="A52" s="13" t="s">
        <v>1488</v>
      </c>
      <c r="B52" s="41" t="s">
        <v>1489</v>
      </c>
      <c r="C52" s="41" t="s">
        <v>1275</v>
      </c>
      <c r="D52" s="15">
        <v>15735</v>
      </c>
      <c r="E52" s="16">
        <v>373.39</v>
      </c>
      <c r="F52" s="17">
        <v>8.5000000000000006E-3</v>
      </c>
      <c r="G52" s="17"/>
    </row>
    <row r="53" spans="1:7" x14ac:dyDescent="0.35">
      <c r="A53" s="13" t="s">
        <v>1186</v>
      </c>
      <c r="B53" s="41" t="s">
        <v>1187</v>
      </c>
      <c r="C53" s="41" t="s">
        <v>1188</v>
      </c>
      <c r="D53" s="15">
        <v>2501</v>
      </c>
      <c r="E53" s="16">
        <v>365.12</v>
      </c>
      <c r="F53" s="17">
        <v>8.3000000000000001E-3</v>
      </c>
      <c r="G53" s="17"/>
    </row>
    <row r="54" spans="1:7" x14ac:dyDescent="0.35">
      <c r="A54" s="13" t="s">
        <v>1543</v>
      </c>
      <c r="B54" s="41" t="s">
        <v>1544</v>
      </c>
      <c r="C54" s="41" t="s">
        <v>1206</v>
      </c>
      <c r="D54" s="15">
        <v>95312</v>
      </c>
      <c r="E54" s="16">
        <v>347.41</v>
      </c>
      <c r="F54" s="17">
        <v>7.9000000000000008E-3</v>
      </c>
      <c r="G54" s="17"/>
    </row>
    <row r="55" spans="1:7" x14ac:dyDescent="0.35">
      <c r="A55" s="13" t="s">
        <v>2039</v>
      </c>
      <c r="B55" s="41" t="s">
        <v>2040</v>
      </c>
      <c r="C55" s="41" t="s">
        <v>1178</v>
      </c>
      <c r="D55" s="15">
        <v>480869</v>
      </c>
      <c r="E55" s="16">
        <v>337.14</v>
      </c>
      <c r="F55" s="17">
        <v>7.7000000000000002E-3</v>
      </c>
      <c r="G55" s="17"/>
    </row>
    <row r="56" spans="1:7" x14ac:dyDescent="0.35">
      <c r="A56" s="13" t="s">
        <v>1392</v>
      </c>
      <c r="B56" s="41" t="s">
        <v>1393</v>
      </c>
      <c r="C56" s="41" t="s">
        <v>1369</v>
      </c>
      <c r="D56" s="15">
        <v>12086</v>
      </c>
      <c r="E56" s="16">
        <v>333.45</v>
      </c>
      <c r="F56" s="17">
        <v>7.6E-3</v>
      </c>
      <c r="G56" s="17"/>
    </row>
    <row r="57" spans="1:7" x14ac:dyDescent="0.35">
      <c r="A57" s="13" t="s">
        <v>1346</v>
      </c>
      <c r="B57" s="41" t="s">
        <v>1347</v>
      </c>
      <c r="C57" s="41" t="s">
        <v>1333</v>
      </c>
      <c r="D57" s="15">
        <v>125626</v>
      </c>
      <c r="E57" s="16">
        <v>330.02</v>
      </c>
      <c r="F57" s="17">
        <v>7.4999999999999997E-3</v>
      </c>
      <c r="G57" s="17"/>
    </row>
    <row r="58" spans="1:7" x14ac:dyDescent="0.35">
      <c r="A58" s="13" t="s">
        <v>2041</v>
      </c>
      <c r="B58" s="41" t="s">
        <v>2042</v>
      </c>
      <c r="C58" s="41" t="s">
        <v>1211</v>
      </c>
      <c r="D58" s="15">
        <v>39480</v>
      </c>
      <c r="E58" s="16">
        <v>316.85000000000002</v>
      </c>
      <c r="F58" s="17">
        <v>7.1999999999999998E-3</v>
      </c>
      <c r="G58" s="17"/>
    </row>
    <row r="59" spans="1:7" x14ac:dyDescent="0.35">
      <c r="A59" s="13" t="s">
        <v>2043</v>
      </c>
      <c r="B59" s="41" t="s">
        <v>2044</v>
      </c>
      <c r="C59" s="41" t="s">
        <v>1369</v>
      </c>
      <c r="D59" s="15">
        <v>48398</v>
      </c>
      <c r="E59" s="16">
        <v>314.68</v>
      </c>
      <c r="F59" s="17">
        <v>7.1999999999999998E-3</v>
      </c>
      <c r="G59" s="17"/>
    </row>
    <row r="60" spans="1:7" x14ac:dyDescent="0.35">
      <c r="A60" s="13" t="s">
        <v>1847</v>
      </c>
      <c r="B60" s="41" t="s">
        <v>1848</v>
      </c>
      <c r="C60" s="41" t="s">
        <v>1849</v>
      </c>
      <c r="D60" s="15">
        <v>158565</v>
      </c>
      <c r="E60" s="16">
        <v>311.88</v>
      </c>
      <c r="F60" s="17">
        <v>7.1000000000000004E-3</v>
      </c>
      <c r="G60" s="17"/>
    </row>
    <row r="61" spans="1:7" x14ac:dyDescent="0.35">
      <c r="A61" s="13" t="s">
        <v>1892</v>
      </c>
      <c r="B61" s="41" t="s">
        <v>1893</v>
      </c>
      <c r="C61" s="41" t="s">
        <v>1280</v>
      </c>
      <c r="D61" s="15">
        <v>30316</v>
      </c>
      <c r="E61" s="16">
        <v>307.39999999999998</v>
      </c>
      <c r="F61" s="17">
        <v>7.0000000000000001E-3</v>
      </c>
      <c r="G61" s="17"/>
    </row>
    <row r="62" spans="1:7" x14ac:dyDescent="0.35">
      <c r="A62" s="13" t="s">
        <v>1310</v>
      </c>
      <c r="B62" s="41" t="s">
        <v>1311</v>
      </c>
      <c r="C62" s="41" t="s">
        <v>1261</v>
      </c>
      <c r="D62" s="15">
        <v>155961</v>
      </c>
      <c r="E62" s="16">
        <v>301.20999999999998</v>
      </c>
      <c r="F62" s="17">
        <v>6.7999999999999996E-3</v>
      </c>
      <c r="G62" s="17"/>
    </row>
    <row r="63" spans="1:7" x14ac:dyDescent="0.35">
      <c r="A63" s="13" t="s">
        <v>1214</v>
      </c>
      <c r="B63" s="41" t="s">
        <v>1215</v>
      </c>
      <c r="C63" s="41" t="s">
        <v>1216</v>
      </c>
      <c r="D63" s="15">
        <v>25751</v>
      </c>
      <c r="E63" s="16">
        <v>291.99</v>
      </c>
      <c r="F63" s="17">
        <v>6.6E-3</v>
      </c>
      <c r="G63" s="17"/>
    </row>
    <row r="64" spans="1:7" x14ac:dyDescent="0.35">
      <c r="A64" s="13" t="s">
        <v>2045</v>
      </c>
      <c r="B64" s="41" t="s">
        <v>2046</v>
      </c>
      <c r="C64" s="41" t="s">
        <v>1350</v>
      </c>
      <c r="D64" s="15">
        <v>68506</v>
      </c>
      <c r="E64" s="16">
        <v>280.63</v>
      </c>
      <c r="F64" s="17">
        <v>6.4000000000000003E-3</v>
      </c>
      <c r="G64" s="17"/>
    </row>
    <row r="65" spans="1:7" x14ac:dyDescent="0.35">
      <c r="A65" s="13" t="s">
        <v>1810</v>
      </c>
      <c r="B65" s="41" t="s">
        <v>1811</v>
      </c>
      <c r="C65" s="41" t="s">
        <v>1382</v>
      </c>
      <c r="D65" s="15">
        <v>3816</v>
      </c>
      <c r="E65" s="16">
        <v>279.22000000000003</v>
      </c>
      <c r="F65" s="17">
        <v>6.3E-3</v>
      </c>
      <c r="G65" s="17"/>
    </row>
    <row r="66" spans="1:7" x14ac:dyDescent="0.35">
      <c r="A66" s="13" t="s">
        <v>1510</v>
      </c>
      <c r="B66" s="41" t="s">
        <v>1511</v>
      </c>
      <c r="C66" s="41" t="s">
        <v>1261</v>
      </c>
      <c r="D66" s="15">
        <v>24651</v>
      </c>
      <c r="E66" s="16">
        <v>279.05</v>
      </c>
      <c r="F66" s="17">
        <v>6.3E-3</v>
      </c>
      <c r="G66" s="17"/>
    </row>
    <row r="67" spans="1:7" x14ac:dyDescent="0.35">
      <c r="A67" s="13" t="s">
        <v>2047</v>
      </c>
      <c r="B67" s="41" t="s">
        <v>2048</v>
      </c>
      <c r="C67" s="41" t="s">
        <v>1211</v>
      </c>
      <c r="D67" s="15">
        <v>23559</v>
      </c>
      <c r="E67" s="16">
        <v>277.69</v>
      </c>
      <c r="F67" s="17">
        <v>6.3E-3</v>
      </c>
      <c r="G67" s="17"/>
    </row>
    <row r="68" spans="1:7" x14ac:dyDescent="0.35">
      <c r="A68" s="13" t="s">
        <v>1919</v>
      </c>
      <c r="B68" s="41" t="s">
        <v>1920</v>
      </c>
      <c r="C68" s="41" t="s">
        <v>1178</v>
      </c>
      <c r="D68" s="15">
        <v>186245</v>
      </c>
      <c r="E68" s="16">
        <v>274.56</v>
      </c>
      <c r="F68" s="17">
        <v>6.1999999999999998E-3</v>
      </c>
      <c r="G68" s="17"/>
    </row>
    <row r="69" spans="1:7" x14ac:dyDescent="0.35">
      <c r="A69" s="13" t="s">
        <v>1993</v>
      </c>
      <c r="B69" s="41" t="s">
        <v>1994</v>
      </c>
      <c r="C69" s="41" t="s">
        <v>1288</v>
      </c>
      <c r="D69" s="15">
        <v>6787</v>
      </c>
      <c r="E69" s="16">
        <v>272.91000000000003</v>
      </c>
      <c r="F69" s="17">
        <v>6.1999999999999998E-3</v>
      </c>
      <c r="G69" s="17"/>
    </row>
    <row r="70" spans="1:7" x14ac:dyDescent="0.35">
      <c r="A70" s="13" t="s">
        <v>1555</v>
      </c>
      <c r="B70" s="41" t="s">
        <v>1556</v>
      </c>
      <c r="C70" s="41" t="s">
        <v>1178</v>
      </c>
      <c r="D70" s="15">
        <v>28692</v>
      </c>
      <c r="E70" s="16">
        <v>261.58</v>
      </c>
      <c r="F70" s="17">
        <v>5.8999999999999999E-3</v>
      </c>
      <c r="G70" s="17"/>
    </row>
    <row r="71" spans="1:7" x14ac:dyDescent="0.35">
      <c r="A71" s="13" t="s">
        <v>2049</v>
      </c>
      <c r="B71" s="41" t="s">
        <v>2050</v>
      </c>
      <c r="C71" s="41" t="s">
        <v>1387</v>
      </c>
      <c r="D71" s="15">
        <v>12301</v>
      </c>
      <c r="E71" s="16">
        <v>255.17</v>
      </c>
      <c r="F71" s="17">
        <v>5.7999999999999996E-3</v>
      </c>
      <c r="G71" s="17"/>
    </row>
    <row r="72" spans="1:7" x14ac:dyDescent="0.35">
      <c r="A72" s="13" t="s">
        <v>1374</v>
      </c>
      <c r="B72" s="41" t="s">
        <v>1375</v>
      </c>
      <c r="C72" s="41" t="s">
        <v>1178</v>
      </c>
      <c r="D72" s="15">
        <v>84647</v>
      </c>
      <c r="E72" s="16">
        <v>253.43</v>
      </c>
      <c r="F72" s="17">
        <v>5.7999999999999996E-3</v>
      </c>
      <c r="G72" s="17"/>
    </row>
    <row r="73" spans="1:7" x14ac:dyDescent="0.35">
      <c r="A73" s="13" t="s">
        <v>1259</v>
      </c>
      <c r="B73" s="41" t="s">
        <v>1260</v>
      </c>
      <c r="C73" s="41" t="s">
        <v>1261</v>
      </c>
      <c r="D73" s="15">
        <v>20512</v>
      </c>
      <c r="E73" s="16">
        <v>249.1</v>
      </c>
      <c r="F73" s="17">
        <v>5.7000000000000002E-3</v>
      </c>
      <c r="G73" s="17"/>
    </row>
    <row r="74" spans="1:7" x14ac:dyDescent="0.35">
      <c r="A74" s="13" t="s">
        <v>1933</v>
      </c>
      <c r="B74" s="41" t="s">
        <v>1934</v>
      </c>
      <c r="C74" s="41" t="s">
        <v>1382</v>
      </c>
      <c r="D74" s="15">
        <v>9788</v>
      </c>
      <c r="E74" s="16">
        <v>237.54</v>
      </c>
      <c r="F74" s="17">
        <v>5.4000000000000003E-3</v>
      </c>
      <c r="G74" s="17"/>
    </row>
    <row r="75" spans="1:7" x14ac:dyDescent="0.35">
      <c r="A75" s="13" t="s">
        <v>1472</v>
      </c>
      <c r="B75" s="41" t="s">
        <v>1473</v>
      </c>
      <c r="C75" s="41" t="s">
        <v>1419</v>
      </c>
      <c r="D75" s="15">
        <v>22760</v>
      </c>
      <c r="E75" s="16">
        <v>219.09</v>
      </c>
      <c r="F75" s="17">
        <v>5.0000000000000001E-3</v>
      </c>
      <c r="G75" s="17"/>
    </row>
    <row r="76" spans="1:7" x14ac:dyDescent="0.35">
      <c r="A76" s="13" t="s">
        <v>1209</v>
      </c>
      <c r="B76" s="41" t="s">
        <v>1210</v>
      </c>
      <c r="C76" s="41" t="s">
        <v>1211</v>
      </c>
      <c r="D76" s="15">
        <v>23293</v>
      </c>
      <c r="E76" s="16">
        <v>216.59</v>
      </c>
      <c r="F76" s="17">
        <v>4.8999999999999998E-3</v>
      </c>
      <c r="G76" s="17"/>
    </row>
    <row r="77" spans="1:7" x14ac:dyDescent="0.35">
      <c r="A77" s="13" t="s">
        <v>1937</v>
      </c>
      <c r="B77" s="41" t="s">
        <v>1938</v>
      </c>
      <c r="C77" s="41" t="s">
        <v>1301</v>
      </c>
      <c r="D77" s="15">
        <v>42375</v>
      </c>
      <c r="E77" s="16">
        <v>216.13</v>
      </c>
      <c r="F77" s="17">
        <v>4.8999999999999998E-3</v>
      </c>
      <c r="G77" s="17"/>
    </row>
    <row r="78" spans="1:7" x14ac:dyDescent="0.35">
      <c r="A78" s="13" t="s">
        <v>1291</v>
      </c>
      <c r="B78" s="41" t="s">
        <v>1292</v>
      </c>
      <c r="C78" s="41" t="s">
        <v>1206</v>
      </c>
      <c r="D78" s="15">
        <v>50388</v>
      </c>
      <c r="E78" s="16">
        <v>215.16</v>
      </c>
      <c r="F78" s="17">
        <v>4.8999999999999998E-3</v>
      </c>
      <c r="G78" s="17"/>
    </row>
    <row r="79" spans="1:7" x14ac:dyDescent="0.35">
      <c r="A79" s="13" t="s">
        <v>1476</v>
      </c>
      <c r="B79" s="41" t="s">
        <v>1477</v>
      </c>
      <c r="C79" s="41" t="s">
        <v>1221</v>
      </c>
      <c r="D79" s="15">
        <v>7306</v>
      </c>
      <c r="E79" s="16">
        <v>205.76</v>
      </c>
      <c r="F79" s="17">
        <v>4.7000000000000002E-3</v>
      </c>
      <c r="G79" s="17"/>
    </row>
    <row r="80" spans="1:7" x14ac:dyDescent="0.35">
      <c r="A80" s="13" t="s">
        <v>1403</v>
      </c>
      <c r="B80" s="41" t="s">
        <v>1404</v>
      </c>
      <c r="C80" s="41" t="s">
        <v>1234</v>
      </c>
      <c r="D80" s="15">
        <v>3220</v>
      </c>
      <c r="E80" s="16">
        <v>194.84</v>
      </c>
      <c r="F80" s="17">
        <v>4.4000000000000003E-3</v>
      </c>
      <c r="G80" s="17"/>
    </row>
    <row r="81" spans="1:7" x14ac:dyDescent="0.35">
      <c r="A81" s="13" t="s">
        <v>1356</v>
      </c>
      <c r="B81" s="41" t="s">
        <v>1357</v>
      </c>
      <c r="C81" s="41" t="s">
        <v>1288</v>
      </c>
      <c r="D81" s="15">
        <v>9269</v>
      </c>
      <c r="E81" s="16">
        <v>189.62</v>
      </c>
      <c r="F81" s="17">
        <v>4.3E-3</v>
      </c>
      <c r="G81" s="17"/>
    </row>
    <row r="82" spans="1:7" x14ac:dyDescent="0.35">
      <c r="A82" s="13" t="s">
        <v>1541</v>
      </c>
      <c r="B82" s="41" t="s">
        <v>1542</v>
      </c>
      <c r="C82" s="41" t="s">
        <v>1280</v>
      </c>
      <c r="D82" s="15">
        <v>14265</v>
      </c>
      <c r="E82" s="16">
        <v>188.33</v>
      </c>
      <c r="F82" s="17">
        <v>4.3E-3</v>
      </c>
      <c r="G82" s="17"/>
    </row>
    <row r="83" spans="1:7" x14ac:dyDescent="0.35">
      <c r="A83" s="13" t="s">
        <v>2051</v>
      </c>
      <c r="B83" s="41" t="s">
        <v>2052</v>
      </c>
      <c r="C83" s="41" t="s">
        <v>1229</v>
      </c>
      <c r="D83" s="15">
        <v>30206</v>
      </c>
      <c r="E83" s="16">
        <v>182.37</v>
      </c>
      <c r="F83" s="17">
        <v>4.1000000000000003E-3</v>
      </c>
      <c r="G83" s="17"/>
    </row>
    <row r="84" spans="1:7" x14ac:dyDescent="0.35">
      <c r="A84" s="13" t="s">
        <v>1820</v>
      </c>
      <c r="B84" s="41" t="s">
        <v>1821</v>
      </c>
      <c r="C84" s="41" t="s">
        <v>1324</v>
      </c>
      <c r="D84" s="15">
        <v>23092</v>
      </c>
      <c r="E84" s="16">
        <v>173.71</v>
      </c>
      <c r="F84" s="17">
        <v>3.8999999999999998E-3</v>
      </c>
      <c r="G84" s="17"/>
    </row>
    <row r="85" spans="1:7" x14ac:dyDescent="0.35">
      <c r="A85" s="13" t="s">
        <v>1943</v>
      </c>
      <c r="B85" s="41" t="s">
        <v>1944</v>
      </c>
      <c r="C85" s="41" t="s">
        <v>1360</v>
      </c>
      <c r="D85" s="15">
        <v>6122</v>
      </c>
      <c r="E85" s="16">
        <v>173.14</v>
      </c>
      <c r="F85" s="17">
        <v>3.8999999999999998E-3</v>
      </c>
      <c r="G85" s="17"/>
    </row>
    <row r="86" spans="1:7" x14ac:dyDescent="0.35">
      <c r="A86" s="13" t="s">
        <v>2053</v>
      </c>
      <c r="B86" s="41" t="s">
        <v>2054</v>
      </c>
      <c r="C86" s="41" t="s">
        <v>1221</v>
      </c>
      <c r="D86" s="15">
        <v>26719</v>
      </c>
      <c r="E86" s="16">
        <v>169.73</v>
      </c>
      <c r="F86" s="17">
        <v>3.8999999999999998E-3</v>
      </c>
      <c r="G86" s="17"/>
    </row>
    <row r="87" spans="1:7" x14ac:dyDescent="0.35">
      <c r="A87" s="13" t="s">
        <v>2055</v>
      </c>
      <c r="B87" s="41" t="s">
        <v>2056</v>
      </c>
      <c r="C87" s="41" t="s">
        <v>1234</v>
      </c>
      <c r="D87" s="15">
        <v>1194</v>
      </c>
      <c r="E87" s="16">
        <v>158.22</v>
      </c>
      <c r="F87" s="17">
        <v>3.5999999999999999E-3</v>
      </c>
      <c r="G87" s="17"/>
    </row>
    <row r="88" spans="1:7" x14ac:dyDescent="0.35">
      <c r="A88" s="13" t="s">
        <v>1952</v>
      </c>
      <c r="B88" s="41" t="s">
        <v>1953</v>
      </c>
      <c r="C88" s="41" t="s">
        <v>1266</v>
      </c>
      <c r="D88" s="15">
        <v>50112</v>
      </c>
      <c r="E88" s="16">
        <v>155.22</v>
      </c>
      <c r="F88" s="17">
        <v>3.5000000000000001E-3</v>
      </c>
      <c r="G88" s="17"/>
    </row>
    <row r="89" spans="1:7" x14ac:dyDescent="0.35">
      <c r="A89" s="13" t="s">
        <v>1303</v>
      </c>
      <c r="B89" s="41" t="s">
        <v>1304</v>
      </c>
      <c r="C89" s="41" t="s">
        <v>1305</v>
      </c>
      <c r="D89" s="15">
        <v>33097</v>
      </c>
      <c r="E89" s="16">
        <v>152.18</v>
      </c>
      <c r="F89" s="17">
        <v>3.5000000000000001E-3</v>
      </c>
      <c r="G89" s="17"/>
    </row>
    <row r="90" spans="1:7" x14ac:dyDescent="0.35">
      <c r="A90" s="13" t="s">
        <v>1468</v>
      </c>
      <c r="B90" s="41" t="s">
        <v>1469</v>
      </c>
      <c r="C90" s="41" t="s">
        <v>1324</v>
      </c>
      <c r="D90" s="15">
        <v>8552</v>
      </c>
      <c r="E90" s="16">
        <v>142.88</v>
      </c>
      <c r="F90" s="17">
        <v>3.2000000000000002E-3</v>
      </c>
      <c r="G90" s="17"/>
    </row>
    <row r="91" spans="1:7" x14ac:dyDescent="0.35">
      <c r="A91" s="13" t="s">
        <v>1498</v>
      </c>
      <c r="B91" s="41" t="s">
        <v>1499</v>
      </c>
      <c r="C91" s="41" t="s">
        <v>1333</v>
      </c>
      <c r="D91" s="15">
        <v>23438</v>
      </c>
      <c r="E91" s="16">
        <v>136.88999999999999</v>
      </c>
      <c r="F91" s="17">
        <v>3.0999999999999999E-3</v>
      </c>
      <c r="G91" s="17"/>
    </row>
    <row r="92" spans="1:7" x14ac:dyDescent="0.35">
      <c r="A92" s="13" t="s">
        <v>2057</v>
      </c>
      <c r="B92" s="41" t="s">
        <v>2058</v>
      </c>
      <c r="C92" s="41" t="s">
        <v>1234</v>
      </c>
      <c r="D92" s="15">
        <v>16529</v>
      </c>
      <c r="E92" s="16">
        <v>129.46</v>
      </c>
      <c r="F92" s="17">
        <v>2.8999999999999998E-3</v>
      </c>
      <c r="G92" s="17"/>
    </row>
    <row r="93" spans="1:7" x14ac:dyDescent="0.35">
      <c r="A93" s="13" t="s">
        <v>1390</v>
      </c>
      <c r="B93" s="41" t="s">
        <v>1391</v>
      </c>
      <c r="C93" s="41" t="s">
        <v>1324</v>
      </c>
      <c r="D93" s="15">
        <v>8018</v>
      </c>
      <c r="E93" s="16">
        <v>126.43</v>
      </c>
      <c r="F93" s="17">
        <v>2.8999999999999998E-3</v>
      </c>
      <c r="G93" s="17"/>
    </row>
    <row r="94" spans="1:7" x14ac:dyDescent="0.35">
      <c r="A94" s="13" t="s">
        <v>1308</v>
      </c>
      <c r="B94" s="41" t="s">
        <v>1309</v>
      </c>
      <c r="C94" s="41" t="s">
        <v>1211</v>
      </c>
      <c r="D94" s="15">
        <v>49507</v>
      </c>
      <c r="E94" s="16">
        <v>126</v>
      </c>
      <c r="F94" s="17">
        <v>2.8999999999999998E-3</v>
      </c>
      <c r="G94" s="17"/>
    </row>
    <row r="95" spans="1:7" x14ac:dyDescent="0.35">
      <c r="A95" s="13" t="s">
        <v>1812</v>
      </c>
      <c r="B95" s="41" t="s">
        <v>1813</v>
      </c>
      <c r="C95" s="41" t="s">
        <v>1436</v>
      </c>
      <c r="D95" s="15">
        <v>15219</v>
      </c>
      <c r="E95" s="16">
        <v>122.72</v>
      </c>
      <c r="F95" s="17">
        <v>2.8E-3</v>
      </c>
      <c r="G95" s="17"/>
    </row>
    <row r="96" spans="1:7" x14ac:dyDescent="0.35">
      <c r="A96" s="13" t="s">
        <v>1484</v>
      </c>
      <c r="B96" s="41" t="s">
        <v>1485</v>
      </c>
      <c r="C96" s="41" t="s">
        <v>1201</v>
      </c>
      <c r="D96" s="15">
        <v>829</v>
      </c>
      <c r="E96" s="16">
        <v>86.6</v>
      </c>
      <c r="F96" s="17">
        <v>2E-3</v>
      </c>
      <c r="G96" s="17"/>
    </row>
    <row r="97" spans="1:7" x14ac:dyDescent="0.35">
      <c r="A97" s="13" t="s">
        <v>2059</v>
      </c>
      <c r="B97" s="41" t="s">
        <v>2060</v>
      </c>
      <c r="C97" s="41" t="s">
        <v>1333</v>
      </c>
      <c r="D97" s="15">
        <v>2526</v>
      </c>
      <c r="E97" s="16">
        <v>62.83</v>
      </c>
      <c r="F97" s="17">
        <v>1.4E-3</v>
      </c>
      <c r="G97" s="17"/>
    </row>
    <row r="98" spans="1:7" x14ac:dyDescent="0.35">
      <c r="A98" s="13" t="s">
        <v>2061</v>
      </c>
      <c r="B98" s="41" t="s">
        <v>2062</v>
      </c>
      <c r="C98" s="41" t="s">
        <v>1465</v>
      </c>
      <c r="D98" s="15">
        <v>22613</v>
      </c>
      <c r="E98" s="16">
        <v>51.58</v>
      </c>
      <c r="F98" s="17">
        <v>1.1999999999999999E-3</v>
      </c>
      <c r="G98" s="17"/>
    </row>
    <row r="99" spans="1:7" x14ac:dyDescent="0.35">
      <c r="A99" s="13" t="s">
        <v>2063</v>
      </c>
      <c r="B99" s="41" t="s">
        <v>2064</v>
      </c>
      <c r="C99" s="41" t="s">
        <v>1211</v>
      </c>
      <c r="D99" s="15">
        <v>5547</v>
      </c>
      <c r="E99" s="16">
        <v>39.24</v>
      </c>
      <c r="F99" s="17">
        <v>8.9999999999999998E-4</v>
      </c>
      <c r="G99" s="17"/>
    </row>
    <row r="100" spans="1:7" x14ac:dyDescent="0.35">
      <c r="A100" s="13" t="s">
        <v>1822</v>
      </c>
      <c r="B100" s="41" t="s">
        <v>1823</v>
      </c>
      <c r="C100" s="41" t="s">
        <v>1266</v>
      </c>
      <c r="D100" s="15">
        <v>14358</v>
      </c>
      <c r="E100" s="16">
        <v>18.079999999999998</v>
      </c>
      <c r="F100" s="17">
        <v>4.0000000000000002E-4</v>
      </c>
      <c r="G100" s="17"/>
    </row>
    <row r="101" spans="1:7" x14ac:dyDescent="0.35">
      <c r="A101" s="13" t="s">
        <v>1970</v>
      </c>
      <c r="B101" s="41" t="s">
        <v>1971</v>
      </c>
      <c r="C101" s="41" t="s">
        <v>1201</v>
      </c>
      <c r="D101" s="15">
        <v>791</v>
      </c>
      <c r="E101" s="16">
        <v>11.57</v>
      </c>
      <c r="F101" s="17">
        <v>2.9999999999999997E-4</v>
      </c>
      <c r="G101" s="17"/>
    </row>
    <row r="102" spans="1:7" x14ac:dyDescent="0.35">
      <c r="A102" s="13" t="s">
        <v>1843</v>
      </c>
      <c r="B102" s="41" t="s">
        <v>1844</v>
      </c>
      <c r="C102" s="41" t="s">
        <v>1191</v>
      </c>
      <c r="D102" s="15">
        <v>15735</v>
      </c>
      <c r="E102" s="16">
        <v>5.69</v>
      </c>
      <c r="F102" s="17">
        <v>1E-4</v>
      </c>
      <c r="G102" s="17"/>
    </row>
    <row r="103" spans="1:7" x14ac:dyDescent="0.35">
      <c r="A103" s="14" t="s">
        <v>149</v>
      </c>
      <c r="B103" s="42"/>
      <c r="C103" s="42"/>
      <c r="D103" s="18"/>
      <c r="E103" s="19">
        <f>SUM(E8:E102)</f>
        <v>42718.270000000011</v>
      </c>
      <c r="F103" s="20">
        <f>SUM(F8:F102)</f>
        <v>0.9708</v>
      </c>
      <c r="G103" s="21"/>
    </row>
    <row r="104" spans="1:7" x14ac:dyDescent="0.35">
      <c r="A104" s="14"/>
      <c r="B104" s="42"/>
      <c r="C104" s="42"/>
      <c r="D104" s="18"/>
      <c r="E104" s="26"/>
      <c r="F104" s="21"/>
      <c r="G104" s="21"/>
    </row>
    <row r="105" spans="1:7" x14ac:dyDescent="0.35">
      <c r="A105" s="14"/>
      <c r="B105" s="42"/>
      <c r="C105" s="42"/>
      <c r="D105" s="18"/>
      <c r="E105" s="26"/>
      <c r="F105" s="21"/>
      <c r="G105" s="21"/>
    </row>
    <row r="106" spans="1:7" x14ac:dyDescent="0.35">
      <c r="A106" s="14"/>
      <c r="B106" s="42"/>
      <c r="C106" s="42"/>
      <c r="D106" s="18"/>
      <c r="E106" s="26"/>
      <c r="F106" s="21"/>
      <c r="G106" s="21"/>
    </row>
    <row r="107" spans="1:7" x14ac:dyDescent="0.35">
      <c r="A107" s="58" t="s">
        <v>147</v>
      </c>
      <c r="B107" s="42"/>
      <c r="C107" s="42"/>
      <c r="D107" s="18"/>
      <c r="E107" s="26"/>
      <c r="F107" s="21"/>
      <c r="G107" s="21"/>
    </row>
    <row r="108" spans="1:7" x14ac:dyDescent="0.35">
      <c r="A108" s="58" t="s">
        <v>1249</v>
      </c>
      <c r="B108" s="41"/>
      <c r="C108" s="41"/>
      <c r="D108" s="15"/>
      <c r="E108" s="16"/>
      <c r="F108" s="17"/>
      <c r="G108" s="17"/>
    </row>
    <row r="109" spans="1:7" x14ac:dyDescent="0.35">
      <c r="A109" s="58" t="s">
        <v>1250</v>
      </c>
      <c r="B109" s="41"/>
      <c r="C109" s="41"/>
      <c r="D109" s="15"/>
      <c r="E109" s="16"/>
      <c r="F109" s="17"/>
      <c r="G109" s="17"/>
    </row>
    <row r="110" spans="1:7" x14ac:dyDescent="0.35">
      <c r="A110" s="13" t="s">
        <v>1251</v>
      </c>
      <c r="B110" s="41" t="s">
        <v>1252</v>
      </c>
      <c r="C110" s="41" t="s">
        <v>1188</v>
      </c>
      <c r="D110" s="15">
        <v>41580</v>
      </c>
      <c r="E110" s="16">
        <v>4.25</v>
      </c>
      <c r="F110" s="17">
        <v>1E-4</v>
      </c>
      <c r="G110" s="17">
        <v>6.3450000000000006E-2</v>
      </c>
    </row>
    <row r="111" spans="1:7" x14ac:dyDescent="0.35">
      <c r="A111" s="14" t="s">
        <v>149</v>
      </c>
      <c r="B111" s="42"/>
      <c r="C111" s="42"/>
      <c r="D111" s="18"/>
      <c r="E111" s="16">
        <v>4.25</v>
      </c>
      <c r="F111" s="17">
        <v>1E-4</v>
      </c>
      <c r="G111" s="21"/>
    </row>
    <row r="112" spans="1:7" x14ac:dyDescent="0.35">
      <c r="A112" s="22" t="s">
        <v>160</v>
      </c>
      <c r="B112" s="43"/>
      <c r="C112" s="43"/>
      <c r="D112" s="23"/>
      <c r="E112" s="36">
        <f>E111+E103</f>
        <v>42722.520000000011</v>
      </c>
      <c r="F112" s="37">
        <f>F111+F103</f>
        <v>0.97089999999999999</v>
      </c>
      <c r="G112" s="21"/>
    </row>
    <row r="113" spans="1:7" x14ac:dyDescent="0.35">
      <c r="A113" s="13"/>
      <c r="B113" s="41"/>
      <c r="C113" s="41"/>
      <c r="D113" s="15"/>
      <c r="E113" s="16"/>
      <c r="F113" s="17"/>
      <c r="G113" s="17"/>
    </row>
    <row r="114" spans="1:7" x14ac:dyDescent="0.35">
      <c r="A114" s="13"/>
      <c r="B114" s="41"/>
      <c r="C114" s="41"/>
      <c r="D114" s="15"/>
      <c r="E114" s="16"/>
      <c r="F114" s="17"/>
      <c r="G114" s="17"/>
    </row>
    <row r="115" spans="1:7" x14ac:dyDescent="0.35">
      <c r="A115" s="14" t="s">
        <v>255</v>
      </c>
      <c r="B115" s="41"/>
      <c r="C115" s="41"/>
      <c r="D115" s="15"/>
      <c r="E115" s="16"/>
      <c r="F115" s="17"/>
      <c r="G115" s="17"/>
    </row>
    <row r="116" spans="1:7" x14ac:dyDescent="0.35">
      <c r="A116" s="13" t="s">
        <v>257</v>
      </c>
      <c r="B116" s="41"/>
      <c r="C116" s="41"/>
      <c r="D116" s="15"/>
      <c r="E116" s="16">
        <v>1338.43</v>
      </c>
      <c r="F116" s="17">
        <v>3.04E-2</v>
      </c>
      <c r="G116" s="17">
        <v>5.1742000000000003E-2</v>
      </c>
    </row>
    <row r="117" spans="1:7" x14ac:dyDescent="0.35">
      <c r="A117" s="14" t="s">
        <v>149</v>
      </c>
      <c r="B117" s="42"/>
      <c r="C117" s="42"/>
      <c r="D117" s="18"/>
      <c r="E117" s="19">
        <v>1338.43</v>
      </c>
      <c r="F117" s="20">
        <v>3.04E-2</v>
      </c>
      <c r="G117" s="21"/>
    </row>
    <row r="118" spans="1:7" x14ac:dyDescent="0.35">
      <c r="A118" s="13"/>
      <c r="B118" s="41"/>
      <c r="C118" s="41"/>
      <c r="D118" s="15"/>
      <c r="E118" s="16"/>
      <c r="F118" s="17"/>
      <c r="G118" s="17"/>
    </row>
    <row r="119" spans="1:7" x14ac:dyDescent="0.35">
      <c r="A119" s="22" t="s">
        <v>160</v>
      </c>
      <c r="B119" s="43"/>
      <c r="C119" s="43"/>
      <c r="D119" s="23"/>
      <c r="E119" s="36">
        <v>1338.43</v>
      </c>
      <c r="F119" s="37">
        <v>3.04E-2</v>
      </c>
      <c r="G119" s="21"/>
    </row>
    <row r="120" spans="1:7" x14ac:dyDescent="0.35">
      <c r="A120" s="13" t="s">
        <v>258</v>
      </c>
      <c r="B120" s="41"/>
      <c r="C120" s="41"/>
      <c r="D120" s="15"/>
      <c r="E120" s="16">
        <v>0.379469</v>
      </c>
      <c r="F120" s="17">
        <v>7.9999999999999996E-6</v>
      </c>
      <c r="G120" s="17"/>
    </row>
    <row r="121" spans="1:7" x14ac:dyDescent="0.35">
      <c r="A121" s="13" t="s">
        <v>259</v>
      </c>
      <c r="B121" s="41"/>
      <c r="C121" s="41"/>
      <c r="D121" s="15"/>
      <c r="E121" s="28">
        <v>-51.239469</v>
      </c>
      <c r="F121" s="29">
        <v>-1.3079999999999999E-3</v>
      </c>
      <c r="G121" s="17">
        <v>5.1741000000000002E-2</v>
      </c>
    </row>
    <row r="122" spans="1:7" x14ac:dyDescent="0.35">
      <c r="A122" s="38" t="s">
        <v>260</v>
      </c>
      <c r="B122" s="44"/>
      <c r="C122" s="44"/>
      <c r="D122" s="39"/>
      <c r="E122" s="24">
        <v>44010.09</v>
      </c>
      <c r="F122" s="25">
        <v>1</v>
      </c>
      <c r="G122" s="25"/>
    </row>
    <row r="127" spans="1:7" x14ac:dyDescent="0.35">
      <c r="A127" s="1" t="s">
        <v>263</v>
      </c>
    </row>
    <row r="128" spans="1:7" x14ac:dyDescent="0.35">
      <c r="A128" s="47" t="s">
        <v>264</v>
      </c>
      <c r="B128" s="3" t="s">
        <v>146</v>
      </c>
    </row>
    <row r="129" spans="1:3" x14ac:dyDescent="0.35">
      <c r="A129" t="s">
        <v>265</v>
      </c>
    </row>
    <row r="130" spans="1:3" x14ac:dyDescent="0.35">
      <c r="A130" t="s">
        <v>266</v>
      </c>
      <c r="B130" t="s">
        <v>267</v>
      </c>
      <c r="C130" t="s">
        <v>267</v>
      </c>
    </row>
    <row r="131" spans="1:3" x14ac:dyDescent="0.35">
      <c r="B131" s="49">
        <v>46022</v>
      </c>
      <c r="C131" s="49">
        <v>46052</v>
      </c>
    </row>
    <row r="132" spans="1:3" x14ac:dyDescent="0.35">
      <c r="A132" t="s">
        <v>272</v>
      </c>
      <c r="B132">
        <v>138.22</v>
      </c>
      <c r="C132">
        <v>134.94999999999999</v>
      </c>
    </row>
    <row r="133" spans="1:3" x14ac:dyDescent="0.35">
      <c r="A133" t="s">
        <v>273</v>
      </c>
      <c r="B133">
        <v>46.74</v>
      </c>
      <c r="C133">
        <v>45.63</v>
      </c>
    </row>
    <row r="134" spans="1:3" x14ac:dyDescent="0.35">
      <c r="A134" t="s">
        <v>708</v>
      </c>
      <c r="B134">
        <v>116.01</v>
      </c>
      <c r="C134">
        <v>113.12</v>
      </c>
    </row>
    <row r="135" spans="1:3" x14ac:dyDescent="0.35">
      <c r="A135" t="s">
        <v>709</v>
      </c>
      <c r="B135">
        <v>31.05</v>
      </c>
      <c r="C135">
        <v>30.28</v>
      </c>
    </row>
    <row r="137" spans="1:3" x14ac:dyDescent="0.35">
      <c r="A137" t="s">
        <v>283</v>
      </c>
      <c r="B137" s="3" t="s">
        <v>146</v>
      </c>
    </row>
    <row r="138" spans="1:3" x14ac:dyDescent="0.35">
      <c r="A138" t="s">
        <v>284</v>
      </c>
      <c r="B138" s="3" t="s">
        <v>146</v>
      </c>
    </row>
    <row r="139" spans="1:3" ht="29" customHeight="1" x14ac:dyDescent="0.35">
      <c r="A139" s="47" t="s">
        <v>285</v>
      </c>
      <c r="B139" s="3" t="s">
        <v>146</v>
      </c>
    </row>
    <row r="140" spans="1:3" ht="29" customHeight="1" x14ac:dyDescent="0.35">
      <c r="A140" s="47" t="s">
        <v>286</v>
      </c>
      <c r="B140" s="3" t="s">
        <v>146</v>
      </c>
    </row>
    <row r="141" spans="1:3" x14ac:dyDescent="0.35">
      <c r="A141" t="s">
        <v>1253</v>
      </c>
      <c r="B141" s="48">
        <v>0.28070000000000001</v>
      </c>
    </row>
    <row r="142" spans="1:3" ht="43.5" customHeight="1" x14ac:dyDescent="0.35">
      <c r="A142" s="47" t="s">
        <v>288</v>
      </c>
      <c r="B142" s="3" t="s">
        <v>146</v>
      </c>
    </row>
    <row r="143" spans="1:3" x14ac:dyDescent="0.35">
      <c r="B143" s="3"/>
    </row>
    <row r="144" spans="1:3" ht="29" customHeight="1" x14ac:dyDescent="0.35">
      <c r="A144" s="47" t="s">
        <v>289</v>
      </c>
      <c r="B144" s="3" t="s">
        <v>146</v>
      </c>
    </row>
    <row r="145" spans="1:4" ht="29" customHeight="1" x14ac:dyDescent="0.35">
      <c r="A145" s="47" t="s">
        <v>290</v>
      </c>
      <c r="B145" t="s">
        <v>146</v>
      </c>
    </row>
    <row r="146" spans="1:4" ht="29" customHeight="1" x14ac:dyDescent="0.35">
      <c r="A146" s="47" t="s">
        <v>291</v>
      </c>
      <c r="B146" s="3" t="s">
        <v>146</v>
      </c>
    </row>
    <row r="147" spans="1:4" ht="29" customHeight="1" x14ac:dyDescent="0.35">
      <c r="A147" s="47" t="s">
        <v>292</v>
      </c>
      <c r="B147" s="3" t="s">
        <v>146</v>
      </c>
    </row>
    <row r="149" spans="1:4" ht="70" customHeight="1" x14ac:dyDescent="0.35">
      <c r="A149" s="70" t="s">
        <v>303</v>
      </c>
      <c r="B149" s="70" t="s">
        <v>304</v>
      </c>
      <c r="C149" s="70" t="s">
        <v>4</v>
      </c>
      <c r="D149" s="70" t="s">
        <v>5</v>
      </c>
    </row>
    <row r="150" spans="1:4" ht="70" customHeight="1" x14ac:dyDescent="0.35">
      <c r="A150" s="70" t="s">
        <v>2065</v>
      </c>
      <c r="B150" s="70"/>
      <c r="C150" s="70" t="s">
        <v>59</v>
      </c>
      <c r="D15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152"/>
  <sheetViews>
    <sheetView showGridLines="0" workbookViewId="0">
      <pane ySplit="4" topLeftCell="A88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2066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2067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2387998</v>
      </c>
      <c r="E8" s="16">
        <v>22190.47</v>
      </c>
      <c r="F8" s="17">
        <v>0.05</v>
      </c>
      <c r="G8" s="17"/>
    </row>
    <row r="9" spans="1:7" x14ac:dyDescent="0.35">
      <c r="A9" s="13" t="s">
        <v>1204</v>
      </c>
      <c r="B9" s="41" t="s">
        <v>1205</v>
      </c>
      <c r="C9" s="41" t="s">
        <v>1206</v>
      </c>
      <c r="D9" s="15">
        <v>913837</v>
      </c>
      <c r="E9" s="16">
        <v>12751.68</v>
      </c>
      <c r="F9" s="17">
        <v>2.87E-2</v>
      </c>
      <c r="G9" s="17"/>
    </row>
    <row r="10" spans="1:7" x14ac:dyDescent="0.35">
      <c r="A10" s="13" t="s">
        <v>1176</v>
      </c>
      <c r="B10" s="41" t="s">
        <v>1177</v>
      </c>
      <c r="C10" s="41" t="s">
        <v>1178</v>
      </c>
      <c r="D10" s="15">
        <v>978280</v>
      </c>
      <c r="E10" s="16">
        <v>10537.54</v>
      </c>
      <c r="F10" s="17">
        <v>2.3699999999999999E-2</v>
      </c>
      <c r="G10" s="17"/>
    </row>
    <row r="11" spans="1:7" x14ac:dyDescent="0.35">
      <c r="A11" s="13" t="s">
        <v>1202</v>
      </c>
      <c r="B11" s="41" t="s">
        <v>1203</v>
      </c>
      <c r="C11" s="41" t="s">
        <v>1178</v>
      </c>
      <c r="D11" s="15">
        <v>3638772</v>
      </c>
      <c r="E11" s="16">
        <v>10470.57</v>
      </c>
      <c r="F11" s="17">
        <v>2.3599999999999999E-2</v>
      </c>
      <c r="G11" s="17"/>
    </row>
    <row r="12" spans="1:7" x14ac:dyDescent="0.35">
      <c r="A12" s="13" t="s">
        <v>1196</v>
      </c>
      <c r="B12" s="41" t="s">
        <v>1197</v>
      </c>
      <c r="C12" s="41" t="s">
        <v>1198</v>
      </c>
      <c r="D12" s="15">
        <v>457817</v>
      </c>
      <c r="E12" s="16">
        <v>9013.0400000000009</v>
      </c>
      <c r="F12" s="17">
        <v>2.0299999999999999E-2</v>
      </c>
      <c r="G12" s="17"/>
    </row>
    <row r="13" spans="1:7" x14ac:dyDescent="0.35">
      <c r="A13" s="13" t="s">
        <v>1367</v>
      </c>
      <c r="B13" s="41" t="s">
        <v>1368</v>
      </c>
      <c r="C13" s="41" t="s">
        <v>1369</v>
      </c>
      <c r="D13" s="15">
        <v>537859</v>
      </c>
      <c r="E13" s="16">
        <v>8826.27</v>
      </c>
      <c r="F13" s="17">
        <v>1.9900000000000001E-2</v>
      </c>
      <c r="G13" s="17"/>
    </row>
    <row r="14" spans="1:7" x14ac:dyDescent="0.35">
      <c r="A14" s="13" t="s">
        <v>1181</v>
      </c>
      <c r="B14" s="41" t="s">
        <v>1182</v>
      </c>
      <c r="C14" s="41" t="s">
        <v>1178</v>
      </c>
      <c r="D14" s="15">
        <v>607905</v>
      </c>
      <c r="E14" s="16">
        <v>8237.11</v>
      </c>
      <c r="F14" s="17">
        <v>1.8499999999999999E-2</v>
      </c>
      <c r="G14" s="17"/>
    </row>
    <row r="15" spans="1:7" x14ac:dyDescent="0.35">
      <c r="A15" s="13" t="s">
        <v>1385</v>
      </c>
      <c r="B15" s="41" t="s">
        <v>1386</v>
      </c>
      <c r="C15" s="41" t="s">
        <v>1387</v>
      </c>
      <c r="D15" s="15">
        <v>205969</v>
      </c>
      <c r="E15" s="16">
        <v>8099.32</v>
      </c>
      <c r="F15" s="17">
        <v>1.8200000000000001E-2</v>
      </c>
      <c r="G15" s="17"/>
    </row>
    <row r="16" spans="1:7" x14ac:dyDescent="0.35">
      <c r="A16" s="13" t="s">
        <v>1555</v>
      </c>
      <c r="B16" s="41" t="s">
        <v>1556</v>
      </c>
      <c r="C16" s="41" t="s">
        <v>1178</v>
      </c>
      <c r="D16" s="15">
        <v>865182</v>
      </c>
      <c r="E16" s="16">
        <v>7887.86</v>
      </c>
      <c r="F16" s="17">
        <v>1.78E-2</v>
      </c>
      <c r="G16" s="17"/>
    </row>
    <row r="17" spans="1:7" x14ac:dyDescent="0.35">
      <c r="A17" s="13" t="s">
        <v>1847</v>
      </c>
      <c r="B17" s="41" t="s">
        <v>1848</v>
      </c>
      <c r="C17" s="41" t="s">
        <v>1849</v>
      </c>
      <c r="D17" s="15">
        <v>3831727</v>
      </c>
      <c r="E17" s="16">
        <v>7536.62</v>
      </c>
      <c r="F17" s="17">
        <v>1.7000000000000001E-2</v>
      </c>
      <c r="G17" s="17"/>
    </row>
    <row r="18" spans="1:7" x14ac:dyDescent="0.35">
      <c r="A18" s="13" t="s">
        <v>1468</v>
      </c>
      <c r="B18" s="41" t="s">
        <v>1469</v>
      </c>
      <c r="C18" s="41" t="s">
        <v>1324</v>
      </c>
      <c r="D18" s="15">
        <v>434783</v>
      </c>
      <c r="E18" s="16">
        <v>7263.92</v>
      </c>
      <c r="F18" s="17">
        <v>1.6400000000000001E-2</v>
      </c>
      <c r="G18" s="17"/>
    </row>
    <row r="19" spans="1:7" x14ac:dyDescent="0.35">
      <c r="A19" s="13" t="s">
        <v>1295</v>
      </c>
      <c r="B19" s="41" t="s">
        <v>1296</v>
      </c>
      <c r="C19" s="41" t="s">
        <v>1188</v>
      </c>
      <c r="D19" s="15">
        <v>207823</v>
      </c>
      <c r="E19" s="16">
        <v>7132.07</v>
      </c>
      <c r="F19" s="17">
        <v>1.61E-2</v>
      </c>
      <c r="G19" s="17"/>
    </row>
    <row r="20" spans="1:7" x14ac:dyDescent="0.35">
      <c r="A20" s="13" t="s">
        <v>1547</v>
      </c>
      <c r="B20" s="41" t="s">
        <v>1548</v>
      </c>
      <c r="C20" s="41" t="s">
        <v>1369</v>
      </c>
      <c r="D20" s="15">
        <v>115520</v>
      </c>
      <c r="E20" s="16">
        <v>6971.63</v>
      </c>
      <c r="F20" s="17">
        <v>1.5699999999999999E-2</v>
      </c>
      <c r="G20" s="17"/>
    </row>
    <row r="21" spans="1:7" x14ac:dyDescent="0.35">
      <c r="A21" s="13" t="s">
        <v>1314</v>
      </c>
      <c r="B21" s="41" t="s">
        <v>1315</v>
      </c>
      <c r="C21" s="41" t="s">
        <v>1211</v>
      </c>
      <c r="D21" s="15">
        <v>664865</v>
      </c>
      <c r="E21" s="16">
        <v>6781.62</v>
      </c>
      <c r="F21" s="17">
        <v>1.5299999999999999E-2</v>
      </c>
      <c r="G21" s="17"/>
    </row>
    <row r="22" spans="1:7" x14ac:dyDescent="0.35">
      <c r="A22" s="13" t="s">
        <v>1289</v>
      </c>
      <c r="B22" s="41" t="s">
        <v>1290</v>
      </c>
      <c r="C22" s="41" t="s">
        <v>1285</v>
      </c>
      <c r="D22" s="15">
        <v>1491402</v>
      </c>
      <c r="E22" s="16">
        <v>6696.39</v>
      </c>
      <c r="F22" s="17">
        <v>1.5100000000000001E-2</v>
      </c>
      <c r="G22" s="17"/>
    </row>
    <row r="23" spans="1:7" x14ac:dyDescent="0.35">
      <c r="A23" s="13" t="s">
        <v>1531</v>
      </c>
      <c r="B23" s="41" t="s">
        <v>1532</v>
      </c>
      <c r="C23" s="41" t="s">
        <v>1369</v>
      </c>
      <c r="D23" s="15">
        <v>391309</v>
      </c>
      <c r="E23" s="16">
        <v>6471.47</v>
      </c>
      <c r="F23" s="17">
        <v>1.46E-2</v>
      </c>
      <c r="G23" s="17"/>
    </row>
    <row r="24" spans="1:7" x14ac:dyDescent="0.35">
      <c r="A24" s="13" t="s">
        <v>1506</v>
      </c>
      <c r="B24" s="41" t="s">
        <v>1507</v>
      </c>
      <c r="C24" s="41" t="s">
        <v>1234</v>
      </c>
      <c r="D24" s="15">
        <v>298580</v>
      </c>
      <c r="E24" s="16">
        <v>6427.83</v>
      </c>
      <c r="F24" s="17">
        <v>1.4500000000000001E-2</v>
      </c>
      <c r="G24" s="17"/>
    </row>
    <row r="25" spans="1:7" x14ac:dyDescent="0.35">
      <c r="A25" s="13" t="s">
        <v>1225</v>
      </c>
      <c r="B25" s="41" t="s">
        <v>1226</v>
      </c>
      <c r="C25" s="41" t="s">
        <v>1185</v>
      </c>
      <c r="D25" s="15">
        <v>393340</v>
      </c>
      <c r="E25" s="16">
        <v>6346.93</v>
      </c>
      <c r="F25" s="17">
        <v>1.43E-2</v>
      </c>
      <c r="G25" s="17"/>
    </row>
    <row r="26" spans="1:7" x14ac:dyDescent="0.35">
      <c r="A26" s="13" t="s">
        <v>1470</v>
      </c>
      <c r="B26" s="41" t="s">
        <v>1471</v>
      </c>
      <c r="C26" s="41" t="s">
        <v>1382</v>
      </c>
      <c r="D26" s="15">
        <v>531885</v>
      </c>
      <c r="E26" s="16">
        <v>6288.48</v>
      </c>
      <c r="F26" s="17">
        <v>1.4200000000000001E-2</v>
      </c>
      <c r="G26" s="17"/>
    </row>
    <row r="27" spans="1:7" x14ac:dyDescent="0.35">
      <c r="A27" s="13" t="s">
        <v>1278</v>
      </c>
      <c r="B27" s="41" t="s">
        <v>1279</v>
      </c>
      <c r="C27" s="41" t="s">
        <v>1280</v>
      </c>
      <c r="D27" s="15">
        <v>247580</v>
      </c>
      <c r="E27" s="16">
        <v>6258.82</v>
      </c>
      <c r="F27" s="17">
        <v>1.41E-2</v>
      </c>
      <c r="G27" s="17"/>
    </row>
    <row r="28" spans="1:7" x14ac:dyDescent="0.35">
      <c r="A28" s="13" t="s">
        <v>1945</v>
      </c>
      <c r="B28" s="41" t="s">
        <v>1946</v>
      </c>
      <c r="C28" s="41" t="s">
        <v>1211</v>
      </c>
      <c r="D28" s="15">
        <v>117843</v>
      </c>
      <c r="E28" s="16">
        <v>6219.75</v>
      </c>
      <c r="F28" s="17">
        <v>1.4E-2</v>
      </c>
      <c r="G28" s="17"/>
    </row>
    <row r="29" spans="1:7" x14ac:dyDescent="0.35">
      <c r="A29" s="13" t="s">
        <v>1361</v>
      </c>
      <c r="B29" s="41" t="s">
        <v>1362</v>
      </c>
      <c r="C29" s="41" t="s">
        <v>1229</v>
      </c>
      <c r="D29" s="15">
        <v>719844</v>
      </c>
      <c r="E29" s="16">
        <v>6129.47</v>
      </c>
      <c r="F29" s="17">
        <v>1.38E-2</v>
      </c>
      <c r="G29" s="17"/>
    </row>
    <row r="30" spans="1:7" x14ac:dyDescent="0.35">
      <c r="A30" s="13" t="s">
        <v>1356</v>
      </c>
      <c r="B30" s="41" t="s">
        <v>1357</v>
      </c>
      <c r="C30" s="41" t="s">
        <v>1288</v>
      </c>
      <c r="D30" s="15">
        <v>297847</v>
      </c>
      <c r="E30" s="16">
        <v>6093.06</v>
      </c>
      <c r="F30" s="17">
        <v>1.37E-2</v>
      </c>
      <c r="G30" s="17"/>
    </row>
    <row r="31" spans="1:7" x14ac:dyDescent="0.35">
      <c r="A31" s="13" t="s">
        <v>1449</v>
      </c>
      <c r="B31" s="41" t="s">
        <v>1450</v>
      </c>
      <c r="C31" s="41" t="s">
        <v>1229</v>
      </c>
      <c r="D31" s="15">
        <v>619507</v>
      </c>
      <c r="E31" s="16">
        <v>5927.44</v>
      </c>
      <c r="F31" s="17">
        <v>1.3299999999999999E-2</v>
      </c>
      <c r="G31" s="17"/>
    </row>
    <row r="32" spans="1:7" x14ac:dyDescent="0.35">
      <c r="A32" s="13" t="s">
        <v>2013</v>
      </c>
      <c r="B32" s="41" t="s">
        <v>2014</v>
      </c>
      <c r="C32" s="41" t="s">
        <v>1288</v>
      </c>
      <c r="D32" s="15">
        <v>143278</v>
      </c>
      <c r="E32" s="16">
        <v>5892.31</v>
      </c>
      <c r="F32" s="17">
        <v>1.3299999999999999E-2</v>
      </c>
      <c r="G32" s="17"/>
    </row>
    <row r="33" spans="1:7" x14ac:dyDescent="0.35">
      <c r="A33" s="13" t="s">
        <v>1264</v>
      </c>
      <c r="B33" s="41" t="s">
        <v>1265</v>
      </c>
      <c r="C33" s="41" t="s">
        <v>1266</v>
      </c>
      <c r="D33" s="15">
        <v>2045981</v>
      </c>
      <c r="E33" s="16">
        <v>5597.8</v>
      </c>
      <c r="F33" s="17">
        <v>1.26E-2</v>
      </c>
      <c r="G33" s="17"/>
    </row>
    <row r="34" spans="1:7" x14ac:dyDescent="0.35">
      <c r="A34" s="13" t="s">
        <v>1392</v>
      </c>
      <c r="B34" s="41" t="s">
        <v>1393</v>
      </c>
      <c r="C34" s="41" t="s">
        <v>1369</v>
      </c>
      <c r="D34" s="15">
        <v>199669</v>
      </c>
      <c r="E34" s="16">
        <v>5508.87</v>
      </c>
      <c r="F34" s="17">
        <v>1.24E-2</v>
      </c>
      <c r="G34" s="17"/>
    </row>
    <row r="35" spans="1:7" x14ac:dyDescent="0.35">
      <c r="A35" s="13" t="s">
        <v>1553</v>
      </c>
      <c r="B35" s="41" t="s">
        <v>1554</v>
      </c>
      <c r="C35" s="41" t="s">
        <v>1211</v>
      </c>
      <c r="D35" s="15">
        <v>142573</v>
      </c>
      <c r="E35" s="16">
        <v>5459.98</v>
      </c>
      <c r="F35" s="17">
        <v>1.23E-2</v>
      </c>
      <c r="G35" s="17"/>
    </row>
    <row r="36" spans="1:7" x14ac:dyDescent="0.35">
      <c r="A36" s="13" t="s">
        <v>1496</v>
      </c>
      <c r="B36" s="41" t="s">
        <v>1497</v>
      </c>
      <c r="C36" s="41" t="s">
        <v>1211</v>
      </c>
      <c r="D36" s="15">
        <v>331865</v>
      </c>
      <c r="E36" s="16">
        <v>5414.71</v>
      </c>
      <c r="F36" s="17">
        <v>1.2200000000000001E-2</v>
      </c>
      <c r="G36" s="17"/>
    </row>
    <row r="37" spans="1:7" x14ac:dyDescent="0.35">
      <c r="A37" s="13" t="s">
        <v>1346</v>
      </c>
      <c r="B37" s="41" t="s">
        <v>1347</v>
      </c>
      <c r="C37" s="41" t="s">
        <v>1333</v>
      </c>
      <c r="D37" s="15">
        <v>2013931</v>
      </c>
      <c r="E37" s="16">
        <v>5290.6</v>
      </c>
      <c r="F37" s="17">
        <v>1.1900000000000001E-2</v>
      </c>
      <c r="G37" s="17"/>
    </row>
    <row r="38" spans="1:7" x14ac:dyDescent="0.35">
      <c r="A38" s="13" t="s">
        <v>1463</v>
      </c>
      <c r="B38" s="41" t="s">
        <v>1464</v>
      </c>
      <c r="C38" s="41" t="s">
        <v>1465</v>
      </c>
      <c r="D38" s="15">
        <v>318891</v>
      </c>
      <c r="E38" s="16">
        <v>5276.05</v>
      </c>
      <c r="F38" s="17">
        <v>1.1900000000000001E-2</v>
      </c>
      <c r="G38" s="17"/>
    </row>
    <row r="39" spans="1:7" x14ac:dyDescent="0.35">
      <c r="A39" s="13" t="s">
        <v>2068</v>
      </c>
      <c r="B39" s="41" t="s">
        <v>2069</v>
      </c>
      <c r="C39" s="41" t="s">
        <v>2070</v>
      </c>
      <c r="D39" s="15">
        <v>1194293</v>
      </c>
      <c r="E39" s="16">
        <v>5263.85</v>
      </c>
      <c r="F39" s="17">
        <v>1.1900000000000001E-2</v>
      </c>
      <c r="G39" s="17"/>
    </row>
    <row r="40" spans="1:7" x14ac:dyDescent="0.35">
      <c r="A40" s="13" t="s">
        <v>2071</v>
      </c>
      <c r="B40" s="41" t="s">
        <v>2072</v>
      </c>
      <c r="C40" s="41" t="s">
        <v>1221</v>
      </c>
      <c r="D40" s="15">
        <v>517371</v>
      </c>
      <c r="E40" s="16">
        <v>5184.0600000000004</v>
      </c>
      <c r="F40" s="17">
        <v>1.17E-2</v>
      </c>
      <c r="G40" s="17"/>
    </row>
    <row r="41" spans="1:7" x14ac:dyDescent="0.35">
      <c r="A41" s="13" t="s">
        <v>1212</v>
      </c>
      <c r="B41" s="41" t="s">
        <v>1213</v>
      </c>
      <c r="C41" s="41" t="s">
        <v>1188</v>
      </c>
      <c r="D41" s="15">
        <v>140236</v>
      </c>
      <c r="E41" s="16">
        <v>5157.04</v>
      </c>
      <c r="F41" s="17">
        <v>1.1599999999999999E-2</v>
      </c>
      <c r="G41" s="17"/>
    </row>
    <row r="42" spans="1:7" x14ac:dyDescent="0.35">
      <c r="A42" s="13" t="s">
        <v>1374</v>
      </c>
      <c r="B42" s="41" t="s">
        <v>1375</v>
      </c>
      <c r="C42" s="41" t="s">
        <v>1178</v>
      </c>
      <c r="D42" s="15">
        <v>1696166</v>
      </c>
      <c r="E42" s="16">
        <v>5078.32</v>
      </c>
      <c r="F42" s="17">
        <v>1.14E-2</v>
      </c>
      <c r="G42" s="17"/>
    </row>
    <row r="43" spans="1:7" x14ac:dyDescent="0.35">
      <c r="A43" s="13" t="s">
        <v>1816</v>
      </c>
      <c r="B43" s="41" t="s">
        <v>1817</v>
      </c>
      <c r="C43" s="41" t="s">
        <v>1188</v>
      </c>
      <c r="D43" s="15">
        <v>806725</v>
      </c>
      <c r="E43" s="16">
        <v>5011.78</v>
      </c>
      <c r="F43" s="17">
        <v>1.1299999999999999E-2</v>
      </c>
      <c r="G43" s="17"/>
    </row>
    <row r="44" spans="1:7" x14ac:dyDescent="0.35">
      <c r="A44" s="13" t="s">
        <v>2073</v>
      </c>
      <c r="B44" s="41" t="s">
        <v>2074</v>
      </c>
      <c r="C44" s="41" t="s">
        <v>1211</v>
      </c>
      <c r="D44" s="15">
        <v>530924</v>
      </c>
      <c r="E44" s="16">
        <v>4950.6000000000004</v>
      </c>
      <c r="F44" s="17">
        <v>1.11E-2</v>
      </c>
      <c r="G44" s="17"/>
    </row>
    <row r="45" spans="1:7" x14ac:dyDescent="0.35">
      <c r="A45" s="13" t="s">
        <v>1310</v>
      </c>
      <c r="B45" s="41" t="s">
        <v>1311</v>
      </c>
      <c r="C45" s="41" t="s">
        <v>1261</v>
      </c>
      <c r="D45" s="15">
        <v>2499874</v>
      </c>
      <c r="E45" s="16">
        <v>4828.01</v>
      </c>
      <c r="F45" s="17">
        <v>1.09E-2</v>
      </c>
      <c r="G45" s="17"/>
    </row>
    <row r="46" spans="1:7" x14ac:dyDescent="0.35">
      <c r="A46" s="13" t="s">
        <v>1297</v>
      </c>
      <c r="B46" s="41" t="s">
        <v>1298</v>
      </c>
      <c r="C46" s="41" t="s">
        <v>1198</v>
      </c>
      <c r="D46" s="15">
        <v>1085565</v>
      </c>
      <c r="E46" s="16">
        <v>4823.17</v>
      </c>
      <c r="F46" s="17">
        <v>1.09E-2</v>
      </c>
      <c r="G46" s="17"/>
    </row>
    <row r="47" spans="1:7" x14ac:dyDescent="0.35">
      <c r="A47" s="13" t="s">
        <v>1338</v>
      </c>
      <c r="B47" s="41" t="s">
        <v>1339</v>
      </c>
      <c r="C47" s="41" t="s">
        <v>1221</v>
      </c>
      <c r="D47" s="15">
        <v>35329</v>
      </c>
      <c r="E47" s="16">
        <v>4762.3500000000004</v>
      </c>
      <c r="F47" s="17">
        <v>1.0699999999999999E-2</v>
      </c>
      <c r="G47" s="17"/>
    </row>
    <row r="48" spans="1:7" x14ac:dyDescent="0.35">
      <c r="A48" s="13" t="s">
        <v>2049</v>
      </c>
      <c r="B48" s="41" t="s">
        <v>2050</v>
      </c>
      <c r="C48" s="41" t="s">
        <v>1387</v>
      </c>
      <c r="D48" s="15">
        <v>227966</v>
      </c>
      <c r="E48" s="16">
        <v>4728.93</v>
      </c>
      <c r="F48" s="17">
        <v>1.06E-2</v>
      </c>
      <c r="G48" s="17"/>
    </row>
    <row r="49" spans="1:7" x14ac:dyDescent="0.35">
      <c r="A49" s="13" t="s">
        <v>1394</v>
      </c>
      <c r="B49" s="41" t="s">
        <v>1395</v>
      </c>
      <c r="C49" s="41" t="s">
        <v>1369</v>
      </c>
      <c r="D49" s="15">
        <v>270080</v>
      </c>
      <c r="E49" s="16">
        <v>4707.76</v>
      </c>
      <c r="F49" s="17">
        <v>1.06E-2</v>
      </c>
      <c r="G49" s="17"/>
    </row>
    <row r="50" spans="1:7" x14ac:dyDescent="0.35">
      <c r="A50" s="13" t="s">
        <v>1972</v>
      </c>
      <c r="B50" s="41" t="s">
        <v>1973</v>
      </c>
      <c r="C50" s="41" t="s">
        <v>1201</v>
      </c>
      <c r="D50" s="15">
        <v>576761</v>
      </c>
      <c r="E50" s="16">
        <v>4636</v>
      </c>
      <c r="F50" s="17">
        <v>1.04E-2</v>
      </c>
      <c r="G50" s="17"/>
    </row>
    <row r="51" spans="1:7" x14ac:dyDescent="0.35">
      <c r="A51" s="13" t="s">
        <v>2026</v>
      </c>
      <c r="B51" s="41" t="s">
        <v>2027</v>
      </c>
      <c r="C51" s="41" t="s">
        <v>1234</v>
      </c>
      <c r="D51" s="15">
        <v>314490</v>
      </c>
      <c r="E51" s="16">
        <v>4625.5200000000004</v>
      </c>
      <c r="F51" s="17">
        <v>1.04E-2</v>
      </c>
      <c r="G51" s="17"/>
    </row>
    <row r="52" spans="1:7" x14ac:dyDescent="0.35">
      <c r="A52" s="13" t="s">
        <v>1476</v>
      </c>
      <c r="B52" s="41" t="s">
        <v>1477</v>
      </c>
      <c r="C52" s="41" t="s">
        <v>1221</v>
      </c>
      <c r="D52" s="15">
        <v>160224</v>
      </c>
      <c r="E52" s="16">
        <v>4512.3900000000003</v>
      </c>
      <c r="F52" s="17">
        <v>1.0200000000000001E-2</v>
      </c>
      <c r="G52" s="17"/>
    </row>
    <row r="53" spans="1:7" x14ac:dyDescent="0.35">
      <c r="A53" s="13" t="s">
        <v>1237</v>
      </c>
      <c r="B53" s="41" t="s">
        <v>1238</v>
      </c>
      <c r="C53" s="41" t="s">
        <v>1234</v>
      </c>
      <c r="D53" s="15">
        <v>269488</v>
      </c>
      <c r="E53" s="16">
        <v>4299.1400000000003</v>
      </c>
      <c r="F53" s="17">
        <v>9.7000000000000003E-3</v>
      </c>
      <c r="G53" s="17"/>
    </row>
    <row r="54" spans="1:7" x14ac:dyDescent="0.35">
      <c r="A54" s="13" t="s">
        <v>1262</v>
      </c>
      <c r="B54" s="41" t="s">
        <v>1263</v>
      </c>
      <c r="C54" s="41" t="s">
        <v>1178</v>
      </c>
      <c r="D54" s="15">
        <v>311149</v>
      </c>
      <c r="E54" s="16">
        <v>4263.99</v>
      </c>
      <c r="F54" s="17">
        <v>9.5999999999999992E-3</v>
      </c>
      <c r="G54" s="17"/>
    </row>
    <row r="55" spans="1:7" x14ac:dyDescent="0.35">
      <c r="A55" s="13" t="s">
        <v>1533</v>
      </c>
      <c r="B55" s="41" t="s">
        <v>1534</v>
      </c>
      <c r="C55" s="41" t="s">
        <v>1369</v>
      </c>
      <c r="D55" s="15">
        <v>70256</v>
      </c>
      <c r="E55" s="16">
        <v>4197.4399999999996</v>
      </c>
      <c r="F55" s="17">
        <v>9.4000000000000004E-3</v>
      </c>
      <c r="G55" s="17"/>
    </row>
    <row r="56" spans="1:7" x14ac:dyDescent="0.35">
      <c r="A56" s="13" t="s">
        <v>1441</v>
      </c>
      <c r="B56" s="41" t="s">
        <v>1442</v>
      </c>
      <c r="C56" s="41" t="s">
        <v>1280</v>
      </c>
      <c r="D56" s="15">
        <v>163835</v>
      </c>
      <c r="E56" s="16">
        <v>4121.6000000000004</v>
      </c>
      <c r="F56" s="17">
        <v>9.2999999999999992E-3</v>
      </c>
      <c r="G56" s="17"/>
    </row>
    <row r="57" spans="1:7" x14ac:dyDescent="0.35">
      <c r="A57" s="13" t="s">
        <v>1472</v>
      </c>
      <c r="B57" s="41" t="s">
        <v>1473</v>
      </c>
      <c r="C57" s="41" t="s">
        <v>1419</v>
      </c>
      <c r="D57" s="15">
        <v>426237</v>
      </c>
      <c r="E57" s="16">
        <v>4102.96</v>
      </c>
      <c r="F57" s="17">
        <v>9.1999999999999998E-3</v>
      </c>
      <c r="G57" s="17"/>
    </row>
    <row r="58" spans="1:7" x14ac:dyDescent="0.35">
      <c r="A58" s="13" t="s">
        <v>1259</v>
      </c>
      <c r="B58" s="41" t="s">
        <v>1260</v>
      </c>
      <c r="C58" s="41" t="s">
        <v>1261</v>
      </c>
      <c r="D58" s="15">
        <v>329409</v>
      </c>
      <c r="E58" s="16">
        <v>4000.34</v>
      </c>
      <c r="F58" s="17">
        <v>8.9999999999999993E-3</v>
      </c>
      <c r="G58" s="17"/>
    </row>
    <row r="59" spans="1:7" x14ac:dyDescent="0.35">
      <c r="A59" s="13" t="s">
        <v>1929</v>
      </c>
      <c r="B59" s="41" t="s">
        <v>1930</v>
      </c>
      <c r="C59" s="41" t="s">
        <v>1211</v>
      </c>
      <c r="D59" s="15">
        <v>1042925</v>
      </c>
      <c r="E59" s="16">
        <v>3916.7</v>
      </c>
      <c r="F59" s="17">
        <v>8.8000000000000005E-3</v>
      </c>
      <c r="G59" s="17"/>
    </row>
    <row r="60" spans="1:7" x14ac:dyDescent="0.35">
      <c r="A60" s="13" t="s">
        <v>1447</v>
      </c>
      <c r="B60" s="41" t="s">
        <v>1448</v>
      </c>
      <c r="C60" s="41" t="s">
        <v>1285</v>
      </c>
      <c r="D60" s="15">
        <v>254067</v>
      </c>
      <c r="E60" s="16">
        <v>3908.06</v>
      </c>
      <c r="F60" s="17">
        <v>8.8000000000000005E-3</v>
      </c>
      <c r="G60" s="17"/>
    </row>
    <row r="61" spans="1:7" x14ac:dyDescent="0.35">
      <c r="A61" s="13" t="s">
        <v>1993</v>
      </c>
      <c r="B61" s="41" t="s">
        <v>1994</v>
      </c>
      <c r="C61" s="41" t="s">
        <v>1288</v>
      </c>
      <c r="D61" s="15">
        <v>96674</v>
      </c>
      <c r="E61" s="16">
        <v>3887.36</v>
      </c>
      <c r="F61" s="17">
        <v>8.8000000000000005E-3</v>
      </c>
      <c r="G61" s="17"/>
    </row>
    <row r="62" spans="1:7" x14ac:dyDescent="0.35">
      <c r="A62" s="13" t="s">
        <v>1490</v>
      </c>
      <c r="B62" s="41" t="s">
        <v>1491</v>
      </c>
      <c r="C62" s="41" t="s">
        <v>1382</v>
      </c>
      <c r="D62" s="15">
        <v>3393042</v>
      </c>
      <c r="E62" s="16">
        <v>3830.74</v>
      </c>
      <c r="F62" s="17">
        <v>8.6E-3</v>
      </c>
      <c r="G62" s="17"/>
    </row>
    <row r="63" spans="1:7" x14ac:dyDescent="0.35">
      <c r="A63" s="13" t="s">
        <v>1892</v>
      </c>
      <c r="B63" s="41" t="s">
        <v>1893</v>
      </c>
      <c r="C63" s="41" t="s">
        <v>1280</v>
      </c>
      <c r="D63" s="15">
        <v>373642</v>
      </c>
      <c r="E63" s="16">
        <v>3788.73</v>
      </c>
      <c r="F63" s="17">
        <v>8.5000000000000006E-3</v>
      </c>
      <c r="G63" s="17"/>
    </row>
    <row r="64" spans="1:7" x14ac:dyDescent="0.35">
      <c r="A64" s="13" t="s">
        <v>1351</v>
      </c>
      <c r="B64" s="41" t="s">
        <v>1352</v>
      </c>
      <c r="C64" s="41" t="s">
        <v>1305</v>
      </c>
      <c r="D64" s="15">
        <v>1044590</v>
      </c>
      <c r="E64" s="16">
        <v>3718.74</v>
      </c>
      <c r="F64" s="17">
        <v>8.3999999999999995E-3</v>
      </c>
      <c r="G64" s="17"/>
    </row>
    <row r="65" spans="1:7" x14ac:dyDescent="0.35">
      <c r="A65" s="13" t="s">
        <v>1943</v>
      </c>
      <c r="B65" s="41" t="s">
        <v>1944</v>
      </c>
      <c r="C65" s="41" t="s">
        <v>1360</v>
      </c>
      <c r="D65" s="15">
        <v>129702</v>
      </c>
      <c r="E65" s="16">
        <v>3668.1</v>
      </c>
      <c r="F65" s="17">
        <v>8.3000000000000001E-3</v>
      </c>
      <c r="G65" s="17"/>
    </row>
    <row r="66" spans="1:7" x14ac:dyDescent="0.35">
      <c r="A66" s="13" t="s">
        <v>1820</v>
      </c>
      <c r="B66" s="41" t="s">
        <v>1821</v>
      </c>
      <c r="C66" s="41" t="s">
        <v>1324</v>
      </c>
      <c r="D66" s="15">
        <v>472973</v>
      </c>
      <c r="E66" s="16">
        <v>3557.94</v>
      </c>
      <c r="F66" s="17">
        <v>8.0000000000000002E-3</v>
      </c>
      <c r="G66" s="17"/>
    </row>
    <row r="67" spans="1:7" x14ac:dyDescent="0.35">
      <c r="A67" s="13" t="s">
        <v>1976</v>
      </c>
      <c r="B67" s="41" t="s">
        <v>1977</v>
      </c>
      <c r="C67" s="41" t="s">
        <v>1201</v>
      </c>
      <c r="D67" s="15">
        <v>338584</v>
      </c>
      <c r="E67" s="16">
        <v>3556.82</v>
      </c>
      <c r="F67" s="17">
        <v>8.0000000000000002E-3</v>
      </c>
      <c r="G67" s="17"/>
    </row>
    <row r="68" spans="1:7" x14ac:dyDescent="0.35">
      <c r="A68" s="13" t="s">
        <v>1199</v>
      </c>
      <c r="B68" s="41" t="s">
        <v>1200</v>
      </c>
      <c r="C68" s="41" t="s">
        <v>1201</v>
      </c>
      <c r="D68" s="15">
        <v>87880</v>
      </c>
      <c r="E68" s="16">
        <v>3495.34</v>
      </c>
      <c r="F68" s="17">
        <v>7.9000000000000008E-3</v>
      </c>
      <c r="G68" s="17"/>
    </row>
    <row r="69" spans="1:7" x14ac:dyDescent="0.35">
      <c r="A69" s="13" t="s">
        <v>1923</v>
      </c>
      <c r="B69" s="41" t="s">
        <v>1924</v>
      </c>
      <c r="C69" s="41" t="s">
        <v>1224</v>
      </c>
      <c r="D69" s="15">
        <v>62401</v>
      </c>
      <c r="E69" s="16">
        <v>3446.72</v>
      </c>
      <c r="F69" s="17">
        <v>7.7999999999999996E-3</v>
      </c>
      <c r="G69" s="17"/>
    </row>
    <row r="70" spans="1:7" x14ac:dyDescent="0.35">
      <c r="A70" s="13" t="s">
        <v>1303</v>
      </c>
      <c r="B70" s="41" t="s">
        <v>1304</v>
      </c>
      <c r="C70" s="41" t="s">
        <v>1305</v>
      </c>
      <c r="D70" s="15">
        <v>736403</v>
      </c>
      <c r="E70" s="16">
        <v>3385.98</v>
      </c>
      <c r="F70" s="17">
        <v>7.6E-3</v>
      </c>
      <c r="G70" s="17"/>
    </row>
    <row r="71" spans="1:7" x14ac:dyDescent="0.35">
      <c r="A71" s="13" t="s">
        <v>2075</v>
      </c>
      <c r="B71" s="41" t="s">
        <v>2076</v>
      </c>
      <c r="C71" s="41" t="s">
        <v>1234</v>
      </c>
      <c r="D71" s="15">
        <v>159074</v>
      </c>
      <c r="E71" s="16">
        <v>3378.73</v>
      </c>
      <c r="F71" s="17">
        <v>7.6E-3</v>
      </c>
      <c r="G71" s="17"/>
    </row>
    <row r="72" spans="1:7" x14ac:dyDescent="0.35">
      <c r="A72" s="13" t="s">
        <v>1273</v>
      </c>
      <c r="B72" s="41" t="s">
        <v>1274</v>
      </c>
      <c r="C72" s="41" t="s">
        <v>1275</v>
      </c>
      <c r="D72" s="15">
        <v>1044563</v>
      </c>
      <c r="E72" s="16">
        <v>3365.06</v>
      </c>
      <c r="F72" s="17">
        <v>7.6E-3</v>
      </c>
      <c r="G72" s="17"/>
    </row>
    <row r="73" spans="1:7" x14ac:dyDescent="0.35">
      <c r="A73" s="13" t="s">
        <v>1498</v>
      </c>
      <c r="B73" s="41" t="s">
        <v>1499</v>
      </c>
      <c r="C73" s="41" t="s">
        <v>1333</v>
      </c>
      <c r="D73" s="15">
        <v>574244</v>
      </c>
      <c r="E73" s="16">
        <v>3353.87</v>
      </c>
      <c r="F73" s="17">
        <v>7.6E-3</v>
      </c>
      <c r="G73" s="17"/>
    </row>
    <row r="74" spans="1:7" x14ac:dyDescent="0.35">
      <c r="A74" s="13" t="s">
        <v>2077</v>
      </c>
      <c r="B74" s="41" t="s">
        <v>2078</v>
      </c>
      <c r="C74" s="41" t="s">
        <v>1369</v>
      </c>
      <c r="D74" s="15">
        <v>800000</v>
      </c>
      <c r="E74" s="16">
        <v>3344.4</v>
      </c>
      <c r="F74" s="17">
        <v>7.4999999999999997E-3</v>
      </c>
      <c r="G74" s="17"/>
    </row>
    <row r="75" spans="1:7" x14ac:dyDescent="0.35">
      <c r="A75" s="13" t="s">
        <v>1283</v>
      </c>
      <c r="B75" s="41" t="s">
        <v>1284</v>
      </c>
      <c r="C75" s="41" t="s">
        <v>1285</v>
      </c>
      <c r="D75" s="15">
        <v>66639</v>
      </c>
      <c r="E75" s="16">
        <v>3078.32</v>
      </c>
      <c r="F75" s="17">
        <v>6.8999999999999999E-3</v>
      </c>
      <c r="G75" s="17"/>
    </row>
    <row r="76" spans="1:7" x14ac:dyDescent="0.35">
      <c r="A76" s="13" t="s">
        <v>1818</v>
      </c>
      <c r="B76" s="41" t="s">
        <v>1819</v>
      </c>
      <c r="C76" s="41" t="s">
        <v>1382</v>
      </c>
      <c r="D76" s="15">
        <v>83232</v>
      </c>
      <c r="E76" s="16">
        <v>3014.75</v>
      </c>
      <c r="F76" s="17">
        <v>6.7999999999999996E-3</v>
      </c>
      <c r="G76" s="17"/>
    </row>
    <row r="77" spans="1:7" x14ac:dyDescent="0.35">
      <c r="A77" s="13" t="s">
        <v>1222</v>
      </c>
      <c r="B77" s="41" t="s">
        <v>1223</v>
      </c>
      <c r="C77" s="41" t="s">
        <v>1224</v>
      </c>
      <c r="D77" s="15">
        <v>23419</v>
      </c>
      <c r="E77" s="16">
        <v>2972.81</v>
      </c>
      <c r="F77" s="17">
        <v>6.7000000000000002E-3</v>
      </c>
      <c r="G77" s="17"/>
    </row>
    <row r="78" spans="1:7" x14ac:dyDescent="0.35">
      <c r="A78" s="13" t="s">
        <v>1410</v>
      </c>
      <c r="B78" s="41" t="s">
        <v>1411</v>
      </c>
      <c r="C78" s="41" t="s">
        <v>1412</v>
      </c>
      <c r="D78" s="15">
        <v>418794</v>
      </c>
      <c r="E78" s="16">
        <v>2823.3</v>
      </c>
      <c r="F78" s="17">
        <v>6.4000000000000003E-3</v>
      </c>
      <c r="G78" s="17"/>
    </row>
    <row r="79" spans="1:7" x14ac:dyDescent="0.35">
      <c r="A79" s="13" t="s">
        <v>1217</v>
      </c>
      <c r="B79" s="41" t="s">
        <v>1218</v>
      </c>
      <c r="C79" s="41" t="s">
        <v>1201</v>
      </c>
      <c r="D79" s="15">
        <v>110916</v>
      </c>
      <c r="E79" s="16">
        <v>2693.37</v>
      </c>
      <c r="F79" s="17">
        <v>6.1000000000000004E-3</v>
      </c>
      <c r="G79" s="17"/>
    </row>
    <row r="80" spans="1:7" x14ac:dyDescent="0.35">
      <c r="A80" s="13" t="s">
        <v>1925</v>
      </c>
      <c r="B80" s="41" t="s">
        <v>1926</v>
      </c>
      <c r="C80" s="41" t="s">
        <v>1419</v>
      </c>
      <c r="D80" s="15">
        <v>655804</v>
      </c>
      <c r="E80" s="16">
        <v>2527.8000000000002</v>
      </c>
      <c r="F80" s="17">
        <v>5.7000000000000002E-3</v>
      </c>
      <c r="G80" s="17"/>
    </row>
    <row r="81" spans="1:7" x14ac:dyDescent="0.35">
      <c r="A81" s="13" t="s">
        <v>1235</v>
      </c>
      <c r="B81" s="41" t="s">
        <v>1236</v>
      </c>
      <c r="C81" s="41" t="s">
        <v>1178</v>
      </c>
      <c r="D81" s="15">
        <v>619090</v>
      </c>
      <c r="E81" s="16">
        <v>2525.89</v>
      </c>
      <c r="F81" s="17">
        <v>5.7000000000000002E-3</v>
      </c>
      <c r="G81" s="17"/>
    </row>
    <row r="82" spans="1:7" x14ac:dyDescent="0.35">
      <c r="A82" s="13" t="s">
        <v>1987</v>
      </c>
      <c r="B82" s="41" t="s">
        <v>1988</v>
      </c>
      <c r="C82" s="41" t="s">
        <v>1412</v>
      </c>
      <c r="D82" s="15">
        <v>502805</v>
      </c>
      <c r="E82" s="16">
        <v>2499.19</v>
      </c>
      <c r="F82" s="17">
        <v>5.5999999999999999E-3</v>
      </c>
      <c r="G82" s="17"/>
    </row>
    <row r="83" spans="1:7" x14ac:dyDescent="0.35">
      <c r="A83" s="13" t="s">
        <v>2041</v>
      </c>
      <c r="B83" s="41" t="s">
        <v>2042</v>
      </c>
      <c r="C83" s="41" t="s">
        <v>1211</v>
      </c>
      <c r="D83" s="15">
        <v>304443</v>
      </c>
      <c r="E83" s="16">
        <v>2443.31</v>
      </c>
      <c r="F83" s="17">
        <v>5.4999999999999997E-3</v>
      </c>
      <c r="G83" s="17"/>
    </row>
    <row r="84" spans="1:7" x14ac:dyDescent="0.35">
      <c r="A84" s="13" t="s">
        <v>1502</v>
      </c>
      <c r="B84" s="41" t="s">
        <v>1503</v>
      </c>
      <c r="C84" s="41" t="s">
        <v>1369</v>
      </c>
      <c r="D84" s="15">
        <v>139392</v>
      </c>
      <c r="E84" s="16">
        <v>2363.5300000000002</v>
      </c>
      <c r="F84" s="17">
        <v>5.3E-3</v>
      </c>
      <c r="G84" s="17"/>
    </row>
    <row r="85" spans="1:7" x14ac:dyDescent="0.35">
      <c r="A85" s="13" t="s">
        <v>1559</v>
      </c>
      <c r="B85" s="41" t="s">
        <v>1560</v>
      </c>
      <c r="C85" s="41" t="s">
        <v>1211</v>
      </c>
      <c r="D85" s="15">
        <v>806805</v>
      </c>
      <c r="E85" s="16">
        <v>2310.29</v>
      </c>
      <c r="F85" s="17">
        <v>5.1999999999999998E-3</v>
      </c>
      <c r="G85" s="17"/>
    </row>
    <row r="86" spans="1:7" x14ac:dyDescent="0.35">
      <c r="A86" s="13" t="s">
        <v>1459</v>
      </c>
      <c r="B86" s="41" t="s">
        <v>1460</v>
      </c>
      <c r="C86" s="41" t="s">
        <v>1266</v>
      </c>
      <c r="D86" s="15">
        <v>60069</v>
      </c>
      <c r="E86" s="16">
        <v>2273.91</v>
      </c>
      <c r="F86" s="17">
        <v>5.1000000000000004E-3</v>
      </c>
      <c r="G86" s="17"/>
    </row>
    <row r="87" spans="1:7" x14ac:dyDescent="0.35">
      <c r="A87" s="13" t="s">
        <v>1822</v>
      </c>
      <c r="B87" s="41" t="s">
        <v>1823</v>
      </c>
      <c r="C87" s="41" t="s">
        <v>1266</v>
      </c>
      <c r="D87" s="15">
        <v>1672076</v>
      </c>
      <c r="E87" s="16">
        <v>2105.98</v>
      </c>
      <c r="F87" s="17">
        <v>4.7000000000000002E-3</v>
      </c>
      <c r="G87" s="17"/>
    </row>
    <row r="88" spans="1:7" x14ac:dyDescent="0.35">
      <c r="A88" s="13" t="s">
        <v>1403</v>
      </c>
      <c r="B88" s="41" t="s">
        <v>1404</v>
      </c>
      <c r="C88" s="41" t="s">
        <v>1234</v>
      </c>
      <c r="D88" s="15">
        <v>31616</v>
      </c>
      <c r="E88" s="16">
        <v>1913.08</v>
      </c>
      <c r="F88" s="17">
        <v>4.3E-3</v>
      </c>
      <c r="G88" s="17"/>
    </row>
    <row r="89" spans="1:7" x14ac:dyDescent="0.35">
      <c r="A89" s="13" t="s">
        <v>1941</v>
      </c>
      <c r="B89" s="41" t="s">
        <v>1942</v>
      </c>
      <c r="C89" s="41" t="s">
        <v>1198</v>
      </c>
      <c r="D89" s="15">
        <v>119362</v>
      </c>
      <c r="E89" s="16">
        <v>1843.9</v>
      </c>
      <c r="F89" s="17">
        <v>4.1999999999999997E-3</v>
      </c>
      <c r="G89" s="17"/>
    </row>
    <row r="90" spans="1:7" x14ac:dyDescent="0.35">
      <c r="A90" s="13" t="s">
        <v>2079</v>
      </c>
      <c r="B90" s="41" t="s">
        <v>2080</v>
      </c>
      <c r="C90" s="41" t="s">
        <v>1412</v>
      </c>
      <c r="D90" s="15">
        <v>1004883</v>
      </c>
      <c r="E90" s="16">
        <v>1816.43</v>
      </c>
      <c r="F90" s="17">
        <v>4.1000000000000003E-3</v>
      </c>
      <c r="G90" s="17"/>
    </row>
    <row r="91" spans="1:7" x14ac:dyDescent="0.35">
      <c r="A91" s="13" t="s">
        <v>1484</v>
      </c>
      <c r="B91" s="41" t="s">
        <v>1485</v>
      </c>
      <c r="C91" s="41" t="s">
        <v>1201</v>
      </c>
      <c r="D91" s="15">
        <v>16431</v>
      </c>
      <c r="E91" s="16">
        <v>1716.38</v>
      </c>
      <c r="F91" s="17">
        <v>3.8999999999999998E-3</v>
      </c>
      <c r="G91" s="17"/>
    </row>
    <row r="92" spans="1:7" x14ac:dyDescent="0.35">
      <c r="A92" s="13" t="s">
        <v>2081</v>
      </c>
      <c r="B92" s="41" t="s">
        <v>2082</v>
      </c>
      <c r="C92" s="41" t="s">
        <v>1333</v>
      </c>
      <c r="D92" s="15">
        <v>333171</v>
      </c>
      <c r="E92" s="16">
        <v>1674.02</v>
      </c>
      <c r="F92" s="17">
        <v>3.8E-3</v>
      </c>
      <c r="G92" s="17"/>
    </row>
    <row r="93" spans="1:7" x14ac:dyDescent="0.35">
      <c r="A93" s="13" t="s">
        <v>2053</v>
      </c>
      <c r="B93" s="41" t="s">
        <v>2054</v>
      </c>
      <c r="C93" s="41" t="s">
        <v>1221</v>
      </c>
      <c r="D93" s="15">
        <v>248533</v>
      </c>
      <c r="E93" s="16">
        <v>1578.81</v>
      </c>
      <c r="F93" s="17">
        <v>3.5999999999999999E-3</v>
      </c>
      <c r="G93" s="17"/>
    </row>
    <row r="94" spans="1:7" x14ac:dyDescent="0.35">
      <c r="A94" s="13" t="s">
        <v>2024</v>
      </c>
      <c r="B94" s="41" t="s">
        <v>2025</v>
      </c>
      <c r="C94" s="41" t="s">
        <v>1211</v>
      </c>
      <c r="D94" s="15">
        <v>115906</v>
      </c>
      <c r="E94" s="16">
        <v>1537.49</v>
      </c>
      <c r="F94" s="17">
        <v>3.5000000000000001E-3</v>
      </c>
      <c r="G94" s="17"/>
    </row>
    <row r="95" spans="1:7" x14ac:dyDescent="0.35">
      <c r="A95" s="13" t="s">
        <v>1569</v>
      </c>
      <c r="B95" s="41" t="s">
        <v>1570</v>
      </c>
      <c r="C95" s="41" t="s">
        <v>1201</v>
      </c>
      <c r="D95" s="15">
        <v>73621</v>
      </c>
      <c r="E95" s="16">
        <v>1337.62</v>
      </c>
      <c r="F95" s="17">
        <v>3.0000000000000001E-3</v>
      </c>
      <c r="G95" s="17"/>
    </row>
    <row r="96" spans="1:7" x14ac:dyDescent="0.35">
      <c r="A96" s="13" t="s">
        <v>1960</v>
      </c>
      <c r="B96" s="41" t="s">
        <v>1961</v>
      </c>
      <c r="C96" s="41" t="s">
        <v>1412</v>
      </c>
      <c r="D96" s="15">
        <v>95290</v>
      </c>
      <c r="E96" s="16">
        <v>1326.63</v>
      </c>
      <c r="F96" s="17">
        <v>3.0000000000000001E-3</v>
      </c>
      <c r="G96" s="17"/>
    </row>
    <row r="97" spans="1:7" x14ac:dyDescent="0.35">
      <c r="A97" s="13" t="s">
        <v>2083</v>
      </c>
      <c r="B97" s="41" t="s">
        <v>2084</v>
      </c>
      <c r="C97" s="41" t="s">
        <v>1436</v>
      </c>
      <c r="D97" s="15">
        <v>124437</v>
      </c>
      <c r="E97" s="16">
        <v>1213.3900000000001</v>
      </c>
      <c r="F97" s="17">
        <v>2.7000000000000001E-3</v>
      </c>
      <c r="G97" s="17"/>
    </row>
    <row r="98" spans="1:7" x14ac:dyDescent="0.35">
      <c r="A98" s="13" t="s">
        <v>2085</v>
      </c>
      <c r="B98" s="41" t="s">
        <v>2086</v>
      </c>
      <c r="C98" s="41" t="s">
        <v>1305</v>
      </c>
      <c r="D98" s="15">
        <v>1064808</v>
      </c>
      <c r="E98" s="16">
        <v>917.55</v>
      </c>
      <c r="F98" s="17">
        <v>2.0999999999999999E-3</v>
      </c>
      <c r="G98" s="17"/>
    </row>
    <row r="99" spans="1:7" x14ac:dyDescent="0.35">
      <c r="A99" s="13" t="s">
        <v>2061</v>
      </c>
      <c r="B99" s="41" t="s">
        <v>2062</v>
      </c>
      <c r="C99" s="41" t="s">
        <v>1465</v>
      </c>
      <c r="D99" s="15">
        <v>203613</v>
      </c>
      <c r="E99" s="16">
        <v>464.46</v>
      </c>
      <c r="F99" s="17">
        <v>1E-3</v>
      </c>
      <c r="G99" s="17"/>
    </row>
    <row r="100" spans="1:7" x14ac:dyDescent="0.35">
      <c r="A100" s="14" t="s">
        <v>149</v>
      </c>
      <c r="B100" s="42"/>
      <c r="C100" s="42"/>
      <c r="D100" s="18"/>
      <c r="E100" s="19">
        <v>436830.43</v>
      </c>
      <c r="F100" s="20">
        <v>0.98399999999999999</v>
      </c>
      <c r="G100" s="21"/>
    </row>
    <row r="101" spans="1:7" x14ac:dyDescent="0.35">
      <c r="A101" s="14"/>
      <c r="B101" s="42"/>
      <c r="C101" s="42"/>
      <c r="D101" s="18"/>
      <c r="E101" s="26"/>
      <c r="F101" s="21"/>
      <c r="G101" s="21"/>
    </row>
    <row r="102" spans="1:7" x14ac:dyDescent="0.35">
      <c r="A102" s="14"/>
      <c r="B102" s="42"/>
      <c r="C102" s="42"/>
      <c r="D102" s="18"/>
      <c r="E102" s="26"/>
      <c r="F102" s="21"/>
      <c r="G102" s="21"/>
    </row>
    <row r="103" spans="1:7" x14ac:dyDescent="0.35">
      <c r="A103" s="14"/>
      <c r="B103" s="42"/>
      <c r="C103" s="42"/>
      <c r="D103" s="18"/>
      <c r="E103" s="26"/>
      <c r="F103" s="21"/>
      <c r="G103" s="21"/>
    </row>
    <row r="104" spans="1:7" x14ac:dyDescent="0.35">
      <c r="A104" s="58" t="s">
        <v>147</v>
      </c>
      <c r="B104" s="42"/>
      <c r="C104" s="42"/>
      <c r="D104" s="18"/>
      <c r="E104" s="26"/>
      <c r="F104" s="21"/>
      <c r="G104" s="21"/>
    </row>
    <row r="105" spans="1:7" x14ac:dyDescent="0.35">
      <c r="A105" s="58" t="s">
        <v>1249</v>
      </c>
      <c r="B105" s="41"/>
      <c r="C105" s="41"/>
      <c r="D105" s="15"/>
      <c r="E105" s="16"/>
      <c r="F105" s="17"/>
      <c r="G105" s="17"/>
    </row>
    <row r="106" spans="1:7" x14ac:dyDescent="0.35">
      <c r="A106" s="58" t="s">
        <v>1250</v>
      </c>
      <c r="B106" s="41"/>
      <c r="C106" s="41"/>
      <c r="D106" s="15"/>
      <c r="E106" s="16"/>
      <c r="F106" s="17"/>
      <c r="G106" s="17"/>
    </row>
    <row r="107" spans="1:7" x14ac:dyDescent="0.35">
      <c r="A107" s="13" t="s">
        <v>1251</v>
      </c>
      <c r="B107" s="41" t="s">
        <v>1252</v>
      </c>
      <c r="C107" s="41" t="s">
        <v>1188</v>
      </c>
      <c r="D107" s="15">
        <v>560944</v>
      </c>
      <c r="E107" s="16">
        <v>57.35</v>
      </c>
      <c r="F107" s="17">
        <v>1E-4</v>
      </c>
      <c r="G107" s="17">
        <v>6.3450000000000006E-2</v>
      </c>
    </row>
    <row r="108" spans="1:7" x14ac:dyDescent="0.35">
      <c r="A108" s="14" t="s">
        <v>149</v>
      </c>
      <c r="B108" s="42"/>
      <c r="C108" s="42"/>
      <c r="D108" s="18"/>
      <c r="E108" s="19">
        <v>57.35</v>
      </c>
      <c r="F108" s="20">
        <v>1E-4</v>
      </c>
      <c r="G108" s="21"/>
    </row>
    <row r="109" spans="1:7" x14ac:dyDescent="0.35">
      <c r="A109" s="22" t="s">
        <v>160</v>
      </c>
      <c r="B109" s="43"/>
      <c r="C109" s="43"/>
      <c r="D109" s="23"/>
      <c r="E109" s="24">
        <f>E108+E100</f>
        <v>436887.77999999997</v>
      </c>
      <c r="F109" s="25">
        <f>F108+F100</f>
        <v>0.98409999999999997</v>
      </c>
      <c r="G109" s="21"/>
    </row>
    <row r="110" spans="1:7" x14ac:dyDescent="0.35">
      <c r="A110" s="13"/>
      <c r="B110" s="41"/>
      <c r="C110" s="41"/>
      <c r="D110" s="15"/>
      <c r="E110" s="16"/>
      <c r="F110" s="17"/>
      <c r="G110" s="17"/>
    </row>
    <row r="111" spans="1:7" x14ac:dyDescent="0.35">
      <c r="A111" s="13"/>
      <c r="B111" s="41"/>
      <c r="C111" s="41"/>
      <c r="D111" s="15"/>
      <c r="E111" s="16"/>
      <c r="F111" s="17"/>
      <c r="G111" s="17"/>
    </row>
    <row r="112" spans="1:7" x14ac:dyDescent="0.35">
      <c r="A112" s="14" t="s">
        <v>884</v>
      </c>
      <c r="B112" s="41"/>
      <c r="C112" s="41"/>
      <c r="D112" s="15"/>
      <c r="E112" s="16"/>
      <c r="F112" s="17"/>
      <c r="G112" s="17"/>
    </row>
    <row r="113" spans="1:7" x14ac:dyDescent="0.35">
      <c r="A113" s="13" t="s">
        <v>1788</v>
      </c>
      <c r="B113" s="41" t="s">
        <v>1789</v>
      </c>
      <c r="C113" s="41"/>
      <c r="D113" s="15">
        <v>1E-4</v>
      </c>
      <c r="E113" s="16">
        <v>0</v>
      </c>
      <c r="F113" s="17">
        <v>0</v>
      </c>
      <c r="G113" s="17"/>
    </row>
    <row r="114" spans="1:7" x14ac:dyDescent="0.35">
      <c r="A114" s="13"/>
      <c r="B114" s="41"/>
      <c r="C114" s="41"/>
      <c r="D114" s="15"/>
      <c r="E114" s="16"/>
      <c r="F114" s="17"/>
      <c r="G114" s="17"/>
    </row>
    <row r="115" spans="1:7" x14ac:dyDescent="0.35">
      <c r="A115" s="22" t="s">
        <v>160</v>
      </c>
      <c r="B115" s="43"/>
      <c r="C115" s="43"/>
      <c r="D115" s="23"/>
      <c r="E115" s="36">
        <v>0</v>
      </c>
      <c r="F115" s="37">
        <v>0</v>
      </c>
      <c r="G115" s="21"/>
    </row>
    <row r="116" spans="1:7" x14ac:dyDescent="0.35">
      <c r="A116" s="13"/>
      <c r="B116" s="41"/>
      <c r="C116" s="41"/>
      <c r="D116" s="15"/>
      <c r="E116" s="16"/>
      <c r="F116" s="17"/>
      <c r="G116" s="17"/>
    </row>
    <row r="117" spans="1:7" x14ac:dyDescent="0.35">
      <c r="A117" s="14" t="s">
        <v>255</v>
      </c>
      <c r="B117" s="41"/>
      <c r="C117" s="41"/>
      <c r="D117" s="15"/>
      <c r="E117" s="16"/>
      <c r="F117" s="17"/>
      <c r="G117" s="17"/>
    </row>
    <row r="118" spans="1:7" x14ac:dyDescent="0.35">
      <c r="A118" s="13" t="s">
        <v>257</v>
      </c>
      <c r="B118" s="41"/>
      <c r="C118" s="41"/>
      <c r="D118" s="15"/>
      <c r="E118" s="16">
        <v>9031.16</v>
      </c>
      <c r="F118" s="17">
        <v>2.0299999999999999E-2</v>
      </c>
      <c r="G118" s="17">
        <v>5.1742000000000003E-2</v>
      </c>
    </row>
    <row r="119" spans="1:7" x14ac:dyDescent="0.35">
      <c r="A119" s="14" t="s">
        <v>149</v>
      </c>
      <c r="B119" s="42"/>
      <c r="C119" s="42"/>
      <c r="D119" s="18"/>
      <c r="E119" s="19">
        <v>9031.16</v>
      </c>
      <c r="F119" s="20">
        <v>2.0299999999999999E-2</v>
      </c>
      <c r="G119" s="21"/>
    </row>
    <row r="120" spans="1:7" x14ac:dyDescent="0.35">
      <c r="A120" s="13"/>
      <c r="B120" s="41"/>
      <c r="C120" s="41"/>
      <c r="D120" s="15"/>
      <c r="E120" s="16"/>
      <c r="F120" s="17"/>
      <c r="G120" s="17"/>
    </row>
    <row r="121" spans="1:7" x14ac:dyDescent="0.35">
      <c r="A121" s="22" t="s">
        <v>160</v>
      </c>
      <c r="B121" s="43"/>
      <c r="C121" s="43"/>
      <c r="D121" s="23"/>
      <c r="E121" s="36">
        <v>9031.16</v>
      </c>
      <c r="F121" s="37">
        <v>2.0299999999999999E-2</v>
      </c>
      <c r="G121" s="21"/>
    </row>
    <row r="122" spans="1:7" x14ac:dyDescent="0.35">
      <c r="A122" s="13" t="s">
        <v>258</v>
      </c>
      <c r="B122" s="41"/>
      <c r="C122" s="41"/>
      <c r="D122" s="15"/>
      <c r="E122" s="16">
        <v>2.5604944999999999</v>
      </c>
      <c r="F122" s="17">
        <v>5.0000000000000004E-6</v>
      </c>
      <c r="G122" s="17"/>
    </row>
    <row r="123" spans="1:7" x14ac:dyDescent="0.35">
      <c r="A123" s="13" t="s">
        <v>259</v>
      </c>
      <c r="B123" s="41"/>
      <c r="C123" s="41"/>
      <c r="D123" s="15"/>
      <c r="E123" s="28">
        <v>-1736.7904945</v>
      </c>
      <c r="F123" s="29">
        <v>-4.4050000000000001E-3</v>
      </c>
      <c r="G123" s="17">
        <v>5.1742000000000003E-2</v>
      </c>
    </row>
    <row r="124" spans="1:7" x14ac:dyDescent="0.35">
      <c r="A124" s="38" t="s">
        <v>260</v>
      </c>
      <c r="B124" s="44"/>
      <c r="C124" s="44"/>
      <c r="D124" s="39"/>
      <c r="E124" s="24">
        <v>444184.71</v>
      </c>
      <c r="F124" s="25">
        <v>1</v>
      </c>
      <c r="G124" s="25"/>
    </row>
    <row r="129" spans="1:3" x14ac:dyDescent="0.35">
      <c r="A129" s="1" t="s">
        <v>263</v>
      </c>
    </row>
    <row r="130" spans="1:3" x14ac:dyDescent="0.35">
      <c r="A130" s="47" t="s">
        <v>264</v>
      </c>
      <c r="B130" s="3" t="s">
        <v>146</v>
      </c>
    </row>
    <row r="131" spans="1:3" x14ac:dyDescent="0.35">
      <c r="A131" t="s">
        <v>265</v>
      </c>
    </row>
    <row r="132" spans="1:3" x14ac:dyDescent="0.35">
      <c r="A132" t="s">
        <v>266</v>
      </c>
      <c r="B132" t="s">
        <v>267</v>
      </c>
      <c r="C132" t="s">
        <v>267</v>
      </c>
    </row>
    <row r="133" spans="1:3" x14ac:dyDescent="0.35">
      <c r="B133" s="49">
        <v>46022</v>
      </c>
      <c r="C133" s="49">
        <v>46052</v>
      </c>
    </row>
    <row r="134" spans="1:3" x14ac:dyDescent="0.35">
      <c r="A134" t="s">
        <v>272</v>
      </c>
      <c r="B134">
        <v>106.845</v>
      </c>
      <c r="C134">
        <v>104.238</v>
      </c>
    </row>
    <row r="135" spans="1:3" x14ac:dyDescent="0.35">
      <c r="A135" t="s">
        <v>273</v>
      </c>
      <c r="B135">
        <v>41.442999999999998</v>
      </c>
      <c r="C135">
        <v>40.432000000000002</v>
      </c>
    </row>
    <row r="136" spans="1:3" x14ac:dyDescent="0.35">
      <c r="A136" t="s">
        <v>708</v>
      </c>
      <c r="B136">
        <v>90.242999999999995</v>
      </c>
      <c r="C136">
        <v>87.938999999999993</v>
      </c>
    </row>
    <row r="137" spans="1:3" x14ac:dyDescent="0.35">
      <c r="A137" t="s">
        <v>709</v>
      </c>
      <c r="B137">
        <v>34.417000000000002</v>
      </c>
      <c r="C137">
        <v>33.537999999999997</v>
      </c>
    </row>
    <row r="139" spans="1:3" x14ac:dyDescent="0.35">
      <c r="A139" t="s">
        <v>283</v>
      </c>
      <c r="B139" s="3" t="s">
        <v>146</v>
      </c>
    </row>
    <row r="140" spans="1:3" x14ac:dyDescent="0.35">
      <c r="A140" t="s">
        <v>284</v>
      </c>
      <c r="B140" s="3" t="s">
        <v>146</v>
      </c>
    </row>
    <row r="141" spans="1:3" ht="29" customHeight="1" x14ac:dyDescent="0.35">
      <c r="A141" s="47" t="s">
        <v>285</v>
      </c>
      <c r="B141" s="3" t="s">
        <v>146</v>
      </c>
    </row>
    <row r="142" spans="1:3" ht="29" customHeight="1" x14ac:dyDescent="0.35">
      <c r="A142" s="47" t="s">
        <v>286</v>
      </c>
      <c r="B142" s="3" t="s">
        <v>146</v>
      </c>
    </row>
    <row r="143" spans="1:3" x14ac:dyDescent="0.35">
      <c r="A143" t="s">
        <v>1253</v>
      </c>
      <c r="B143" s="48">
        <v>0.2336</v>
      </c>
    </row>
    <row r="144" spans="1:3" ht="43.5" customHeight="1" x14ac:dyDescent="0.35">
      <c r="A144" s="47" t="s">
        <v>288</v>
      </c>
      <c r="B144" s="3" t="s">
        <v>146</v>
      </c>
    </row>
    <row r="145" spans="1:4" x14ac:dyDescent="0.35">
      <c r="B145" s="3"/>
    </row>
    <row r="146" spans="1:4" ht="29" customHeight="1" x14ac:dyDescent="0.35">
      <c r="A146" s="47" t="s">
        <v>289</v>
      </c>
      <c r="B146" s="3" t="s">
        <v>146</v>
      </c>
    </row>
    <row r="147" spans="1:4" ht="29" customHeight="1" x14ac:dyDescent="0.35">
      <c r="A147" s="47" t="s">
        <v>290</v>
      </c>
      <c r="B147">
        <v>1906.32</v>
      </c>
    </row>
    <row r="148" spans="1:4" ht="29" customHeight="1" x14ac:dyDescent="0.35">
      <c r="A148" s="47" t="s">
        <v>291</v>
      </c>
      <c r="B148" s="3" t="s">
        <v>146</v>
      </c>
    </row>
    <row r="149" spans="1:4" ht="29" customHeight="1" x14ac:dyDescent="0.35">
      <c r="A149" s="47" t="s">
        <v>292</v>
      </c>
      <c r="B149" s="3" t="s">
        <v>146</v>
      </c>
    </row>
    <row r="151" spans="1:4" ht="70" customHeight="1" x14ac:dyDescent="0.35">
      <c r="A151" s="70" t="s">
        <v>303</v>
      </c>
      <c r="B151" s="70" t="s">
        <v>304</v>
      </c>
      <c r="C151" s="70" t="s">
        <v>4</v>
      </c>
      <c r="D151" s="70" t="s">
        <v>5</v>
      </c>
    </row>
    <row r="152" spans="1:4" ht="70" customHeight="1" x14ac:dyDescent="0.35">
      <c r="A152" s="70" t="s">
        <v>2087</v>
      </c>
      <c r="B152" s="70"/>
      <c r="C152" s="70" t="s">
        <v>69</v>
      </c>
      <c r="D152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137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2088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2089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2022</v>
      </c>
      <c r="B8" s="41" t="s">
        <v>2023</v>
      </c>
      <c r="C8" s="41" t="s">
        <v>1178</v>
      </c>
      <c r="D8" s="15">
        <v>6944731</v>
      </c>
      <c r="E8" s="16">
        <v>20955.73</v>
      </c>
      <c r="F8" s="17">
        <v>3.9E-2</v>
      </c>
      <c r="G8" s="17"/>
    </row>
    <row r="9" spans="1:7" x14ac:dyDescent="0.35">
      <c r="A9" s="13" t="s">
        <v>1278</v>
      </c>
      <c r="B9" s="41" t="s">
        <v>1279</v>
      </c>
      <c r="C9" s="41" t="s">
        <v>1280</v>
      </c>
      <c r="D9" s="15">
        <v>702030</v>
      </c>
      <c r="E9" s="16">
        <v>17747.32</v>
      </c>
      <c r="F9" s="17">
        <v>3.3099999999999997E-2</v>
      </c>
      <c r="G9" s="17"/>
    </row>
    <row r="10" spans="1:7" x14ac:dyDescent="0.35">
      <c r="A10" s="13" t="s">
        <v>1939</v>
      </c>
      <c r="B10" s="41" t="s">
        <v>1940</v>
      </c>
      <c r="C10" s="41" t="s">
        <v>1178</v>
      </c>
      <c r="D10" s="15">
        <v>5508963</v>
      </c>
      <c r="E10" s="16">
        <v>16604.009999999998</v>
      </c>
      <c r="F10" s="17">
        <v>3.09E-2</v>
      </c>
      <c r="G10" s="17"/>
    </row>
    <row r="11" spans="1:7" x14ac:dyDescent="0.35">
      <c r="A11" s="13" t="s">
        <v>1555</v>
      </c>
      <c r="B11" s="41" t="s">
        <v>1556</v>
      </c>
      <c r="C11" s="41" t="s">
        <v>1178</v>
      </c>
      <c r="D11" s="15">
        <v>1455669</v>
      </c>
      <c r="E11" s="16">
        <v>13271.33</v>
      </c>
      <c r="F11" s="17">
        <v>2.47E-2</v>
      </c>
      <c r="G11" s="17"/>
    </row>
    <row r="12" spans="1:7" x14ac:dyDescent="0.35">
      <c r="A12" s="13" t="s">
        <v>1935</v>
      </c>
      <c r="B12" s="41" t="s">
        <v>1936</v>
      </c>
      <c r="C12" s="41" t="s">
        <v>1221</v>
      </c>
      <c r="D12" s="15">
        <v>210627</v>
      </c>
      <c r="E12" s="16">
        <v>12846.14</v>
      </c>
      <c r="F12" s="17">
        <v>2.3900000000000001E-2</v>
      </c>
      <c r="G12" s="17"/>
    </row>
    <row r="13" spans="1:7" x14ac:dyDescent="0.35">
      <c r="A13" s="13" t="s">
        <v>1470</v>
      </c>
      <c r="B13" s="41" t="s">
        <v>1471</v>
      </c>
      <c r="C13" s="41" t="s">
        <v>1382</v>
      </c>
      <c r="D13" s="15">
        <v>1071929</v>
      </c>
      <c r="E13" s="16">
        <v>12673.42</v>
      </c>
      <c r="F13" s="17">
        <v>2.3599999999999999E-2</v>
      </c>
      <c r="G13" s="17"/>
    </row>
    <row r="14" spans="1:7" x14ac:dyDescent="0.35">
      <c r="A14" s="13" t="s">
        <v>1356</v>
      </c>
      <c r="B14" s="41" t="s">
        <v>1357</v>
      </c>
      <c r="C14" s="41" t="s">
        <v>1288</v>
      </c>
      <c r="D14" s="15">
        <v>554193</v>
      </c>
      <c r="E14" s="16">
        <v>11337.13</v>
      </c>
      <c r="F14" s="17">
        <v>2.1100000000000001E-2</v>
      </c>
      <c r="G14" s="17"/>
    </row>
    <row r="15" spans="1:7" x14ac:dyDescent="0.35">
      <c r="A15" s="13" t="s">
        <v>1993</v>
      </c>
      <c r="B15" s="41" t="s">
        <v>1994</v>
      </c>
      <c r="C15" s="41" t="s">
        <v>1288</v>
      </c>
      <c r="D15" s="15">
        <v>278087</v>
      </c>
      <c r="E15" s="16">
        <v>11182.16</v>
      </c>
      <c r="F15" s="17">
        <v>2.0799999999999999E-2</v>
      </c>
      <c r="G15" s="17"/>
    </row>
    <row r="16" spans="1:7" x14ac:dyDescent="0.35">
      <c r="A16" s="13" t="s">
        <v>1972</v>
      </c>
      <c r="B16" s="41" t="s">
        <v>1973</v>
      </c>
      <c r="C16" s="41" t="s">
        <v>1201</v>
      </c>
      <c r="D16" s="15">
        <v>1388915</v>
      </c>
      <c r="E16" s="16">
        <v>11164.1</v>
      </c>
      <c r="F16" s="17">
        <v>2.0799999999999999E-2</v>
      </c>
      <c r="G16" s="17"/>
    </row>
    <row r="17" spans="1:7" x14ac:dyDescent="0.35">
      <c r="A17" s="13" t="s">
        <v>2051</v>
      </c>
      <c r="B17" s="41" t="s">
        <v>2052</v>
      </c>
      <c r="C17" s="41" t="s">
        <v>1229</v>
      </c>
      <c r="D17" s="15">
        <v>1754462</v>
      </c>
      <c r="E17" s="16">
        <v>10592.56</v>
      </c>
      <c r="F17" s="17">
        <v>1.9699999999999999E-2</v>
      </c>
      <c r="G17" s="17"/>
    </row>
    <row r="18" spans="1:7" x14ac:dyDescent="0.35">
      <c r="A18" s="13" t="s">
        <v>1943</v>
      </c>
      <c r="B18" s="41" t="s">
        <v>1944</v>
      </c>
      <c r="C18" s="41" t="s">
        <v>1360</v>
      </c>
      <c r="D18" s="15">
        <v>368618</v>
      </c>
      <c r="E18" s="16">
        <v>10424.89</v>
      </c>
      <c r="F18" s="17">
        <v>1.9400000000000001E-2</v>
      </c>
      <c r="G18" s="17"/>
    </row>
    <row r="19" spans="1:7" x14ac:dyDescent="0.35">
      <c r="A19" s="13" t="s">
        <v>1378</v>
      </c>
      <c r="B19" s="41" t="s">
        <v>1379</v>
      </c>
      <c r="C19" s="41" t="s">
        <v>1211</v>
      </c>
      <c r="D19" s="15">
        <v>1164274</v>
      </c>
      <c r="E19" s="16">
        <v>9574.99</v>
      </c>
      <c r="F19" s="17">
        <v>1.78E-2</v>
      </c>
      <c r="G19" s="17"/>
    </row>
    <row r="20" spans="1:7" x14ac:dyDescent="0.35">
      <c r="A20" s="13" t="s">
        <v>2039</v>
      </c>
      <c r="B20" s="41" t="s">
        <v>2040</v>
      </c>
      <c r="C20" s="41" t="s">
        <v>1178</v>
      </c>
      <c r="D20" s="15">
        <v>13187755</v>
      </c>
      <c r="E20" s="16">
        <v>9245.94</v>
      </c>
      <c r="F20" s="17">
        <v>1.72E-2</v>
      </c>
      <c r="G20" s="17"/>
    </row>
    <row r="21" spans="1:7" x14ac:dyDescent="0.35">
      <c r="A21" s="13" t="s">
        <v>2035</v>
      </c>
      <c r="B21" s="41" t="s">
        <v>2036</v>
      </c>
      <c r="C21" s="41" t="s">
        <v>1382</v>
      </c>
      <c r="D21" s="15">
        <v>984137</v>
      </c>
      <c r="E21" s="16">
        <v>9185.93</v>
      </c>
      <c r="F21" s="17">
        <v>1.7100000000000001E-2</v>
      </c>
      <c r="G21" s="17"/>
    </row>
    <row r="22" spans="1:7" x14ac:dyDescent="0.35">
      <c r="A22" s="13" t="s">
        <v>2053</v>
      </c>
      <c r="B22" s="41" t="s">
        <v>2054</v>
      </c>
      <c r="C22" s="41" t="s">
        <v>1221</v>
      </c>
      <c r="D22" s="15">
        <v>1424301</v>
      </c>
      <c r="E22" s="16">
        <v>9047.8700000000008</v>
      </c>
      <c r="F22" s="17">
        <v>1.6899999999999998E-2</v>
      </c>
      <c r="G22" s="17"/>
    </row>
    <row r="23" spans="1:7" x14ac:dyDescent="0.35">
      <c r="A23" s="13" t="s">
        <v>2090</v>
      </c>
      <c r="B23" s="41" t="s">
        <v>2091</v>
      </c>
      <c r="C23" s="41" t="s">
        <v>1234</v>
      </c>
      <c r="D23" s="15">
        <v>321961</v>
      </c>
      <c r="E23" s="16">
        <v>8956.6299999999992</v>
      </c>
      <c r="F23" s="17">
        <v>1.67E-2</v>
      </c>
      <c r="G23" s="17"/>
    </row>
    <row r="24" spans="1:7" x14ac:dyDescent="0.35">
      <c r="A24" s="13" t="s">
        <v>2092</v>
      </c>
      <c r="B24" s="41" t="s">
        <v>2093</v>
      </c>
      <c r="C24" s="41" t="s">
        <v>1234</v>
      </c>
      <c r="D24" s="15">
        <v>471131</v>
      </c>
      <c r="E24" s="16">
        <v>8807.7900000000009</v>
      </c>
      <c r="F24" s="17">
        <v>1.6400000000000001E-2</v>
      </c>
      <c r="G24" s="17"/>
    </row>
    <row r="25" spans="1:7" x14ac:dyDescent="0.35">
      <c r="A25" s="13" t="s">
        <v>1361</v>
      </c>
      <c r="B25" s="41" t="s">
        <v>1362</v>
      </c>
      <c r="C25" s="41" t="s">
        <v>1229</v>
      </c>
      <c r="D25" s="15">
        <v>1032889</v>
      </c>
      <c r="E25" s="16">
        <v>8795.0499999999993</v>
      </c>
      <c r="F25" s="17">
        <v>1.6400000000000001E-2</v>
      </c>
      <c r="G25" s="17"/>
    </row>
    <row r="26" spans="1:7" x14ac:dyDescent="0.35">
      <c r="A26" s="13" t="s">
        <v>1225</v>
      </c>
      <c r="B26" s="41" t="s">
        <v>1226</v>
      </c>
      <c r="C26" s="41" t="s">
        <v>1185</v>
      </c>
      <c r="D26" s="15">
        <v>537074</v>
      </c>
      <c r="E26" s="16">
        <v>8666.23</v>
      </c>
      <c r="F26" s="17">
        <v>1.61E-2</v>
      </c>
      <c r="G26" s="17"/>
    </row>
    <row r="27" spans="1:7" x14ac:dyDescent="0.35">
      <c r="A27" s="13" t="s">
        <v>1904</v>
      </c>
      <c r="B27" s="41" t="s">
        <v>1905</v>
      </c>
      <c r="C27" s="41" t="s">
        <v>1185</v>
      </c>
      <c r="D27" s="15">
        <v>2580626</v>
      </c>
      <c r="E27" s="16">
        <v>8375.42</v>
      </c>
      <c r="F27" s="17">
        <v>1.5599999999999999E-2</v>
      </c>
      <c r="G27" s="17"/>
    </row>
    <row r="28" spans="1:7" x14ac:dyDescent="0.35">
      <c r="A28" s="13" t="s">
        <v>2073</v>
      </c>
      <c r="B28" s="41" t="s">
        <v>2074</v>
      </c>
      <c r="C28" s="41" t="s">
        <v>1211</v>
      </c>
      <c r="D28" s="15">
        <v>884776</v>
      </c>
      <c r="E28" s="16">
        <v>8250.09</v>
      </c>
      <c r="F28" s="17">
        <v>1.54E-2</v>
      </c>
      <c r="G28" s="17"/>
    </row>
    <row r="29" spans="1:7" x14ac:dyDescent="0.35">
      <c r="A29" s="13" t="s">
        <v>1989</v>
      </c>
      <c r="B29" s="41" t="s">
        <v>1990</v>
      </c>
      <c r="C29" s="41" t="s">
        <v>1382</v>
      </c>
      <c r="D29" s="15">
        <v>19112598</v>
      </c>
      <c r="E29" s="16">
        <v>8249</v>
      </c>
      <c r="F29" s="17">
        <v>1.54E-2</v>
      </c>
      <c r="G29" s="17"/>
    </row>
    <row r="30" spans="1:7" x14ac:dyDescent="0.35">
      <c r="A30" s="13" t="s">
        <v>1202</v>
      </c>
      <c r="B30" s="41" t="s">
        <v>1203</v>
      </c>
      <c r="C30" s="41" t="s">
        <v>1178</v>
      </c>
      <c r="D30" s="15">
        <v>2775890</v>
      </c>
      <c r="E30" s="16">
        <v>7987.62</v>
      </c>
      <c r="F30" s="17">
        <v>1.49E-2</v>
      </c>
      <c r="G30" s="17"/>
    </row>
    <row r="31" spans="1:7" x14ac:dyDescent="0.35">
      <c r="A31" s="13" t="s">
        <v>1982</v>
      </c>
      <c r="B31" s="41" t="s">
        <v>1983</v>
      </c>
      <c r="C31" s="41" t="s">
        <v>1191</v>
      </c>
      <c r="D31" s="15">
        <v>1207662</v>
      </c>
      <c r="E31" s="16">
        <v>7944.6</v>
      </c>
      <c r="F31" s="17">
        <v>1.4800000000000001E-2</v>
      </c>
      <c r="G31" s="17"/>
    </row>
    <row r="32" spans="1:7" x14ac:dyDescent="0.35">
      <c r="A32" s="13" t="s">
        <v>1370</v>
      </c>
      <c r="B32" s="41" t="s">
        <v>1371</v>
      </c>
      <c r="C32" s="41" t="s">
        <v>1345</v>
      </c>
      <c r="D32" s="15">
        <v>1773844</v>
      </c>
      <c r="E32" s="16">
        <v>7502.47</v>
      </c>
      <c r="F32" s="17">
        <v>1.4E-2</v>
      </c>
      <c r="G32" s="17"/>
    </row>
    <row r="33" spans="1:7" x14ac:dyDescent="0.35">
      <c r="A33" s="13" t="s">
        <v>1810</v>
      </c>
      <c r="B33" s="41" t="s">
        <v>1811</v>
      </c>
      <c r="C33" s="41" t="s">
        <v>1382</v>
      </c>
      <c r="D33" s="15">
        <v>101041</v>
      </c>
      <c r="E33" s="16">
        <v>7393.17</v>
      </c>
      <c r="F33" s="17">
        <v>1.38E-2</v>
      </c>
      <c r="G33" s="17"/>
    </row>
    <row r="34" spans="1:7" x14ac:dyDescent="0.35">
      <c r="A34" s="13" t="s">
        <v>2030</v>
      </c>
      <c r="B34" s="41" t="s">
        <v>2031</v>
      </c>
      <c r="C34" s="41" t="s">
        <v>1838</v>
      </c>
      <c r="D34" s="15">
        <v>2302393</v>
      </c>
      <c r="E34" s="16">
        <v>7364.2</v>
      </c>
      <c r="F34" s="17">
        <v>1.37E-2</v>
      </c>
      <c r="G34" s="17"/>
    </row>
    <row r="35" spans="1:7" x14ac:dyDescent="0.35">
      <c r="A35" s="13" t="s">
        <v>2094</v>
      </c>
      <c r="B35" s="41" t="s">
        <v>2095</v>
      </c>
      <c r="C35" s="41" t="s">
        <v>1288</v>
      </c>
      <c r="D35" s="15">
        <v>634027</v>
      </c>
      <c r="E35" s="16">
        <v>7234.25</v>
      </c>
      <c r="F35" s="17">
        <v>1.35E-2</v>
      </c>
      <c r="G35" s="17"/>
    </row>
    <row r="36" spans="1:7" x14ac:dyDescent="0.35">
      <c r="A36" s="13" t="s">
        <v>2096</v>
      </c>
      <c r="B36" s="41" t="s">
        <v>2097</v>
      </c>
      <c r="C36" s="41" t="s">
        <v>1333</v>
      </c>
      <c r="D36" s="15">
        <v>804145</v>
      </c>
      <c r="E36" s="16">
        <v>6901.57</v>
      </c>
      <c r="F36" s="17">
        <v>1.29E-2</v>
      </c>
      <c r="G36" s="17"/>
    </row>
    <row r="37" spans="1:7" x14ac:dyDescent="0.35">
      <c r="A37" s="13" t="s">
        <v>1892</v>
      </c>
      <c r="B37" s="41" t="s">
        <v>1893</v>
      </c>
      <c r="C37" s="41" t="s">
        <v>1280</v>
      </c>
      <c r="D37" s="15">
        <v>640893</v>
      </c>
      <c r="E37" s="16">
        <v>6498.66</v>
      </c>
      <c r="F37" s="17">
        <v>1.21E-2</v>
      </c>
      <c r="G37" s="17"/>
    </row>
    <row r="38" spans="1:7" x14ac:dyDescent="0.35">
      <c r="A38" s="13" t="s">
        <v>2071</v>
      </c>
      <c r="B38" s="41" t="s">
        <v>2072</v>
      </c>
      <c r="C38" s="41" t="s">
        <v>1221</v>
      </c>
      <c r="D38" s="15">
        <v>645867</v>
      </c>
      <c r="E38" s="16">
        <v>6471.59</v>
      </c>
      <c r="F38" s="17">
        <v>1.21E-2</v>
      </c>
      <c r="G38" s="17"/>
    </row>
    <row r="39" spans="1:7" x14ac:dyDescent="0.35">
      <c r="A39" s="13" t="s">
        <v>2081</v>
      </c>
      <c r="B39" s="41" t="s">
        <v>2082</v>
      </c>
      <c r="C39" s="41" t="s">
        <v>1333</v>
      </c>
      <c r="D39" s="15">
        <v>1263714</v>
      </c>
      <c r="E39" s="16">
        <v>6349.53</v>
      </c>
      <c r="F39" s="17">
        <v>1.18E-2</v>
      </c>
      <c r="G39" s="17"/>
    </row>
    <row r="40" spans="1:7" x14ac:dyDescent="0.35">
      <c r="A40" s="13" t="s">
        <v>1820</v>
      </c>
      <c r="B40" s="41" t="s">
        <v>1821</v>
      </c>
      <c r="C40" s="41" t="s">
        <v>1324</v>
      </c>
      <c r="D40" s="15">
        <v>830710</v>
      </c>
      <c r="E40" s="16">
        <v>6249.02</v>
      </c>
      <c r="F40" s="17">
        <v>1.1599999999999999E-2</v>
      </c>
      <c r="G40" s="17"/>
    </row>
    <row r="41" spans="1:7" x14ac:dyDescent="0.35">
      <c r="A41" s="13" t="s">
        <v>2045</v>
      </c>
      <c r="B41" s="41" t="s">
        <v>2046</v>
      </c>
      <c r="C41" s="41" t="s">
        <v>1350</v>
      </c>
      <c r="D41" s="15">
        <v>1509515</v>
      </c>
      <c r="E41" s="16">
        <v>6183.73</v>
      </c>
      <c r="F41" s="17">
        <v>1.15E-2</v>
      </c>
      <c r="G41" s="17"/>
    </row>
    <row r="42" spans="1:7" x14ac:dyDescent="0.35">
      <c r="A42" s="13" t="s">
        <v>1925</v>
      </c>
      <c r="B42" s="41" t="s">
        <v>1926</v>
      </c>
      <c r="C42" s="41" t="s">
        <v>1419</v>
      </c>
      <c r="D42" s="15">
        <v>1580324</v>
      </c>
      <c r="E42" s="16">
        <v>6091.36</v>
      </c>
      <c r="F42" s="17">
        <v>1.1299999999999999E-2</v>
      </c>
      <c r="G42" s="17"/>
    </row>
    <row r="43" spans="1:7" x14ac:dyDescent="0.35">
      <c r="A43" s="13" t="s">
        <v>1991</v>
      </c>
      <c r="B43" s="41" t="s">
        <v>1992</v>
      </c>
      <c r="C43" s="41" t="s">
        <v>1855</v>
      </c>
      <c r="D43" s="15">
        <v>662547</v>
      </c>
      <c r="E43" s="16">
        <v>5761.18</v>
      </c>
      <c r="F43" s="17">
        <v>1.0699999999999999E-2</v>
      </c>
      <c r="G43" s="17"/>
    </row>
    <row r="44" spans="1:7" x14ac:dyDescent="0.35">
      <c r="A44" s="13" t="s">
        <v>2098</v>
      </c>
      <c r="B44" s="41" t="s">
        <v>2099</v>
      </c>
      <c r="C44" s="41" t="s">
        <v>1229</v>
      </c>
      <c r="D44" s="15">
        <v>565691</v>
      </c>
      <c r="E44" s="16">
        <v>5423.28</v>
      </c>
      <c r="F44" s="17">
        <v>1.01E-2</v>
      </c>
      <c r="G44" s="17"/>
    </row>
    <row r="45" spans="1:7" x14ac:dyDescent="0.35">
      <c r="A45" s="13" t="s">
        <v>1476</v>
      </c>
      <c r="B45" s="41" t="s">
        <v>1477</v>
      </c>
      <c r="C45" s="41" t="s">
        <v>1221</v>
      </c>
      <c r="D45" s="15">
        <v>192531</v>
      </c>
      <c r="E45" s="16">
        <v>5422.25</v>
      </c>
      <c r="F45" s="17">
        <v>1.01E-2</v>
      </c>
      <c r="G45" s="17"/>
    </row>
    <row r="46" spans="1:7" x14ac:dyDescent="0.35">
      <c r="A46" s="13" t="s">
        <v>1547</v>
      </c>
      <c r="B46" s="41" t="s">
        <v>1548</v>
      </c>
      <c r="C46" s="41" t="s">
        <v>1369</v>
      </c>
      <c r="D46" s="15">
        <v>88032</v>
      </c>
      <c r="E46" s="16">
        <v>5312.73</v>
      </c>
      <c r="F46" s="17">
        <v>9.9000000000000008E-3</v>
      </c>
      <c r="G46" s="17"/>
    </row>
    <row r="47" spans="1:7" x14ac:dyDescent="0.35">
      <c r="A47" s="13" t="s">
        <v>2100</v>
      </c>
      <c r="B47" s="41" t="s">
        <v>2101</v>
      </c>
      <c r="C47" s="41" t="s">
        <v>1221</v>
      </c>
      <c r="D47" s="15">
        <v>614757</v>
      </c>
      <c r="E47" s="16">
        <v>5293.06</v>
      </c>
      <c r="F47" s="17">
        <v>9.9000000000000008E-3</v>
      </c>
      <c r="G47" s="17"/>
    </row>
    <row r="48" spans="1:7" x14ac:dyDescent="0.35">
      <c r="A48" s="13" t="s">
        <v>2043</v>
      </c>
      <c r="B48" s="41" t="s">
        <v>2044</v>
      </c>
      <c r="C48" s="41" t="s">
        <v>1369</v>
      </c>
      <c r="D48" s="15">
        <v>811960</v>
      </c>
      <c r="E48" s="16">
        <v>5279.36</v>
      </c>
      <c r="F48" s="17">
        <v>9.7999999999999997E-3</v>
      </c>
      <c r="G48" s="17"/>
    </row>
    <row r="49" spans="1:7" x14ac:dyDescent="0.35">
      <c r="A49" s="13" t="s">
        <v>2102</v>
      </c>
      <c r="B49" s="41" t="s">
        <v>2103</v>
      </c>
      <c r="C49" s="41" t="s">
        <v>1191</v>
      </c>
      <c r="D49" s="15">
        <v>441256</v>
      </c>
      <c r="E49" s="16">
        <v>5230.21</v>
      </c>
      <c r="F49" s="17">
        <v>9.7000000000000003E-3</v>
      </c>
      <c r="G49" s="17"/>
    </row>
    <row r="50" spans="1:7" x14ac:dyDescent="0.35">
      <c r="A50" s="13" t="s">
        <v>1834</v>
      </c>
      <c r="B50" s="41" t="s">
        <v>1835</v>
      </c>
      <c r="C50" s="41" t="s">
        <v>1224</v>
      </c>
      <c r="D50" s="15">
        <v>4508291</v>
      </c>
      <c r="E50" s="16">
        <v>5148.47</v>
      </c>
      <c r="F50" s="17">
        <v>9.5999999999999992E-3</v>
      </c>
      <c r="G50" s="17"/>
    </row>
    <row r="51" spans="1:7" x14ac:dyDescent="0.35">
      <c r="A51" s="13" t="s">
        <v>1822</v>
      </c>
      <c r="B51" s="41" t="s">
        <v>1823</v>
      </c>
      <c r="C51" s="41" t="s">
        <v>1266</v>
      </c>
      <c r="D51" s="15">
        <v>4060004</v>
      </c>
      <c r="E51" s="16">
        <v>5113.58</v>
      </c>
      <c r="F51" s="17">
        <v>9.4999999999999998E-3</v>
      </c>
      <c r="G51" s="17"/>
    </row>
    <row r="52" spans="1:7" x14ac:dyDescent="0.35">
      <c r="A52" s="13" t="s">
        <v>1541</v>
      </c>
      <c r="B52" s="41" t="s">
        <v>1542</v>
      </c>
      <c r="C52" s="41" t="s">
        <v>1280</v>
      </c>
      <c r="D52" s="15">
        <v>386315</v>
      </c>
      <c r="E52" s="16">
        <v>5100.13</v>
      </c>
      <c r="F52" s="17">
        <v>9.4999999999999998E-3</v>
      </c>
      <c r="G52" s="17"/>
    </row>
    <row r="53" spans="1:7" x14ac:dyDescent="0.35">
      <c r="A53" s="13" t="s">
        <v>2104</v>
      </c>
      <c r="B53" s="41" t="s">
        <v>2105</v>
      </c>
      <c r="C53" s="41" t="s">
        <v>1266</v>
      </c>
      <c r="D53" s="15">
        <v>791788</v>
      </c>
      <c r="E53" s="16">
        <v>5006.08</v>
      </c>
      <c r="F53" s="17">
        <v>9.2999999999999992E-3</v>
      </c>
      <c r="G53" s="17"/>
    </row>
    <row r="54" spans="1:7" x14ac:dyDescent="0.35">
      <c r="A54" s="13" t="s">
        <v>2026</v>
      </c>
      <c r="B54" s="41" t="s">
        <v>2027</v>
      </c>
      <c r="C54" s="41" t="s">
        <v>1234</v>
      </c>
      <c r="D54" s="15">
        <v>340148</v>
      </c>
      <c r="E54" s="16">
        <v>5002.8999999999996</v>
      </c>
      <c r="F54" s="17">
        <v>9.2999999999999992E-3</v>
      </c>
      <c r="G54" s="17"/>
    </row>
    <row r="55" spans="1:7" x14ac:dyDescent="0.35">
      <c r="A55" s="13" t="s">
        <v>1816</v>
      </c>
      <c r="B55" s="41" t="s">
        <v>1817</v>
      </c>
      <c r="C55" s="41" t="s">
        <v>1188</v>
      </c>
      <c r="D55" s="15">
        <v>793968</v>
      </c>
      <c r="E55" s="16">
        <v>4932.53</v>
      </c>
      <c r="F55" s="17">
        <v>9.1999999999999998E-3</v>
      </c>
      <c r="G55" s="17"/>
    </row>
    <row r="56" spans="1:7" x14ac:dyDescent="0.35">
      <c r="A56" s="13" t="s">
        <v>2106</v>
      </c>
      <c r="B56" s="41" t="s">
        <v>2107</v>
      </c>
      <c r="C56" s="41" t="s">
        <v>1229</v>
      </c>
      <c r="D56" s="15">
        <v>347396</v>
      </c>
      <c r="E56" s="16">
        <v>4896.55</v>
      </c>
      <c r="F56" s="17">
        <v>9.1000000000000004E-3</v>
      </c>
      <c r="G56" s="17"/>
    </row>
    <row r="57" spans="1:7" x14ac:dyDescent="0.35">
      <c r="A57" s="13" t="s">
        <v>2108</v>
      </c>
      <c r="B57" s="41" t="s">
        <v>2109</v>
      </c>
      <c r="C57" s="41" t="s">
        <v>1266</v>
      </c>
      <c r="D57" s="15">
        <v>1032542</v>
      </c>
      <c r="E57" s="16">
        <v>4860.6899999999996</v>
      </c>
      <c r="F57" s="17">
        <v>9.1000000000000004E-3</v>
      </c>
      <c r="G57" s="17"/>
    </row>
    <row r="58" spans="1:7" x14ac:dyDescent="0.35">
      <c r="A58" s="13" t="s">
        <v>2110</v>
      </c>
      <c r="B58" s="41" t="s">
        <v>2111</v>
      </c>
      <c r="C58" s="41" t="s">
        <v>1387</v>
      </c>
      <c r="D58" s="15">
        <v>540851</v>
      </c>
      <c r="E58" s="16">
        <v>4672.68</v>
      </c>
      <c r="F58" s="17">
        <v>8.6999999999999994E-3</v>
      </c>
      <c r="G58" s="17"/>
    </row>
    <row r="59" spans="1:7" x14ac:dyDescent="0.35">
      <c r="A59" s="13" t="s">
        <v>2112</v>
      </c>
      <c r="B59" s="41" t="s">
        <v>2113</v>
      </c>
      <c r="C59" s="41" t="s">
        <v>1224</v>
      </c>
      <c r="D59" s="15">
        <v>579319</v>
      </c>
      <c r="E59" s="16">
        <v>4496.09</v>
      </c>
      <c r="F59" s="17">
        <v>8.3999999999999995E-3</v>
      </c>
      <c r="G59" s="17"/>
    </row>
    <row r="60" spans="1:7" x14ac:dyDescent="0.35">
      <c r="A60" s="13" t="s">
        <v>2077</v>
      </c>
      <c r="B60" s="41" t="s">
        <v>2078</v>
      </c>
      <c r="C60" s="41" t="s">
        <v>1369</v>
      </c>
      <c r="D60" s="15">
        <v>1070903</v>
      </c>
      <c r="E60" s="16">
        <v>4476.91</v>
      </c>
      <c r="F60" s="17">
        <v>8.3000000000000001E-3</v>
      </c>
      <c r="G60" s="17"/>
    </row>
    <row r="61" spans="1:7" x14ac:dyDescent="0.35">
      <c r="A61" s="13" t="s">
        <v>1802</v>
      </c>
      <c r="B61" s="41" t="s">
        <v>1803</v>
      </c>
      <c r="C61" s="41" t="s">
        <v>1211</v>
      </c>
      <c r="D61" s="15">
        <v>259895</v>
      </c>
      <c r="E61" s="16">
        <v>4299.4399999999996</v>
      </c>
      <c r="F61" s="17">
        <v>8.0000000000000002E-3</v>
      </c>
      <c r="G61" s="17"/>
    </row>
    <row r="62" spans="1:7" x14ac:dyDescent="0.35">
      <c r="A62" s="13" t="s">
        <v>2114</v>
      </c>
      <c r="B62" s="41" t="s">
        <v>2115</v>
      </c>
      <c r="C62" s="41" t="s">
        <v>1412</v>
      </c>
      <c r="D62" s="15">
        <v>853394</v>
      </c>
      <c r="E62" s="16">
        <v>4208.51</v>
      </c>
      <c r="F62" s="17">
        <v>7.7999999999999996E-3</v>
      </c>
      <c r="G62" s="17"/>
    </row>
    <row r="63" spans="1:7" x14ac:dyDescent="0.35">
      <c r="A63" s="13" t="s">
        <v>2116</v>
      </c>
      <c r="B63" s="41" t="s">
        <v>2117</v>
      </c>
      <c r="C63" s="41" t="s">
        <v>1224</v>
      </c>
      <c r="D63" s="15">
        <v>358773</v>
      </c>
      <c r="E63" s="16">
        <v>4021.85</v>
      </c>
      <c r="F63" s="17">
        <v>7.4999999999999997E-3</v>
      </c>
      <c r="G63" s="17"/>
    </row>
    <row r="64" spans="1:7" x14ac:dyDescent="0.35">
      <c r="A64" s="13" t="s">
        <v>2118</v>
      </c>
      <c r="B64" s="41" t="s">
        <v>2119</v>
      </c>
      <c r="C64" s="41" t="s">
        <v>1288</v>
      </c>
      <c r="D64" s="15">
        <v>566380</v>
      </c>
      <c r="E64" s="16">
        <v>4011.1</v>
      </c>
      <c r="F64" s="17">
        <v>7.4999999999999997E-3</v>
      </c>
      <c r="G64" s="17"/>
    </row>
    <row r="65" spans="1:7" x14ac:dyDescent="0.35">
      <c r="A65" s="13" t="s">
        <v>2120</v>
      </c>
      <c r="B65" s="41" t="s">
        <v>2121</v>
      </c>
      <c r="C65" s="41" t="s">
        <v>1333</v>
      </c>
      <c r="D65" s="15">
        <v>136604</v>
      </c>
      <c r="E65" s="16">
        <v>3931.46</v>
      </c>
      <c r="F65" s="17">
        <v>7.3000000000000001E-3</v>
      </c>
      <c r="G65" s="17"/>
    </row>
    <row r="66" spans="1:7" x14ac:dyDescent="0.35">
      <c r="A66" s="13" t="s">
        <v>1984</v>
      </c>
      <c r="B66" s="41" t="s">
        <v>1985</v>
      </c>
      <c r="C66" s="41" t="s">
        <v>1986</v>
      </c>
      <c r="D66" s="15">
        <v>296087</v>
      </c>
      <c r="E66" s="16">
        <v>3749.65</v>
      </c>
      <c r="F66" s="17">
        <v>7.0000000000000001E-3</v>
      </c>
      <c r="G66" s="17"/>
    </row>
    <row r="67" spans="1:7" x14ac:dyDescent="0.35">
      <c r="A67" s="13" t="s">
        <v>1976</v>
      </c>
      <c r="B67" s="41" t="s">
        <v>1977</v>
      </c>
      <c r="C67" s="41" t="s">
        <v>1201</v>
      </c>
      <c r="D67" s="15">
        <v>342287</v>
      </c>
      <c r="E67" s="16">
        <v>3595.72</v>
      </c>
      <c r="F67" s="17">
        <v>6.7000000000000002E-3</v>
      </c>
      <c r="G67" s="17"/>
    </row>
    <row r="68" spans="1:7" x14ac:dyDescent="0.35">
      <c r="A68" s="13" t="s">
        <v>1447</v>
      </c>
      <c r="B68" s="41" t="s">
        <v>1448</v>
      </c>
      <c r="C68" s="41" t="s">
        <v>1285</v>
      </c>
      <c r="D68" s="15">
        <v>231307</v>
      </c>
      <c r="E68" s="16">
        <v>3557.96</v>
      </c>
      <c r="F68" s="17">
        <v>6.6E-3</v>
      </c>
      <c r="G68" s="17"/>
    </row>
    <row r="69" spans="1:7" x14ac:dyDescent="0.35">
      <c r="A69" s="13" t="s">
        <v>1569</v>
      </c>
      <c r="B69" s="41" t="s">
        <v>1570</v>
      </c>
      <c r="C69" s="41" t="s">
        <v>1201</v>
      </c>
      <c r="D69" s="15">
        <v>179641</v>
      </c>
      <c r="E69" s="16">
        <v>3263.9</v>
      </c>
      <c r="F69" s="17">
        <v>6.1000000000000004E-3</v>
      </c>
      <c r="G69" s="17"/>
    </row>
    <row r="70" spans="1:7" x14ac:dyDescent="0.35">
      <c r="A70" s="13" t="s">
        <v>2047</v>
      </c>
      <c r="B70" s="41" t="s">
        <v>2048</v>
      </c>
      <c r="C70" s="41" t="s">
        <v>1211</v>
      </c>
      <c r="D70" s="15">
        <v>270054</v>
      </c>
      <c r="E70" s="16">
        <v>3183.13</v>
      </c>
      <c r="F70" s="17">
        <v>5.8999999999999999E-3</v>
      </c>
      <c r="G70" s="17"/>
    </row>
    <row r="71" spans="1:7" x14ac:dyDescent="0.35">
      <c r="A71" s="13" t="s">
        <v>2122</v>
      </c>
      <c r="B71" s="41" t="s">
        <v>2123</v>
      </c>
      <c r="C71" s="41" t="s">
        <v>1382</v>
      </c>
      <c r="D71" s="15">
        <v>2463529</v>
      </c>
      <c r="E71" s="16">
        <v>3063.64</v>
      </c>
      <c r="F71" s="17">
        <v>5.7000000000000002E-3</v>
      </c>
      <c r="G71" s="17"/>
    </row>
    <row r="72" spans="1:7" x14ac:dyDescent="0.35">
      <c r="A72" s="13" t="s">
        <v>2124</v>
      </c>
      <c r="B72" s="41" t="s">
        <v>2125</v>
      </c>
      <c r="C72" s="41" t="s">
        <v>1838</v>
      </c>
      <c r="D72" s="15">
        <v>216190</v>
      </c>
      <c r="E72" s="16">
        <v>2993.15</v>
      </c>
      <c r="F72" s="17">
        <v>5.5999999999999999E-3</v>
      </c>
      <c r="G72" s="17"/>
    </row>
    <row r="73" spans="1:7" x14ac:dyDescent="0.35">
      <c r="A73" s="13" t="s">
        <v>2049</v>
      </c>
      <c r="B73" s="41" t="s">
        <v>2050</v>
      </c>
      <c r="C73" s="41" t="s">
        <v>1387</v>
      </c>
      <c r="D73" s="15">
        <v>141064</v>
      </c>
      <c r="E73" s="16">
        <v>2926.23</v>
      </c>
      <c r="F73" s="17">
        <v>5.4999999999999997E-3</v>
      </c>
      <c r="G73" s="17"/>
    </row>
    <row r="74" spans="1:7" x14ac:dyDescent="0.35">
      <c r="A74" s="13" t="s">
        <v>2126</v>
      </c>
      <c r="B74" s="41" t="s">
        <v>2127</v>
      </c>
      <c r="C74" s="41" t="s">
        <v>1288</v>
      </c>
      <c r="D74" s="15">
        <v>127658</v>
      </c>
      <c r="E74" s="16">
        <v>2829.79</v>
      </c>
      <c r="F74" s="17">
        <v>5.3E-3</v>
      </c>
      <c r="G74" s="17"/>
    </row>
    <row r="75" spans="1:7" x14ac:dyDescent="0.35">
      <c r="A75" s="13" t="s">
        <v>2128</v>
      </c>
      <c r="B75" s="41" t="s">
        <v>2129</v>
      </c>
      <c r="C75" s="41" t="s">
        <v>1855</v>
      </c>
      <c r="D75" s="15">
        <v>431515</v>
      </c>
      <c r="E75" s="16">
        <v>2824.7</v>
      </c>
      <c r="F75" s="17">
        <v>5.3E-3</v>
      </c>
      <c r="G75" s="17"/>
    </row>
    <row r="76" spans="1:7" x14ac:dyDescent="0.35">
      <c r="A76" s="13" t="s">
        <v>2130</v>
      </c>
      <c r="B76" s="41" t="s">
        <v>2131</v>
      </c>
      <c r="C76" s="41" t="s">
        <v>1201</v>
      </c>
      <c r="D76" s="15">
        <v>55965</v>
      </c>
      <c r="E76" s="16">
        <v>2798.25</v>
      </c>
      <c r="F76" s="17">
        <v>5.1999999999999998E-3</v>
      </c>
      <c r="G76" s="17"/>
    </row>
    <row r="77" spans="1:7" x14ac:dyDescent="0.35">
      <c r="A77" s="13" t="s">
        <v>2132</v>
      </c>
      <c r="B77" s="41" t="s">
        <v>2133</v>
      </c>
      <c r="C77" s="41" t="s">
        <v>1382</v>
      </c>
      <c r="D77" s="15">
        <v>496827</v>
      </c>
      <c r="E77" s="16">
        <v>2598.41</v>
      </c>
      <c r="F77" s="17">
        <v>4.7999999999999996E-3</v>
      </c>
      <c r="G77" s="17"/>
    </row>
    <row r="78" spans="1:7" x14ac:dyDescent="0.35">
      <c r="A78" s="13" t="s">
        <v>2134</v>
      </c>
      <c r="B78" s="41" t="s">
        <v>2135</v>
      </c>
      <c r="C78" s="41" t="s">
        <v>1288</v>
      </c>
      <c r="D78" s="15">
        <v>554685</v>
      </c>
      <c r="E78" s="16">
        <v>2468.9</v>
      </c>
      <c r="F78" s="17">
        <v>4.5999999999999999E-3</v>
      </c>
      <c r="G78" s="17"/>
    </row>
    <row r="79" spans="1:7" x14ac:dyDescent="0.35">
      <c r="A79" s="13" t="s">
        <v>2136</v>
      </c>
      <c r="B79" s="41" t="s">
        <v>2137</v>
      </c>
      <c r="C79" s="41" t="s">
        <v>1288</v>
      </c>
      <c r="D79" s="15">
        <v>446195</v>
      </c>
      <c r="E79" s="16">
        <v>2442.92</v>
      </c>
      <c r="F79" s="17">
        <v>4.5999999999999999E-3</v>
      </c>
      <c r="G79" s="17"/>
    </row>
    <row r="80" spans="1:7" x14ac:dyDescent="0.35">
      <c r="A80" s="13" t="s">
        <v>1365</v>
      </c>
      <c r="B80" s="41" t="s">
        <v>1366</v>
      </c>
      <c r="C80" s="41" t="s">
        <v>1201</v>
      </c>
      <c r="D80" s="15">
        <v>1099645</v>
      </c>
      <c r="E80" s="16">
        <v>2435.16</v>
      </c>
      <c r="F80" s="17">
        <v>4.4999999999999997E-3</v>
      </c>
      <c r="G80" s="17"/>
    </row>
    <row r="81" spans="1:7" x14ac:dyDescent="0.35">
      <c r="A81" s="13" t="s">
        <v>2138</v>
      </c>
      <c r="B81" s="41" t="s">
        <v>2139</v>
      </c>
      <c r="C81" s="41" t="s">
        <v>1387</v>
      </c>
      <c r="D81" s="15">
        <v>1600125</v>
      </c>
      <c r="E81" s="16">
        <v>2370.27</v>
      </c>
      <c r="F81" s="17">
        <v>4.4000000000000003E-3</v>
      </c>
      <c r="G81" s="17"/>
    </row>
    <row r="82" spans="1:7" x14ac:dyDescent="0.35">
      <c r="A82" s="13" t="s">
        <v>2140</v>
      </c>
      <c r="B82" s="41" t="s">
        <v>2141</v>
      </c>
      <c r="C82" s="41" t="s">
        <v>1211</v>
      </c>
      <c r="D82" s="15">
        <v>2549819</v>
      </c>
      <c r="E82" s="16">
        <v>2178.06</v>
      </c>
      <c r="F82" s="17">
        <v>4.1000000000000003E-3</v>
      </c>
      <c r="G82" s="17"/>
    </row>
    <row r="83" spans="1:7" x14ac:dyDescent="0.35">
      <c r="A83" s="13" t="s">
        <v>2142</v>
      </c>
      <c r="B83" s="41" t="s">
        <v>2143</v>
      </c>
      <c r="C83" s="41" t="s">
        <v>1333</v>
      </c>
      <c r="D83" s="15">
        <v>29330</v>
      </c>
      <c r="E83" s="16">
        <v>2162.94</v>
      </c>
      <c r="F83" s="17">
        <v>4.0000000000000001E-3</v>
      </c>
      <c r="G83" s="17"/>
    </row>
    <row r="84" spans="1:7" x14ac:dyDescent="0.35">
      <c r="A84" s="13" t="s">
        <v>2144</v>
      </c>
      <c r="B84" s="41" t="s">
        <v>2145</v>
      </c>
      <c r="C84" s="41" t="s">
        <v>1234</v>
      </c>
      <c r="D84" s="15">
        <v>534954</v>
      </c>
      <c r="E84" s="16">
        <v>2039.78</v>
      </c>
      <c r="F84" s="17">
        <v>3.8E-3</v>
      </c>
      <c r="G84" s="17"/>
    </row>
    <row r="85" spans="1:7" x14ac:dyDescent="0.35">
      <c r="A85" s="13" t="s">
        <v>2083</v>
      </c>
      <c r="B85" s="41" t="s">
        <v>2084</v>
      </c>
      <c r="C85" s="41" t="s">
        <v>1436</v>
      </c>
      <c r="D85" s="15">
        <v>208735</v>
      </c>
      <c r="E85" s="16">
        <v>2035.37</v>
      </c>
      <c r="F85" s="17">
        <v>3.8E-3</v>
      </c>
      <c r="G85" s="17"/>
    </row>
    <row r="86" spans="1:7" x14ac:dyDescent="0.35">
      <c r="A86" s="13" t="s">
        <v>2146</v>
      </c>
      <c r="B86" s="41" t="s">
        <v>2147</v>
      </c>
      <c r="C86" s="41" t="s">
        <v>1849</v>
      </c>
      <c r="D86" s="15">
        <v>238746</v>
      </c>
      <c r="E86" s="16">
        <v>2028.15</v>
      </c>
      <c r="F86" s="17">
        <v>3.8E-3</v>
      </c>
      <c r="G86" s="17"/>
    </row>
    <row r="87" spans="1:7" x14ac:dyDescent="0.35">
      <c r="A87" s="13" t="s">
        <v>2148</v>
      </c>
      <c r="B87" s="41" t="s">
        <v>2149</v>
      </c>
      <c r="C87" s="41" t="s">
        <v>1409</v>
      </c>
      <c r="D87" s="15">
        <v>395896</v>
      </c>
      <c r="E87" s="16">
        <v>1915.34</v>
      </c>
      <c r="F87" s="17">
        <v>3.5999999999999999E-3</v>
      </c>
      <c r="G87" s="17"/>
    </row>
    <row r="88" spans="1:7" x14ac:dyDescent="0.35">
      <c r="A88" s="13" t="s">
        <v>2150</v>
      </c>
      <c r="B88" s="41" t="s">
        <v>2151</v>
      </c>
      <c r="C88" s="41" t="s">
        <v>1234</v>
      </c>
      <c r="D88" s="15">
        <v>145577</v>
      </c>
      <c r="E88" s="16">
        <v>1710.82</v>
      </c>
      <c r="F88" s="17">
        <v>3.2000000000000002E-3</v>
      </c>
      <c r="G88" s="17"/>
    </row>
    <row r="89" spans="1:7" x14ac:dyDescent="0.35">
      <c r="A89" s="13" t="s">
        <v>2152</v>
      </c>
      <c r="B89" s="41" t="s">
        <v>2153</v>
      </c>
      <c r="C89" s="41" t="s">
        <v>1266</v>
      </c>
      <c r="D89" s="15">
        <v>346090</v>
      </c>
      <c r="E89" s="16">
        <v>1679.75</v>
      </c>
      <c r="F89" s="17">
        <v>3.0999999999999999E-3</v>
      </c>
      <c r="G89" s="17"/>
    </row>
    <row r="90" spans="1:7" x14ac:dyDescent="0.35">
      <c r="A90" s="13" t="s">
        <v>2154</v>
      </c>
      <c r="B90" s="41" t="s">
        <v>2155</v>
      </c>
      <c r="C90" s="41" t="s">
        <v>1382</v>
      </c>
      <c r="D90" s="15">
        <v>1314270</v>
      </c>
      <c r="E90" s="16">
        <v>1592.9</v>
      </c>
      <c r="F90" s="17">
        <v>3.0000000000000001E-3</v>
      </c>
      <c r="G90" s="17"/>
    </row>
    <row r="91" spans="1:7" x14ac:dyDescent="0.35">
      <c r="A91" s="13" t="s">
        <v>2156</v>
      </c>
      <c r="B91" s="41" t="s">
        <v>2157</v>
      </c>
      <c r="C91" s="41" t="s">
        <v>1436</v>
      </c>
      <c r="D91" s="15">
        <v>150266</v>
      </c>
      <c r="E91" s="16">
        <v>1233.68</v>
      </c>
      <c r="F91" s="17">
        <v>2.3E-3</v>
      </c>
      <c r="G91" s="17"/>
    </row>
    <row r="92" spans="1:7" x14ac:dyDescent="0.35">
      <c r="A92" s="13" t="s">
        <v>2158</v>
      </c>
      <c r="B92" s="41" t="s">
        <v>2159</v>
      </c>
      <c r="C92" s="41" t="s">
        <v>1201</v>
      </c>
      <c r="D92" s="15">
        <v>143113</v>
      </c>
      <c r="E92" s="16">
        <v>1113.06</v>
      </c>
      <c r="F92" s="17">
        <v>2.0999999999999999E-3</v>
      </c>
      <c r="G92" s="17"/>
    </row>
    <row r="93" spans="1:7" x14ac:dyDescent="0.35">
      <c r="A93" s="13" t="s">
        <v>1980</v>
      </c>
      <c r="B93" s="41" t="s">
        <v>1981</v>
      </c>
      <c r="C93" s="41" t="s">
        <v>1266</v>
      </c>
      <c r="D93" s="15">
        <v>190291</v>
      </c>
      <c r="E93" s="16">
        <v>870.3</v>
      </c>
      <c r="F93" s="17">
        <v>1.6000000000000001E-3</v>
      </c>
      <c r="G93" s="17"/>
    </row>
    <row r="94" spans="1:7" x14ac:dyDescent="0.35">
      <c r="A94" s="13" t="s">
        <v>1997</v>
      </c>
      <c r="B94" s="41" t="s">
        <v>1998</v>
      </c>
      <c r="C94" s="41" t="s">
        <v>1999</v>
      </c>
      <c r="D94" s="15">
        <v>596224</v>
      </c>
      <c r="E94" s="16">
        <v>712.19</v>
      </c>
      <c r="F94" s="17">
        <v>1.2999999999999999E-3</v>
      </c>
      <c r="G94" s="17"/>
    </row>
    <row r="95" spans="1:7" x14ac:dyDescent="0.35">
      <c r="A95" s="13" t="s">
        <v>2160</v>
      </c>
      <c r="B95" s="41" t="s">
        <v>2161</v>
      </c>
      <c r="C95" s="41" t="s">
        <v>1201</v>
      </c>
      <c r="D95" s="15">
        <v>179512</v>
      </c>
      <c r="E95" s="16">
        <v>327.16000000000003</v>
      </c>
      <c r="F95" s="17">
        <v>5.9999999999999995E-4</v>
      </c>
      <c r="G95" s="17"/>
    </row>
    <row r="96" spans="1:7" x14ac:dyDescent="0.35">
      <c r="A96" s="14" t="s">
        <v>149</v>
      </c>
      <c r="B96" s="42"/>
      <c r="C96" s="42"/>
      <c r="D96" s="18"/>
      <c r="E96" s="19">
        <v>516727.82</v>
      </c>
      <c r="F96" s="20">
        <v>0.96240000000000003</v>
      </c>
      <c r="G96" s="21"/>
    </row>
    <row r="97" spans="1:7" x14ac:dyDescent="0.35">
      <c r="A97" s="14" t="s">
        <v>1914</v>
      </c>
      <c r="B97" s="41"/>
      <c r="C97" s="41"/>
      <c r="D97" s="15"/>
      <c r="E97" s="16"/>
      <c r="F97" s="17"/>
      <c r="G97" s="17"/>
    </row>
    <row r="98" spans="1:7" x14ac:dyDescent="0.35">
      <c r="A98" s="14" t="s">
        <v>149</v>
      </c>
      <c r="B98" s="41"/>
      <c r="C98" s="41"/>
      <c r="D98" s="15"/>
      <c r="E98" s="34" t="s">
        <v>146</v>
      </c>
      <c r="F98" s="35" t="s">
        <v>146</v>
      </c>
      <c r="G98" s="17"/>
    </row>
    <row r="99" spans="1:7" x14ac:dyDescent="0.35">
      <c r="A99" s="22" t="s">
        <v>160</v>
      </c>
      <c r="B99" s="43"/>
      <c r="C99" s="43"/>
      <c r="D99" s="23"/>
      <c r="E99" s="24">
        <v>516727.82</v>
      </c>
      <c r="F99" s="25">
        <v>0.96240000000000003</v>
      </c>
      <c r="G99" s="21"/>
    </row>
    <row r="100" spans="1:7" x14ac:dyDescent="0.35">
      <c r="A100" s="13"/>
      <c r="B100" s="41"/>
      <c r="C100" s="41"/>
      <c r="D100" s="15"/>
      <c r="E100" s="16"/>
      <c r="F100" s="17"/>
      <c r="G100" s="17"/>
    </row>
    <row r="101" spans="1:7" x14ac:dyDescent="0.35">
      <c r="A101" s="13"/>
      <c r="B101" s="41"/>
      <c r="C101" s="41"/>
      <c r="D101" s="15"/>
      <c r="E101" s="16"/>
      <c r="F101" s="17"/>
      <c r="G101" s="17"/>
    </row>
    <row r="102" spans="1:7" x14ac:dyDescent="0.35">
      <c r="A102" s="14" t="s">
        <v>255</v>
      </c>
      <c r="B102" s="41"/>
      <c r="C102" s="41"/>
      <c r="D102" s="15"/>
      <c r="E102" s="16"/>
      <c r="F102" s="17"/>
      <c r="G102" s="17"/>
    </row>
    <row r="103" spans="1:7" x14ac:dyDescent="0.35">
      <c r="A103" s="13" t="s">
        <v>257</v>
      </c>
      <c r="B103" s="41"/>
      <c r="C103" s="41"/>
      <c r="D103" s="15"/>
      <c r="E103" s="16">
        <v>20603.240000000002</v>
      </c>
      <c r="F103" s="17">
        <v>3.8399999999999997E-2</v>
      </c>
      <c r="G103" s="17">
        <v>5.1742000000000003E-2</v>
      </c>
    </row>
    <row r="104" spans="1:7" x14ac:dyDescent="0.35">
      <c r="A104" s="14" t="s">
        <v>149</v>
      </c>
      <c r="B104" s="42"/>
      <c r="C104" s="42"/>
      <c r="D104" s="18"/>
      <c r="E104" s="19">
        <v>20603.240000000002</v>
      </c>
      <c r="F104" s="20">
        <v>3.8399999999999997E-2</v>
      </c>
      <c r="G104" s="21"/>
    </row>
    <row r="105" spans="1:7" x14ac:dyDescent="0.35">
      <c r="A105" s="13"/>
      <c r="B105" s="41"/>
      <c r="C105" s="41"/>
      <c r="D105" s="15"/>
      <c r="E105" s="16"/>
      <c r="F105" s="17"/>
      <c r="G105" s="17"/>
    </row>
    <row r="106" spans="1:7" x14ac:dyDescent="0.35">
      <c r="A106" s="22" t="s">
        <v>160</v>
      </c>
      <c r="B106" s="43"/>
      <c r="C106" s="43"/>
      <c r="D106" s="23"/>
      <c r="E106" s="36">
        <v>20603.240000000002</v>
      </c>
      <c r="F106" s="37">
        <v>3.8399999999999997E-2</v>
      </c>
      <c r="G106" s="21"/>
    </row>
    <row r="107" spans="1:7" x14ac:dyDescent="0.35">
      <c r="A107" s="13" t="s">
        <v>258</v>
      </c>
      <c r="B107" s="41"/>
      <c r="C107" s="41"/>
      <c r="D107" s="15"/>
      <c r="E107" s="16">
        <v>5.8413849000000004</v>
      </c>
      <c r="F107" s="17">
        <v>1.0000000000000001E-5</v>
      </c>
      <c r="G107" s="17"/>
    </row>
    <row r="108" spans="1:7" x14ac:dyDescent="0.35">
      <c r="A108" s="13" t="s">
        <v>259</v>
      </c>
      <c r="B108" s="41"/>
      <c r="C108" s="41"/>
      <c r="D108" s="15"/>
      <c r="E108" s="28">
        <v>-432.97138489999998</v>
      </c>
      <c r="F108" s="29">
        <v>-8.0999999999999996E-4</v>
      </c>
      <c r="G108" s="17">
        <v>5.1741000000000002E-2</v>
      </c>
    </row>
    <row r="109" spans="1:7" x14ac:dyDescent="0.35">
      <c r="A109" s="38" t="s">
        <v>260</v>
      </c>
      <c r="B109" s="44"/>
      <c r="C109" s="44"/>
      <c r="D109" s="39"/>
      <c r="E109" s="24">
        <v>536903.93000000005</v>
      </c>
      <c r="F109" s="25">
        <v>1</v>
      </c>
      <c r="G109" s="25"/>
    </row>
    <row r="114" spans="1:3" x14ac:dyDescent="0.35">
      <c r="A114" s="1" t="s">
        <v>263</v>
      </c>
    </row>
    <row r="115" spans="1:3" x14ac:dyDescent="0.35">
      <c r="A115" s="47" t="s">
        <v>264</v>
      </c>
      <c r="B115" s="3" t="s">
        <v>146</v>
      </c>
    </row>
    <row r="116" spans="1:3" x14ac:dyDescent="0.35">
      <c r="A116" t="s">
        <v>265</v>
      </c>
    </row>
    <row r="117" spans="1:3" x14ac:dyDescent="0.35">
      <c r="A117" t="s">
        <v>266</v>
      </c>
      <c r="B117" t="s">
        <v>267</v>
      </c>
      <c r="C117" t="s">
        <v>267</v>
      </c>
    </row>
    <row r="118" spans="1:3" x14ac:dyDescent="0.35">
      <c r="B118" s="49">
        <v>46022</v>
      </c>
      <c r="C118" s="49">
        <v>46052</v>
      </c>
    </row>
    <row r="119" spans="1:3" x14ac:dyDescent="0.35">
      <c r="A119" t="s">
        <v>272</v>
      </c>
      <c r="B119">
        <v>48.902000000000001</v>
      </c>
      <c r="C119">
        <v>47.301000000000002</v>
      </c>
    </row>
    <row r="120" spans="1:3" x14ac:dyDescent="0.35">
      <c r="A120" t="s">
        <v>273</v>
      </c>
      <c r="B120">
        <v>42.780999999999999</v>
      </c>
      <c r="C120">
        <v>41.381</v>
      </c>
    </row>
    <row r="121" spans="1:3" x14ac:dyDescent="0.35">
      <c r="A121" t="s">
        <v>708</v>
      </c>
      <c r="B121">
        <v>43.956000000000003</v>
      </c>
      <c r="C121">
        <v>42.469000000000001</v>
      </c>
    </row>
    <row r="122" spans="1:3" x14ac:dyDescent="0.35">
      <c r="A122" t="s">
        <v>709</v>
      </c>
      <c r="B122">
        <v>38.197000000000003</v>
      </c>
      <c r="C122">
        <v>36.905000000000001</v>
      </c>
    </row>
    <row r="124" spans="1:3" x14ac:dyDescent="0.35">
      <c r="A124" t="s">
        <v>283</v>
      </c>
      <c r="B124" s="3" t="s">
        <v>146</v>
      </c>
    </row>
    <row r="125" spans="1:3" x14ac:dyDescent="0.35">
      <c r="A125" t="s">
        <v>284</v>
      </c>
      <c r="B125" s="3" t="s">
        <v>146</v>
      </c>
    </row>
    <row r="126" spans="1:3" ht="29" customHeight="1" x14ac:dyDescent="0.35">
      <c r="A126" s="47" t="s">
        <v>285</v>
      </c>
      <c r="B126" s="3" t="s">
        <v>146</v>
      </c>
    </row>
    <row r="127" spans="1:3" ht="29" customHeight="1" x14ac:dyDescent="0.35">
      <c r="A127" s="47" t="s">
        <v>286</v>
      </c>
      <c r="B127" s="3" t="s">
        <v>146</v>
      </c>
    </row>
    <row r="128" spans="1:3" x14ac:dyDescent="0.35">
      <c r="A128" t="s">
        <v>1253</v>
      </c>
      <c r="B128" s="48">
        <v>0.23089999999999999</v>
      </c>
    </row>
    <row r="129" spans="1:4" ht="43.5" customHeight="1" x14ac:dyDescent="0.35">
      <c r="A129" s="47" t="s">
        <v>288</v>
      </c>
      <c r="B129" s="3" t="s">
        <v>146</v>
      </c>
    </row>
    <row r="130" spans="1:4" x14ac:dyDescent="0.35">
      <c r="B130" s="3"/>
    </row>
    <row r="131" spans="1:4" ht="29" customHeight="1" x14ac:dyDescent="0.35">
      <c r="A131" s="47" t="s">
        <v>289</v>
      </c>
      <c r="B131" s="3" t="s">
        <v>146</v>
      </c>
    </row>
    <row r="132" spans="1:4" ht="29" customHeight="1" x14ac:dyDescent="0.35">
      <c r="A132" s="47" t="s">
        <v>290</v>
      </c>
      <c r="B132" t="s">
        <v>146</v>
      </c>
    </row>
    <row r="133" spans="1:4" ht="29" customHeight="1" x14ac:dyDescent="0.35">
      <c r="A133" s="47" t="s">
        <v>291</v>
      </c>
      <c r="B133" s="3" t="s">
        <v>146</v>
      </c>
    </row>
    <row r="134" spans="1:4" ht="29" customHeight="1" x14ac:dyDescent="0.35">
      <c r="A134" s="47" t="s">
        <v>292</v>
      </c>
      <c r="B134" s="3" t="s">
        <v>146</v>
      </c>
    </row>
    <row r="136" spans="1:4" ht="70" customHeight="1" x14ac:dyDescent="0.35">
      <c r="A136" s="70" t="s">
        <v>303</v>
      </c>
      <c r="B136" s="70" t="s">
        <v>304</v>
      </c>
      <c r="C136" s="70" t="s">
        <v>4</v>
      </c>
      <c r="D136" s="70" t="s">
        <v>5</v>
      </c>
    </row>
    <row r="137" spans="1:4" ht="70" customHeight="1" x14ac:dyDescent="0.35">
      <c r="A137" s="70" t="s">
        <v>2162</v>
      </c>
      <c r="B137" s="70"/>
      <c r="C137" s="70" t="s">
        <v>71</v>
      </c>
      <c r="D137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G283"/>
  <sheetViews>
    <sheetView showGridLines="0" workbookViewId="0">
      <pane ySplit="4" topLeftCell="A126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2163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2164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593264</v>
      </c>
      <c r="E8" s="16">
        <v>5512.91</v>
      </c>
      <c r="F8" s="17">
        <v>4.5100000000000001E-2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379929</v>
      </c>
      <c r="E9" s="16">
        <v>5148.04</v>
      </c>
      <c r="F9" s="17">
        <v>4.2099999999999999E-2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367751</v>
      </c>
      <c r="E10" s="16">
        <v>5131.6000000000004</v>
      </c>
      <c r="F10" s="17">
        <v>4.2000000000000003E-2</v>
      </c>
      <c r="G10" s="17"/>
    </row>
    <row r="11" spans="1:7" x14ac:dyDescent="0.35">
      <c r="A11" s="13" t="s">
        <v>1196</v>
      </c>
      <c r="B11" s="41" t="s">
        <v>1197</v>
      </c>
      <c r="C11" s="41" t="s">
        <v>1198</v>
      </c>
      <c r="D11" s="15">
        <v>230955</v>
      </c>
      <c r="E11" s="16">
        <v>4546.8100000000004</v>
      </c>
      <c r="F11" s="17">
        <v>3.7199999999999997E-2</v>
      </c>
      <c r="G11" s="17"/>
    </row>
    <row r="12" spans="1:7" x14ac:dyDescent="0.35">
      <c r="A12" s="13" t="s">
        <v>1257</v>
      </c>
      <c r="B12" s="41" t="s">
        <v>1258</v>
      </c>
      <c r="C12" s="41" t="s">
        <v>1198</v>
      </c>
      <c r="D12" s="15">
        <v>31731000</v>
      </c>
      <c r="E12" s="16">
        <v>3544.35</v>
      </c>
      <c r="F12" s="17">
        <v>2.9000000000000001E-2</v>
      </c>
      <c r="G12" s="17"/>
    </row>
    <row r="13" spans="1:7" x14ac:dyDescent="0.35">
      <c r="A13" s="13" t="s">
        <v>1348</v>
      </c>
      <c r="B13" s="41" t="s">
        <v>1349</v>
      </c>
      <c r="C13" s="41" t="s">
        <v>1350</v>
      </c>
      <c r="D13" s="15">
        <v>489155</v>
      </c>
      <c r="E13" s="16">
        <v>3443.41</v>
      </c>
      <c r="F13" s="17">
        <v>2.8199999999999999E-2</v>
      </c>
      <c r="G13" s="17"/>
    </row>
    <row r="14" spans="1:7" x14ac:dyDescent="0.35">
      <c r="A14" s="13" t="s">
        <v>1316</v>
      </c>
      <c r="B14" s="41" t="s">
        <v>1317</v>
      </c>
      <c r="C14" s="41" t="s">
        <v>1305</v>
      </c>
      <c r="D14" s="15">
        <v>360000</v>
      </c>
      <c r="E14" s="16">
        <v>3068.28</v>
      </c>
      <c r="F14" s="17">
        <v>2.5100000000000001E-2</v>
      </c>
      <c r="G14" s="17"/>
    </row>
    <row r="15" spans="1:7" x14ac:dyDescent="0.35">
      <c r="A15" s="13" t="s">
        <v>1262</v>
      </c>
      <c r="B15" s="41" t="s">
        <v>1263</v>
      </c>
      <c r="C15" s="41" t="s">
        <v>1178</v>
      </c>
      <c r="D15" s="15">
        <v>205077</v>
      </c>
      <c r="E15" s="16">
        <v>2810.38</v>
      </c>
      <c r="F15" s="17">
        <v>2.3E-2</v>
      </c>
      <c r="G15" s="17"/>
    </row>
    <row r="16" spans="1:7" x14ac:dyDescent="0.35">
      <c r="A16" s="13" t="s">
        <v>2165</v>
      </c>
      <c r="B16" s="41" t="s">
        <v>2166</v>
      </c>
      <c r="C16" s="41" t="s">
        <v>1305</v>
      </c>
      <c r="D16" s="15">
        <v>1472393</v>
      </c>
      <c r="E16" s="16">
        <v>2418.85</v>
      </c>
      <c r="F16" s="17">
        <v>1.9800000000000002E-2</v>
      </c>
      <c r="G16" s="17"/>
    </row>
    <row r="17" spans="1:7" x14ac:dyDescent="0.35">
      <c r="A17" s="13" t="s">
        <v>1176</v>
      </c>
      <c r="B17" s="41" t="s">
        <v>1177</v>
      </c>
      <c r="C17" s="41" t="s">
        <v>1178</v>
      </c>
      <c r="D17" s="15">
        <v>173072</v>
      </c>
      <c r="E17" s="16">
        <v>1864.25</v>
      </c>
      <c r="F17" s="17">
        <v>1.52E-2</v>
      </c>
      <c r="G17" s="17"/>
    </row>
    <row r="18" spans="1:7" x14ac:dyDescent="0.35">
      <c r="A18" s="13" t="s">
        <v>1399</v>
      </c>
      <c r="B18" s="41" t="s">
        <v>1400</v>
      </c>
      <c r="C18" s="41" t="s">
        <v>1178</v>
      </c>
      <c r="D18" s="15">
        <v>182700</v>
      </c>
      <c r="E18" s="16">
        <v>1637.17</v>
      </c>
      <c r="F18" s="17">
        <v>1.34E-2</v>
      </c>
      <c r="G18" s="17"/>
    </row>
    <row r="19" spans="1:7" x14ac:dyDescent="0.35">
      <c r="A19" s="13" t="s">
        <v>1451</v>
      </c>
      <c r="B19" s="41" t="s">
        <v>1452</v>
      </c>
      <c r="C19" s="41" t="s">
        <v>1224</v>
      </c>
      <c r="D19" s="15">
        <v>283500</v>
      </c>
      <c r="E19" s="16">
        <v>1446.28</v>
      </c>
      <c r="F19" s="17">
        <v>1.18E-2</v>
      </c>
      <c r="G19" s="17"/>
    </row>
    <row r="20" spans="1:7" x14ac:dyDescent="0.35">
      <c r="A20" s="13" t="s">
        <v>1396</v>
      </c>
      <c r="B20" s="41" t="s">
        <v>1397</v>
      </c>
      <c r="C20" s="41" t="s">
        <v>1398</v>
      </c>
      <c r="D20" s="15">
        <v>99750</v>
      </c>
      <c r="E20" s="16">
        <v>1416.25</v>
      </c>
      <c r="F20" s="17">
        <v>1.1599999999999999E-2</v>
      </c>
      <c r="G20" s="17"/>
    </row>
    <row r="21" spans="1:7" x14ac:dyDescent="0.35">
      <c r="A21" s="13" t="s">
        <v>1264</v>
      </c>
      <c r="B21" s="41" t="s">
        <v>1265</v>
      </c>
      <c r="C21" s="41" t="s">
        <v>1266</v>
      </c>
      <c r="D21" s="15">
        <v>458325</v>
      </c>
      <c r="E21" s="16">
        <v>1253.98</v>
      </c>
      <c r="F21" s="17">
        <v>1.03E-2</v>
      </c>
      <c r="G21" s="17"/>
    </row>
    <row r="22" spans="1:7" x14ac:dyDescent="0.35">
      <c r="A22" s="13" t="s">
        <v>1278</v>
      </c>
      <c r="B22" s="41" t="s">
        <v>1279</v>
      </c>
      <c r="C22" s="41" t="s">
        <v>1280</v>
      </c>
      <c r="D22" s="15">
        <v>48125</v>
      </c>
      <c r="E22" s="16">
        <v>1216.5999999999999</v>
      </c>
      <c r="F22" s="17">
        <v>9.9000000000000008E-3</v>
      </c>
      <c r="G22" s="17"/>
    </row>
    <row r="23" spans="1:7" x14ac:dyDescent="0.35">
      <c r="A23" s="13" t="s">
        <v>1318</v>
      </c>
      <c r="B23" s="41" t="s">
        <v>1319</v>
      </c>
      <c r="C23" s="41" t="s">
        <v>1178</v>
      </c>
      <c r="D23" s="15">
        <v>370566</v>
      </c>
      <c r="E23" s="16">
        <v>1107.07</v>
      </c>
      <c r="F23" s="17">
        <v>9.1000000000000004E-3</v>
      </c>
      <c r="G23" s="17"/>
    </row>
    <row r="24" spans="1:7" x14ac:dyDescent="0.35">
      <c r="A24" s="13" t="s">
        <v>1388</v>
      </c>
      <c r="B24" s="41" t="s">
        <v>1389</v>
      </c>
      <c r="C24" s="41" t="s">
        <v>1211</v>
      </c>
      <c r="D24" s="15">
        <v>360000</v>
      </c>
      <c r="E24" s="16">
        <v>1024.74</v>
      </c>
      <c r="F24" s="17">
        <v>8.3999999999999995E-3</v>
      </c>
      <c r="G24" s="17"/>
    </row>
    <row r="25" spans="1:7" x14ac:dyDescent="0.35">
      <c r="A25" s="13" t="s">
        <v>1343</v>
      </c>
      <c r="B25" s="41" t="s">
        <v>1344</v>
      </c>
      <c r="C25" s="41" t="s">
        <v>1345</v>
      </c>
      <c r="D25" s="15">
        <v>21406</v>
      </c>
      <c r="E25" s="16">
        <v>983.93</v>
      </c>
      <c r="F25" s="17">
        <v>8.0000000000000002E-3</v>
      </c>
      <c r="G25" s="17"/>
    </row>
    <row r="26" spans="1:7" x14ac:dyDescent="0.35">
      <c r="A26" s="13" t="s">
        <v>1925</v>
      </c>
      <c r="B26" s="41" t="s">
        <v>1926</v>
      </c>
      <c r="C26" s="41" t="s">
        <v>1419</v>
      </c>
      <c r="D26" s="15">
        <v>232500</v>
      </c>
      <c r="E26" s="16">
        <v>896.17</v>
      </c>
      <c r="F26" s="17">
        <v>7.3000000000000001E-3</v>
      </c>
      <c r="G26" s="17"/>
    </row>
    <row r="27" spans="1:7" x14ac:dyDescent="0.35">
      <c r="A27" s="13" t="s">
        <v>2167</v>
      </c>
      <c r="B27" s="41" t="s">
        <v>2168</v>
      </c>
      <c r="C27" s="41" t="s">
        <v>1288</v>
      </c>
      <c r="D27" s="15">
        <v>497215</v>
      </c>
      <c r="E27" s="16">
        <v>894.84</v>
      </c>
      <c r="F27" s="17">
        <v>7.3000000000000001E-3</v>
      </c>
      <c r="G27" s="17"/>
    </row>
    <row r="28" spans="1:7" x14ac:dyDescent="0.35">
      <c r="A28" s="13" t="s">
        <v>2169</v>
      </c>
      <c r="B28" s="41" t="s">
        <v>2170</v>
      </c>
      <c r="C28" s="41" t="s">
        <v>1211</v>
      </c>
      <c r="D28" s="15">
        <v>179991</v>
      </c>
      <c r="E28" s="16">
        <v>884.3</v>
      </c>
      <c r="F28" s="17">
        <v>7.1999999999999998E-3</v>
      </c>
      <c r="G28" s="17"/>
    </row>
    <row r="29" spans="1:7" x14ac:dyDescent="0.35">
      <c r="A29" s="13" t="s">
        <v>1385</v>
      </c>
      <c r="B29" s="41" t="s">
        <v>1386</v>
      </c>
      <c r="C29" s="41" t="s">
        <v>1387</v>
      </c>
      <c r="D29" s="15">
        <v>22050</v>
      </c>
      <c r="E29" s="16">
        <v>867.07</v>
      </c>
      <c r="F29" s="17">
        <v>7.1000000000000004E-3</v>
      </c>
      <c r="G29" s="17"/>
    </row>
    <row r="30" spans="1:7" x14ac:dyDescent="0.35">
      <c r="A30" s="13" t="s">
        <v>1243</v>
      </c>
      <c r="B30" s="41" t="s">
        <v>1244</v>
      </c>
      <c r="C30" s="41" t="s">
        <v>1224</v>
      </c>
      <c r="D30" s="15">
        <v>30750</v>
      </c>
      <c r="E30" s="16">
        <v>866.84</v>
      </c>
      <c r="F30" s="17">
        <v>7.1000000000000004E-3</v>
      </c>
      <c r="G30" s="17"/>
    </row>
    <row r="31" spans="1:7" x14ac:dyDescent="0.35">
      <c r="A31" s="13" t="s">
        <v>1952</v>
      </c>
      <c r="B31" s="41" t="s">
        <v>1953</v>
      </c>
      <c r="C31" s="41" t="s">
        <v>1266</v>
      </c>
      <c r="D31" s="15">
        <v>266666</v>
      </c>
      <c r="E31" s="16">
        <v>826</v>
      </c>
      <c r="F31" s="17">
        <v>6.7999999999999996E-3</v>
      </c>
      <c r="G31" s="17"/>
    </row>
    <row r="32" spans="1:7" x14ac:dyDescent="0.35">
      <c r="A32" s="13" t="s">
        <v>1295</v>
      </c>
      <c r="B32" s="41" t="s">
        <v>1296</v>
      </c>
      <c r="C32" s="41" t="s">
        <v>1188</v>
      </c>
      <c r="D32" s="15">
        <v>23509</v>
      </c>
      <c r="E32" s="16">
        <v>806.78</v>
      </c>
      <c r="F32" s="17">
        <v>6.6E-3</v>
      </c>
      <c r="G32" s="17"/>
    </row>
    <row r="33" spans="1:7" x14ac:dyDescent="0.35">
      <c r="A33" s="13" t="s">
        <v>1276</v>
      </c>
      <c r="B33" s="41" t="s">
        <v>1277</v>
      </c>
      <c r="C33" s="41" t="s">
        <v>1261</v>
      </c>
      <c r="D33" s="15">
        <v>521700</v>
      </c>
      <c r="E33" s="16">
        <v>788.45</v>
      </c>
      <c r="F33" s="17">
        <v>6.4000000000000003E-3</v>
      </c>
      <c r="G33" s="17"/>
    </row>
    <row r="34" spans="1:7" x14ac:dyDescent="0.35">
      <c r="A34" s="13" t="s">
        <v>1273</v>
      </c>
      <c r="B34" s="41" t="s">
        <v>1274</v>
      </c>
      <c r="C34" s="41" t="s">
        <v>1275</v>
      </c>
      <c r="D34" s="15">
        <v>240967</v>
      </c>
      <c r="E34" s="16">
        <v>776.28</v>
      </c>
      <c r="F34" s="17">
        <v>6.3E-3</v>
      </c>
      <c r="G34" s="17"/>
    </row>
    <row r="35" spans="1:7" x14ac:dyDescent="0.35">
      <c r="A35" s="13" t="s">
        <v>2171</v>
      </c>
      <c r="B35" s="41" t="s">
        <v>2172</v>
      </c>
      <c r="C35" s="41" t="s">
        <v>1369</v>
      </c>
      <c r="D35" s="15">
        <v>318000</v>
      </c>
      <c r="E35" s="16">
        <v>753.34</v>
      </c>
      <c r="F35" s="17">
        <v>6.1999999999999998E-3</v>
      </c>
      <c r="G35" s="17"/>
    </row>
    <row r="36" spans="1:7" x14ac:dyDescent="0.35">
      <c r="A36" s="13" t="s">
        <v>2173</v>
      </c>
      <c r="B36" s="41" t="s">
        <v>2174</v>
      </c>
      <c r="C36" s="41" t="s">
        <v>1345</v>
      </c>
      <c r="D36" s="15">
        <v>645240</v>
      </c>
      <c r="E36" s="16">
        <v>687.95</v>
      </c>
      <c r="F36" s="17">
        <v>5.5999999999999999E-3</v>
      </c>
      <c r="G36" s="17"/>
    </row>
    <row r="37" spans="1:7" x14ac:dyDescent="0.35">
      <c r="A37" s="13" t="s">
        <v>1222</v>
      </c>
      <c r="B37" s="41" t="s">
        <v>1223</v>
      </c>
      <c r="C37" s="41" t="s">
        <v>1224</v>
      </c>
      <c r="D37" s="15">
        <v>5306</v>
      </c>
      <c r="E37" s="16">
        <v>673.54</v>
      </c>
      <c r="F37" s="17">
        <v>5.4999999999999997E-3</v>
      </c>
      <c r="G37" s="17"/>
    </row>
    <row r="38" spans="1:7" x14ac:dyDescent="0.35">
      <c r="A38" s="13" t="s">
        <v>1209</v>
      </c>
      <c r="B38" s="41" t="s">
        <v>1210</v>
      </c>
      <c r="C38" s="41" t="s">
        <v>1211</v>
      </c>
      <c r="D38" s="15">
        <v>71970</v>
      </c>
      <c r="E38" s="16">
        <v>669.21</v>
      </c>
      <c r="F38" s="17">
        <v>5.4999999999999997E-3</v>
      </c>
      <c r="G38" s="17"/>
    </row>
    <row r="39" spans="1:7" x14ac:dyDescent="0.35">
      <c r="A39" s="13" t="s">
        <v>1270</v>
      </c>
      <c r="B39" s="41" t="s">
        <v>1271</v>
      </c>
      <c r="C39" s="41" t="s">
        <v>1272</v>
      </c>
      <c r="D39" s="15">
        <v>823500</v>
      </c>
      <c r="E39" s="16">
        <v>668.76</v>
      </c>
      <c r="F39" s="17">
        <v>5.4999999999999997E-3</v>
      </c>
      <c r="G39" s="17"/>
    </row>
    <row r="40" spans="1:7" x14ac:dyDescent="0.35">
      <c r="A40" s="13" t="s">
        <v>1522</v>
      </c>
      <c r="B40" s="41" t="s">
        <v>1523</v>
      </c>
      <c r="C40" s="41" t="s">
        <v>1324</v>
      </c>
      <c r="D40" s="15">
        <v>43750</v>
      </c>
      <c r="E40" s="16">
        <v>652.27</v>
      </c>
      <c r="F40" s="17">
        <v>5.3E-3</v>
      </c>
      <c r="G40" s="17"/>
    </row>
    <row r="41" spans="1:7" x14ac:dyDescent="0.35">
      <c r="A41" s="13" t="s">
        <v>1267</v>
      </c>
      <c r="B41" s="41" t="s">
        <v>1268</v>
      </c>
      <c r="C41" s="41" t="s">
        <v>1269</v>
      </c>
      <c r="D41" s="15">
        <v>94300</v>
      </c>
      <c r="E41" s="16">
        <v>642.70000000000005</v>
      </c>
      <c r="F41" s="17">
        <v>5.3E-3</v>
      </c>
      <c r="G41" s="17"/>
    </row>
    <row r="42" spans="1:7" x14ac:dyDescent="0.35">
      <c r="A42" s="13" t="s">
        <v>1545</v>
      </c>
      <c r="B42" s="41" t="s">
        <v>1546</v>
      </c>
      <c r="C42" s="41" t="s">
        <v>1436</v>
      </c>
      <c r="D42" s="15">
        <v>18000</v>
      </c>
      <c r="E42" s="16">
        <v>625.57000000000005</v>
      </c>
      <c r="F42" s="17">
        <v>5.1000000000000004E-3</v>
      </c>
      <c r="G42" s="17"/>
    </row>
    <row r="43" spans="1:7" x14ac:dyDescent="0.35">
      <c r="A43" s="13" t="s">
        <v>1478</v>
      </c>
      <c r="B43" s="41" t="s">
        <v>1479</v>
      </c>
      <c r="C43" s="41" t="s">
        <v>1369</v>
      </c>
      <c r="D43" s="15">
        <v>19550</v>
      </c>
      <c r="E43" s="16">
        <v>610.72</v>
      </c>
      <c r="F43" s="17">
        <v>5.0000000000000001E-3</v>
      </c>
      <c r="G43" s="17"/>
    </row>
    <row r="44" spans="1:7" x14ac:dyDescent="0.35">
      <c r="A44" s="13" t="s">
        <v>1351</v>
      </c>
      <c r="B44" s="41" t="s">
        <v>1352</v>
      </c>
      <c r="C44" s="41" t="s">
        <v>1305</v>
      </c>
      <c r="D44" s="15">
        <v>168889</v>
      </c>
      <c r="E44" s="16">
        <v>601.24</v>
      </c>
      <c r="F44" s="17">
        <v>4.8999999999999998E-3</v>
      </c>
      <c r="G44" s="17"/>
    </row>
    <row r="45" spans="1:7" x14ac:dyDescent="0.35">
      <c r="A45" s="13" t="s">
        <v>1367</v>
      </c>
      <c r="B45" s="41" t="s">
        <v>1368</v>
      </c>
      <c r="C45" s="41" t="s">
        <v>1369</v>
      </c>
      <c r="D45" s="15">
        <v>36145</v>
      </c>
      <c r="E45" s="16">
        <v>593.14</v>
      </c>
      <c r="F45" s="17">
        <v>4.7999999999999996E-3</v>
      </c>
      <c r="G45" s="17"/>
    </row>
    <row r="46" spans="1:7" x14ac:dyDescent="0.35">
      <c r="A46" s="13" t="s">
        <v>1472</v>
      </c>
      <c r="B46" s="41" t="s">
        <v>1473</v>
      </c>
      <c r="C46" s="41" t="s">
        <v>1419</v>
      </c>
      <c r="D46" s="15">
        <v>60816</v>
      </c>
      <c r="E46" s="16">
        <v>585.41</v>
      </c>
      <c r="F46" s="17">
        <v>4.7999999999999996E-3</v>
      </c>
      <c r="G46" s="17"/>
    </row>
    <row r="47" spans="1:7" x14ac:dyDescent="0.35">
      <c r="A47" s="13" t="s">
        <v>1259</v>
      </c>
      <c r="B47" s="41" t="s">
        <v>1260</v>
      </c>
      <c r="C47" s="41" t="s">
        <v>1261</v>
      </c>
      <c r="D47" s="15">
        <v>47925</v>
      </c>
      <c r="E47" s="16">
        <v>582</v>
      </c>
      <c r="F47" s="17">
        <v>4.7999999999999996E-3</v>
      </c>
      <c r="G47" s="17"/>
    </row>
    <row r="48" spans="1:7" x14ac:dyDescent="0.35">
      <c r="A48" s="13" t="s">
        <v>2175</v>
      </c>
      <c r="B48" s="41" t="s">
        <v>2176</v>
      </c>
      <c r="C48" s="41" t="s">
        <v>1382</v>
      </c>
      <c r="D48" s="15">
        <v>15000</v>
      </c>
      <c r="E48" s="16">
        <v>564.27</v>
      </c>
      <c r="F48" s="17">
        <v>4.5999999999999999E-3</v>
      </c>
      <c r="G48" s="17"/>
    </row>
    <row r="49" spans="1:7" x14ac:dyDescent="0.35">
      <c r="A49" s="13" t="s">
        <v>1237</v>
      </c>
      <c r="B49" s="41" t="s">
        <v>1238</v>
      </c>
      <c r="C49" s="41" t="s">
        <v>1234</v>
      </c>
      <c r="D49" s="15">
        <v>34025</v>
      </c>
      <c r="E49" s="16">
        <v>542.79999999999995</v>
      </c>
      <c r="F49" s="17">
        <v>4.4000000000000003E-3</v>
      </c>
      <c r="G49" s="17"/>
    </row>
    <row r="50" spans="1:7" x14ac:dyDescent="0.35">
      <c r="A50" s="13" t="s">
        <v>2177</v>
      </c>
      <c r="B50" s="41" t="s">
        <v>2178</v>
      </c>
      <c r="C50" s="41" t="s">
        <v>1285</v>
      </c>
      <c r="D50" s="15">
        <v>397080</v>
      </c>
      <c r="E50" s="16">
        <v>537.57000000000005</v>
      </c>
      <c r="F50" s="17">
        <v>4.4000000000000003E-3</v>
      </c>
      <c r="G50" s="17"/>
    </row>
    <row r="51" spans="1:7" x14ac:dyDescent="0.35">
      <c r="A51" s="13" t="s">
        <v>1457</v>
      </c>
      <c r="B51" s="41" t="s">
        <v>1458</v>
      </c>
      <c r="C51" s="41" t="s">
        <v>1185</v>
      </c>
      <c r="D51" s="15">
        <v>62839</v>
      </c>
      <c r="E51" s="16">
        <v>518.11</v>
      </c>
      <c r="F51" s="17">
        <v>4.1999999999999997E-3</v>
      </c>
      <c r="G51" s="17"/>
    </row>
    <row r="52" spans="1:7" x14ac:dyDescent="0.35">
      <c r="A52" s="13" t="s">
        <v>2160</v>
      </c>
      <c r="B52" s="41" t="s">
        <v>2161</v>
      </c>
      <c r="C52" s="41" t="s">
        <v>1201</v>
      </c>
      <c r="D52" s="15">
        <v>282036</v>
      </c>
      <c r="E52" s="16">
        <v>514.01</v>
      </c>
      <c r="F52" s="17">
        <v>4.1999999999999997E-3</v>
      </c>
      <c r="G52" s="17"/>
    </row>
    <row r="53" spans="1:7" x14ac:dyDescent="0.35">
      <c r="A53" s="13" t="s">
        <v>1518</v>
      </c>
      <c r="B53" s="41" t="s">
        <v>1519</v>
      </c>
      <c r="C53" s="41" t="s">
        <v>1305</v>
      </c>
      <c r="D53" s="15">
        <v>134850</v>
      </c>
      <c r="E53" s="16">
        <v>493.96</v>
      </c>
      <c r="F53" s="17">
        <v>4.0000000000000001E-3</v>
      </c>
      <c r="G53" s="17"/>
    </row>
    <row r="54" spans="1:7" x14ac:dyDescent="0.35">
      <c r="A54" s="13" t="s">
        <v>1394</v>
      </c>
      <c r="B54" s="41" t="s">
        <v>1395</v>
      </c>
      <c r="C54" s="41" t="s">
        <v>1369</v>
      </c>
      <c r="D54" s="15">
        <v>26967</v>
      </c>
      <c r="E54" s="16">
        <v>470.06</v>
      </c>
      <c r="F54" s="17">
        <v>3.8E-3</v>
      </c>
      <c r="G54" s="17"/>
    </row>
    <row r="55" spans="1:7" x14ac:dyDescent="0.35">
      <c r="A55" s="13" t="s">
        <v>1845</v>
      </c>
      <c r="B55" s="41" t="s">
        <v>1846</v>
      </c>
      <c r="C55" s="41" t="s">
        <v>1324</v>
      </c>
      <c r="D55" s="15">
        <v>132702</v>
      </c>
      <c r="E55" s="16">
        <v>468.33</v>
      </c>
      <c r="F55" s="17">
        <v>3.8E-3</v>
      </c>
      <c r="G55" s="17"/>
    </row>
    <row r="56" spans="1:7" x14ac:dyDescent="0.35">
      <c r="A56" s="13" t="s">
        <v>2055</v>
      </c>
      <c r="B56" s="41" t="s">
        <v>2056</v>
      </c>
      <c r="C56" s="41" t="s">
        <v>1234</v>
      </c>
      <c r="D56" s="15">
        <v>3500</v>
      </c>
      <c r="E56" s="16">
        <v>463.79</v>
      </c>
      <c r="F56" s="17">
        <v>3.8E-3</v>
      </c>
      <c r="G56" s="17"/>
    </row>
    <row r="57" spans="1:7" x14ac:dyDescent="0.35">
      <c r="A57" s="13" t="s">
        <v>1235</v>
      </c>
      <c r="B57" s="41" t="s">
        <v>1236</v>
      </c>
      <c r="C57" s="41" t="s">
        <v>1178</v>
      </c>
      <c r="D57" s="15">
        <v>108000</v>
      </c>
      <c r="E57" s="16">
        <v>440.64</v>
      </c>
      <c r="F57" s="17">
        <v>3.5999999999999999E-3</v>
      </c>
      <c r="G57" s="17"/>
    </row>
    <row r="58" spans="1:7" x14ac:dyDescent="0.35">
      <c r="A58" s="13" t="s">
        <v>1199</v>
      </c>
      <c r="B58" s="41" t="s">
        <v>1200</v>
      </c>
      <c r="C58" s="41" t="s">
        <v>1201</v>
      </c>
      <c r="D58" s="15">
        <v>10858</v>
      </c>
      <c r="E58" s="16">
        <v>431.87</v>
      </c>
      <c r="F58" s="17">
        <v>3.5000000000000001E-3</v>
      </c>
      <c r="G58" s="17"/>
    </row>
    <row r="59" spans="1:7" x14ac:dyDescent="0.35">
      <c r="A59" s="13" t="s">
        <v>1289</v>
      </c>
      <c r="B59" s="41" t="s">
        <v>1290</v>
      </c>
      <c r="C59" s="41" t="s">
        <v>1285</v>
      </c>
      <c r="D59" s="15">
        <v>94167</v>
      </c>
      <c r="E59" s="16">
        <v>422.81</v>
      </c>
      <c r="F59" s="17">
        <v>3.5000000000000001E-3</v>
      </c>
      <c r="G59" s="17"/>
    </row>
    <row r="60" spans="1:7" x14ac:dyDescent="0.35">
      <c r="A60" s="13" t="s">
        <v>2035</v>
      </c>
      <c r="B60" s="41" t="s">
        <v>2036</v>
      </c>
      <c r="C60" s="41" t="s">
        <v>1382</v>
      </c>
      <c r="D60" s="15">
        <v>45000</v>
      </c>
      <c r="E60" s="16">
        <v>420.03</v>
      </c>
      <c r="F60" s="17">
        <v>3.3999999999999998E-3</v>
      </c>
      <c r="G60" s="17"/>
    </row>
    <row r="61" spans="1:7" x14ac:dyDescent="0.35">
      <c r="A61" s="13" t="s">
        <v>1283</v>
      </c>
      <c r="B61" s="41" t="s">
        <v>1284</v>
      </c>
      <c r="C61" s="41" t="s">
        <v>1285</v>
      </c>
      <c r="D61" s="15">
        <v>9000</v>
      </c>
      <c r="E61" s="16">
        <v>415.75</v>
      </c>
      <c r="F61" s="17">
        <v>3.3999999999999998E-3</v>
      </c>
      <c r="G61" s="17"/>
    </row>
    <row r="62" spans="1:7" x14ac:dyDescent="0.35">
      <c r="A62" s="13" t="s">
        <v>2179</v>
      </c>
      <c r="B62" s="41" t="s">
        <v>2180</v>
      </c>
      <c r="C62" s="41" t="s">
        <v>1234</v>
      </c>
      <c r="D62" s="15">
        <v>67595</v>
      </c>
      <c r="E62" s="16">
        <v>411.75</v>
      </c>
      <c r="F62" s="17">
        <v>3.3999999999999998E-3</v>
      </c>
      <c r="G62" s="17"/>
    </row>
    <row r="63" spans="1:7" x14ac:dyDescent="0.35">
      <c r="A63" s="13" t="s">
        <v>1297</v>
      </c>
      <c r="B63" s="41" t="s">
        <v>1298</v>
      </c>
      <c r="C63" s="41" t="s">
        <v>1198</v>
      </c>
      <c r="D63" s="15">
        <v>90404</v>
      </c>
      <c r="E63" s="16">
        <v>401.66</v>
      </c>
      <c r="F63" s="17">
        <v>3.3E-3</v>
      </c>
      <c r="G63" s="17"/>
    </row>
    <row r="64" spans="1:7" x14ac:dyDescent="0.35">
      <c r="A64" s="13" t="s">
        <v>1314</v>
      </c>
      <c r="B64" s="41" t="s">
        <v>1315</v>
      </c>
      <c r="C64" s="41" t="s">
        <v>1211</v>
      </c>
      <c r="D64" s="15">
        <v>37693</v>
      </c>
      <c r="E64" s="16">
        <v>384.47</v>
      </c>
      <c r="F64" s="17">
        <v>3.0999999999999999E-3</v>
      </c>
      <c r="G64" s="17"/>
    </row>
    <row r="65" spans="1:7" x14ac:dyDescent="0.35">
      <c r="A65" s="13" t="s">
        <v>1449</v>
      </c>
      <c r="B65" s="41" t="s">
        <v>1450</v>
      </c>
      <c r="C65" s="41" t="s">
        <v>1229</v>
      </c>
      <c r="D65" s="15">
        <v>39900</v>
      </c>
      <c r="E65" s="16">
        <v>381.76</v>
      </c>
      <c r="F65" s="17">
        <v>3.0999999999999999E-3</v>
      </c>
      <c r="G65" s="17"/>
    </row>
    <row r="66" spans="1:7" x14ac:dyDescent="0.35">
      <c r="A66" s="13" t="s">
        <v>1186</v>
      </c>
      <c r="B66" s="41" t="s">
        <v>1187</v>
      </c>
      <c r="C66" s="41" t="s">
        <v>1188</v>
      </c>
      <c r="D66" s="15">
        <v>2561</v>
      </c>
      <c r="E66" s="16">
        <v>373.88</v>
      </c>
      <c r="F66" s="17">
        <v>3.0999999999999999E-3</v>
      </c>
      <c r="G66" s="17"/>
    </row>
    <row r="67" spans="1:7" x14ac:dyDescent="0.35">
      <c r="A67" s="13" t="s">
        <v>1286</v>
      </c>
      <c r="B67" s="41" t="s">
        <v>1287</v>
      </c>
      <c r="C67" s="41" t="s">
        <v>1288</v>
      </c>
      <c r="D67" s="15">
        <v>5194</v>
      </c>
      <c r="E67" s="16">
        <v>364.28</v>
      </c>
      <c r="F67" s="17">
        <v>3.0000000000000001E-3</v>
      </c>
      <c r="G67" s="17"/>
    </row>
    <row r="68" spans="1:7" x14ac:dyDescent="0.35">
      <c r="A68" s="13" t="s">
        <v>1281</v>
      </c>
      <c r="B68" s="41" t="s">
        <v>1282</v>
      </c>
      <c r="C68" s="41" t="s">
        <v>1234</v>
      </c>
      <c r="D68" s="15">
        <v>18046</v>
      </c>
      <c r="E68" s="16">
        <v>363.79</v>
      </c>
      <c r="F68" s="17">
        <v>3.0000000000000001E-3</v>
      </c>
      <c r="G68" s="17"/>
    </row>
    <row r="69" spans="1:7" x14ac:dyDescent="0.35">
      <c r="A69" s="13" t="s">
        <v>1420</v>
      </c>
      <c r="B69" s="41" t="s">
        <v>1421</v>
      </c>
      <c r="C69" s="41" t="s">
        <v>1178</v>
      </c>
      <c r="D69" s="15">
        <v>200000</v>
      </c>
      <c r="E69" s="16">
        <v>361.52</v>
      </c>
      <c r="F69" s="17">
        <v>3.0000000000000001E-3</v>
      </c>
      <c r="G69" s="17"/>
    </row>
    <row r="70" spans="1:7" x14ac:dyDescent="0.35">
      <c r="A70" s="13" t="s">
        <v>2181</v>
      </c>
      <c r="B70" s="41" t="s">
        <v>2182</v>
      </c>
      <c r="C70" s="41" t="s">
        <v>1324</v>
      </c>
      <c r="D70" s="15">
        <v>70000</v>
      </c>
      <c r="E70" s="16">
        <v>353.01</v>
      </c>
      <c r="F70" s="17">
        <v>2.8999999999999998E-3</v>
      </c>
      <c r="G70" s="17"/>
    </row>
    <row r="71" spans="1:7" x14ac:dyDescent="0.35">
      <c r="A71" s="13" t="s">
        <v>1541</v>
      </c>
      <c r="B71" s="41" t="s">
        <v>1542</v>
      </c>
      <c r="C71" s="41" t="s">
        <v>1280</v>
      </c>
      <c r="D71" s="15">
        <v>25933</v>
      </c>
      <c r="E71" s="16">
        <v>342.37</v>
      </c>
      <c r="F71" s="17">
        <v>2.8E-3</v>
      </c>
      <c r="G71" s="17"/>
    </row>
    <row r="72" spans="1:7" x14ac:dyDescent="0.35">
      <c r="A72" s="13" t="s">
        <v>1356</v>
      </c>
      <c r="B72" s="41" t="s">
        <v>1357</v>
      </c>
      <c r="C72" s="41" t="s">
        <v>1288</v>
      </c>
      <c r="D72" s="15">
        <v>15953</v>
      </c>
      <c r="E72" s="16">
        <v>326.35000000000002</v>
      </c>
      <c r="F72" s="17">
        <v>2.7000000000000001E-3</v>
      </c>
      <c r="G72" s="17"/>
    </row>
    <row r="73" spans="1:7" x14ac:dyDescent="0.35">
      <c r="A73" s="13" t="s">
        <v>1818</v>
      </c>
      <c r="B73" s="41" t="s">
        <v>1819</v>
      </c>
      <c r="C73" s="41" t="s">
        <v>1382</v>
      </c>
      <c r="D73" s="15">
        <v>8841</v>
      </c>
      <c r="E73" s="16">
        <v>320.23</v>
      </c>
      <c r="F73" s="17">
        <v>2.5999999999999999E-3</v>
      </c>
      <c r="G73" s="17"/>
    </row>
    <row r="74" spans="1:7" x14ac:dyDescent="0.35">
      <c r="A74" s="13" t="s">
        <v>2071</v>
      </c>
      <c r="B74" s="41" t="s">
        <v>2072</v>
      </c>
      <c r="C74" s="41" t="s">
        <v>1221</v>
      </c>
      <c r="D74" s="15">
        <v>31113</v>
      </c>
      <c r="E74" s="16">
        <v>311.75</v>
      </c>
      <c r="F74" s="17">
        <v>2.5000000000000001E-3</v>
      </c>
      <c r="G74" s="17"/>
    </row>
    <row r="75" spans="1:7" x14ac:dyDescent="0.35">
      <c r="A75" s="13" t="s">
        <v>1798</v>
      </c>
      <c r="B75" s="41" t="s">
        <v>1799</v>
      </c>
      <c r="C75" s="41" t="s">
        <v>1333</v>
      </c>
      <c r="D75" s="15">
        <v>9607</v>
      </c>
      <c r="E75" s="16">
        <v>310.33</v>
      </c>
      <c r="F75" s="17">
        <v>2.5000000000000001E-3</v>
      </c>
      <c r="G75" s="17"/>
    </row>
    <row r="76" spans="1:7" x14ac:dyDescent="0.35">
      <c r="A76" s="13" t="s">
        <v>1227</v>
      </c>
      <c r="B76" s="41" t="s">
        <v>1228</v>
      </c>
      <c r="C76" s="41" t="s">
        <v>1229</v>
      </c>
      <c r="D76" s="15">
        <v>4433</v>
      </c>
      <c r="E76" s="16">
        <v>308.56</v>
      </c>
      <c r="F76" s="17">
        <v>2.5000000000000001E-3</v>
      </c>
      <c r="G76" s="17"/>
    </row>
    <row r="77" spans="1:7" x14ac:dyDescent="0.35">
      <c r="A77" s="13" t="s">
        <v>1202</v>
      </c>
      <c r="B77" s="41" t="s">
        <v>1203</v>
      </c>
      <c r="C77" s="41" t="s">
        <v>1178</v>
      </c>
      <c r="D77" s="15">
        <v>104446</v>
      </c>
      <c r="E77" s="16">
        <v>300.54000000000002</v>
      </c>
      <c r="F77" s="17">
        <v>2.5000000000000001E-3</v>
      </c>
      <c r="G77" s="17"/>
    </row>
    <row r="78" spans="1:7" x14ac:dyDescent="0.35">
      <c r="A78" s="13" t="s">
        <v>1426</v>
      </c>
      <c r="B78" s="41" t="s">
        <v>1427</v>
      </c>
      <c r="C78" s="41" t="s">
        <v>1178</v>
      </c>
      <c r="D78" s="15">
        <v>30425</v>
      </c>
      <c r="E78" s="16">
        <v>298.88</v>
      </c>
      <c r="F78" s="17">
        <v>2.3999999999999998E-3</v>
      </c>
      <c r="G78" s="17"/>
    </row>
    <row r="79" spans="1:7" x14ac:dyDescent="0.35">
      <c r="A79" s="13" t="s">
        <v>1232</v>
      </c>
      <c r="B79" s="41" t="s">
        <v>1233</v>
      </c>
      <c r="C79" s="41" t="s">
        <v>1234</v>
      </c>
      <c r="D79" s="15">
        <v>7403</v>
      </c>
      <c r="E79" s="16">
        <v>293.22000000000003</v>
      </c>
      <c r="F79" s="17">
        <v>2.3999999999999998E-3</v>
      </c>
      <c r="G79" s="17"/>
    </row>
    <row r="80" spans="1:7" x14ac:dyDescent="0.35">
      <c r="A80" s="13" t="s">
        <v>1306</v>
      </c>
      <c r="B80" s="41" t="s">
        <v>1307</v>
      </c>
      <c r="C80" s="41" t="s">
        <v>1178</v>
      </c>
      <c r="D80" s="15">
        <v>1368400</v>
      </c>
      <c r="E80" s="16">
        <v>292.97000000000003</v>
      </c>
      <c r="F80" s="17">
        <v>2.3999999999999998E-3</v>
      </c>
      <c r="G80" s="17"/>
    </row>
    <row r="81" spans="1:7" x14ac:dyDescent="0.35">
      <c r="A81" s="13" t="s">
        <v>1508</v>
      </c>
      <c r="B81" s="41" t="s">
        <v>1509</v>
      </c>
      <c r="C81" s="41" t="s">
        <v>1188</v>
      </c>
      <c r="D81" s="15">
        <v>2968</v>
      </c>
      <c r="E81" s="16">
        <v>284.85000000000002</v>
      </c>
      <c r="F81" s="17">
        <v>2.3E-3</v>
      </c>
      <c r="G81" s="17"/>
    </row>
    <row r="82" spans="1:7" x14ac:dyDescent="0.35">
      <c r="A82" s="13" t="s">
        <v>1192</v>
      </c>
      <c r="B82" s="41" t="s">
        <v>1193</v>
      </c>
      <c r="C82" s="41" t="s">
        <v>1191</v>
      </c>
      <c r="D82" s="15">
        <v>4730</v>
      </c>
      <c r="E82" s="16">
        <v>277.2</v>
      </c>
      <c r="F82" s="17">
        <v>2.3E-3</v>
      </c>
      <c r="G82" s="17"/>
    </row>
    <row r="83" spans="1:7" x14ac:dyDescent="0.35">
      <c r="A83" s="13" t="s">
        <v>2156</v>
      </c>
      <c r="B83" s="41" t="s">
        <v>2157</v>
      </c>
      <c r="C83" s="41" t="s">
        <v>1436</v>
      </c>
      <c r="D83" s="15">
        <v>33593</v>
      </c>
      <c r="E83" s="16">
        <v>275.8</v>
      </c>
      <c r="F83" s="17">
        <v>2.3E-3</v>
      </c>
      <c r="G83" s="17"/>
    </row>
    <row r="84" spans="1:7" x14ac:dyDescent="0.35">
      <c r="A84" s="13" t="s">
        <v>1555</v>
      </c>
      <c r="B84" s="41" t="s">
        <v>1556</v>
      </c>
      <c r="C84" s="41" t="s">
        <v>1178</v>
      </c>
      <c r="D84" s="15">
        <v>30188</v>
      </c>
      <c r="E84" s="16">
        <v>275.22000000000003</v>
      </c>
      <c r="F84" s="17">
        <v>2.3E-3</v>
      </c>
      <c r="G84" s="17"/>
    </row>
    <row r="85" spans="1:7" x14ac:dyDescent="0.35">
      <c r="A85" s="13" t="s">
        <v>1543</v>
      </c>
      <c r="B85" s="41" t="s">
        <v>1544</v>
      </c>
      <c r="C85" s="41" t="s">
        <v>1206</v>
      </c>
      <c r="D85" s="15">
        <v>75402</v>
      </c>
      <c r="E85" s="16">
        <v>274.83999999999997</v>
      </c>
      <c r="F85" s="17">
        <v>2.2000000000000001E-3</v>
      </c>
      <c r="G85" s="17"/>
    </row>
    <row r="86" spans="1:7" x14ac:dyDescent="0.35">
      <c r="A86" s="13" t="s">
        <v>2183</v>
      </c>
      <c r="B86" s="41" t="s">
        <v>2184</v>
      </c>
      <c r="C86" s="41" t="s">
        <v>1234</v>
      </c>
      <c r="D86" s="15">
        <v>20468</v>
      </c>
      <c r="E86" s="16">
        <v>271</v>
      </c>
      <c r="F86" s="17">
        <v>2.2000000000000001E-3</v>
      </c>
      <c r="G86" s="17"/>
    </row>
    <row r="87" spans="1:7" x14ac:dyDescent="0.35">
      <c r="A87" s="13" t="s">
        <v>1392</v>
      </c>
      <c r="B87" s="41" t="s">
        <v>1393</v>
      </c>
      <c r="C87" s="41" t="s">
        <v>1369</v>
      </c>
      <c r="D87" s="15">
        <v>9775</v>
      </c>
      <c r="E87" s="16">
        <v>269.69</v>
      </c>
      <c r="F87" s="17">
        <v>2.2000000000000001E-3</v>
      </c>
      <c r="G87" s="17"/>
    </row>
    <row r="88" spans="1:7" x14ac:dyDescent="0.35">
      <c r="A88" s="13" t="s">
        <v>1230</v>
      </c>
      <c r="B88" s="41" t="s">
        <v>1231</v>
      </c>
      <c r="C88" s="41" t="s">
        <v>1211</v>
      </c>
      <c r="D88" s="15">
        <v>13148</v>
      </c>
      <c r="E88" s="16">
        <v>256.73</v>
      </c>
      <c r="F88" s="17">
        <v>2.0999999999999999E-3</v>
      </c>
      <c r="G88" s="17"/>
    </row>
    <row r="89" spans="1:7" x14ac:dyDescent="0.35">
      <c r="A89" s="13" t="s">
        <v>1239</v>
      </c>
      <c r="B89" s="41" t="s">
        <v>1240</v>
      </c>
      <c r="C89" s="41" t="s">
        <v>1234</v>
      </c>
      <c r="D89" s="15">
        <v>20848</v>
      </c>
      <c r="E89" s="16">
        <v>253.95</v>
      </c>
      <c r="F89" s="17">
        <v>2.0999999999999999E-3</v>
      </c>
      <c r="G89" s="17"/>
    </row>
    <row r="90" spans="1:7" x14ac:dyDescent="0.35">
      <c r="A90" s="13" t="s">
        <v>2185</v>
      </c>
      <c r="B90" s="41" t="s">
        <v>2186</v>
      </c>
      <c r="C90" s="41" t="s">
        <v>1211</v>
      </c>
      <c r="D90" s="15">
        <v>17226</v>
      </c>
      <c r="E90" s="16">
        <v>251.72</v>
      </c>
      <c r="F90" s="17">
        <v>2.0999999999999999E-3</v>
      </c>
      <c r="G90" s="17"/>
    </row>
    <row r="91" spans="1:7" x14ac:dyDescent="0.35">
      <c r="A91" s="13" t="s">
        <v>1291</v>
      </c>
      <c r="B91" s="41" t="s">
        <v>1292</v>
      </c>
      <c r="C91" s="41" t="s">
        <v>1206</v>
      </c>
      <c r="D91" s="15">
        <v>58725</v>
      </c>
      <c r="E91" s="16">
        <v>250.76</v>
      </c>
      <c r="F91" s="17">
        <v>2.0999999999999999E-3</v>
      </c>
      <c r="G91" s="17"/>
    </row>
    <row r="92" spans="1:7" x14ac:dyDescent="0.35">
      <c r="A92" s="13" t="s">
        <v>1941</v>
      </c>
      <c r="B92" s="41" t="s">
        <v>1942</v>
      </c>
      <c r="C92" s="41" t="s">
        <v>1198</v>
      </c>
      <c r="D92" s="15">
        <v>16118</v>
      </c>
      <c r="E92" s="16">
        <v>248.99</v>
      </c>
      <c r="F92" s="17">
        <v>2E-3</v>
      </c>
      <c r="G92" s="17"/>
    </row>
    <row r="93" spans="1:7" x14ac:dyDescent="0.35">
      <c r="A93" s="13" t="s">
        <v>1553</v>
      </c>
      <c r="B93" s="41" t="s">
        <v>1554</v>
      </c>
      <c r="C93" s="41" t="s">
        <v>1211</v>
      </c>
      <c r="D93" s="15">
        <v>6435</v>
      </c>
      <c r="E93" s="16">
        <v>246.43</v>
      </c>
      <c r="F93" s="17">
        <v>2E-3</v>
      </c>
      <c r="G93" s="17"/>
    </row>
    <row r="94" spans="1:7" x14ac:dyDescent="0.35">
      <c r="A94" s="13" t="s">
        <v>1502</v>
      </c>
      <c r="B94" s="41" t="s">
        <v>1503</v>
      </c>
      <c r="C94" s="41" t="s">
        <v>1369</v>
      </c>
      <c r="D94" s="15">
        <v>14360</v>
      </c>
      <c r="E94" s="16">
        <v>243.49</v>
      </c>
      <c r="F94" s="17">
        <v>2E-3</v>
      </c>
      <c r="G94" s="17"/>
    </row>
    <row r="95" spans="1:7" x14ac:dyDescent="0.35">
      <c r="A95" s="13" t="s">
        <v>1340</v>
      </c>
      <c r="B95" s="41" t="s">
        <v>2187</v>
      </c>
      <c r="C95" s="41" t="s">
        <v>1342</v>
      </c>
      <c r="D95" s="15">
        <v>12012</v>
      </c>
      <c r="E95" s="16">
        <v>242.69</v>
      </c>
      <c r="F95" s="17">
        <v>2E-3</v>
      </c>
      <c r="G95" s="17"/>
    </row>
    <row r="96" spans="1:7" x14ac:dyDescent="0.35">
      <c r="A96" s="13" t="s">
        <v>1346</v>
      </c>
      <c r="B96" s="41" t="s">
        <v>1347</v>
      </c>
      <c r="C96" s="41" t="s">
        <v>1333</v>
      </c>
      <c r="D96" s="15">
        <v>91875</v>
      </c>
      <c r="E96" s="16">
        <v>241.36</v>
      </c>
      <c r="F96" s="17">
        <v>2E-3</v>
      </c>
      <c r="G96" s="17"/>
    </row>
    <row r="97" spans="1:7" x14ac:dyDescent="0.35">
      <c r="A97" s="13" t="s">
        <v>1374</v>
      </c>
      <c r="B97" s="41" t="s">
        <v>1375</v>
      </c>
      <c r="C97" s="41" t="s">
        <v>1178</v>
      </c>
      <c r="D97" s="15">
        <v>78975</v>
      </c>
      <c r="E97" s="16">
        <v>236.45</v>
      </c>
      <c r="F97" s="17">
        <v>1.9E-3</v>
      </c>
      <c r="G97" s="17"/>
    </row>
    <row r="98" spans="1:7" x14ac:dyDescent="0.35">
      <c r="A98" s="13" t="s">
        <v>1498</v>
      </c>
      <c r="B98" s="41" t="s">
        <v>1499</v>
      </c>
      <c r="C98" s="41" t="s">
        <v>1333</v>
      </c>
      <c r="D98" s="15">
        <v>40384</v>
      </c>
      <c r="E98" s="16">
        <v>235.86</v>
      </c>
      <c r="F98" s="17">
        <v>1.9E-3</v>
      </c>
      <c r="G98" s="17"/>
    </row>
    <row r="99" spans="1:7" x14ac:dyDescent="0.35">
      <c r="A99" s="13" t="s">
        <v>1217</v>
      </c>
      <c r="B99" s="41" t="s">
        <v>1218</v>
      </c>
      <c r="C99" s="41" t="s">
        <v>1201</v>
      </c>
      <c r="D99" s="15">
        <v>9656</v>
      </c>
      <c r="E99" s="16">
        <v>234.48</v>
      </c>
      <c r="F99" s="17">
        <v>1.9E-3</v>
      </c>
      <c r="G99" s="17"/>
    </row>
    <row r="100" spans="1:7" x14ac:dyDescent="0.35">
      <c r="A100" s="13" t="s">
        <v>1814</v>
      </c>
      <c r="B100" s="41" t="s">
        <v>1815</v>
      </c>
      <c r="C100" s="41" t="s">
        <v>1234</v>
      </c>
      <c r="D100" s="15">
        <v>848</v>
      </c>
      <c r="E100" s="16">
        <v>233.75</v>
      </c>
      <c r="F100" s="17">
        <v>1.9E-3</v>
      </c>
      <c r="G100" s="17"/>
    </row>
    <row r="101" spans="1:7" x14ac:dyDescent="0.35">
      <c r="A101" s="13" t="s">
        <v>1960</v>
      </c>
      <c r="B101" s="41" t="s">
        <v>1961</v>
      </c>
      <c r="C101" s="41" t="s">
        <v>1412</v>
      </c>
      <c r="D101" s="15">
        <v>16487</v>
      </c>
      <c r="E101" s="16">
        <v>229.53</v>
      </c>
      <c r="F101" s="17">
        <v>1.9E-3</v>
      </c>
      <c r="G101" s="17"/>
    </row>
    <row r="102" spans="1:7" x14ac:dyDescent="0.35">
      <c r="A102" s="13" t="s">
        <v>2188</v>
      </c>
      <c r="B102" s="41" t="s">
        <v>2189</v>
      </c>
      <c r="C102" s="41" t="s">
        <v>1436</v>
      </c>
      <c r="D102" s="15">
        <v>16523</v>
      </c>
      <c r="E102" s="16">
        <v>228.35</v>
      </c>
      <c r="F102" s="17">
        <v>1.9E-3</v>
      </c>
      <c r="G102" s="17"/>
    </row>
    <row r="103" spans="1:7" x14ac:dyDescent="0.35">
      <c r="A103" s="13" t="s">
        <v>2190</v>
      </c>
      <c r="B103" s="41" t="s">
        <v>2191</v>
      </c>
      <c r="C103" s="41" t="s">
        <v>1526</v>
      </c>
      <c r="D103" s="15">
        <v>62220</v>
      </c>
      <c r="E103" s="16">
        <v>228.16</v>
      </c>
      <c r="F103" s="17">
        <v>1.9E-3</v>
      </c>
      <c r="G103" s="17"/>
    </row>
    <row r="104" spans="1:7" x14ac:dyDescent="0.35">
      <c r="A104" s="13" t="s">
        <v>1212</v>
      </c>
      <c r="B104" s="41" t="s">
        <v>1213</v>
      </c>
      <c r="C104" s="41" t="s">
        <v>1188</v>
      </c>
      <c r="D104" s="15">
        <v>5881</v>
      </c>
      <c r="E104" s="16">
        <v>216.27</v>
      </c>
      <c r="F104" s="17">
        <v>1.8E-3</v>
      </c>
      <c r="G104" s="17"/>
    </row>
    <row r="105" spans="1:7" x14ac:dyDescent="0.35">
      <c r="A105" s="13" t="s">
        <v>1219</v>
      </c>
      <c r="B105" s="41" t="s">
        <v>1220</v>
      </c>
      <c r="C105" s="41" t="s">
        <v>1221</v>
      </c>
      <c r="D105" s="15">
        <v>13940</v>
      </c>
      <c r="E105" s="16">
        <v>199.5</v>
      </c>
      <c r="F105" s="17">
        <v>1.6000000000000001E-3</v>
      </c>
      <c r="G105" s="17"/>
    </row>
    <row r="106" spans="1:7" x14ac:dyDescent="0.35">
      <c r="A106" s="13" t="s">
        <v>1415</v>
      </c>
      <c r="B106" s="41" t="s">
        <v>1416</v>
      </c>
      <c r="C106" s="41" t="s">
        <v>1398</v>
      </c>
      <c r="D106" s="15">
        <v>209250</v>
      </c>
      <c r="E106" s="16">
        <v>196.46</v>
      </c>
      <c r="F106" s="17">
        <v>1.6000000000000001E-3</v>
      </c>
      <c r="G106" s="17"/>
    </row>
    <row r="107" spans="1:7" x14ac:dyDescent="0.35">
      <c r="A107" s="13" t="s">
        <v>1484</v>
      </c>
      <c r="B107" s="41" t="s">
        <v>1485</v>
      </c>
      <c r="C107" s="41" t="s">
        <v>1201</v>
      </c>
      <c r="D107" s="15">
        <v>1860</v>
      </c>
      <c r="E107" s="16">
        <v>194.3</v>
      </c>
      <c r="F107" s="17">
        <v>1.6000000000000001E-3</v>
      </c>
      <c r="G107" s="17"/>
    </row>
    <row r="108" spans="1:7" x14ac:dyDescent="0.35">
      <c r="A108" s="13" t="s">
        <v>2192</v>
      </c>
      <c r="B108" s="41" t="s">
        <v>2193</v>
      </c>
      <c r="C108" s="41" t="s">
        <v>1412</v>
      </c>
      <c r="D108" s="15">
        <v>300000</v>
      </c>
      <c r="E108" s="16">
        <v>190.26</v>
      </c>
      <c r="F108" s="17">
        <v>1.6000000000000001E-3</v>
      </c>
      <c r="G108" s="17"/>
    </row>
    <row r="109" spans="1:7" x14ac:dyDescent="0.35">
      <c r="A109" s="13" t="s">
        <v>1547</v>
      </c>
      <c r="B109" s="41" t="s">
        <v>1548</v>
      </c>
      <c r="C109" s="41" t="s">
        <v>1369</v>
      </c>
      <c r="D109" s="15">
        <v>2910</v>
      </c>
      <c r="E109" s="16">
        <v>175.62</v>
      </c>
      <c r="F109" s="17">
        <v>1.4E-3</v>
      </c>
      <c r="G109" s="17"/>
    </row>
    <row r="110" spans="1:7" x14ac:dyDescent="0.35">
      <c r="A110" s="13" t="s">
        <v>1325</v>
      </c>
      <c r="B110" s="41" t="s">
        <v>1326</v>
      </c>
      <c r="C110" s="41" t="s">
        <v>1211</v>
      </c>
      <c r="D110" s="15">
        <v>45500</v>
      </c>
      <c r="E110" s="16">
        <v>172.6</v>
      </c>
      <c r="F110" s="17">
        <v>1.4E-3</v>
      </c>
      <c r="G110" s="17"/>
    </row>
    <row r="111" spans="1:7" x14ac:dyDescent="0.35">
      <c r="A111" s="13" t="s">
        <v>1802</v>
      </c>
      <c r="B111" s="41" t="s">
        <v>1803</v>
      </c>
      <c r="C111" s="41" t="s">
        <v>1211</v>
      </c>
      <c r="D111" s="15">
        <v>10000</v>
      </c>
      <c r="E111" s="16">
        <v>165.43</v>
      </c>
      <c r="F111" s="17">
        <v>1.4E-3</v>
      </c>
      <c r="G111" s="17"/>
    </row>
    <row r="112" spans="1:7" x14ac:dyDescent="0.35">
      <c r="A112" s="13" t="s">
        <v>1327</v>
      </c>
      <c r="B112" s="41" t="s">
        <v>1328</v>
      </c>
      <c r="C112" s="41" t="s">
        <v>1178</v>
      </c>
      <c r="D112" s="15">
        <v>130077</v>
      </c>
      <c r="E112" s="16">
        <v>162.84</v>
      </c>
      <c r="F112" s="17">
        <v>1.2999999999999999E-3</v>
      </c>
      <c r="G112" s="17"/>
    </row>
    <row r="113" spans="1:7" x14ac:dyDescent="0.35">
      <c r="A113" s="13" t="s">
        <v>1413</v>
      </c>
      <c r="B113" s="41" t="s">
        <v>1414</v>
      </c>
      <c r="C113" s="41" t="s">
        <v>1178</v>
      </c>
      <c r="D113" s="15">
        <v>104400</v>
      </c>
      <c r="E113" s="16">
        <v>161.44999999999999</v>
      </c>
      <c r="F113" s="17">
        <v>1.2999999999999999E-3</v>
      </c>
      <c r="G113" s="17"/>
    </row>
    <row r="114" spans="1:7" x14ac:dyDescent="0.35">
      <c r="A114" s="13" t="s">
        <v>1927</v>
      </c>
      <c r="B114" s="41" t="s">
        <v>1928</v>
      </c>
      <c r="C114" s="41" t="s">
        <v>1229</v>
      </c>
      <c r="D114" s="15">
        <v>27356</v>
      </c>
      <c r="E114" s="16">
        <v>151.05000000000001</v>
      </c>
      <c r="F114" s="17">
        <v>1.1999999999999999E-3</v>
      </c>
      <c r="G114" s="17"/>
    </row>
    <row r="115" spans="1:7" x14ac:dyDescent="0.35">
      <c r="A115" s="13" t="s">
        <v>1486</v>
      </c>
      <c r="B115" s="41" t="s">
        <v>1487</v>
      </c>
      <c r="C115" s="41" t="s">
        <v>1465</v>
      </c>
      <c r="D115" s="15">
        <v>13050</v>
      </c>
      <c r="E115" s="16">
        <v>148.44</v>
      </c>
      <c r="F115" s="17">
        <v>1.1999999999999999E-3</v>
      </c>
      <c r="G115" s="17"/>
    </row>
    <row r="116" spans="1:7" x14ac:dyDescent="0.35">
      <c r="A116" s="13" t="s">
        <v>1320</v>
      </c>
      <c r="B116" s="41" t="s">
        <v>1321</v>
      </c>
      <c r="C116" s="41" t="s">
        <v>1211</v>
      </c>
      <c r="D116" s="15">
        <v>39888</v>
      </c>
      <c r="E116" s="16">
        <v>145.22999999999999</v>
      </c>
      <c r="F116" s="17">
        <v>1.1999999999999999E-3</v>
      </c>
      <c r="G116" s="17"/>
    </row>
    <row r="117" spans="1:7" x14ac:dyDescent="0.35">
      <c r="A117" s="13" t="s">
        <v>1207</v>
      </c>
      <c r="B117" s="41" t="s">
        <v>1208</v>
      </c>
      <c r="C117" s="41" t="s">
        <v>1185</v>
      </c>
      <c r="D117" s="15">
        <v>18446</v>
      </c>
      <c r="E117" s="16">
        <v>134.84</v>
      </c>
      <c r="F117" s="17">
        <v>1.1000000000000001E-3</v>
      </c>
      <c r="G117" s="17"/>
    </row>
    <row r="118" spans="1:7" x14ac:dyDescent="0.35">
      <c r="A118" s="13" t="s">
        <v>1506</v>
      </c>
      <c r="B118" s="41" t="s">
        <v>1507</v>
      </c>
      <c r="C118" s="41" t="s">
        <v>1234</v>
      </c>
      <c r="D118" s="15">
        <v>6018</v>
      </c>
      <c r="E118" s="16">
        <v>129.56</v>
      </c>
      <c r="F118" s="17">
        <v>1.1000000000000001E-3</v>
      </c>
      <c r="G118" s="17"/>
    </row>
    <row r="119" spans="1:7" x14ac:dyDescent="0.35">
      <c r="A119" s="13" t="s">
        <v>1806</v>
      </c>
      <c r="B119" s="41" t="s">
        <v>1807</v>
      </c>
      <c r="C119" s="41" t="s">
        <v>1333</v>
      </c>
      <c r="D119" s="15">
        <v>17325</v>
      </c>
      <c r="E119" s="16">
        <v>124.72</v>
      </c>
      <c r="F119" s="17">
        <v>1E-3</v>
      </c>
      <c r="G119" s="17"/>
    </row>
    <row r="120" spans="1:7" x14ac:dyDescent="0.35">
      <c r="A120" s="13" t="s">
        <v>1828</v>
      </c>
      <c r="B120" s="41" t="s">
        <v>1829</v>
      </c>
      <c r="C120" s="41" t="s">
        <v>1280</v>
      </c>
      <c r="D120" s="15">
        <v>4159</v>
      </c>
      <c r="E120" s="16">
        <v>123.63</v>
      </c>
      <c r="F120" s="17">
        <v>1E-3</v>
      </c>
      <c r="G120" s="17"/>
    </row>
    <row r="121" spans="1:7" x14ac:dyDescent="0.35">
      <c r="A121" s="13" t="s">
        <v>2194</v>
      </c>
      <c r="B121" s="41" t="s">
        <v>2195</v>
      </c>
      <c r="C121" s="41" t="s">
        <v>1216</v>
      </c>
      <c r="D121" s="15">
        <v>12624</v>
      </c>
      <c r="E121" s="16">
        <v>122.52</v>
      </c>
      <c r="F121" s="17">
        <v>1E-3</v>
      </c>
      <c r="G121" s="17"/>
    </row>
    <row r="122" spans="1:7" x14ac:dyDescent="0.35">
      <c r="A122" s="13" t="s">
        <v>2196</v>
      </c>
      <c r="B122" s="41" t="s">
        <v>2197</v>
      </c>
      <c r="C122" s="41" t="s">
        <v>1387</v>
      </c>
      <c r="D122" s="15">
        <v>110864</v>
      </c>
      <c r="E122" s="16">
        <v>117.79</v>
      </c>
      <c r="F122" s="17">
        <v>1E-3</v>
      </c>
      <c r="G122" s="17"/>
    </row>
    <row r="123" spans="1:7" x14ac:dyDescent="0.35">
      <c r="A123" s="13" t="s">
        <v>1241</v>
      </c>
      <c r="B123" s="41" t="s">
        <v>1242</v>
      </c>
      <c r="C123" s="41" t="s">
        <v>1216</v>
      </c>
      <c r="D123" s="15">
        <v>14400</v>
      </c>
      <c r="E123" s="16">
        <v>105.09</v>
      </c>
      <c r="F123" s="17">
        <v>8.9999999999999998E-4</v>
      </c>
      <c r="G123" s="17"/>
    </row>
    <row r="124" spans="1:7" x14ac:dyDescent="0.35">
      <c r="A124" s="13" t="s">
        <v>1189</v>
      </c>
      <c r="B124" s="41" t="s">
        <v>1190</v>
      </c>
      <c r="C124" s="41" t="s">
        <v>1191</v>
      </c>
      <c r="D124" s="15">
        <v>7500</v>
      </c>
      <c r="E124" s="16">
        <v>99.93</v>
      </c>
      <c r="F124" s="17">
        <v>8.0000000000000004E-4</v>
      </c>
      <c r="G124" s="17"/>
    </row>
    <row r="125" spans="1:7" x14ac:dyDescent="0.35">
      <c r="A125" s="13" t="s">
        <v>1466</v>
      </c>
      <c r="B125" s="41" t="s">
        <v>1467</v>
      </c>
      <c r="C125" s="41" t="s">
        <v>1234</v>
      </c>
      <c r="D125" s="15">
        <v>25000</v>
      </c>
      <c r="E125" s="16">
        <v>91.7</v>
      </c>
      <c r="F125" s="17">
        <v>6.9999999999999999E-4</v>
      </c>
      <c r="G125" s="17"/>
    </row>
    <row r="126" spans="1:7" x14ac:dyDescent="0.35">
      <c r="A126" s="13" t="s">
        <v>2198</v>
      </c>
      <c r="B126" s="41" t="s">
        <v>2199</v>
      </c>
      <c r="C126" s="41" t="s">
        <v>1221</v>
      </c>
      <c r="D126" s="15">
        <v>32770</v>
      </c>
      <c r="E126" s="16">
        <v>88.94</v>
      </c>
      <c r="F126" s="17">
        <v>6.9999999999999999E-4</v>
      </c>
      <c r="G126" s="17"/>
    </row>
    <row r="127" spans="1:7" x14ac:dyDescent="0.35">
      <c r="A127" s="13" t="s">
        <v>1390</v>
      </c>
      <c r="B127" s="41" t="s">
        <v>1391</v>
      </c>
      <c r="C127" s="41" t="s">
        <v>1324</v>
      </c>
      <c r="D127" s="15">
        <v>5500</v>
      </c>
      <c r="E127" s="16">
        <v>86.72</v>
      </c>
      <c r="F127" s="17">
        <v>6.9999999999999999E-4</v>
      </c>
      <c r="G127" s="17"/>
    </row>
    <row r="128" spans="1:7" x14ac:dyDescent="0.35">
      <c r="A128" s="13" t="s">
        <v>1310</v>
      </c>
      <c r="B128" s="41" t="s">
        <v>1311</v>
      </c>
      <c r="C128" s="41" t="s">
        <v>1261</v>
      </c>
      <c r="D128" s="15">
        <v>44000</v>
      </c>
      <c r="E128" s="16">
        <v>84.98</v>
      </c>
      <c r="F128" s="17">
        <v>6.9999999999999999E-4</v>
      </c>
      <c r="G128" s="17"/>
    </row>
    <row r="129" spans="1:7" x14ac:dyDescent="0.35">
      <c r="A129" s="13" t="s">
        <v>1441</v>
      </c>
      <c r="B129" s="41" t="s">
        <v>1442</v>
      </c>
      <c r="C129" s="41" t="s">
        <v>1280</v>
      </c>
      <c r="D129" s="15">
        <v>3000</v>
      </c>
      <c r="E129" s="16">
        <v>75.47</v>
      </c>
      <c r="F129" s="17">
        <v>5.9999999999999995E-4</v>
      </c>
      <c r="G129" s="17"/>
    </row>
    <row r="130" spans="1:7" x14ac:dyDescent="0.35">
      <c r="A130" s="13" t="s">
        <v>1488</v>
      </c>
      <c r="B130" s="41" t="s">
        <v>1489</v>
      </c>
      <c r="C130" s="41" t="s">
        <v>1275</v>
      </c>
      <c r="D130" s="15">
        <v>2762</v>
      </c>
      <c r="E130" s="16">
        <v>65.540000000000006</v>
      </c>
      <c r="F130" s="17">
        <v>5.0000000000000001E-4</v>
      </c>
      <c r="G130" s="17"/>
    </row>
    <row r="131" spans="1:7" x14ac:dyDescent="0.35">
      <c r="A131" s="13" t="s">
        <v>2200</v>
      </c>
      <c r="B131" s="41" t="s">
        <v>2201</v>
      </c>
      <c r="C131" s="41" t="s">
        <v>1324</v>
      </c>
      <c r="D131" s="15">
        <v>12000</v>
      </c>
      <c r="E131" s="16">
        <v>59.82</v>
      </c>
      <c r="F131" s="17">
        <v>5.0000000000000001E-4</v>
      </c>
      <c r="G131" s="17"/>
    </row>
    <row r="132" spans="1:7" x14ac:dyDescent="0.35">
      <c r="A132" s="13" t="s">
        <v>1322</v>
      </c>
      <c r="B132" s="41" t="s">
        <v>1323</v>
      </c>
      <c r="C132" s="41" t="s">
        <v>1324</v>
      </c>
      <c r="D132" s="15">
        <v>9075</v>
      </c>
      <c r="E132" s="16">
        <v>57.69</v>
      </c>
      <c r="F132" s="17">
        <v>5.0000000000000001E-4</v>
      </c>
      <c r="G132" s="17"/>
    </row>
    <row r="133" spans="1:7" x14ac:dyDescent="0.35">
      <c r="A133" s="13" t="s">
        <v>1403</v>
      </c>
      <c r="B133" s="41" t="s">
        <v>1404</v>
      </c>
      <c r="C133" s="41" t="s">
        <v>1234</v>
      </c>
      <c r="D133" s="15">
        <v>900</v>
      </c>
      <c r="E133" s="16">
        <v>54.46</v>
      </c>
      <c r="F133" s="17">
        <v>4.0000000000000002E-4</v>
      </c>
      <c r="G133" s="17"/>
    </row>
    <row r="134" spans="1:7" x14ac:dyDescent="0.35">
      <c r="A134" s="13" t="s">
        <v>1978</v>
      </c>
      <c r="B134" s="41" t="s">
        <v>1979</v>
      </c>
      <c r="C134" s="41" t="s">
        <v>1288</v>
      </c>
      <c r="D134" s="15">
        <v>3650</v>
      </c>
      <c r="E134" s="16">
        <v>53.9</v>
      </c>
      <c r="F134" s="17">
        <v>4.0000000000000002E-4</v>
      </c>
      <c r="G134" s="17"/>
    </row>
    <row r="135" spans="1:7" x14ac:dyDescent="0.35">
      <c r="A135" s="13" t="s">
        <v>1405</v>
      </c>
      <c r="B135" s="41" t="s">
        <v>1406</v>
      </c>
      <c r="C135" s="41" t="s">
        <v>1178</v>
      </c>
      <c r="D135" s="15">
        <v>26000</v>
      </c>
      <c r="E135" s="16">
        <v>42.67</v>
      </c>
      <c r="F135" s="17">
        <v>2.9999999999999997E-4</v>
      </c>
      <c r="G135" s="17"/>
    </row>
    <row r="136" spans="1:7" x14ac:dyDescent="0.35">
      <c r="A136" s="13" t="s">
        <v>1308</v>
      </c>
      <c r="B136" s="41" t="s">
        <v>1309</v>
      </c>
      <c r="C136" s="41" t="s">
        <v>1211</v>
      </c>
      <c r="D136" s="15">
        <v>16450</v>
      </c>
      <c r="E136" s="16">
        <v>41.87</v>
      </c>
      <c r="F136" s="17">
        <v>2.9999999999999997E-4</v>
      </c>
      <c r="G136" s="17"/>
    </row>
    <row r="137" spans="1:7" x14ac:dyDescent="0.35">
      <c r="A137" s="13" t="s">
        <v>1353</v>
      </c>
      <c r="B137" s="41" t="s">
        <v>1354</v>
      </c>
      <c r="C137" s="41" t="s">
        <v>1355</v>
      </c>
      <c r="D137" s="15">
        <v>18900</v>
      </c>
      <c r="E137" s="16">
        <v>31.62</v>
      </c>
      <c r="F137" s="17">
        <v>2.9999999999999997E-4</v>
      </c>
      <c r="G137" s="17"/>
    </row>
    <row r="138" spans="1:7" x14ac:dyDescent="0.35">
      <c r="A138" s="13" t="s">
        <v>1340</v>
      </c>
      <c r="B138" s="41" t="s">
        <v>1341</v>
      </c>
      <c r="C138" s="41" t="s">
        <v>1342</v>
      </c>
      <c r="D138" s="15">
        <v>1584</v>
      </c>
      <c r="E138" s="16">
        <v>24.88</v>
      </c>
      <c r="F138" s="17">
        <v>2.0000000000000001E-4</v>
      </c>
      <c r="G138" s="17"/>
    </row>
    <row r="139" spans="1:7" x14ac:dyDescent="0.35">
      <c r="A139" s="13" t="s">
        <v>1512</v>
      </c>
      <c r="B139" s="41" t="s">
        <v>1513</v>
      </c>
      <c r="C139" s="41" t="s">
        <v>1188</v>
      </c>
      <c r="D139" s="15">
        <v>310</v>
      </c>
      <c r="E139" s="16">
        <v>17.16</v>
      </c>
      <c r="F139" s="17">
        <v>1E-4</v>
      </c>
      <c r="G139" s="17"/>
    </row>
    <row r="140" spans="1:7" x14ac:dyDescent="0.35">
      <c r="A140" s="13" t="s">
        <v>1293</v>
      </c>
      <c r="B140" s="41" t="s">
        <v>1294</v>
      </c>
      <c r="C140" s="41" t="s">
        <v>1234</v>
      </c>
      <c r="D140" s="15">
        <v>550</v>
      </c>
      <c r="E140" s="16">
        <v>6.64</v>
      </c>
      <c r="F140" s="17">
        <v>1E-4</v>
      </c>
      <c r="G140" s="17"/>
    </row>
    <row r="141" spans="1:7" x14ac:dyDescent="0.35">
      <c r="A141" s="13" t="s">
        <v>1843</v>
      </c>
      <c r="B141" s="41" t="s">
        <v>1844</v>
      </c>
      <c r="C141" s="41" t="s">
        <v>1191</v>
      </c>
      <c r="D141" s="15">
        <v>2762</v>
      </c>
      <c r="E141" s="16">
        <v>1</v>
      </c>
      <c r="F141" s="17">
        <v>0</v>
      </c>
      <c r="G141" s="17"/>
    </row>
    <row r="142" spans="1:7" x14ac:dyDescent="0.35">
      <c r="A142" s="14" t="s">
        <v>149</v>
      </c>
      <c r="B142" s="42"/>
      <c r="C142" s="42"/>
      <c r="D142" s="18"/>
      <c r="E142" s="19">
        <f>SUM(E8:E141)</f>
        <v>86646.68999999993</v>
      </c>
      <c r="F142" s="20">
        <f>SUM(F8:F141)</f>
        <v>0.70839999999999925</v>
      </c>
      <c r="G142" s="21"/>
    </row>
    <row r="143" spans="1:7" x14ac:dyDescent="0.35">
      <c r="A143" s="14"/>
      <c r="B143" s="42"/>
      <c r="C143" s="42"/>
      <c r="D143" s="18"/>
      <c r="E143" s="26"/>
      <c r="F143" s="21"/>
      <c r="G143" s="21"/>
    </row>
    <row r="144" spans="1:7" x14ac:dyDescent="0.35">
      <c r="A144" s="14"/>
      <c r="B144" s="42"/>
      <c r="C144" s="42"/>
      <c r="D144" s="18"/>
      <c r="E144" s="26"/>
      <c r="F144" s="21"/>
      <c r="G144" s="21"/>
    </row>
    <row r="145" spans="1:7" x14ac:dyDescent="0.35">
      <c r="A145" s="58" t="s">
        <v>147</v>
      </c>
      <c r="B145" s="42"/>
      <c r="C145" s="42"/>
      <c r="D145" s="18"/>
      <c r="E145" s="26"/>
      <c r="F145" s="21"/>
      <c r="G145" s="21"/>
    </row>
    <row r="146" spans="1:7" x14ac:dyDescent="0.35">
      <c r="A146" s="58" t="s">
        <v>1249</v>
      </c>
      <c r="B146" s="41"/>
      <c r="C146" s="41"/>
      <c r="D146" s="15"/>
      <c r="E146" s="16"/>
      <c r="F146" s="17"/>
      <c r="G146" s="17"/>
    </row>
    <row r="147" spans="1:7" x14ac:dyDescent="0.35">
      <c r="A147" s="58" t="s">
        <v>1250</v>
      </c>
      <c r="B147" s="41"/>
      <c r="C147" s="41"/>
      <c r="D147" s="15"/>
      <c r="E147" s="16"/>
      <c r="F147" s="17"/>
      <c r="G147" s="17"/>
    </row>
    <row r="148" spans="1:7" x14ac:dyDescent="0.35">
      <c r="A148" s="13" t="s">
        <v>1251</v>
      </c>
      <c r="B148" s="41" t="s">
        <v>1252</v>
      </c>
      <c r="C148" s="41" t="s">
        <v>1188</v>
      </c>
      <c r="D148" s="15">
        <v>27724</v>
      </c>
      <c r="E148" s="16">
        <v>2.83</v>
      </c>
      <c r="F148" s="17">
        <v>0</v>
      </c>
      <c r="G148" s="17">
        <v>6.3450000000000006E-2</v>
      </c>
    </row>
    <row r="149" spans="1:7" x14ac:dyDescent="0.35">
      <c r="A149" s="14" t="s">
        <v>149</v>
      </c>
      <c r="B149" s="42"/>
      <c r="C149" s="42"/>
      <c r="D149" s="18"/>
      <c r="E149" s="16">
        <v>2.83</v>
      </c>
      <c r="F149" s="17">
        <v>0</v>
      </c>
      <c r="G149" s="21"/>
    </row>
    <row r="150" spans="1:7" x14ac:dyDescent="0.35">
      <c r="A150" s="22" t="s">
        <v>160</v>
      </c>
      <c r="B150" s="43"/>
      <c r="C150" s="43"/>
      <c r="D150" s="23"/>
      <c r="E150" s="36">
        <f>E149+E142</f>
        <v>86649.519999999931</v>
      </c>
      <c r="F150" s="37">
        <f>F149+F142</f>
        <v>0.70839999999999925</v>
      </c>
      <c r="G150" s="21"/>
    </row>
    <row r="151" spans="1:7" x14ac:dyDescent="0.35">
      <c r="A151" s="13"/>
      <c r="B151" s="41"/>
      <c r="C151" s="41"/>
      <c r="D151" s="15"/>
      <c r="E151" s="16"/>
      <c r="F151" s="17"/>
      <c r="G151" s="17"/>
    </row>
    <row r="152" spans="1:7" x14ac:dyDescent="0.35">
      <c r="A152" s="14" t="s">
        <v>1571</v>
      </c>
      <c r="B152" s="41"/>
      <c r="C152" s="41"/>
      <c r="D152" s="15"/>
      <c r="E152" s="16"/>
      <c r="F152" s="17"/>
      <c r="G152" s="17"/>
    </row>
    <row r="153" spans="1:7" x14ac:dyDescent="0.35">
      <c r="A153" s="14" t="s">
        <v>1572</v>
      </c>
      <c r="B153" s="41"/>
      <c r="C153" s="41"/>
      <c r="D153" s="15"/>
      <c r="E153" s="16"/>
      <c r="F153" s="17"/>
      <c r="G153" s="17"/>
    </row>
    <row r="154" spans="1:7" x14ac:dyDescent="0.35">
      <c r="A154" s="13" t="s">
        <v>2202</v>
      </c>
      <c r="B154" s="41"/>
      <c r="C154" s="41" t="s">
        <v>1280</v>
      </c>
      <c r="D154" s="15">
        <v>22500</v>
      </c>
      <c r="E154" s="16">
        <v>223.65</v>
      </c>
      <c r="F154" s="17">
        <v>1.828E-3</v>
      </c>
      <c r="G154" s="17"/>
    </row>
    <row r="155" spans="1:7" x14ac:dyDescent="0.35">
      <c r="A155" s="13" t="s">
        <v>2203</v>
      </c>
      <c r="B155" s="41"/>
      <c r="C155" s="41" t="s">
        <v>1333</v>
      </c>
      <c r="D155" s="15">
        <v>16675</v>
      </c>
      <c r="E155" s="16">
        <v>120.55</v>
      </c>
      <c r="F155" s="17">
        <v>9.8499999999999998E-4</v>
      </c>
      <c r="G155" s="17"/>
    </row>
    <row r="156" spans="1:7" x14ac:dyDescent="0.35">
      <c r="A156" s="13" t="s">
        <v>1726</v>
      </c>
      <c r="B156" s="41"/>
      <c r="C156" s="41" t="s">
        <v>1234</v>
      </c>
      <c r="D156" s="27">
        <v>-550</v>
      </c>
      <c r="E156" s="28">
        <v>-6.64</v>
      </c>
      <c r="F156" s="29">
        <v>-5.3999999999999998E-5</v>
      </c>
      <c r="G156" s="17"/>
    </row>
    <row r="157" spans="1:7" x14ac:dyDescent="0.35">
      <c r="A157" s="13" t="s">
        <v>1697</v>
      </c>
      <c r="B157" s="41"/>
      <c r="C157" s="41" t="s">
        <v>1355</v>
      </c>
      <c r="D157" s="27">
        <v>-18900</v>
      </c>
      <c r="E157" s="28">
        <v>-31.73</v>
      </c>
      <c r="F157" s="29">
        <v>-2.5900000000000001E-4</v>
      </c>
      <c r="G157" s="17"/>
    </row>
    <row r="158" spans="1:7" x14ac:dyDescent="0.35">
      <c r="A158" s="13" t="s">
        <v>1721</v>
      </c>
      <c r="B158" s="41"/>
      <c r="C158" s="41" t="s">
        <v>1211</v>
      </c>
      <c r="D158" s="27">
        <v>-16450</v>
      </c>
      <c r="E158" s="28">
        <v>-42.01</v>
      </c>
      <c r="F158" s="29">
        <v>-3.4299999999999999E-4</v>
      </c>
      <c r="G158" s="17"/>
    </row>
    <row r="159" spans="1:7" x14ac:dyDescent="0.35">
      <c r="A159" s="13" t="s">
        <v>1669</v>
      </c>
      <c r="B159" s="41"/>
      <c r="C159" s="41" t="s">
        <v>1178</v>
      </c>
      <c r="D159" s="27">
        <v>-26000</v>
      </c>
      <c r="E159" s="28">
        <v>-42.88</v>
      </c>
      <c r="F159" s="29">
        <v>-3.5E-4</v>
      </c>
      <c r="G159" s="17"/>
    </row>
    <row r="160" spans="1:7" x14ac:dyDescent="0.35">
      <c r="A160" s="13" t="s">
        <v>1670</v>
      </c>
      <c r="B160" s="41"/>
      <c r="C160" s="41" t="s">
        <v>1234</v>
      </c>
      <c r="D160" s="27">
        <v>-900</v>
      </c>
      <c r="E160" s="28">
        <v>-54.6</v>
      </c>
      <c r="F160" s="29">
        <v>-4.46E-4</v>
      </c>
      <c r="G160" s="17"/>
    </row>
    <row r="161" spans="1:7" x14ac:dyDescent="0.35">
      <c r="A161" s="13" t="s">
        <v>1709</v>
      </c>
      <c r="B161" s="41"/>
      <c r="C161" s="41" t="s">
        <v>1324</v>
      </c>
      <c r="D161" s="27">
        <v>-9075</v>
      </c>
      <c r="E161" s="28">
        <v>-57.8</v>
      </c>
      <c r="F161" s="29">
        <v>-4.7199999999999998E-4</v>
      </c>
      <c r="G161" s="17"/>
    </row>
    <row r="162" spans="1:7" x14ac:dyDescent="0.35">
      <c r="A162" s="13" t="s">
        <v>1623</v>
      </c>
      <c r="B162" s="41"/>
      <c r="C162" s="41" t="s">
        <v>1201</v>
      </c>
      <c r="D162" s="27">
        <v>-600</v>
      </c>
      <c r="E162" s="28">
        <v>-62.87</v>
      </c>
      <c r="F162" s="29">
        <v>-5.1400000000000003E-4</v>
      </c>
      <c r="G162" s="17"/>
    </row>
    <row r="163" spans="1:7" x14ac:dyDescent="0.35">
      <c r="A163" s="13" t="s">
        <v>2204</v>
      </c>
      <c r="B163" s="41"/>
      <c r="C163" s="41" t="s">
        <v>1234</v>
      </c>
      <c r="D163" s="27">
        <v>-4875</v>
      </c>
      <c r="E163" s="28">
        <v>-64.83</v>
      </c>
      <c r="F163" s="29">
        <v>-5.2999999999999998E-4</v>
      </c>
      <c r="G163" s="17"/>
    </row>
    <row r="164" spans="1:7" x14ac:dyDescent="0.35">
      <c r="A164" s="13" t="s">
        <v>1647</v>
      </c>
      <c r="B164" s="41"/>
      <c r="C164" s="41" t="s">
        <v>1280</v>
      </c>
      <c r="D164" s="27">
        <v>-3000</v>
      </c>
      <c r="E164" s="28">
        <v>-75.760000000000005</v>
      </c>
      <c r="F164" s="29">
        <v>-6.1899999999999998E-4</v>
      </c>
      <c r="G164" s="17"/>
    </row>
    <row r="165" spans="1:7" x14ac:dyDescent="0.35">
      <c r="A165" s="13" t="s">
        <v>1719</v>
      </c>
      <c r="B165" s="41"/>
      <c r="C165" s="41" t="s">
        <v>1261</v>
      </c>
      <c r="D165" s="27">
        <v>-44000</v>
      </c>
      <c r="E165" s="28">
        <v>-85.17</v>
      </c>
      <c r="F165" s="29">
        <v>-6.96E-4</v>
      </c>
      <c r="G165" s="17"/>
    </row>
    <row r="166" spans="1:7" x14ac:dyDescent="0.35">
      <c r="A166" s="13" t="s">
        <v>1677</v>
      </c>
      <c r="B166" s="41"/>
      <c r="C166" s="41" t="s">
        <v>1324</v>
      </c>
      <c r="D166" s="27">
        <v>-5500</v>
      </c>
      <c r="E166" s="28">
        <v>-86.91</v>
      </c>
      <c r="F166" s="29">
        <v>-7.1000000000000002E-4</v>
      </c>
      <c r="G166" s="17"/>
    </row>
    <row r="167" spans="1:7" x14ac:dyDescent="0.35">
      <c r="A167" s="13" t="s">
        <v>1725</v>
      </c>
      <c r="B167" s="41"/>
      <c r="C167" s="41" t="s">
        <v>1198</v>
      </c>
      <c r="D167" s="27">
        <v>-20400</v>
      </c>
      <c r="E167" s="28">
        <v>-90.79</v>
      </c>
      <c r="F167" s="29">
        <v>-7.4200000000000004E-4</v>
      </c>
      <c r="G167" s="17"/>
    </row>
    <row r="168" spans="1:7" x14ac:dyDescent="0.35">
      <c r="A168" s="13" t="s">
        <v>1632</v>
      </c>
      <c r="B168" s="41"/>
      <c r="C168" s="41" t="s">
        <v>1234</v>
      </c>
      <c r="D168" s="27">
        <v>-25000</v>
      </c>
      <c r="E168" s="28">
        <v>-92.04</v>
      </c>
      <c r="F168" s="29">
        <v>-7.5199999999999996E-4</v>
      </c>
      <c r="G168" s="17"/>
    </row>
    <row r="169" spans="1:7" x14ac:dyDescent="0.35">
      <c r="A169" s="13" t="s">
        <v>1701</v>
      </c>
      <c r="B169" s="41"/>
      <c r="C169" s="41" t="s">
        <v>1191</v>
      </c>
      <c r="D169" s="27">
        <v>-7500</v>
      </c>
      <c r="E169" s="28">
        <v>-99.69</v>
      </c>
      <c r="F169" s="29">
        <v>-8.1499999999999997E-4</v>
      </c>
      <c r="G169" s="17"/>
    </row>
    <row r="170" spans="1:7" x14ac:dyDescent="0.35">
      <c r="A170" s="13" t="s">
        <v>1731</v>
      </c>
      <c r="B170" s="41"/>
      <c r="C170" s="41" t="s">
        <v>1288</v>
      </c>
      <c r="D170" s="27">
        <v>-1500</v>
      </c>
      <c r="E170" s="28">
        <v>-105.43</v>
      </c>
      <c r="F170" s="29">
        <v>-8.6200000000000003E-4</v>
      </c>
      <c r="G170" s="17"/>
    </row>
    <row r="171" spans="1:7" x14ac:dyDescent="0.35">
      <c r="A171" s="13" t="s">
        <v>1729</v>
      </c>
      <c r="B171" s="41"/>
      <c r="C171" s="41" t="s">
        <v>1216</v>
      </c>
      <c r="D171" s="27">
        <v>-14400</v>
      </c>
      <c r="E171" s="28">
        <v>-105.64</v>
      </c>
      <c r="F171" s="29">
        <v>-8.6300000000000005E-4</v>
      </c>
      <c r="G171" s="17"/>
    </row>
    <row r="172" spans="1:7" x14ac:dyDescent="0.35">
      <c r="A172" s="13" t="s">
        <v>1622</v>
      </c>
      <c r="B172" s="41"/>
      <c r="C172" s="41" t="s">
        <v>1465</v>
      </c>
      <c r="D172" s="27">
        <v>-13050</v>
      </c>
      <c r="E172" s="28">
        <v>-148.69999999999999</v>
      </c>
      <c r="F172" s="29">
        <v>-1.2149999999999999E-3</v>
      </c>
      <c r="G172" s="17"/>
    </row>
    <row r="173" spans="1:7" x14ac:dyDescent="0.35">
      <c r="A173" s="13" t="s">
        <v>1682</v>
      </c>
      <c r="B173" s="41"/>
      <c r="C173" s="41" t="s">
        <v>1201</v>
      </c>
      <c r="D173" s="27">
        <v>-3850</v>
      </c>
      <c r="E173" s="28">
        <v>-153.47</v>
      </c>
      <c r="F173" s="29">
        <v>-1.2539999999999999E-3</v>
      </c>
      <c r="G173" s="17"/>
    </row>
    <row r="174" spans="1:7" x14ac:dyDescent="0.35">
      <c r="A174" s="13" t="s">
        <v>1665</v>
      </c>
      <c r="B174" s="41"/>
      <c r="C174" s="41" t="s">
        <v>1178</v>
      </c>
      <c r="D174" s="27">
        <v>-104400</v>
      </c>
      <c r="E174" s="28">
        <v>-161.93</v>
      </c>
      <c r="F174" s="29">
        <v>-1.3240000000000001E-3</v>
      </c>
      <c r="G174" s="17"/>
    </row>
    <row r="175" spans="1:7" x14ac:dyDescent="0.35">
      <c r="A175" s="13" t="s">
        <v>1707</v>
      </c>
      <c r="B175" s="41"/>
      <c r="C175" s="41" t="s">
        <v>1211</v>
      </c>
      <c r="D175" s="27">
        <v>-45500</v>
      </c>
      <c r="E175" s="28">
        <v>-171.4</v>
      </c>
      <c r="F175" s="29">
        <v>-1.4009999999999999E-3</v>
      </c>
      <c r="G175" s="17"/>
    </row>
    <row r="176" spans="1:7" x14ac:dyDescent="0.35">
      <c r="A176" s="13" t="s">
        <v>1663</v>
      </c>
      <c r="B176" s="41"/>
      <c r="C176" s="41" t="s">
        <v>1398</v>
      </c>
      <c r="D176" s="27">
        <v>-209250</v>
      </c>
      <c r="E176" s="28">
        <v>-196.99</v>
      </c>
      <c r="F176" s="29">
        <v>-1.6100000000000001E-3</v>
      </c>
      <c r="G176" s="17"/>
    </row>
    <row r="177" spans="1:7" x14ac:dyDescent="0.35">
      <c r="A177" s="13" t="s">
        <v>1738</v>
      </c>
      <c r="B177" s="41"/>
      <c r="C177" s="41" t="s">
        <v>1275</v>
      </c>
      <c r="D177" s="27">
        <v>-70400</v>
      </c>
      <c r="E177" s="28">
        <v>-227.99</v>
      </c>
      <c r="F177" s="29">
        <v>-1.864E-3</v>
      </c>
      <c r="G177" s="17"/>
    </row>
    <row r="178" spans="1:7" x14ac:dyDescent="0.35">
      <c r="A178" s="13" t="s">
        <v>1686</v>
      </c>
      <c r="B178" s="41"/>
      <c r="C178" s="41" t="s">
        <v>1178</v>
      </c>
      <c r="D178" s="27">
        <v>-78975</v>
      </c>
      <c r="E178" s="28">
        <v>-237.28</v>
      </c>
      <c r="F178" s="29">
        <v>-1.9400000000000001E-3</v>
      </c>
      <c r="G178" s="17"/>
    </row>
    <row r="179" spans="1:7" x14ac:dyDescent="0.35">
      <c r="A179" s="13" t="s">
        <v>1699</v>
      </c>
      <c r="B179" s="41"/>
      <c r="C179" s="41" t="s">
        <v>1333</v>
      </c>
      <c r="D179" s="27">
        <v>-91875</v>
      </c>
      <c r="E179" s="28">
        <v>-241.95</v>
      </c>
      <c r="F179" s="29">
        <v>-1.9780000000000002E-3</v>
      </c>
      <c r="G179" s="17"/>
    </row>
    <row r="180" spans="1:7" x14ac:dyDescent="0.35">
      <c r="A180" s="13" t="s">
        <v>1728</v>
      </c>
      <c r="B180" s="41"/>
      <c r="C180" s="41" t="s">
        <v>1206</v>
      </c>
      <c r="D180" s="27">
        <v>-58725</v>
      </c>
      <c r="E180" s="28">
        <v>-251.72</v>
      </c>
      <c r="F180" s="29">
        <v>-2.0579999999999999E-3</v>
      </c>
      <c r="G180" s="17"/>
    </row>
    <row r="181" spans="1:7" x14ac:dyDescent="0.35">
      <c r="A181" s="13" t="s">
        <v>1637</v>
      </c>
      <c r="B181" s="41"/>
      <c r="C181" s="41" t="s">
        <v>1185</v>
      </c>
      <c r="D181" s="27">
        <v>-32200</v>
      </c>
      <c r="E181" s="28">
        <v>-266.26</v>
      </c>
      <c r="F181" s="29">
        <v>-2.1770000000000001E-3</v>
      </c>
      <c r="G181" s="17"/>
    </row>
    <row r="182" spans="1:7" x14ac:dyDescent="0.35">
      <c r="A182" s="13" t="s">
        <v>1712</v>
      </c>
      <c r="B182" s="41"/>
      <c r="C182" s="41" t="s">
        <v>1342</v>
      </c>
      <c r="D182" s="27">
        <v>-13596</v>
      </c>
      <c r="E182" s="28">
        <v>-275.02999999999997</v>
      </c>
      <c r="F182" s="29">
        <v>-2.248E-3</v>
      </c>
      <c r="G182" s="17"/>
    </row>
    <row r="183" spans="1:7" x14ac:dyDescent="0.35">
      <c r="A183" s="13" t="s">
        <v>1681</v>
      </c>
      <c r="B183" s="41"/>
      <c r="C183" s="41" t="s">
        <v>1387</v>
      </c>
      <c r="D183" s="27">
        <v>-7175</v>
      </c>
      <c r="E183" s="28">
        <v>-282.85000000000002</v>
      </c>
      <c r="F183" s="29">
        <v>-2.3119999999999998E-3</v>
      </c>
      <c r="G183" s="17"/>
    </row>
    <row r="184" spans="1:7" x14ac:dyDescent="0.35">
      <c r="A184" s="13" t="s">
        <v>1722</v>
      </c>
      <c r="B184" s="41"/>
      <c r="C184" s="41" t="s">
        <v>1178</v>
      </c>
      <c r="D184" s="27">
        <v>-1368400</v>
      </c>
      <c r="E184" s="28">
        <v>-293.93</v>
      </c>
      <c r="F184" s="29">
        <v>-2.4030000000000002E-3</v>
      </c>
      <c r="G184" s="17"/>
    </row>
    <row r="185" spans="1:7" x14ac:dyDescent="0.35">
      <c r="A185" s="13" t="s">
        <v>1711</v>
      </c>
      <c r="B185" s="41"/>
      <c r="C185" s="41" t="s">
        <v>1178</v>
      </c>
      <c r="D185" s="27">
        <v>-104775</v>
      </c>
      <c r="E185" s="28">
        <v>-313.75</v>
      </c>
      <c r="F185" s="29">
        <v>-2.565E-3</v>
      </c>
      <c r="G185" s="17"/>
    </row>
    <row r="186" spans="1:7" x14ac:dyDescent="0.35">
      <c r="A186" s="13" t="s">
        <v>1629</v>
      </c>
      <c r="B186" s="41"/>
      <c r="C186" s="41" t="s">
        <v>1419</v>
      </c>
      <c r="D186" s="27">
        <v>-35700</v>
      </c>
      <c r="E186" s="28">
        <v>-343.06</v>
      </c>
      <c r="F186" s="29">
        <v>-2.8040000000000001E-3</v>
      </c>
      <c r="G186" s="17"/>
    </row>
    <row r="187" spans="1:7" x14ac:dyDescent="0.35">
      <c r="A187" s="13" t="s">
        <v>1735</v>
      </c>
      <c r="B187" s="41"/>
      <c r="C187" s="41" t="s">
        <v>1234</v>
      </c>
      <c r="D187" s="27">
        <v>-17625</v>
      </c>
      <c r="E187" s="28">
        <v>-356.87</v>
      </c>
      <c r="F187" s="29">
        <v>-2.9169999999999999E-3</v>
      </c>
      <c r="G187" s="17"/>
    </row>
    <row r="188" spans="1:7" x14ac:dyDescent="0.35">
      <c r="A188" s="13" t="s">
        <v>1643</v>
      </c>
      <c r="B188" s="41"/>
      <c r="C188" s="41" t="s">
        <v>1229</v>
      </c>
      <c r="D188" s="27">
        <v>-39900</v>
      </c>
      <c r="E188" s="28">
        <v>-383.68</v>
      </c>
      <c r="F188" s="29">
        <v>-3.137E-3</v>
      </c>
      <c r="G188" s="17"/>
    </row>
    <row r="189" spans="1:7" x14ac:dyDescent="0.35">
      <c r="A189" s="13" t="s">
        <v>1732</v>
      </c>
      <c r="B189" s="41"/>
      <c r="C189" s="41" t="s">
        <v>1285</v>
      </c>
      <c r="D189" s="27">
        <v>-9000</v>
      </c>
      <c r="E189" s="28">
        <v>-416.3</v>
      </c>
      <c r="F189" s="29">
        <v>-3.4030000000000002E-3</v>
      </c>
      <c r="G189" s="17"/>
    </row>
    <row r="190" spans="1:7" x14ac:dyDescent="0.35">
      <c r="A190" s="13" t="s">
        <v>1727</v>
      </c>
      <c r="B190" s="41"/>
      <c r="C190" s="41" t="s">
        <v>1188</v>
      </c>
      <c r="D190" s="27">
        <v>-12600</v>
      </c>
      <c r="E190" s="28">
        <v>-434.46</v>
      </c>
      <c r="F190" s="29">
        <v>-3.552E-3</v>
      </c>
      <c r="G190" s="17"/>
    </row>
    <row r="191" spans="1:7" x14ac:dyDescent="0.35">
      <c r="A191" s="13" t="s">
        <v>1720</v>
      </c>
      <c r="B191" s="41"/>
      <c r="C191" s="41" t="s">
        <v>1178</v>
      </c>
      <c r="D191" s="27">
        <v>-108000</v>
      </c>
      <c r="E191" s="28">
        <v>-442.8</v>
      </c>
      <c r="F191" s="29">
        <v>-3.62E-3</v>
      </c>
      <c r="G191" s="17"/>
    </row>
    <row r="192" spans="1:7" x14ac:dyDescent="0.35">
      <c r="A192" s="13" t="s">
        <v>1601</v>
      </c>
      <c r="B192" s="41"/>
      <c r="C192" s="41" t="s">
        <v>1305</v>
      </c>
      <c r="D192" s="27">
        <v>-134850</v>
      </c>
      <c r="E192" s="28">
        <v>-494.9</v>
      </c>
      <c r="F192" s="29">
        <v>-4.0460000000000001E-3</v>
      </c>
      <c r="G192" s="17"/>
    </row>
    <row r="193" spans="1:7" x14ac:dyDescent="0.35">
      <c r="A193" s="13" t="s">
        <v>1668</v>
      </c>
      <c r="B193" s="41"/>
      <c r="C193" s="41" t="s">
        <v>1224</v>
      </c>
      <c r="D193" s="27">
        <v>-4100</v>
      </c>
      <c r="E193" s="28">
        <v>-521.73</v>
      </c>
      <c r="F193" s="29">
        <v>-4.2649999999999997E-3</v>
      </c>
      <c r="G193" s="17"/>
    </row>
    <row r="194" spans="1:7" x14ac:dyDescent="0.35">
      <c r="A194" s="13" t="s">
        <v>1743</v>
      </c>
      <c r="B194" s="41"/>
      <c r="C194" s="41" t="s">
        <v>1261</v>
      </c>
      <c r="D194" s="27">
        <v>-47925</v>
      </c>
      <c r="E194" s="28">
        <v>-584.21</v>
      </c>
      <c r="F194" s="29">
        <v>-4.7759999999999999E-3</v>
      </c>
      <c r="G194" s="17"/>
    </row>
    <row r="195" spans="1:7" x14ac:dyDescent="0.35">
      <c r="A195" s="13" t="s">
        <v>1585</v>
      </c>
      <c r="B195" s="41"/>
      <c r="C195" s="41" t="s">
        <v>1436</v>
      </c>
      <c r="D195" s="27">
        <v>-18000</v>
      </c>
      <c r="E195" s="28">
        <v>-627.44000000000005</v>
      </c>
      <c r="F195" s="29">
        <v>-5.13E-3</v>
      </c>
      <c r="G195" s="17"/>
    </row>
    <row r="196" spans="1:7" x14ac:dyDescent="0.35">
      <c r="A196" s="13" t="s">
        <v>1599</v>
      </c>
      <c r="B196" s="41"/>
      <c r="C196" s="41" t="s">
        <v>1324</v>
      </c>
      <c r="D196" s="27">
        <v>-43750</v>
      </c>
      <c r="E196" s="28">
        <v>-652.09</v>
      </c>
      <c r="F196" s="29">
        <v>-5.3309999999999998E-3</v>
      </c>
      <c r="G196" s="17"/>
    </row>
    <row r="197" spans="1:7" x14ac:dyDescent="0.35">
      <c r="A197" s="13" t="s">
        <v>1739</v>
      </c>
      <c r="B197" s="41"/>
      <c r="C197" s="41" t="s">
        <v>1272</v>
      </c>
      <c r="D197" s="27">
        <v>-823500</v>
      </c>
      <c r="E197" s="28">
        <v>-668.6</v>
      </c>
      <c r="F197" s="29">
        <v>-5.4660000000000004E-3</v>
      </c>
      <c r="G197" s="17"/>
    </row>
    <row r="198" spans="1:7" x14ac:dyDescent="0.35">
      <c r="A198" s="13" t="s">
        <v>2205</v>
      </c>
      <c r="B198" s="41"/>
      <c r="C198" s="41" t="s">
        <v>1369</v>
      </c>
      <c r="D198" s="27">
        <v>-318000</v>
      </c>
      <c r="E198" s="28">
        <v>-754.93</v>
      </c>
      <c r="F198" s="29">
        <v>-6.1720000000000004E-3</v>
      </c>
      <c r="G198" s="17"/>
    </row>
    <row r="199" spans="1:7" x14ac:dyDescent="0.35">
      <c r="A199" s="13" t="s">
        <v>1737</v>
      </c>
      <c r="B199" s="41"/>
      <c r="C199" s="41" t="s">
        <v>1261</v>
      </c>
      <c r="D199" s="27">
        <v>-521700</v>
      </c>
      <c r="E199" s="28">
        <v>-793.24</v>
      </c>
      <c r="F199" s="29">
        <v>-6.4850000000000003E-3</v>
      </c>
      <c r="G199" s="17"/>
    </row>
    <row r="200" spans="1:7" x14ac:dyDescent="0.35">
      <c r="A200" s="13" t="s">
        <v>1700</v>
      </c>
      <c r="B200" s="41"/>
      <c r="C200" s="41" t="s">
        <v>1345</v>
      </c>
      <c r="D200" s="27">
        <v>-18450</v>
      </c>
      <c r="E200" s="28">
        <v>-852.48</v>
      </c>
      <c r="F200" s="29">
        <v>-6.9699999999999996E-3</v>
      </c>
      <c r="G200" s="17"/>
    </row>
    <row r="201" spans="1:7" x14ac:dyDescent="0.35">
      <c r="A201" s="13" t="s">
        <v>1718</v>
      </c>
      <c r="B201" s="41"/>
      <c r="C201" s="41" t="s">
        <v>1224</v>
      </c>
      <c r="D201" s="27">
        <v>-30750</v>
      </c>
      <c r="E201" s="28">
        <v>-870.81</v>
      </c>
      <c r="F201" s="29">
        <v>-7.1199999999999996E-3</v>
      </c>
      <c r="G201" s="17"/>
    </row>
    <row r="202" spans="1:7" x14ac:dyDescent="0.35">
      <c r="A202" s="13" t="s">
        <v>2206</v>
      </c>
      <c r="B202" s="41"/>
      <c r="C202" s="41" t="s">
        <v>1419</v>
      </c>
      <c r="D202" s="27">
        <v>-232500</v>
      </c>
      <c r="E202" s="28">
        <v>-888.03</v>
      </c>
      <c r="F202" s="29">
        <v>-7.26E-3</v>
      </c>
      <c r="G202" s="17"/>
    </row>
    <row r="203" spans="1:7" x14ac:dyDescent="0.35">
      <c r="A203" s="13" t="s">
        <v>1655</v>
      </c>
      <c r="B203" s="41"/>
      <c r="C203" s="41" t="s">
        <v>1178</v>
      </c>
      <c r="D203" s="27">
        <v>-96000</v>
      </c>
      <c r="E203" s="28">
        <v>-1039.0999999999999</v>
      </c>
      <c r="F203" s="29">
        <v>-8.4960000000000001E-3</v>
      </c>
      <c r="G203" s="17"/>
    </row>
    <row r="204" spans="1:7" x14ac:dyDescent="0.35">
      <c r="A204" s="13" t="s">
        <v>1741</v>
      </c>
      <c r="B204" s="41"/>
      <c r="C204" s="41" t="s">
        <v>1266</v>
      </c>
      <c r="D204" s="27">
        <v>-458325</v>
      </c>
      <c r="E204" s="28">
        <v>-1256.96</v>
      </c>
      <c r="F204" s="29">
        <v>-1.0277E-2</v>
      </c>
      <c r="G204" s="17"/>
    </row>
    <row r="205" spans="1:7" x14ac:dyDescent="0.35">
      <c r="A205" s="13" t="s">
        <v>1674</v>
      </c>
      <c r="B205" s="41"/>
      <c r="C205" s="41" t="s">
        <v>1398</v>
      </c>
      <c r="D205" s="27">
        <v>-99750</v>
      </c>
      <c r="E205" s="28">
        <v>-1419.24</v>
      </c>
      <c r="F205" s="29">
        <v>-1.1604E-2</v>
      </c>
      <c r="G205" s="17"/>
    </row>
    <row r="206" spans="1:7" x14ac:dyDescent="0.35">
      <c r="A206" s="13" t="s">
        <v>1642</v>
      </c>
      <c r="B206" s="41"/>
      <c r="C206" s="41" t="s">
        <v>1224</v>
      </c>
      <c r="D206" s="27">
        <v>-283500</v>
      </c>
      <c r="E206" s="28">
        <v>-1450.24</v>
      </c>
      <c r="F206" s="29">
        <v>-1.1856999999999999E-2</v>
      </c>
      <c r="G206" s="17"/>
    </row>
    <row r="207" spans="1:7" x14ac:dyDescent="0.35">
      <c r="A207" s="13" t="s">
        <v>1673</v>
      </c>
      <c r="B207" s="41"/>
      <c r="C207" s="41" t="s">
        <v>1178</v>
      </c>
      <c r="D207" s="27">
        <v>-182700</v>
      </c>
      <c r="E207" s="28">
        <v>-1637.45</v>
      </c>
      <c r="F207" s="29">
        <v>-1.3388000000000001E-2</v>
      </c>
      <c r="G207" s="17"/>
    </row>
    <row r="208" spans="1:7" x14ac:dyDescent="0.35">
      <c r="A208" s="13" t="s">
        <v>1698</v>
      </c>
      <c r="B208" s="41"/>
      <c r="C208" s="41" t="s">
        <v>1350</v>
      </c>
      <c r="D208" s="27">
        <v>-340105</v>
      </c>
      <c r="E208" s="28">
        <v>-2403.0100000000002</v>
      </c>
      <c r="F208" s="29">
        <v>-1.9647000000000001E-2</v>
      </c>
      <c r="G208" s="17"/>
    </row>
    <row r="209" spans="1:7" x14ac:dyDescent="0.35">
      <c r="A209" s="13" t="s">
        <v>1742</v>
      </c>
      <c r="B209" s="41"/>
      <c r="C209" s="41" t="s">
        <v>1178</v>
      </c>
      <c r="D209" s="27">
        <v>-178125</v>
      </c>
      <c r="E209" s="28">
        <v>-2446.0100000000002</v>
      </c>
      <c r="F209" s="29">
        <v>-1.9998999999999999E-2</v>
      </c>
      <c r="G209" s="17"/>
    </row>
    <row r="210" spans="1:7" x14ac:dyDescent="0.35">
      <c r="A210" s="13" t="s">
        <v>1745</v>
      </c>
      <c r="B210" s="41"/>
      <c r="C210" s="41" t="s">
        <v>1198</v>
      </c>
      <c r="D210" s="27">
        <v>-25731000</v>
      </c>
      <c r="E210" s="28">
        <v>-2884.45</v>
      </c>
      <c r="F210" s="29">
        <v>-2.3584000000000001E-2</v>
      </c>
      <c r="G210" s="17"/>
    </row>
    <row r="211" spans="1:7" x14ac:dyDescent="0.35">
      <c r="A211" s="13" t="s">
        <v>1713</v>
      </c>
      <c r="B211" s="41"/>
      <c r="C211" s="41" t="s">
        <v>1305</v>
      </c>
      <c r="D211" s="27">
        <v>-360000</v>
      </c>
      <c r="E211" s="28">
        <v>-3074.76</v>
      </c>
      <c r="F211" s="29">
        <v>-2.5139999999999999E-2</v>
      </c>
      <c r="G211" s="17"/>
    </row>
    <row r="212" spans="1:7" x14ac:dyDescent="0.35">
      <c r="A212" s="13" t="s">
        <v>1746</v>
      </c>
      <c r="B212" s="41"/>
      <c r="C212" s="41" t="s">
        <v>1178</v>
      </c>
      <c r="D212" s="27">
        <v>-252000</v>
      </c>
      <c r="E212" s="28">
        <v>-3431.48</v>
      </c>
      <c r="F212" s="29">
        <v>-2.8056999999999999E-2</v>
      </c>
      <c r="G212" s="17"/>
    </row>
    <row r="213" spans="1:7" x14ac:dyDescent="0.35">
      <c r="A213" s="13" t="s">
        <v>1734</v>
      </c>
      <c r="B213" s="41"/>
      <c r="C213" s="41" t="s">
        <v>1198</v>
      </c>
      <c r="D213" s="27">
        <v>-185725</v>
      </c>
      <c r="E213" s="28">
        <v>-3666.95</v>
      </c>
      <c r="F213" s="29">
        <v>-2.9982000000000002E-2</v>
      </c>
      <c r="G213" s="17"/>
    </row>
    <row r="214" spans="1:7" x14ac:dyDescent="0.35">
      <c r="A214" s="13" t="s">
        <v>1744</v>
      </c>
      <c r="B214" s="41"/>
      <c r="C214" s="41" t="s">
        <v>1206</v>
      </c>
      <c r="D214" s="27">
        <v>-271000</v>
      </c>
      <c r="E214" s="28">
        <v>-3792.65</v>
      </c>
      <c r="F214" s="29">
        <v>-3.1009999999999999E-2</v>
      </c>
      <c r="G214" s="17"/>
    </row>
    <row r="215" spans="1:7" x14ac:dyDescent="0.35">
      <c r="A215" s="13" t="s">
        <v>1747</v>
      </c>
      <c r="B215" s="41"/>
      <c r="C215" s="41" t="s">
        <v>1178</v>
      </c>
      <c r="D215" s="27">
        <v>-464750</v>
      </c>
      <c r="E215" s="28">
        <v>-4340.07</v>
      </c>
      <c r="F215" s="29">
        <v>-3.5485999999999997E-2</v>
      </c>
      <c r="G215" s="17"/>
    </row>
    <row r="216" spans="1:7" x14ac:dyDescent="0.35">
      <c r="A216" s="14" t="s">
        <v>149</v>
      </c>
      <c r="B216" s="42"/>
      <c r="C216" s="42"/>
      <c r="D216" s="18"/>
      <c r="E216" s="30">
        <v>-46911.839999999997</v>
      </c>
      <c r="F216" s="31">
        <v>-0.383544</v>
      </c>
      <c r="G216" s="21"/>
    </row>
    <row r="217" spans="1:7" x14ac:dyDescent="0.35">
      <c r="A217" s="13"/>
      <c r="B217" s="41"/>
      <c r="C217" s="41"/>
      <c r="D217" s="15"/>
      <c r="E217" s="16"/>
      <c r="F217" s="17"/>
      <c r="G217" s="17"/>
    </row>
    <row r="218" spans="1:7" x14ac:dyDescent="0.35">
      <c r="A218" s="13"/>
      <c r="B218" s="41"/>
      <c r="C218" s="41"/>
      <c r="D218" s="15"/>
      <c r="E218" s="16"/>
      <c r="F218" s="17"/>
      <c r="G218" s="17"/>
    </row>
    <row r="219" spans="1:7" x14ac:dyDescent="0.35">
      <c r="A219" s="13"/>
      <c r="B219" s="41"/>
      <c r="C219" s="41"/>
      <c r="D219" s="15"/>
      <c r="E219" s="16"/>
      <c r="F219" s="17"/>
      <c r="G219" s="17"/>
    </row>
    <row r="220" spans="1:7" x14ac:dyDescent="0.35">
      <c r="A220" s="22" t="s">
        <v>160</v>
      </c>
      <c r="B220" s="43"/>
      <c r="C220" s="43"/>
      <c r="D220" s="23"/>
      <c r="E220" s="32">
        <v>-46911.839999999997</v>
      </c>
      <c r="F220" s="33">
        <v>-0.383544</v>
      </c>
      <c r="G220" s="21"/>
    </row>
    <row r="221" spans="1:7" x14ac:dyDescent="0.35">
      <c r="A221" s="13"/>
      <c r="B221" s="41"/>
      <c r="C221" s="41"/>
      <c r="D221" s="15"/>
      <c r="E221" s="16"/>
      <c r="F221" s="17"/>
      <c r="G221" s="17"/>
    </row>
    <row r="222" spans="1:7" x14ac:dyDescent="0.35">
      <c r="A222" s="14" t="s">
        <v>147</v>
      </c>
      <c r="B222" s="41"/>
      <c r="C222" s="41"/>
      <c r="D222" s="15"/>
      <c r="E222" s="16"/>
      <c r="F222" s="17"/>
      <c r="G222" s="17"/>
    </row>
    <row r="223" spans="1:7" x14ac:dyDescent="0.35">
      <c r="A223" s="14" t="s">
        <v>307</v>
      </c>
      <c r="B223" s="41"/>
      <c r="C223" s="41"/>
      <c r="D223" s="15"/>
      <c r="E223" s="16"/>
      <c r="F223" s="17"/>
      <c r="G223" s="17"/>
    </row>
    <row r="224" spans="1:7" x14ac:dyDescent="0.35">
      <c r="A224" s="13" t="s">
        <v>780</v>
      </c>
      <c r="B224" s="41" t="s">
        <v>781</v>
      </c>
      <c r="C224" s="41" t="s">
        <v>310</v>
      </c>
      <c r="D224" s="15">
        <v>5000000</v>
      </c>
      <c r="E224" s="16">
        <v>5005.18</v>
      </c>
      <c r="F224" s="17">
        <v>4.0899999999999999E-2</v>
      </c>
      <c r="G224" s="17">
        <v>7.535E-2</v>
      </c>
    </row>
    <row r="225" spans="1:7" x14ac:dyDescent="0.35">
      <c r="A225" s="13" t="s">
        <v>681</v>
      </c>
      <c r="B225" s="41" t="s">
        <v>682</v>
      </c>
      <c r="C225" s="41" t="s">
        <v>310</v>
      </c>
      <c r="D225" s="15">
        <v>2500000</v>
      </c>
      <c r="E225" s="16">
        <v>2483.9499999999998</v>
      </c>
      <c r="F225" s="17">
        <v>2.0299999999999999E-2</v>
      </c>
      <c r="G225" s="17">
        <v>7.7299999999999994E-2</v>
      </c>
    </row>
    <row r="226" spans="1:7" x14ac:dyDescent="0.35">
      <c r="A226" s="13" t="s">
        <v>2207</v>
      </c>
      <c r="B226" s="41" t="s">
        <v>2208</v>
      </c>
      <c r="C226" s="41" t="s">
        <v>310</v>
      </c>
      <c r="D226" s="15">
        <v>1000000</v>
      </c>
      <c r="E226" s="16">
        <v>1006.34</v>
      </c>
      <c r="F226" s="17">
        <v>8.2000000000000007E-3</v>
      </c>
      <c r="G226" s="17">
        <v>7.1795999999999999E-2</v>
      </c>
    </row>
    <row r="227" spans="1:7" x14ac:dyDescent="0.35">
      <c r="A227" s="14" t="s">
        <v>149</v>
      </c>
      <c r="B227" s="42"/>
      <c r="C227" s="42"/>
      <c r="D227" s="18"/>
      <c r="E227" s="19">
        <v>8495.4699999999993</v>
      </c>
      <c r="F227" s="20">
        <v>6.9400000000000003E-2</v>
      </c>
      <c r="G227" s="21"/>
    </row>
    <row r="228" spans="1:7" x14ac:dyDescent="0.35">
      <c r="A228" s="13"/>
      <c r="B228" s="41"/>
      <c r="C228" s="41"/>
      <c r="D228" s="15"/>
      <c r="E228" s="16"/>
      <c r="F228" s="17"/>
      <c r="G228" s="17"/>
    </row>
    <row r="229" spans="1:7" x14ac:dyDescent="0.35">
      <c r="A229" s="14" t="s">
        <v>463</v>
      </c>
      <c r="B229" s="41"/>
      <c r="C229" s="41"/>
      <c r="D229" s="15"/>
      <c r="E229" s="16"/>
      <c r="F229" s="17"/>
      <c r="G229" s="17"/>
    </row>
    <row r="230" spans="1:7" x14ac:dyDescent="0.35">
      <c r="A230" s="13" t="s">
        <v>693</v>
      </c>
      <c r="B230" s="41" t="s">
        <v>694</v>
      </c>
      <c r="C230" s="41" t="s">
        <v>153</v>
      </c>
      <c r="D230" s="15">
        <v>2500000</v>
      </c>
      <c r="E230" s="16">
        <v>2566.06</v>
      </c>
      <c r="F230" s="17">
        <v>2.1000000000000001E-2</v>
      </c>
      <c r="G230" s="17">
        <v>6.8396999999999999E-2</v>
      </c>
    </row>
    <row r="231" spans="1:7" x14ac:dyDescent="0.35">
      <c r="A231" s="13" t="s">
        <v>466</v>
      </c>
      <c r="B231" s="41" t="s">
        <v>467</v>
      </c>
      <c r="C231" s="41" t="s">
        <v>153</v>
      </c>
      <c r="D231" s="15">
        <v>1000000</v>
      </c>
      <c r="E231" s="16">
        <v>1030.05</v>
      </c>
      <c r="F231" s="17">
        <v>8.3999999999999995E-3</v>
      </c>
      <c r="G231" s="17">
        <v>6.1441999999999997E-2</v>
      </c>
    </row>
    <row r="232" spans="1:7" x14ac:dyDescent="0.35">
      <c r="A232" s="14" t="s">
        <v>149</v>
      </c>
      <c r="B232" s="42"/>
      <c r="C232" s="42"/>
      <c r="D232" s="18"/>
      <c r="E232" s="19">
        <v>3596.11</v>
      </c>
      <c r="F232" s="20">
        <v>2.9399999999999999E-2</v>
      </c>
      <c r="G232" s="21"/>
    </row>
    <row r="233" spans="1:7" x14ac:dyDescent="0.35">
      <c r="A233" s="13"/>
      <c r="B233" s="41"/>
      <c r="C233" s="41"/>
      <c r="D233" s="15"/>
      <c r="E233" s="16"/>
      <c r="F233" s="17"/>
      <c r="G233" s="17"/>
    </row>
    <row r="234" spans="1:7" x14ac:dyDescent="0.35">
      <c r="A234" s="14" t="s">
        <v>158</v>
      </c>
      <c r="B234" s="41"/>
      <c r="C234" s="41"/>
      <c r="D234" s="15"/>
      <c r="E234" s="16"/>
      <c r="F234" s="17"/>
      <c r="G234" s="17"/>
    </row>
    <row r="235" spans="1:7" x14ac:dyDescent="0.35">
      <c r="A235" s="14" t="s">
        <v>149</v>
      </c>
      <c r="B235" s="41"/>
      <c r="C235" s="41"/>
      <c r="D235" s="15"/>
      <c r="E235" s="34" t="s">
        <v>146</v>
      </c>
      <c r="F235" s="35" t="s">
        <v>146</v>
      </c>
      <c r="G235" s="17"/>
    </row>
    <row r="236" spans="1:7" x14ac:dyDescent="0.35">
      <c r="A236" s="13"/>
      <c r="B236" s="41"/>
      <c r="C236" s="41"/>
      <c r="D236" s="15"/>
      <c r="E236" s="16"/>
      <c r="F236" s="17"/>
      <c r="G236" s="17"/>
    </row>
    <row r="237" spans="1:7" x14ac:dyDescent="0.35">
      <c r="A237" s="14" t="s">
        <v>159</v>
      </c>
      <c r="B237" s="41"/>
      <c r="C237" s="41"/>
      <c r="D237" s="15"/>
      <c r="E237" s="16"/>
      <c r="F237" s="17"/>
      <c r="G237" s="17"/>
    </row>
    <row r="238" spans="1:7" x14ac:dyDescent="0.35">
      <c r="A238" s="14" t="s">
        <v>149</v>
      </c>
      <c r="B238" s="41"/>
      <c r="C238" s="41"/>
      <c r="D238" s="15"/>
      <c r="E238" s="34" t="s">
        <v>146</v>
      </c>
      <c r="F238" s="35" t="s">
        <v>146</v>
      </c>
      <c r="G238" s="17"/>
    </row>
    <row r="239" spans="1:7" x14ac:dyDescent="0.35">
      <c r="A239" s="13"/>
      <c r="B239" s="41"/>
      <c r="C239" s="41"/>
      <c r="D239" s="15"/>
      <c r="E239" s="16"/>
      <c r="F239" s="17"/>
      <c r="G239" s="17"/>
    </row>
    <row r="240" spans="1:7" x14ac:dyDescent="0.35">
      <c r="A240" s="22" t="s">
        <v>160</v>
      </c>
      <c r="B240" s="43"/>
      <c r="C240" s="43"/>
      <c r="D240" s="23"/>
      <c r="E240" s="36">
        <v>12091.58</v>
      </c>
      <c r="F240" s="37">
        <v>9.8799999999999999E-2</v>
      </c>
      <c r="G240" s="21"/>
    </row>
    <row r="241" spans="1:7" x14ac:dyDescent="0.35">
      <c r="A241" s="13"/>
      <c r="B241" s="41"/>
      <c r="C241" s="41"/>
      <c r="D241" s="15"/>
      <c r="E241" s="16"/>
      <c r="F241" s="17"/>
      <c r="G241" s="17"/>
    </row>
    <row r="242" spans="1:7" x14ac:dyDescent="0.35">
      <c r="A242" s="13"/>
      <c r="B242" s="41"/>
      <c r="C242" s="41"/>
      <c r="D242" s="15"/>
      <c r="E242" s="16"/>
      <c r="F242" s="17"/>
      <c r="G242" s="17"/>
    </row>
    <row r="243" spans="1:7" x14ac:dyDescent="0.35">
      <c r="A243" s="14" t="s">
        <v>884</v>
      </c>
      <c r="B243" s="41"/>
      <c r="C243" s="41"/>
      <c r="D243" s="15"/>
      <c r="E243" s="16"/>
      <c r="F243" s="17"/>
      <c r="G243" s="17"/>
    </row>
    <row r="244" spans="1:7" x14ac:dyDescent="0.35">
      <c r="A244" s="13" t="s">
        <v>1786</v>
      </c>
      <c r="B244" s="41" t="s">
        <v>1787</v>
      </c>
      <c r="C244" s="41"/>
      <c r="D244" s="15">
        <v>255625.40299999999</v>
      </c>
      <c r="E244" s="16">
        <v>9010.52</v>
      </c>
      <c r="F244" s="17">
        <v>7.3700000000000002E-2</v>
      </c>
      <c r="G244" s="17"/>
    </row>
    <row r="245" spans="1:7" x14ac:dyDescent="0.35">
      <c r="A245" s="13" t="s">
        <v>1790</v>
      </c>
      <c r="B245" s="41" t="s">
        <v>1791</v>
      </c>
      <c r="C245" s="41"/>
      <c r="D245" s="15">
        <v>340263.61900000001</v>
      </c>
      <c r="E245" s="16">
        <v>3613.43</v>
      </c>
      <c r="F245" s="17">
        <v>2.9499999999999998E-2</v>
      </c>
      <c r="G245" s="17"/>
    </row>
    <row r="246" spans="1:7" x14ac:dyDescent="0.35">
      <c r="A246" s="13" t="s">
        <v>1788</v>
      </c>
      <c r="B246" s="41" t="s">
        <v>1789</v>
      </c>
      <c r="C246" s="41"/>
      <c r="D246" s="15">
        <v>11048999.999700001</v>
      </c>
      <c r="E246" s="16">
        <v>3590.54</v>
      </c>
      <c r="F246" s="17">
        <v>2.9399999999999999E-2</v>
      </c>
      <c r="G246" s="17"/>
    </row>
    <row r="247" spans="1:7" x14ac:dyDescent="0.35">
      <c r="A247" s="13"/>
      <c r="B247" s="41"/>
      <c r="C247" s="41"/>
      <c r="D247" s="15"/>
      <c r="E247" s="16"/>
      <c r="F247" s="17"/>
      <c r="G247" s="17"/>
    </row>
    <row r="248" spans="1:7" x14ac:dyDescent="0.35">
      <c r="A248" s="22" t="s">
        <v>160</v>
      </c>
      <c r="B248" s="43"/>
      <c r="C248" s="43"/>
      <c r="D248" s="23"/>
      <c r="E248" s="36">
        <v>16214.49</v>
      </c>
      <c r="F248" s="37">
        <v>0.1326</v>
      </c>
      <c r="G248" s="21"/>
    </row>
    <row r="249" spans="1:7" x14ac:dyDescent="0.35">
      <c r="A249" s="13"/>
      <c r="B249" s="41"/>
      <c r="C249" s="41"/>
      <c r="D249" s="15"/>
      <c r="E249" s="16"/>
      <c r="F249" s="17"/>
      <c r="G249" s="17"/>
    </row>
    <row r="250" spans="1:7" x14ac:dyDescent="0.35">
      <c r="A250" s="14" t="s">
        <v>255</v>
      </c>
      <c r="B250" s="41"/>
      <c r="C250" s="41"/>
      <c r="D250" s="15"/>
      <c r="E250" s="16"/>
      <c r="F250" s="17"/>
      <c r="G250" s="17"/>
    </row>
    <row r="251" spans="1:7" x14ac:dyDescent="0.35">
      <c r="A251" s="13" t="s">
        <v>257</v>
      </c>
      <c r="B251" s="41"/>
      <c r="C251" s="41"/>
      <c r="D251" s="15"/>
      <c r="E251" s="16">
        <v>7054</v>
      </c>
      <c r="F251" s="17">
        <v>5.7700000000000001E-2</v>
      </c>
      <c r="G251" s="17">
        <v>5.1742000000000003E-2</v>
      </c>
    </row>
    <row r="252" spans="1:7" x14ac:dyDescent="0.35">
      <c r="A252" s="14" t="s">
        <v>149</v>
      </c>
      <c r="B252" s="42"/>
      <c r="C252" s="42"/>
      <c r="D252" s="18"/>
      <c r="E252" s="19">
        <v>7054</v>
      </c>
      <c r="F252" s="20">
        <v>5.7700000000000001E-2</v>
      </c>
      <c r="G252" s="21"/>
    </row>
    <row r="253" spans="1:7" x14ac:dyDescent="0.35">
      <c r="A253" s="13"/>
      <c r="B253" s="41"/>
      <c r="C253" s="41"/>
      <c r="D253" s="15"/>
      <c r="E253" s="16"/>
      <c r="F253" s="17"/>
      <c r="G253" s="17"/>
    </row>
    <row r="254" spans="1:7" x14ac:dyDescent="0.35">
      <c r="A254" s="22" t="s">
        <v>160</v>
      </c>
      <c r="B254" s="43"/>
      <c r="C254" s="43"/>
      <c r="D254" s="23"/>
      <c r="E254" s="36">
        <v>7054</v>
      </c>
      <c r="F254" s="37">
        <v>5.7700000000000001E-2</v>
      </c>
      <c r="G254" s="21"/>
    </row>
    <row r="255" spans="1:7" x14ac:dyDescent="0.35">
      <c r="A255" s="13" t="s">
        <v>258</v>
      </c>
      <c r="B255" s="41"/>
      <c r="C255" s="41"/>
      <c r="D255" s="15"/>
      <c r="E255" s="16">
        <v>337.74886550000002</v>
      </c>
      <c r="F255" s="17">
        <v>2.761E-3</v>
      </c>
      <c r="G255" s="17"/>
    </row>
    <row r="256" spans="1:7" x14ac:dyDescent="0.35">
      <c r="A256" s="13" t="s">
        <v>259</v>
      </c>
      <c r="B256" s="41"/>
      <c r="C256" s="41"/>
      <c r="D256" s="15"/>
      <c r="E256" s="28">
        <v>-44.208865500000002</v>
      </c>
      <c r="F256" s="29">
        <v>-2.61E-4</v>
      </c>
      <c r="G256" s="17">
        <v>5.1742000000000003E-2</v>
      </c>
    </row>
    <row r="257" spans="1:7" x14ac:dyDescent="0.35">
      <c r="A257" s="38" t="s">
        <v>260</v>
      </c>
      <c r="B257" s="44"/>
      <c r="C257" s="44"/>
      <c r="D257" s="39"/>
      <c r="E257" s="24">
        <v>122303.13</v>
      </c>
      <c r="F257" s="25">
        <v>1</v>
      </c>
      <c r="G257" s="25"/>
    </row>
    <row r="259" spans="1:7" x14ac:dyDescent="0.35">
      <c r="A259" s="1" t="s">
        <v>1794</v>
      </c>
    </row>
    <row r="260" spans="1:7" x14ac:dyDescent="0.35">
      <c r="A260" s="1" t="s">
        <v>262</v>
      </c>
    </row>
    <row r="262" spans="1:7" x14ac:dyDescent="0.35">
      <c r="A262" s="1" t="s">
        <v>263</v>
      </c>
    </row>
    <row r="263" spans="1:7" x14ac:dyDescent="0.35">
      <c r="A263" s="47" t="s">
        <v>264</v>
      </c>
      <c r="B263" s="3" t="s">
        <v>146</v>
      </c>
    </row>
    <row r="264" spans="1:7" x14ac:dyDescent="0.35">
      <c r="A264" t="s">
        <v>265</v>
      </c>
    </row>
    <row r="265" spans="1:7" x14ac:dyDescent="0.35">
      <c r="A265" t="s">
        <v>712</v>
      </c>
    </row>
    <row r="267" spans="1:7" x14ac:dyDescent="0.35">
      <c r="A267" s="50" t="s">
        <v>713</v>
      </c>
      <c r="B267" s="50" t="s">
        <v>714</v>
      </c>
      <c r="C267" s="50" t="s">
        <v>715</v>
      </c>
      <c r="D267" s="50" t="s">
        <v>716</v>
      </c>
    </row>
    <row r="268" spans="1:7" x14ac:dyDescent="0.35">
      <c r="A268" s="50" t="s">
        <v>2209</v>
      </c>
      <c r="B268" s="50"/>
      <c r="C268" s="50">
        <v>0.08</v>
      </c>
      <c r="D268" s="50">
        <v>0.08</v>
      </c>
    </row>
    <row r="269" spans="1:7" x14ac:dyDescent="0.35">
      <c r="A269" s="50" t="s">
        <v>2210</v>
      </c>
      <c r="B269" s="50"/>
      <c r="C269" s="50">
        <v>0.08</v>
      </c>
      <c r="D269" s="50">
        <v>0.08</v>
      </c>
    </row>
    <row r="271" spans="1:7" x14ac:dyDescent="0.35">
      <c r="A271" t="s">
        <v>284</v>
      </c>
      <c r="B271" s="3" t="s">
        <v>146</v>
      </c>
    </row>
    <row r="272" spans="1:7" ht="29" customHeight="1" x14ac:dyDescent="0.35">
      <c r="A272" s="47" t="s">
        <v>285</v>
      </c>
      <c r="B272" s="3" t="s">
        <v>146</v>
      </c>
    </row>
    <row r="273" spans="1:4" ht="29" customHeight="1" x14ac:dyDescent="0.35">
      <c r="A273" s="47" t="s">
        <v>286</v>
      </c>
      <c r="B273" s="3" t="s">
        <v>146</v>
      </c>
    </row>
    <row r="274" spans="1:4" x14ac:dyDescent="0.35">
      <c r="A274" t="s">
        <v>1253</v>
      </c>
      <c r="B274" s="48">
        <v>6.2569999999999997</v>
      </c>
    </row>
    <row r="275" spans="1:4" ht="43.5" customHeight="1" x14ac:dyDescent="0.35">
      <c r="A275" s="47" t="s">
        <v>288</v>
      </c>
      <c r="B275" s="3">
        <v>344.20191249999999</v>
      </c>
    </row>
    <row r="276" spans="1:4" x14ac:dyDescent="0.35">
      <c r="B276" s="3"/>
    </row>
    <row r="277" spans="1:4" ht="29" customHeight="1" x14ac:dyDescent="0.35">
      <c r="A277" s="47" t="s">
        <v>289</v>
      </c>
      <c r="B277" s="3" t="s">
        <v>146</v>
      </c>
    </row>
    <row r="278" spans="1:4" ht="29" customHeight="1" x14ac:dyDescent="0.35">
      <c r="A278" s="47" t="s">
        <v>290</v>
      </c>
      <c r="B278" t="s">
        <v>146</v>
      </c>
    </row>
    <row r="279" spans="1:4" ht="29" customHeight="1" x14ac:dyDescent="0.35">
      <c r="A279" s="47" t="s">
        <v>291</v>
      </c>
      <c r="B279" s="3" t="s">
        <v>146</v>
      </c>
    </row>
    <row r="280" spans="1:4" ht="29" customHeight="1" x14ac:dyDescent="0.35">
      <c r="A280" s="47" t="s">
        <v>292</v>
      </c>
      <c r="B280" s="3" t="s">
        <v>146</v>
      </c>
    </row>
    <row r="282" spans="1:4" ht="70" customHeight="1" x14ac:dyDescent="0.35">
      <c r="A282" s="70" t="s">
        <v>303</v>
      </c>
      <c r="B282" s="70" t="s">
        <v>304</v>
      </c>
      <c r="C282" s="70" t="s">
        <v>4</v>
      </c>
      <c r="D282" s="70" t="s">
        <v>5</v>
      </c>
    </row>
    <row r="283" spans="1:4" ht="70" customHeight="1" x14ac:dyDescent="0.35">
      <c r="A283" s="70" t="s">
        <v>2211</v>
      </c>
      <c r="B283" s="70"/>
      <c r="C283" s="70" t="s">
        <v>73</v>
      </c>
      <c r="D283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G84"/>
  <sheetViews>
    <sheetView showGridLines="0" workbookViewId="0">
      <pane ySplit="4" topLeftCell="A20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2212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2213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806241</v>
      </c>
      <c r="E8" s="16">
        <v>7491.99</v>
      </c>
      <c r="F8" s="17">
        <v>7.22E-2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448233</v>
      </c>
      <c r="E9" s="16">
        <v>6073.56</v>
      </c>
      <c r="F9" s="17">
        <v>5.8500000000000003E-2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432067</v>
      </c>
      <c r="E10" s="16">
        <v>6029.06</v>
      </c>
      <c r="F10" s="17">
        <v>5.8099999999999999E-2</v>
      </c>
      <c r="G10" s="17"/>
    </row>
    <row r="11" spans="1:7" x14ac:dyDescent="0.35">
      <c r="A11" s="13" t="s">
        <v>1385</v>
      </c>
      <c r="B11" s="41" t="s">
        <v>1386</v>
      </c>
      <c r="C11" s="41" t="s">
        <v>1387</v>
      </c>
      <c r="D11" s="15">
        <v>148023</v>
      </c>
      <c r="E11" s="16">
        <v>5820.71</v>
      </c>
      <c r="F11" s="17">
        <v>5.6099999999999997E-2</v>
      </c>
      <c r="G11" s="17"/>
    </row>
    <row r="12" spans="1:7" x14ac:dyDescent="0.35">
      <c r="A12" s="13" t="s">
        <v>1314</v>
      </c>
      <c r="B12" s="41" t="s">
        <v>1315</v>
      </c>
      <c r="C12" s="41" t="s">
        <v>1211</v>
      </c>
      <c r="D12" s="15">
        <v>502171</v>
      </c>
      <c r="E12" s="16">
        <v>5122.1400000000003</v>
      </c>
      <c r="F12" s="17">
        <v>4.9299999999999997E-2</v>
      </c>
      <c r="G12" s="17"/>
    </row>
    <row r="13" spans="1:7" x14ac:dyDescent="0.35">
      <c r="A13" s="13" t="s">
        <v>1176</v>
      </c>
      <c r="B13" s="41" t="s">
        <v>1177</v>
      </c>
      <c r="C13" s="41" t="s">
        <v>1178</v>
      </c>
      <c r="D13" s="15">
        <v>474385</v>
      </c>
      <c r="E13" s="16">
        <v>5109.84</v>
      </c>
      <c r="F13" s="17">
        <v>4.9200000000000001E-2</v>
      </c>
      <c r="G13" s="17"/>
    </row>
    <row r="14" spans="1:7" x14ac:dyDescent="0.35">
      <c r="A14" s="13" t="s">
        <v>1310</v>
      </c>
      <c r="B14" s="41" t="s">
        <v>1311</v>
      </c>
      <c r="C14" s="41" t="s">
        <v>1261</v>
      </c>
      <c r="D14" s="15">
        <v>2434274</v>
      </c>
      <c r="E14" s="16">
        <v>4701.3100000000004</v>
      </c>
      <c r="F14" s="17">
        <v>4.53E-2</v>
      </c>
      <c r="G14" s="17"/>
    </row>
    <row r="15" spans="1:7" x14ac:dyDescent="0.35">
      <c r="A15" s="13" t="s">
        <v>1241</v>
      </c>
      <c r="B15" s="41" t="s">
        <v>1242</v>
      </c>
      <c r="C15" s="41" t="s">
        <v>1216</v>
      </c>
      <c r="D15" s="15">
        <v>589238</v>
      </c>
      <c r="E15" s="16">
        <v>4300.26</v>
      </c>
      <c r="F15" s="17">
        <v>4.1399999999999999E-2</v>
      </c>
      <c r="G15" s="17"/>
    </row>
    <row r="16" spans="1:7" x14ac:dyDescent="0.35">
      <c r="A16" s="13" t="s">
        <v>1367</v>
      </c>
      <c r="B16" s="41" t="s">
        <v>1368</v>
      </c>
      <c r="C16" s="41" t="s">
        <v>1369</v>
      </c>
      <c r="D16" s="15">
        <v>261021</v>
      </c>
      <c r="E16" s="16">
        <v>4283.3500000000004</v>
      </c>
      <c r="F16" s="17">
        <v>4.1300000000000003E-2</v>
      </c>
      <c r="G16" s="17"/>
    </row>
    <row r="17" spans="1:7" x14ac:dyDescent="0.35">
      <c r="A17" s="13" t="s">
        <v>1531</v>
      </c>
      <c r="B17" s="41" t="s">
        <v>1532</v>
      </c>
      <c r="C17" s="41" t="s">
        <v>1369</v>
      </c>
      <c r="D17" s="15">
        <v>229693</v>
      </c>
      <c r="E17" s="16">
        <v>3798.66</v>
      </c>
      <c r="F17" s="17">
        <v>3.6600000000000001E-2</v>
      </c>
      <c r="G17" s="17"/>
    </row>
    <row r="18" spans="1:7" x14ac:dyDescent="0.35">
      <c r="A18" s="13" t="s">
        <v>1222</v>
      </c>
      <c r="B18" s="41" t="s">
        <v>1223</v>
      </c>
      <c r="C18" s="41" t="s">
        <v>1224</v>
      </c>
      <c r="D18" s="15">
        <v>28331</v>
      </c>
      <c r="E18" s="16">
        <v>3596.34</v>
      </c>
      <c r="F18" s="17">
        <v>3.4599999999999999E-2</v>
      </c>
      <c r="G18" s="17"/>
    </row>
    <row r="19" spans="1:7" x14ac:dyDescent="0.35">
      <c r="A19" s="13" t="s">
        <v>1993</v>
      </c>
      <c r="B19" s="41" t="s">
        <v>1994</v>
      </c>
      <c r="C19" s="41" t="s">
        <v>1288</v>
      </c>
      <c r="D19" s="15">
        <v>87184</v>
      </c>
      <c r="E19" s="16">
        <v>3505.76</v>
      </c>
      <c r="F19" s="17">
        <v>3.3799999999999997E-2</v>
      </c>
      <c r="G19" s="17"/>
    </row>
    <row r="20" spans="1:7" x14ac:dyDescent="0.35">
      <c r="A20" s="13" t="s">
        <v>1351</v>
      </c>
      <c r="B20" s="41" t="s">
        <v>1352</v>
      </c>
      <c r="C20" s="41" t="s">
        <v>1305</v>
      </c>
      <c r="D20" s="15">
        <v>949510</v>
      </c>
      <c r="E20" s="16">
        <v>3380.26</v>
      </c>
      <c r="F20" s="17">
        <v>3.2599999999999997E-2</v>
      </c>
      <c r="G20" s="17"/>
    </row>
    <row r="21" spans="1:7" x14ac:dyDescent="0.35">
      <c r="A21" s="13" t="s">
        <v>1295</v>
      </c>
      <c r="B21" s="41" t="s">
        <v>1296</v>
      </c>
      <c r="C21" s="41" t="s">
        <v>1188</v>
      </c>
      <c r="D21" s="15">
        <v>96358</v>
      </c>
      <c r="E21" s="16">
        <v>3306.81</v>
      </c>
      <c r="F21" s="17">
        <v>3.1899999999999998E-2</v>
      </c>
      <c r="G21" s="17"/>
    </row>
    <row r="22" spans="1:7" x14ac:dyDescent="0.35">
      <c r="A22" s="13" t="s">
        <v>1209</v>
      </c>
      <c r="B22" s="41" t="s">
        <v>1210</v>
      </c>
      <c r="C22" s="41" t="s">
        <v>1211</v>
      </c>
      <c r="D22" s="15">
        <v>328274</v>
      </c>
      <c r="E22" s="16">
        <v>3052.46</v>
      </c>
      <c r="F22" s="17">
        <v>2.9399999999999999E-2</v>
      </c>
      <c r="G22" s="17"/>
    </row>
    <row r="23" spans="1:7" x14ac:dyDescent="0.35">
      <c r="A23" s="13" t="s">
        <v>1289</v>
      </c>
      <c r="B23" s="41" t="s">
        <v>1290</v>
      </c>
      <c r="C23" s="41" t="s">
        <v>1285</v>
      </c>
      <c r="D23" s="15">
        <v>641152</v>
      </c>
      <c r="E23" s="16">
        <v>2878.77</v>
      </c>
      <c r="F23" s="17">
        <v>2.7699999999999999E-2</v>
      </c>
      <c r="G23" s="17"/>
    </row>
    <row r="24" spans="1:7" x14ac:dyDescent="0.35">
      <c r="A24" s="13" t="s">
        <v>1212</v>
      </c>
      <c r="B24" s="41" t="s">
        <v>1213</v>
      </c>
      <c r="C24" s="41" t="s">
        <v>1188</v>
      </c>
      <c r="D24" s="15">
        <v>73870</v>
      </c>
      <c r="E24" s="16">
        <v>2716.5</v>
      </c>
      <c r="F24" s="17">
        <v>2.6200000000000001E-2</v>
      </c>
      <c r="G24" s="17"/>
    </row>
    <row r="25" spans="1:7" x14ac:dyDescent="0.35">
      <c r="A25" s="13" t="s">
        <v>1199</v>
      </c>
      <c r="B25" s="41" t="s">
        <v>1200</v>
      </c>
      <c r="C25" s="41" t="s">
        <v>1201</v>
      </c>
      <c r="D25" s="15">
        <v>67654</v>
      </c>
      <c r="E25" s="16">
        <v>2690.87</v>
      </c>
      <c r="F25" s="17">
        <v>2.5899999999999999E-2</v>
      </c>
      <c r="G25" s="17"/>
    </row>
    <row r="26" spans="1:7" x14ac:dyDescent="0.35">
      <c r="A26" s="13" t="s">
        <v>1449</v>
      </c>
      <c r="B26" s="41" t="s">
        <v>1450</v>
      </c>
      <c r="C26" s="41" t="s">
        <v>1229</v>
      </c>
      <c r="D26" s="15">
        <v>274283</v>
      </c>
      <c r="E26" s="16">
        <v>2624.34</v>
      </c>
      <c r="F26" s="17">
        <v>2.53E-2</v>
      </c>
      <c r="G26" s="17"/>
    </row>
    <row r="27" spans="1:7" x14ac:dyDescent="0.35">
      <c r="A27" s="13" t="s">
        <v>1278</v>
      </c>
      <c r="B27" s="41" t="s">
        <v>1279</v>
      </c>
      <c r="C27" s="41" t="s">
        <v>1280</v>
      </c>
      <c r="D27" s="15">
        <v>101855</v>
      </c>
      <c r="E27" s="16">
        <v>2574.89</v>
      </c>
      <c r="F27" s="17">
        <v>2.4799999999999999E-2</v>
      </c>
      <c r="G27" s="17"/>
    </row>
    <row r="28" spans="1:7" x14ac:dyDescent="0.35">
      <c r="A28" s="13" t="s">
        <v>2075</v>
      </c>
      <c r="B28" s="41" t="s">
        <v>2076</v>
      </c>
      <c r="C28" s="41" t="s">
        <v>1234</v>
      </c>
      <c r="D28" s="15">
        <v>120946</v>
      </c>
      <c r="E28" s="16">
        <v>2568.89</v>
      </c>
      <c r="F28" s="17">
        <v>2.47E-2</v>
      </c>
      <c r="G28" s="17"/>
    </row>
    <row r="29" spans="1:7" x14ac:dyDescent="0.35">
      <c r="A29" s="13" t="s">
        <v>1463</v>
      </c>
      <c r="B29" s="41" t="s">
        <v>1464</v>
      </c>
      <c r="C29" s="41" t="s">
        <v>1465</v>
      </c>
      <c r="D29" s="15">
        <v>151623</v>
      </c>
      <c r="E29" s="16">
        <v>2508.6</v>
      </c>
      <c r="F29" s="17">
        <v>2.4199999999999999E-2</v>
      </c>
      <c r="G29" s="17"/>
    </row>
    <row r="30" spans="1:7" x14ac:dyDescent="0.35">
      <c r="A30" s="13" t="s">
        <v>1496</v>
      </c>
      <c r="B30" s="41" t="s">
        <v>1497</v>
      </c>
      <c r="C30" s="41" t="s">
        <v>1211</v>
      </c>
      <c r="D30" s="15">
        <v>141965</v>
      </c>
      <c r="E30" s="16">
        <v>2316.3000000000002</v>
      </c>
      <c r="F30" s="17">
        <v>2.23E-2</v>
      </c>
      <c r="G30" s="17"/>
    </row>
    <row r="31" spans="1:7" x14ac:dyDescent="0.35">
      <c r="A31" s="13" t="s">
        <v>1443</v>
      </c>
      <c r="B31" s="41" t="s">
        <v>1444</v>
      </c>
      <c r="C31" s="41" t="s">
        <v>1178</v>
      </c>
      <c r="D31" s="15">
        <v>2577007</v>
      </c>
      <c r="E31" s="16">
        <v>2153.86</v>
      </c>
      <c r="F31" s="17">
        <v>2.07E-2</v>
      </c>
      <c r="G31" s="17"/>
    </row>
    <row r="32" spans="1:7" x14ac:dyDescent="0.35">
      <c r="A32" s="13" t="s">
        <v>1822</v>
      </c>
      <c r="B32" s="41" t="s">
        <v>1823</v>
      </c>
      <c r="C32" s="41" t="s">
        <v>1266</v>
      </c>
      <c r="D32" s="15">
        <v>1693436</v>
      </c>
      <c r="E32" s="16">
        <v>2132.88</v>
      </c>
      <c r="F32" s="17">
        <v>2.0500000000000001E-2</v>
      </c>
      <c r="G32" s="17"/>
    </row>
    <row r="33" spans="1:7" x14ac:dyDescent="0.35">
      <c r="A33" s="13" t="s">
        <v>1933</v>
      </c>
      <c r="B33" s="41" t="s">
        <v>1934</v>
      </c>
      <c r="C33" s="41" t="s">
        <v>1382</v>
      </c>
      <c r="D33" s="15">
        <v>84311</v>
      </c>
      <c r="E33" s="16">
        <v>2046.06</v>
      </c>
      <c r="F33" s="17">
        <v>1.9699999999999999E-2</v>
      </c>
      <c r="G33" s="17"/>
    </row>
    <row r="34" spans="1:7" x14ac:dyDescent="0.35">
      <c r="A34" s="13" t="s">
        <v>1970</v>
      </c>
      <c r="B34" s="41" t="s">
        <v>1971</v>
      </c>
      <c r="C34" s="41" t="s">
        <v>1201</v>
      </c>
      <c r="D34" s="15">
        <v>101521</v>
      </c>
      <c r="E34" s="16">
        <v>1484.85</v>
      </c>
      <c r="F34" s="17">
        <v>1.43E-2</v>
      </c>
      <c r="G34" s="17"/>
    </row>
    <row r="35" spans="1:7" x14ac:dyDescent="0.35">
      <c r="A35" s="13" t="s">
        <v>1459</v>
      </c>
      <c r="B35" s="41" t="s">
        <v>1460</v>
      </c>
      <c r="C35" s="41" t="s">
        <v>1266</v>
      </c>
      <c r="D35" s="15">
        <v>38532</v>
      </c>
      <c r="E35" s="16">
        <v>1458.63</v>
      </c>
      <c r="F35" s="17">
        <v>1.41E-2</v>
      </c>
      <c r="G35" s="17"/>
    </row>
    <row r="36" spans="1:7" x14ac:dyDescent="0.35">
      <c r="A36" s="13" t="s">
        <v>1937</v>
      </c>
      <c r="B36" s="41" t="s">
        <v>1938</v>
      </c>
      <c r="C36" s="41" t="s">
        <v>1301</v>
      </c>
      <c r="D36" s="15">
        <v>141498</v>
      </c>
      <c r="E36" s="16">
        <v>721.71</v>
      </c>
      <c r="F36" s="17">
        <v>7.0000000000000001E-3</v>
      </c>
      <c r="G36" s="17"/>
    </row>
    <row r="37" spans="1:7" x14ac:dyDescent="0.35">
      <c r="A37" s="13" t="s">
        <v>2028</v>
      </c>
      <c r="B37" s="41" t="s">
        <v>2029</v>
      </c>
      <c r="C37" s="41" t="s">
        <v>1849</v>
      </c>
      <c r="D37" s="15">
        <v>115310</v>
      </c>
      <c r="E37" s="16">
        <v>528.70000000000005</v>
      </c>
      <c r="F37" s="17">
        <v>5.1000000000000004E-3</v>
      </c>
      <c r="G37" s="17"/>
    </row>
    <row r="38" spans="1:7" x14ac:dyDescent="0.35">
      <c r="A38" s="14" t="s">
        <v>149</v>
      </c>
      <c r="B38" s="42"/>
      <c r="C38" s="42"/>
      <c r="D38" s="18"/>
      <c r="E38" s="19">
        <v>100978.36</v>
      </c>
      <c r="F38" s="20">
        <v>0.9728</v>
      </c>
      <c r="G38" s="21"/>
    </row>
    <row r="39" spans="1:7" x14ac:dyDescent="0.35">
      <c r="A39" s="14"/>
      <c r="B39" s="42"/>
      <c r="C39" s="42"/>
      <c r="D39" s="18"/>
      <c r="E39" s="26"/>
      <c r="F39" s="21"/>
      <c r="G39" s="21"/>
    </row>
    <row r="40" spans="1:7" x14ac:dyDescent="0.35">
      <c r="A40" s="14"/>
      <c r="B40" s="42"/>
      <c r="C40" s="42"/>
      <c r="D40" s="18"/>
      <c r="E40" s="26"/>
      <c r="F40" s="21"/>
      <c r="G40" s="21"/>
    </row>
    <row r="41" spans="1:7" x14ac:dyDescent="0.35">
      <c r="A41" s="58" t="s">
        <v>147</v>
      </c>
      <c r="B41" s="42"/>
      <c r="C41" s="42"/>
      <c r="D41" s="18"/>
      <c r="E41" s="26"/>
      <c r="F41" s="21"/>
      <c r="G41" s="21"/>
    </row>
    <row r="42" spans="1:7" x14ac:dyDescent="0.35">
      <c r="A42" s="58" t="s">
        <v>1249</v>
      </c>
      <c r="B42" s="41"/>
      <c r="C42" s="41"/>
      <c r="D42" s="15"/>
      <c r="E42" s="16"/>
      <c r="F42" s="17"/>
      <c r="G42" s="17"/>
    </row>
    <row r="43" spans="1:7" x14ac:dyDescent="0.35">
      <c r="A43" s="58" t="s">
        <v>1250</v>
      </c>
      <c r="B43" s="41"/>
      <c r="C43" s="41"/>
      <c r="D43" s="15"/>
      <c r="E43" s="16"/>
      <c r="F43" s="17"/>
      <c r="G43" s="17"/>
    </row>
    <row r="44" spans="1:7" x14ac:dyDescent="0.35">
      <c r="A44" s="13" t="s">
        <v>1251</v>
      </c>
      <c r="B44" s="41" t="s">
        <v>1252</v>
      </c>
      <c r="C44" s="41" t="s">
        <v>1188</v>
      </c>
      <c r="D44" s="15">
        <v>325116</v>
      </c>
      <c r="E44" s="16">
        <v>33.24</v>
      </c>
      <c r="F44" s="17">
        <v>2.9999999999999997E-4</v>
      </c>
      <c r="G44" s="17">
        <v>6.3450000000000006E-2</v>
      </c>
    </row>
    <row r="45" spans="1:7" x14ac:dyDescent="0.35">
      <c r="A45" s="14" t="s">
        <v>149</v>
      </c>
      <c r="B45" s="42"/>
      <c r="C45" s="42"/>
      <c r="D45" s="18"/>
      <c r="E45" s="19">
        <v>33.24</v>
      </c>
      <c r="F45" s="20">
        <v>2.9999999999999997E-4</v>
      </c>
      <c r="G45" s="21"/>
    </row>
    <row r="46" spans="1:7" x14ac:dyDescent="0.35">
      <c r="A46" s="22" t="s">
        <v>160</v>
      </c>
      <c r="B46" s="43"/>
      <c r="C46" s="43"/>
      <c r="D46" s="23"/>
      <c r="E46" s="24">
        <f>E45+E38</f>
        <v>101011.6</v>
      </c>
      <c r="F46" s="25">
        <f>+F45+F38</f>
        <v>0.97309999999999997</v>
      </c>
      <c r="G46" s="21"/>
    </row>
    <row r="47" spans="1:7" x14ac:dyDescent="0.35">
      <c r="A47" s="13"/>
      <c r="B47" s="41"/>
      <c r="C47" s="41"/>
      <c r="D47" s="15"/>
      <c r="E47" s="16"/>
      <c r="F47" s="17"/>
      <c r="G47" s="17"/>
    </row>
    <row r="48" spans="1:7" x14ac:dyDescent="0.35">
      <c r="A48" s="13"/>
      <c r="B48" s="41"/>
      <c r="C48" s="41"/>
      <c r="D48" s="15"/>
      <c r="E48" s="16"/>
      <c r="F48" s="17"/>
      <c r="G48" s="17"/>
    </row>
    <row r="49" spans="1:7" x14ac:dyDescent="0.35">
      <c r="A49" s="14" t="s">
        <v>255</v>
      </c>
      <c r="B49" s="41"/>
      <c r="C49" s="41"/>
      <c r="D49" s="15"/>
      <c r="E49" s="16"/>
      <c r="F49" s="17"/>
      <c r="G49" s="17"/>
    </row>
    <row r="50" spans="1:7" x14ac:dyDescent="0.35">
      <c r="A50" s="13" t="s">
        <v>257</v>
      </c>
      <c r="B50" s="41"/>
      <c r="C50" s="41"/>
      <c r="D50" s="15"/>
      <c r="E50" s="16">
        <v>3902.34</v>
      </c>
      <c r="F50" s="17">
        <v>3.7600000000000001E-2</v>
      </c>
      <c r="G50" s="17">
        <v>5.1742000000000003E-2</v>
      </c>
    </row>
    <row r="51" spans="1:7" x14ac:dyDescent="0.35">
      <c r="A51" s="14" t="s">
        <v>149</v>
      </c>
      <c r="B51" s="42"/>
      <c r="C51" s="42"/>
      <c r="D51" s="18"/>
      <c r="E51" s="19">
        <v>3902.34</v>
      </c>
      <c r="F51" s="20">
        <v>3.7600000000000001E-2</v>
      </c>
      <c r="G51" s="21"/>
    </row>
    <row r="52" spans="1:7" x14ac:dyDescent="0.35">
      <c r="A52" s="13"/>
      <c r="B52" s="41"/>
      <c r="C52" s="41"/>
      <c r="D52" s="15"/>
      <c r="E52" s="16"/>
      <c r="F52" s="17"/>
      <c r="G52" s="17"/>
    </row>
    <row r="53" spans="1:7" x14ac:dyDescent="0.35">
      <c r="A53" s="22" t="s">
        <v>160</v>
      </c>
      <c r="B53" s="43"/>
      <c r="C53" s="43"/>
      <c r="D53" s="23"/>
      <c r="E53" s="36">
        <v>3902.34</v>
      </c>
      <c r="F53" s="37">
        <v>3.7600000000000001E-2</v>
      </c>
      <c r="G53" s="21"/>
    </row>
    <row r="54" spans="1:7" x14ac:dyDescent="0.35">
      <c r="A54" s="13" t="s">
        <v>258</v>
      </c>
      <c r="B54" s="41"/>
      <c r="C54" s="41"/>
      <c r="D54" s="15"/>
      <c r="E54" s="16">
        <v>1.1063829999999999</v>
      </c>
      <c r="F54" s="17">
        <v>1.0000000000000001E-5</v>
      </c>
      <c r="G54" s="17"/>
    </row>
    <row r="55" spans="1:7" x14ac:dyDescent="0.35">
      <c r="A55" s="13" t="s">
        <v>259</v>
      </c>
      <c r="B55" s="41"/>
      <c r="C55" s="41"/>
      <c r="D55" s="15"/>
      <c r="E55" s="28">
        <v>-1113.176383</v>
      </c>
      <c r="F55" s="29">
        <v>-1.0710000000000001E-2</v>
      </c>
      <c r="G55" s="17">
        <v>5.1741000000000002E-2</v>
      </c>
    </row>
    <row r="56" spans="1:7" x14ac:dyDescent="0.35">
      <c r="A56" s="38" t="s">
        <v>260</v>
      </c>
      <c r="B56" s="44"/>
      <c r="C56" s="44"/>
      <c r="D56" s="39"/>
      <c r="E56" s="24">
        <v>103801.87</v>
      </c>
      <c r="F56" s="25">
        <v>1</v>
      </c>
      <c r="G56" s="25"/>
    </row>
    <row r="61" spans="1:7" x14ac:dyDescent="0.35">
      <c r="A61" s="1" t="s">
        <v>263</v>
      </c>
    </row>
    <row r="62" spans="1:7" x14ac:dyDescent="0.35">
      <c r="A62" s="47" t="s">
        <v>264</v>
      </c>
      <c r="B62" s="3" t="s">
        <v>146</v>
      </c>
    </row>
    <row r="63" spans="1:7" x14ac:dyDescent="0.35">
      <c r="A63" t="s">
        <v>265</v>
      </c>
    </row>
    <row r="64" spans="1:7" x14ac:dyDescent="0.35">
      <c r="A64" t="s">
        <v>266</v>
      </c>
      <c r="B64" t="s">
        <v>267</v>
      </c>
      <c r="C64" t="s">
        <v>267</v>
      </c>
    </row>
    <row r="65" spans="1:3" x14ac:dyDescent="0.35">
      <c r="B65" s="49">
        <v>46022</v>
      </c>
      <c r="C65" s="49">
        <v>46052</v>
      </c>
    </row>
    <row r="66" spans="1:3" x14ac:dyDescent="0.35">
      <c r="A66" t="s">
        <v>752</v>
      </c>
      <c r="B66">
        <v>17.923999999999999</v>
      </c>
      <c r="C66">
        <v>17.626000000000001</v>
      </c>
    </row>
    <row r="67" spans="1:3" x14ac:dyDescent="0.35">
      <c r="A67" t="s">
        <v>273</v>
      </c>
      <c r="B67">
        <v>17.923999999999999</v>
      </c>
      <c r="C67">
        <v>17.626000000000001</v>
      </c>
    </row>
    <row r="68" spans="1:3" x14ac:dyDescent="0.35">
      <c r="A68" t="s">
        <v>753</v>
      </c>
      <c r="B68">
        <v>16.95</v>
      </c>
      <c r="C68">
        <v>16.646999999999998</v>
      </c>
    </row>
    <row r="69" spans="1:3" x14ac:dyDescent="0.35">
      <c r="A69" t="s">
        <v>709</v>
      </c>
      <c r="B69">
        <v>16.949000000000002</v>
      </c>
      <c r="C69">
        <v>16.646000000000001</v>
      </c>
    </row>
    <row r="71" spans="1:3" x14ac:dyDescent="0.35">
      <c r="A71" t="s">
        <v>283</v>
      </c>
      <c r="B71" s="3" t="s">
        <v>146</v>
      </c>
    </row>
    <row r="72" spans="1:3" x14ac:dyDescent="0.35">
      <c r="A72" t="s">
        <v>284</v>
      </c>
      <c r="B72" s="3" t="s">
        <v>146</v>
      </c>
    </row>
    <row r="73" spans="1:3" ht="29" customHeight="1" x14ac:dyDescent="0.35">
      <c r="A73" s="47" t="s">
        <v>285</v>
      </c>
      <c r="B73" s="3" t="s">
        <v>146</v>
      </c>
    </row>
    <row r="74" spans="1:3" ht="29" customHeight="1" x14ac:dyDescent="0.35">
      <c r="A74" s="47" t="s">
        <v>286</v>
      </c>
      <c r="B74" s="3" t="s">
        <v>146</v>
      </c>
    </row>
    <row r="75" spans="1:3" x14ac:dyDescent="0.35">
      <c r="A75" t="s">
        <v>1253</v>
      </c>
      <c r="B75" s="48">
        <v>0.33710000000000001</v>
      </c>
    </row>
    <row r="76" spans="1:3" ht="43.5" customHeight="1" x14ac:dyDescent="0.35">
      <c r="A76" s="47" t="s">
        <v>288</v>
      </c>
      <c r="B76" s="3" t="s">
        <v>146</v>
      </c>
    </row>
    <row r="77" spans="1:3" x14ac:dyDescent="0.35">
      <c r="B77" s="3"/>
    </row>
    <row r="78" spans="1:3" ht="29" customHeight="1" x14ac:dyDescent="0.35">
      <c r="A78" s="47" t="s">
        <v>289</v>
      </c>
      <c r="B78" s="3" t="s">
        <v>146</v>
      </c>
    </row>
    <row r="79" spans="1:3" ht="29" customHeight="1" x14ac:dyDescent="0.35">
      <c r="A79" s="47" t="s">
        <v>290</v>
      </c>
      <c r="B79">
        <v>4067.5</v>
      </c>
    </row>
    <row r="80" spans="1:3" ht="29" customHeight="1" x14ac:dyDescent="0.35">
      <c r="A80" s="47" t="s">
        <v>291</v>
      </c>
      <c r="B80" s="3" t="s">
        <v>146</v>
      </c>
    </row>
    <row r="81" spans="1:4" ht="29" customHeight="1" x14ac:dyDescent="0.35">
      <c r="A81" s="47" t="s">
        <v>292</v>
      </c>
      <c r="B81" s="3" t="s">
        <v>146</v>
      </c>
    </row>
    <row r="83" spans="1:4" ht="70" customHeight="1" x14ac:dyDescent="0.35">
      <c r="A83" s="70" t="s">
        <v>303</v>
      </c>
      <c r="B83" s="70" t="s">
        <v>304</v>
      </c>
      <c r="C83" s="70" t="s">
        <v>4</v>
      </c>
      <c r="D83" s="70" t="s">
        <v>5</v>
      </c>
    </row>
    <row r="84" spans="1:4" ht="70" customHeight="1" x14ac:dyDescent="0.35">
      <c r="A84" s="70" t="s">
        <v>2214</v>
      </c>
      <c r="B84" s="70"/>
      <c r="C84" s="70" t="s">
        <v>59</v>
      </c>
      <c r="D84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G53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2215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2216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3"/>
      <c r="B7" s="41"/>
      <c r="C7" s="41"/>
      <c r="D7" s="15"/>
      <c r="E7" s="16"/>
      <c r="F7" s="17"/>
      <c r="G7" s="17"/>
    </row>
    <row r="8" spans="1:7" x14ac:dyDescent="0.35">
      <c r="A8" s="14" t="s">
        <v>884</v>
      </c>
      <c r="B8" s="41"/>
      <c r="C8" s="41"/>
      <c r="D8" s="15"/>
      <c r="E8" s="16"/>
      <c r="F8" s="17"/>
      <c r="G8" s="17"/>
    </row>
    <row r="9" spans="1:7" x14ac:dyDescent="0.35">
      <c r="A9" s="13" t="s">
        <v>2217</v>
      </c>
      <c r="B9" s="41" t="s">
        <v>2218</v>
      </c>
      <c r="C9" s="41"/>
      <c r="D9" s="15">
        <v>33116287.328200001</v>
      </c>
      <c r="E9" s="16">
        <v>7150.97</v>
      </c>
      <c r="F9" s="17">
        <v>0.4113</v>
      </c>
      <c r="G9" s="17"/>
    </row>
    <row r="10" spans="1:7" x14ac:dyDescent="0.35">
      <c r="A10" s="13" t="s">
        <v>1790</v>
      </c>
      <c r="B10" s="41" t="s">
        <v>1791</v>
      </c>
      <c r="C10" s="41"/>
      <c r="D10" s="15">
        <v>282839.52299999999</v>
      </c>
      <c r="E10" s="16">
        <v>3003.62</v>
      </c>
      <c r="F10" s="17">
        <v>0.17280000000000001</v>
      </c>
      <c r="G10" s="17"/>
    </row>
    <row r="11" spans="1:7" x14ac:dyDescent="0.35">
      <c r="A11" s="13" t="s">
        <v>1788</v>
      </c>
      <c r="B11" s="41" t="s">
        <v>1789</v>
      </c>
      <c r="C11" s="41"/>
      <c r="D11" s="15">
        <v>6069161.1310999999</v>
      </c>
      <c r="E11" s="16">
        <v>1972.26</v>
      </c>
      <c r="F11" s="17">
        <v>0.1135</v>
      </c>
      <c r="G11" s="17"/>
    </row>
    <row r="12" spans="1:7" x14ac:dyDescent="0.35">
      <c r="A12" s="13" t="s">
        <v>2219</v>
      </c>
      <c r="B12" s="41" t="s">
        <v>2220</v>
      </c>
      <c r="C12" s="41"/>
      <c r="D12" s="15">
        <v>44087.241000000002</v>
      </c>
      <c r="E12" s="16">
        <v>1792.45</v>
      </c>
      <c r="F12" s="17">
        <v>0.1031</v>
      </c>
      <c r="G12" s="17"/>
    </row>
    <row r="13" spans="1:7" x14ac:dyDescent="0.35">
      <c r="A13" s="13" t="s">
        <v>2221</v>
      </c>
      <c r="B13" s="41" t="s">
        <v>2222</v>
      </c>
      <c r="C13" s="41"/>
      <c r="D13" s="15">
        <v>10872879.183900001</v>
      </c>
      <c r="E13" s="16">
        <v>1790.33</v>
      </c>
      <c r="F13" s="17">
        <v>0.10299999999999999</v>
      </c>
      <c r="G13" s="17"/>
    </row>
    <row r="14" spans="1:7" x14ac:dyDescent="0.35">
      <c r="A14" s="13" t="s">
        <v>2223</v>
      </c>
      <c r="B14" s="41" t="s">
        <v>2224</v>
      </c>
      <c r="C14" s="41"/>
      <c r="D14" s="15">
        <v>5915937.9670000002</v>
      </c>
      <c r="E14" s="16">
        <v>1550.35</v>
      </c>
      <c r="F14" s="17">
        <v>8.9200000000000002E-2</v>
      </c>
      <c r="G14" s="17"/>
    </row>
    <row r="15" spans="1:7" x14ac:dyDescent="0.35">
      <c r="A15" s="13"/>
      <c r="B15" s="41"/>
      <c r="C15" s="41"/>
      <c r="D15" s="15"/>
      <c r="E15" s="16"/>
      <c r="F15" s="17"/>
      <c r="G15" s="17"/>
    </row>
    <row r="16" spans="1:7" x14ac:dyDescent="0.35">
      <c r="A16" s="22" t="s">
        <v>160</v>
      </c>
      <c r="B16" s="43"/>
      <c r="C16" s="43"/>
      <c r="D16" s="23"/>
      <c r="E16" s="36">
        <v>17259.98</v>
      </c>
      <c r="F16" s="37">
        <v>0.9929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14" t="s">
        <v>255</v>
      </c>
      <c r="B18" s="41"/>
      <c r="C18" s="41"/>
      <c r="D18" s="15"/>
      <c r="E18" s="16"/>
      <c r="F18" s="17"/>
      <c r="G18" s="17"/>
    </row>
    <row r="19" spans="1:7" x14ac:dyDescent="0.35">
      <c r="A19" s="13" t="s">
        <v>257</v>
      </c>
      <c r="B19" s="41"/>
      <c r="C19" s="41"/>
      <c r="D19" s="15"/>
      <c r="E19" s="16">
        <v>731.69</v>
      </c>
      <c r="F19" s="17">
        <v>4.2099999999999999E-2</v>
      </c>
      <c r="G19" s="17">
        <v>5.1742000000000003E-2</v>
      </c>
    </row>
    <row r="20" spans="1:7" x14ac:dyDescent="0.35">
      <c r="A20" s="14" t="s">
        <v>149</v>
      </c>
      <c r="B20" s="42"/>
      <c r="C20" s="42"/>
      <c r="D20" s="18"/>
      <c r="E20" s="36">
        <v>731.69</v>
      </c>
      <c r="F20" s="37">
        <v>4.2099999999999999E-2</v>
      </c>
      <c r="G20" s="21"/>
    </row>
    <row r="21" spans="1:7" x14ac:dyDescent="0.35">
      <c r="A21" s="13"/>
      <c r="B21" s="41"/>
      <c r="C21" s="41"/>
      <c r="D21" s="15"/>
      <c r="E21" s="16"/>
      <c r="F21" s="17"/>
      <c r="G21" s="17"/>
    </row>
    <row r="22" spans="1:7" x14ac:dyDescent="0.35">
      <c r="A22" s="22" t="s">
        <v>160</v>
      </c>
      <c r="B22" s="43"/>
      <c r="C22" s="43"/>
      <c r="D22" s="23"/>
      <c r="E22" s="36">
        <v>731.69</v>
      </c>
      <c r="F22" s="37">
        <v>4.2099999999999999E-2</v>
      </c>
      <c r="G22" s="21"/>
    </row>
    <row r="23" spans="1:7" x14ac:dyDescent="0.35">
      <c r="A23" s="13" t="s">
        <v>258</v>
      </c>
      <c r="B23" s="41"/>
      <c r="C23" s="41"/>
      <c r="D23" s="15"/>
      <c r="E23" s="16">
        <v>0.20744679999999999</v>
      </c>
      <c r="F23" s="17">
        <v>1.1E-5</v>
      </c>
      <c r="G23" s="17"/>
    </row>
    <row r="24" spans="1:7" x14ac:dyDescent="0.35">
      <c r="A24" s="13" t="s">
        <v>259</v>
      </c>
      <c r="B24" s="41"/>
      <c r="C24" s="41"/>
      <c r="D24" s="15"/>
      <c r="E24" s="28">
        <v>-607.58744679999995</v>
      </c>
      <c r="F24" s="29">
        <v>-3.5011E-2</v>
      </c>
      <c r="G24" s="17">
        <v>5.1742000000000003E-2</v>
      </c>
    </row>
    <row r="25" spans="1:7" x14ac:dyDescent="0.35">
      <c r="A25" s="38" t="s">
        <v>260</v>
      </c>
      <c r="B25" s="44"/>
      <c r="C25" s="44"/>
      <c r="D25" s="39"/>
      <c r="E25" s="24">
        <v>17384.29</v>
      </c>
      <c r="F25" s="25">
        <v>1</v>
      </c>
      <c r="G25" s="25"/>
    </row>
    <row r="30" spans="1:7" x14ac:dyDescent="0.35">
      <c r="A30" s="1" t="s">
        <v>263</v>
      </c>
    </row>
    <row r="31" spans="1:7" x14ac:dyDescent="0.35">
      <c r="A31" s="47" t="s">
        <v>264</v>
      </c>
      <c r="B31" s="3" t="s">
        <v>146</v>
      </c>
    </row>
    <row r="32" spans="1:7" x14ac:dyDescent="0.35">
      <c r="A32" t="s">
        <v>265</v>
      </c>
    </row>
    <row r="33" spans="1:3" x14ac:dyDescent="0.35">
      <c r="A33" t="s">
        <v>266</v>
      </c>
      <c r="B33" t="s">
        <v>267</v>
      </c>
      <c r="C33" t="s">
        <v>267</v>
      </c>
    </row>
    <row r="34" spans="1:3" x14ac:dyDescent="0.35">
      <c r="B34" s="49">
        <v>46022</v>
      </c>
      <c r="C34" s="49">
        <v>46052</v>
      </c>
    </row>
    <row r="35" spans="1:3" x14ac:dyDescent="0.35">
      <c r="A35" t="s">
        <v>752</v>
      </c>
      <c r="B35">
        <v>10.244899999999999</v>
      </c>
      <c r="C35">
        <v>10.2674</v>
      </c>
    </row>
    <row r="36" spans="1:3" x14ac:dyDescent="0.35">
      <c r="A36" t="s">
        <v>273</v>
      </c>
      <c r="B36">
        <v>10.244899999999999</v>
      </c>
      <c r="C36">
        <v>10.2674</v>
      </c>
    </row>
    <row r="37" spans="1:3" x14ac:dyDescent="0.35">
      <c r="A37" t="s">
        <v>753</v>
      </c>
      <c r="B37">
        <v>10.2309</v>
      </c>
      <c r="C37">
        <v>10.2509</v>
      </c>
    </row>
    <row r="38" spans="1:3" x14ac:dyDescent="0.35">
      <c r="A38" t="s">
        <v>709</v>
      </c>
      <c r="B38">
        <v>10.2309</v>
      </c>
      <c r="C38">
        <v>10.2509</v>
      </c>
    </row>
    <row r="40" spans="1:3" x14ac:dyDescent="0.35">
      <c r="A40" t="s">
        <v>283</v>
      </c>
      <c r="B40" s="3" t="s">
        <v>146</v>
      </c>
    </row>
    <row r="41" spans="1:3" x14ac:dyDescent="0.35">
      <c r="A41" t="s">
        <v>284</v>
      </c>
      <c r="B41" s="3" t="s">
        <v>146</v>
      </c>
    </row>
    <row r="42" spans="1:3" ht="29" customHeight="1" x14ac:dyDescent="0.35">
      <c r="A42" s="47" t="s">
        <v>285</v>
      </c>
      <c r="B42" s="3" t="s">
        <v>146</v>
      </c>
    </row>
    <row r="43" spans="1:3" ht="29" customHeight="1" x14ac:dyDescent="0.35">
      <c r="A43" s="47" t="s">
        <v>286</v>
      </c>
      <c r="B43" s="3" t="s">
        <v>146</v>
      </c>
    </row>
    <row r="44" spans="1:3" x14ac:dyDescent="0.35">
      <c r="A44" t="s">
        <v>1253</v>
      </c>
      <c r="B44" s="48" t="s">
        <v>146</v>
      </c>
    </row>
    <row r="45" spans="1:3" ht="43.5" customHeight="1" x14ac:dyDescent="0.35">
      <c r="A45" s="47" t="s">
        <v>887</v>
      </c>
      <c r="B45" s="3" t="s">
        <v>146</v>
      </c>
    </row>
    <row r="46" spans="1:3" x14ac:dyDescent="0.35">
      <c r="B46" s="3"/>
    </row>
    <row r="47" spans="1:3" ht="29" customHeight="1" x14ac:dyDescent="0.35">
      <c r="A47" s="47" t="s">
        <v>888</v>
      </c>
      <c r="B47" s="3" t="s">
        <v>146</v>
      </c>
    </row>
    <row r="48" spans="1:3" ht="29" customHeight="1" x14ac:dyDescent="0.35">
      <c r="A48" s="47" t="s">
        <v>889</v>
      </c>
      <c r="B48" t="s">
        <v>146</v>
      </c>
    </row>
    <row r="49" spans="1:4" ht="29" customHeight="1" x14ac:dyDescent="0.35">
      <c r="A49" s="47" t="s">
        <v>890</v>
      </c>
      <c r="B49" s="3" t="s">
        <v>146</v>
      </c>
    </row>
    <row r="50" spans="1:4" ht="29" customHeight="1" x14ac:dyDescent="0.35">
      <c r="A50" s="47" t="s">
        <v>891</v>
      </c>
      <c r="B50" s="3" t="s">
        <v>146</v>
      </c>
    </row>
    <row r="52" spans="1:4" ht="70" customHeight="1" x14ac:dyDescent="0.35">
      <c r="A52" s="70" t="s">
        <v>303</v>
      </c>
      <c r="B52" s="70" t="s">
        <v>304</v>
      </c>
      <c r="C52" s="70" t="s">
        <v>4</v>
      </c>
      <c r="D52" s="70" t="s">
        <v>5</v>
      </c>
    </row>
    <row r="53" spans="1:4" ht="70" customHeight="1" x14ac:dyDescent="0.35">
      <c r="A53" s="70" t="s">
        <v>2225</v>
      </c>
      <c r="B53" s="70"/>
      <c r="C53" s="70" t="s">
        <v>76</v>
      </c>
      <c r="D53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79"/>
  <sheetViews>
    <sheetView showGridLines="0" workbookViewId="0">
      <pane ySplit="4" topLeftCell="A17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2226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2227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1289</v>
      </c>
      <c r="B8" s="41" t="s">
        <v>1290</v>
      </c>
      <c r="C8" s="41" t="s">
        <v>1285</v>
      </c>
      <c r="D8" s="15">
        <v>183533</v>
      </c>
      <c r="E8" s="16">
        <v>824.06</v>
      </c>
      <c r="F8" s="17">
        <v>5.4899999999999997E-2</v>
      </c>
      <c r="G8" s="17"/>
    </row>
    <row r="9" spans="1:7" x14ac:dyDescent="0.35">
      <c r="A9" s="13" t="s">
        <v>1189</v>
      </c>
      <c r="B9" s="41" t="s">
        <v>1190</v>
      </c>
      <c r="C9" s="41" t="s">
        <v>1191</v>
      </c>
      <c r="D9" s="15">
        <v>59524</v>
      </c>
      <c r="E9" s="16">
        <v>793.1</v>
      </c>
      <c r="F9" s="17">
        <v>5.28E-2</v>
      </c>
      <c r="G9" s="17"/>
    </row>
    <row r="10" spans="1:7" x14ac:dyDescent="0.35">
      <c r="A10" s="13" t="s">
        <v>1488</v>
      </c>
      <c r="B10" s="41" t="s">
        <v>1489</v>
      </c>
      <c r="C10" s="41" t="s">
        <v>1275</v>
      </c>
      <c r="D10" s="15">
        <v>32666</v>
      </c>
      <c r="E10" s="16">
        <v>775.16</v>
      </c>
      <c r="F10" s="17">
        <v>5.16E-2</v>
      </c>
      <c r="G10" s="17"/>
    </row>
    <row r="11" spans="1:7" x14ac:dyDescent="0.35">
      <c r="A11" s="13" t="s">
        <v>1502</v>
      </c>
      <c r="B11" s="41" t="s">
        <v>1503</v>
      </c>
      <c r="C11" s="41" t="s">
        <v>1369</v>
      </c>
      <c r="D11" s="15">
        <v>44677</v>
      </c>
      <c r="E11" s="16">
        <v>757.54</v>
      </c>
      <c r="F11" s="17">
        <v>5.04E-2</v>
      </c>
      <c r="G11" s="17"/>
    </row>
    <row r="12" spans="1:7" x14ac:dyDescent="0.35">
      <c r="A12" s="13" t="s">
        <v>1367</v>
      </c>
      <c r="B12" s="41" t="s">
        <v>1368</v>
      </c>
      <c r="C12" s="41" t="s">
        <v>1369</v>
      </c>
      <c r="D12" s="15">
        <v>45741</v>
      </c>
      <c r="E12" s="16">
        <v>750.61</v>
      </c>
      <c r="F12" s="17">
        <v>0.05</v>
      </c>
      <c r="G12" s="17"/>
    </row>
    <row r="13" spans="1:7" x14ac:dyDescent="0.35">
      <c r="A13" s="13" t="s">
        <v>1478</v>
      </c>
      <c r="B13" s="41" t="s">
        <v>1479</v>
      </c>
      <c r="C13" s="41" t="s">
        <v>1369</v>
      </c>
      <c r="D13" s="15">
        <v>23095</v>
      </c>
      <c r="E13" s="16">
        <v>721.46</v>
      </c>
      <c r="F13" s="17">
        <v>4.8000000000000001E-2</v>
      </c>
      <c r="G13" s="17"/>
    </row>
    <row r="14" spans="1:7" x14ac:dyDescent="0.35">
      <c r="A14" s="13" t="s">
        <v>1192</v>
      </c>
      <c r="B14" s="41" t="s">
        <v>1193</v>
      </c>
      <c r="C14" s="41" t="s">
        <v>1191</v>
      </c>
      <c r="D14" s="15">
        <v>11191</v>
      </c>
      <c r="E14" s="16">
        <v>655.85</v>
      </c>
      <c r="F14" s="17">
        <v>4.3700000000000003E-2</v>
      </c>
      <c r="G14" s="17"/>
    </row>
    <row r="15" spans="1:7" x14ac:dyDescent="0.35">
      <c r="A15" s="13" t="s">
        <v>1186</v>
      </c>
      <c r="B15" s="41" t="s">
        <v>1187</v>
      </c>
      <c r="C15" s="41" t="s">
        <v>1188</v>
      </c>
      <c r="D15" s="15">
        <v>4456</v>
      </c>
      <c r="E15" s="16">
        <v>650.53</v>
      </c>
      <c r="F15" s="17">
        <v>4.3299999999999998E-2</v>
      </c>
      <c r="G15" s="17"/>
    </row>
    <row r="16" spans="1:7" x14ac:dyDescent="0.35">
      <c r="A16" s="13" t="s">
        <v>2068</v>
      </c>
      <c r="B16" s="41" t="s">
        <v>2069</v>
      </c>
      <c r="C16" s="41" t="s">
        <v>2070</v>
      </c>
      <c r="D16" s="15">
        <v>145269</v>
      </c>
      <c r="E16" s="16">
        <v>640.27</v>
      </c>
      <c r="F16" s="17">
        <v>4.2599999999999999E-2</v>
      </c>
      <c r="G16" s="17"/>
    </row>
    <row r="17" spans="1:7" x14ac:dyDescent="0.35">
      <c r="A17" s="13" t="s">
        <v>1273</v>
      </c>
      <c r="B17" s="41" t="s">
        <v>1274</v>
      </c>
      <c r="C17" s="41" t="s">
        <v>1275</v>
      </c>
      <c r="D17" s="15">
        <v>187435</v>
      </c>
      <c r="E17" s="16">
        <v>603.82000000000005</v>
      </c>
      <c r="F17" s="17">
        <v>4.02E-2</v>
      </c>
      <c r="G17" s="17"/>
    </row>
    <row r="18" spans="1:7" x14ac:dyDescent="0.35">
      <c r="A18" s="13" t="s">
        <v>1508</v>
      </c>
      <c r="B18" s="41" t="s">
        <v>1509</v>
      </c>
      <c r="C18" s="41" t="s">
        <v>1188</v>
      </c>
      <c r="D18" s="15">
        <v>6066</v>
      </c>
      <c r="E18" s="16">
        <v>582.17999999999995</v>
      </c>
      <c r="F18" s="17">
        <v>3.8800000000000001E-2</v>
      </c>
      <c r="G18" s="17"/>
    </row>
    <row r="19" spans="1:7" x14ac:dyDescent="0.35">
      <c r="A19" s="13" t="s">
        <v>1283</v>
      </c>
      <c r="B19" s="41" t="s">
        <v>1284</v>
      </c>
      <c r="C19" s="41" t="s">
        <v>1285</v>
      </c>
      <c r="D19" s="15">
        <v>11497</v>
      </c>
      <c r="E19" s="16">
        <v>531.09</v>
      </c>
      <c r="F19" s="17">
        <v>3.5400000000000001E-2</v>
      </c>
      <c r="G19" s="17"/>
    </row>
    <row r="20" spans="1:7" x14ac:dyDescent="0.35">
      <c r="A20" s="13" t="s">
        <v>1194</v>
      </c>
      <c r="B20" s="41" t="s">
        <v>1195</v>
      </c>
      <c r="C20" s="41" t="s">
        <v>1188</v>
      </c>
      <c r="D20" s="15">
        <v>7328</v>
      </c>
      <c r="E20" s="16">
        <v>521.94000000000005</v>
      </c>
      <c r="F20" s="17">
        <v>3.4700000000000002E-2</v>
      </c>
      <c r="G20" s="17"/>
    </row>
    <row r="21" spans="1:7" x14ac:dyDescent="0.35">
      <c r="A21" s="13" t="s">
        <v>1217</v>
      </c>
      <c r="B21" s="41" t="s">
        <v>1218</v>
      </c>
      <c r="C21" s="41" t="s">
        <v>1201</v>
      </c>
      <c r="D21" s="15">
        <v>20696</v>
      </c>
      <c r="E21" s="16">
        <v>502.56</v>
      </c>
      <c r="F21" s="17">
        <v>3.3500000000000002E-2</v>
      </c>
      <c r="G21" s="17"/>
    </row>
    <row r="22" spans="1:7" x14ac:dyDescent="0.35">
      <c r="A22" s="13" t="s">
        <v>1394</v>
      </c>
      <c r="B22" s="41" t="s">
        <v>1395</v>
      </c>
      <c r="C22" s="41" t="s">
        <v>1369</v>
      </c>
      <c r="D22" s="15">
        <v>28542</v>
      </c>
      <c r="E22" s="16">
        <v>497.52</v>
      </c>
      <c r="F22" s="17">
        <v>3.3099999999999997E-2</v>
      </c>
      <c r="G22" s="17"/>
    </row>
    <row r="23" spans="1:7" x14ac:dyDescent="0.35">
      <c r="A23" s="13" t="s">
        <v>1417</v>
      </c>
      <c r="B23" s="41" t="s">
        <v>1418</v>
      </c>
      <c r="C23" s="41" t="s">
        <v>1419</v>
      </c>
      <c r="D23" s="15">
        <v>71070</v>
      </c>
      <c r="E23" s="16">
        <v>446.67</v>
      </c>
      <c r="F23" s="17">
        <v>2.9700000000000001E-2</v>
      </c>
      <c r="G23" s="17"/>
    </row>
    <row r="24" spans="1:7" x14ac:dyDescent="0.35">
      <c r="A24" s="13" t="s">
        <v>1403</v>
      </c>
      <c r="B24" s="41" t="s">
        <v>1404</v>
      </c>
      <c r="C24" s="41" t="s">
        <v>1234</v>
      </c>
      <c r="D24" s="15">
        <v>6844</v>
      </c>
      <c r="E24" s="16">
        <v>414.13</v>
      </c>
      <c r="F24" s="17">
        <v>2.76E-2</v>
      </c>
      <c r="G24" s="17"/>
    </row>
    <row r="25" spans="1:7" x14ac:dyDescent="0.35">
      <c r="A25" s="13" t="s">
        <v>1239</v>
      </c>
      <c r="B25" s="41" t="s">
        <v>1240</v>
      </c>
      <c r="C25" s="41" t="s">
        <v>1234</v>
      </c>
      <c r="D25" s="15">
        <v>33713</v>
      </c>
      <c r="E25" s="16">
        <v>410.66</v>
      </c>
      <c r="F25" s="17">
        <v>2.7300000000000001E-2</v>
      </c>
      <c r="G25" s="17"/>
    </row>
    <row r="26" spans="1:7" x14ac:dyDescent="0.35">
      <c r="A26" s="13" t="s">
        <v>1358</v>
      </c>
      <c r="B26" s="41" t="s">
        <v>1359</v>
      </c>
      <c r="C26" s="41" t="s">
        <v>1360</v>
      </c>
      <c r="D26" s="15">
        <v>86530</v>
      </c>
      <c r="E26" s="16">
        <v>407.77</v>
      </c>
      <c r="F26" s="17">
        <v>2.7099999999999999E-2</v>
      </c>
      <c r="G26" s="17"/>
    </row>
    <row r="27" spans="1:7" x14ac:dyDescent="0.35">
      <c r="A27" s="13" t="s">
        <v>1533</v>
      </c>
      <c r="B27" s="41" t="s">
        <v>1534</v>
      </c>
      <c r="C27" s="41" t="s">
        <v>1369</v>
      </c>
      <c r="D27" s="15">
        <v>6498</v>
      </c>
      <c r="E27" s="16">
        <v>388.22</v>
      </c>
      <c r="F27" s="17">
        <v>2.58E-2</v>
      </c>
      <c r="G27" s="17"/>
    </row>
    <row r="28" spans="1:7" x14ac:dyDescent="0.35">
      <c r="A28" s="13" t="s">
        <v>1338</v>
      </c>
      <c r="B28" s="41" t="s">
        <v>1339</v>
      </c>
      <c r="C28" s="41" t="s">
        <v>1221</v>
      </c>
      <c r="D28" s="15">
        <v>2759</v>
      </c>
      <c r="E28" s="16">
        <v>371.91</v>
      </c>
      <c r="F28" s="17">
        <v>2.4799999999999999E-2</v>
      </c>
      <c r="G28" s="17"/>
    </row>
    <row r="29" spans="1:7" x14ac:dyDescent="0.35">
      <c r="A29" s="13" t="s">
        <v>1219</v>
      </c>
      <c r="B29" s="41" t="s">
        <v>1220</v>
      </c>
      <c r="C29" s="41" t="s">
        <v>1221</v>
      </c>
      <c r="D29" s="15">
        <v>25497</v>
      </c>
      <c r="E29" s="16">
        <v>364.89</v>
      </c>
      <c r="F29" s="17">
        <v>2.4299999999999999E-2</v>
      </c>
      <c r="G29" s="17"/>
    </row>
    <row r="30" spans="1:7" x14ac:dyDescent="0.35">
      <c r="A30" s="13" t="s">
        <v>2171</v>
      </c>
      <c r="B30" s="41" t="s">
        <v>2172</v>
      </c>
      <c r="C30" s="41" t="s">
        <v>1369</v>
      </c>
      <c r="D30" s="15">
        <v>148252</v>
      </c>
      <c r="E30" s="16">
        <v>351.21</v>
      </c>
      <c r="F30" s="17">
        <v>2.3400000000000001E-2</v>
      </c>
      <c r="G30" s="17"/>
    </row>
    <row r="31" spans="1:7" x14ac:dyDescent="0.35">
      <c r="A31" s="13" t="s">
        <v>2228</v>
      </c>
      <c r="B31" s="41" t="s">
        <v>2229</v>
      </c>
      <c r="C31" s="41" t="s">
        <v>1333</v>
      </c>
      <c r="D31" s="15">
        <v>6176</v>
      </c>
      <c r="E31" s="16">
        <v>344.53</v>
      </c>
      <c r="F31" s="17">
        <v>2.29E-2</v>
      </c>
      <c r="G31" s="17"/>
    </row>
    <row r="32" spans="1:7" x14ac:dyDescent="0.35">
      <c r="A32" s="13" t="s">
        <v>1461</v>
      </c>
      <c r="B32" s="41" t="s">
        <v>1462</v>
      </c>
      <c r="C32" s="41" t="s">
        <v>1360</v>
      </c>
      <c r="D32" s="15">
        <v>22876</v>
      </c>
      <c r="E32" s="16">
        <v>311.70999999999998</v>
      </c>
      <c r="F32" s="17">
        <v>2.0799999999999999E-2</v>
      </c>
      <c r="G32" s="17"/>
    </row>
    <row r="33" spans="1:7" x14ac:dyDescent="0.35">
      <c r="A33" s="13" t="s">
        <v>1551</v>
      </c>
      <c r="B33" s="41" t="s">
        <v>1552</v>
      </c>
      <c r="C33" s="41" t="s">
        <v>1382</v>
      </c>
      <c r="D33" s="15">
        <v>784</v>
      </c>
      <c r="E33" s="16">
        <v>286.39999999999998</v>
      </c>
      <c r="F33" s="17">
        <v>1.9099999999999999E-2</v>
      </c>
      <c r="G33" s="17"/>
    </row>
    <row r="34" spans="1:7" x14ac:dyDescent="0.35">
      <c r="A34" s="13" t="s">
        <v>1430</v>
      </c>
      <c r="B34" s="41" t="s">
        <v>1431</v>
      </c>
      <c r="C34" s="41" t="s">
        <v>1201</v>
      </c>
      <c r="D34" s="15">
        <v>21588</v>
      </c>
      <c r="E34" s="16">
        <v>277.41000000000003</v>
      </c>
      <c r="F34" s="17">
        <v>1.8499999999999999E-2</v>
      </c>
      <c r="G34" s="17"/>
    </row>
    <row r="35" spans="1:7" x14ac:dyDescent="0.35">
      <c r="A35" s="13" t="s">
        <v>1407</v>
      </c>
      <c r="B35" s="41" t="s">
        <v>1408</v>
      </c>
      <c r="C35" s="41" t="s">
        <v>1409</v>
      </c>
      <c r="D35" s="15">
        <v>24021</v>
      </c>
      <c r="E35" s="16">
        <v>277.23</v>
      </c>
      <c r="F35" s="17">
        <v>1.8499999999999999E-2</v>
      </c>
      <c r="G35" s="17"/>
    </row>
    <row r="36" spans="1:7" x14ac:dyDescent="0.35">
      <c r="A36" s="13" t="s">
        <v>1434</v>
      </c>
      <c r="B36" s="41" t="s">
        <v>1435</v>
      </c>
      <c r="C36" s="41" t="s">
        <v>1436</v>
      </c>
      <c r="D36" s="15">
        <v>10693</v>
      </c>
      <c r="E36" s="16">
        <v>275.12</v>
      </c>
      <c r="F36" s="17">
        <v>1.83E-2</v>
      </c>
      <c r="G36" s="17"/>
    </row>
    <row r="37" spans="1:7" x14ac:dyDescent="0.35">
      <c r="A37" s="13" t="s">
        <v>2230</v>
      </c>
      <c r="B37" s="41" t="s">
        <v>2231</v>
      </c>
      <c r="C37" s="41" t="s">
        <v>1234</v>
      </c>
      <c r="D37" s="15">
        <v>26530</v>
      </c>
      <c r="E37" s="16">
        <v>234.87</v>
      </c>
      <c r="F37" s="17">
        <v>1.5599999999999999E-2</v>
      </c>
      <c r="G37" s="17"/>
    </row>
    <row r="38" spans="1:7" x14ac:dyDescent="0.35">
      <c r="A38" s="13" t="s">
        <v>1843</v>
      </c>
      <c r="B38" s="41" t="s">
        <v>1844</v>
      </c>
      <c r="C38" s="41" t="s">
        <v>1191</v>
      </c>
      <c r="D38" s="15">
        <v>33782</v>
      </c>
      <c r="E38" s="16">
        <v>12.22</v>
      </c>
      <c r="F38" s="17">
        <v>8.0000000000000004E-4</v>
      </c>
      <c r="G38" s="17"/>
    </row>
    <row r="39" spans="1:7" x14ac:dyDescent="0.35">
      <c r="A39" s="14" t="s">
        <v>149</v>
      </c>
      <c r="B39" s="42"/>
      <c r="C39" s="42"/>
      <c r="D39" s="18"/>
      <c r="E39" s="19">
        <f>SUM(E8:E38)</f>
        <v>14982.639999999998</v>
      </c>
      <c r="F39" s="20">
        <f>SUM(F8:F38)</f>
        <v>0.99749999999999983</v>
      </c>
      <c r="G39" s="21"/>
    </row>
    <row r="40" spans="1:7" x14ac:dyDescent="0.35">
      <c r="A40" s="13"/>
      <c r="B40" s="41"/>
      <c r="C40" s="41"/>
      <c r="D40" s="15"/>
      <c r="E40" s="16"/>
      <c r="F40" s="17"/>
      <c r="G40" s="17"/>
    </row>
    <row r="41" spans="1:7" x14ac:dyDescent="0.35">
      <c r="A41" s="22" t="s">
        <v>160</v>
      </c>
      <c r="B41" s="43"/>
      <c r="C41" s="43"/>
      <c r="D41" s="23"/>
      <c r="E41" s="36">
        <v>14982.64</v>
      </c>
      <c r="F41" s="37">
        <v>0.99749999999999983</v>
      </c>
      <c r="G41" s="21"/>
    </row>
    <row r="42" spans="1:7" x14ac:dyDescent="0.35">
      <c r="A42" s="13"/>
      <c r="B42" s="41"/>
      <c r="C42" s="41"/>
      <c r="D42" s="15"/>
      <c r="E42" s="16"/>
      <c r="F42" s="17"/>
      <c r="G42" s="17"/>
    </row>
    <row r="43" spans="1:7" x14ac:dyDescent="0.35">
      <c r="A43" s="13"/>
      <c r="B43" s="41"/>
      <c r="C43" s="41"/>
      <c r="D43" s="15"/>
      <c r="E43" s="16"/>
      <c r="F43" s="17"/>
      <c r="G43" s="17"/>
    </row>
    <row r="44" spans="1:7" x14ac:dyDescent="0.35">
      <c r="A44" s="14" t="s">
        <v>255</v>
      </c>
      <c r="B44" s="41"/>
      <c r="C44" s="41"/>
      <c r="D44" s="15"/>
      <c r="E44" s="16"/>
      <c r="F44" s="17"/>
      <c r="G44" s="17"/>
    </row>
    <row r="45" spans="1:7" x14ac:dyDescent="0.35">
      <c r="A45" s="13" t="s">
        <v>257</v>
      </c>
      <c r="B45" s="41"/>
      <c r="C45" s="41"/>
      <c r="D45" s="15"/>
      <c r="E45" s="16">
        <v>11.99</v>
      </c>
      <c r="F45" s="17">
        <v>8.0000000000000004E-4</v>
      </c>
      <c r="G45" s="17">
        <v>5.1742000000000003E-2</v>
      </c>
    </row>
    <row r="46" spans="1:7" x14ac:dyDescent="0.35">
      <c r="A46" s="14" t="s">
        <v>149</v>
      </c>
      <c r="B46" s="42"/>
      <c r="C46" s="42"/>
      <c r="D46" s="18"/>
      <c r="E46" s="19">
        <v>11.99</v>
      </c>
      <c r="F46" s="20">
        <v>8.0000000000000004E-4</v>
      </c>
      <c r="G46" s="21"/>
    </row>
    <row r="47" spans="1:7" x14ac:dyDescent="0.35">
      <c r="A47" s="13"/>
      <c r="B47" s="41"/>
      <c r="C47" s="41"/>
      <c r="D47" s="15"/>
      <c r="E47" s="16"/>
      <c r="F47" s="17"/>
      <c r="G47" s="17"/>
    </row>
    <row r="48" spans="1:7" x14ac:dyDescent="0.35">
      <c r="A48" s="22" t="s">
        <v>160</v>
      </c>
      <c r="B48" s="43"/>
      <c r="C48" s="43"/>
      <c r="D48" s="23"/>
      <c r="E48" s="36">
        <v>11.99</v>
      </c>
      <c r="F48" s="37">
        <v>8.0000000000000004E-4</v>
      </c>
      <c r="G48" s="21"/>
    </row>
    <row r="49" spans="1:7" x14ac:dyDescent="0.35">
      <c r="A49" s="13" t="s">
        <v>258</v>
      </c>
      <c r="B49" s="41"/>
      <c r="C49" s="41"/>
      <c r="D49" s="15"/>
      <c r="E49" s="16">
        <v>3.4007999999999998E-3</v>
      </c>
      <c r="F49" s="17">
        <v>0</v>
      </c>
      <c r="G49" s="17"/>
    </row>
    <row r="50" spans="1:7" x14ac:dyDescent="0.35">
      <c r="A50" s="13" t="s">
        <v>259</v>
      </c>
      <c r="B50" s="41"/>
      <c r="C50" s="41"/>
      <c r="D50" s="15"/>
      <c r="E50" s="16">
        <v>26.996599199999999</v>
      </c>
      <c r="F50" s="17">
        <v>1.6999999999999999E-3</v>
      </c>
      <c r="G50" s="17">
        <v>5.1742000000000003E-2</v>
      </c>
    </row>
    <row r="51" spans="1:7" x14ac:dyDescent="0.35">
      <c r="A51" s="38" t="s">
        <v>260</v>
      </c>
      <c r="B51" s="44"/>
      <c r="C51" s="44"/>
      <c r="D51" s="39"/>
      <c r="E51" s="24">
        <v>15021.63</v>
      </c>
      <c r="F51" s="25">
        <v>1</v>
      </c>
      <c r="G51" s="25"/>
    </row>
    <row r="56" spans="1:7" x14ac:dyDescent="0.35">
      <c r="A56" s="1" t="s">
        <v>263</v>
      </c>
    </row>
    <row r="57" spans="1:7" x14ac:dyDescent="0.35">
      <c r="A57" s="47" t="s">
        <v>264</v>
      </c>
      <c r="B57" s="3" t="s">
        <v>146</v>
      </c>
    </row>
    <row r="58" spans="1:7" x14ac:dyDescent="0.35">
      <c r="A58" t="s">
        <v>265</v>
      </c>
    </row>
    <row r="59" spans="1:7" x14ac:dyDescent="0.35">
      <c r="A59" t="s">
        <v>266</v>
      </c>
      <c r="B59" t="s">
        <v>267</v>
      </c>
      <c r="C59" t="s">
        <v>267</v>
      </c>
    </row>
    <row r="60" spans="1:7" x14ac:dyDescent="0.35">
      <c r="B60" s="49">
        <v>46022</v>
      </c>
      <c r="C60" s="49">
        <v>46052</v>
      </c>
    </row>
    <row r="61" spans="1:7" x14ac:dyDescent="0.35">
      <c r="A61" t="s">
        <v>272</v>
      </c>
      <c r="B61">
        <v>15.276300000000001</v>
      </c>
      <c r="C61">
        <v>15.151899999999999</v>
      </c>
    </row>
    <row r="62" spans="1:7" x14ac:dyDescent="0.35">
      <c r="A62" t="s">
        <v>273</v>
      </c>
      <c r="B62">
        <v>15.0627</v>
      </c>
      <c r="C62">
        <v>14.940099999999999</v>
      </c>
    </row>
    <row r="63" spans="1:7" x14ac:dyDescent="0.35">
      <c r="A63" t="s">
        <v>708</v>
      </c>
      <c r="B63">
        <v>14.8718</v>
      </c>
      <c r="C63">
        <v>14.7422</v>
      </c>
    </row>
    <row r="64" spans="1:7" x14ac:dyDescent="0.35">
      <c r="A64" t="s">
        <v>709</v>
      </c>
      <c r="B64">
        <v>14.870799999999999</v>
      </c>
      <c r="C64">
        <v>14.741199999999999</v>
      </c>
    </row>
    <row r="66" spans="1:4" x14ac:dyDescent="0.35">
      <c r="A66" t="s">
        <v>283</v>
      </c>
      <c r="B66" s="3" t="s">
        <v>146</v>
      </c>
    </row>
    <row r="67" spans="1:4" x14ac:dyDescent="0.35">
      <c r="A67" t="s">
        <v>284</v>
      </c>
      <c r="B67" s="3" t="s">
        <v>146</v>
      </c>
    </row>
    <row r="68" spans="1:4" ht="29" customHeight="1" x14ac:dyDescent="0.35">
      <c r="A68" s="47" t="s">
        <v>285</v>
      </c>
      <c r="B68" s="3" t="s">
        <v>146</v>
      </c>
    </row>
    <row r="69" spans="1:4" ht="29" customHeight="1" x14ac:dyDescent="0.35">
      <c r="A69" s="47" t="s">
        <v>286</v>
      </c>
      <c r="B69" s="3" t="s">
        <v>146</v>
      </c>
    </row>
    <row r="70" spans="1:4" x14ac:dyDescent="0.35">
      <c r="A70" t="s">
        <v>1253</v>
      </c>
      <c r="B70" s="48">
        <v>0.57720000000000005</v>
      </c>
    </row>
    <row r="71" spans="1:4" ht="43.5" customHeight="1" x14ac:dyDescent="0.35">
      <c r="A71" s="47" t="s">
        <v>288</v>
      </c>
      <c r="B71" s="3" t="s">
        <v>146</v>
      </c>
    </row>
    <row r="72" spans="1:4" x14ac:dyDescent="0.35">
      <c r="B72" s="3"/>
    </row>
    <row r="73" spans="1:4" ht="29" customHeight="1" x14ac:dyDescent="0.35">
      <c r="A73" s="47" t="s">
        <v>289</v>
      </c>
      <c r="B73" s="3" t="s">
        <v>146</v>
      </c>
    </row>
    <row r="74" spans="1:4" ht="29" customHeight="1" x14ac:dyDescent="0.35">
      <c r="A74" s="47" t="s">
        <v>290</v>
      </c>
      <c r="B74" t="s">
        <v>146</v>
      </c>
    </row>
    <row r="75" spans="1:4" ht="29" customHeight="1" x14ac:dyDescent="0.35">
      <c r="A75" s="47" t="s">
        <v>291</v>
      </c>
      <c r="B75" s="3" t="s">
        <v>146</v>
      </c>
    </row>
    <row r="76" spans="1:4" ht="29" customHeight="1" x14ac:dyDescent="0.35">
      <c r="A76" s="47" t="s">
        <v>292</v>
      </c>
      <c r="B76" s="3" t="s">
        <v>146</v>
      </c>
    </row>
    <row r="78" spans="1:4" ht="70" customHeight="1" x14ac:dyDescent="0.35">
      <c r="A78" s="70" t="s">
        <v>303</v>
      </c>
      <c r="B78" s="70" t="s">
        <v>304</v>
      </c>
      <c r="C78" s="70" t="s">
        <v>4</v>
      </c>
      <c r="D78" s="70" t="s">
        <v>5</v>
      </c>
    </row>
    <row r="79" spans="1:4" ht="70" customHeight="1" x14ac:dyDescent="0.35">
      <c r="A79" s="70" t="s">
        <v>2232</v>
      </c>
      <c r="B79" s="70"/>
      <c r="C79" s="70" t="s">
        <v>78</v>
      </c>
      <c r="D7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G99"/>
  <sheetViews>
    <sheetView showGridLines="0" workbookViewId="0">
      <pane ySplit="4" topLeftCell="A42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2233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2234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327639</v>
      </c>
      <c r="E8" s="16">
        <v>3044.59</v>
      </c>
      <c r="F8" s="17">
        <v>0.1229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152996</v>
      </c>
      <c r="E9" s="16">
        <v>2073.1</v>
      </c>
      <c r="F9" s="17">
        <v>8.3699999999999997E-2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144617</v>
      </c>
      <c r="E10" s="16">
        <v>2017.99</v>
      </c>
      <c r="F10" s="17">
        <v>8.14E-2</v>
      </c>
      <c r="G10" s="17"/>
    </row>
    <row r="11" spans="1:7" x14ac:dyDescent="0.35">
      <c r="A11" s="13" t="s">
        <v>1367</v>
      </c>
      <c r="B11" s="41" t="s">
        <v>1368</v>
      </c>
      <c r="C11" s="41" t="s">
        <v>1369</v>
      </c>
      <c r="D11" s="15">
        <v>75029</v>
      </c>
      <c r="E11" s="16">
        <v>1231.23</v>
      </c>
      <c r="F11" s="17">
        <v>4.9700000000000001E-2</v>
      </c>
      <c r="G11" s="17"/>
    </row>
    <row r="12" spans="1:7" x14ac:dyDescent="0.35">
      <c r="A12" s="13" t="s">
        <v>1196</v>
      </c>
      <c r="B12" s="41" t="s">
        <v>1197</v>
      </c>
      <c r="C12" s="41" t="s">
        <v>1198</v>
      </c>
      <c r="D12" s="15">
        <v>59682</v>
      </c>
      <c r="E12" s="16">
        <v>1174.96</v>
      </c>
      <c r="F12" s="17">
        <v>4.7399999999999998E-2</v>
      </c>
      <c r="G12" s="17"/>
    </row>
    <row r="13" spans="1:7" x14ac:dyDescent="0.35">
      <c r="A13" s="13" t="s">
        <v>1385</v>
      </c>
      <c r="B13" s="41" t="s">
        <v>1386</v>
      </c>
      <c r="C13" s="41" t="s">
        <v>1387</v>
      </c>
      <c r="D13" s="15">
        <v>25154</v>
      </c>
      <c r="E13" s="16">
        <v>989.13</v>
      </c>
      <c r="F13" s="17">
        <v>3.9899999999999998E-2</v>
      </c>
      <c r="G13" s="17"/>
    </row>
    <row r="14" spans="1:7" x14ac:dyDescent="0.35">
      <c r="A14" s="13" t="s">
        <v>1176</v>
      </c>
      <c r="B14" s="41" t="s">
        <v>1177</v>
      </c>
      <c r="C14" s="41" t="s">
        <v>1178</v>
      </c>
      <c r="D14" s="15">
        <v>88863</v>
      </c>
      <c r="E14" s="16">
        <v>957.19</v>
      </c>
      <c r="F14" s="17">
        <v>3.8600000000000002E-2</v>
      </c>
      <c r="G14" s="17"/>
    </row>
    <row r="15" spans="1:7" x14ac:dyDescent="0.35">
      <c r="A15" s="13" t="s">
        <v>1262</v>
      </c>
      <c r="B15" s="41" t="s">
        <v>1263</v>
      </c>
      <c r="C15" s="41" t="s">
        <v>1178</v>
      </c>
      <c r="D15" s="15">
        <v>61384</v>
      </c>
      <c r="E15" s="16">
        <v>841.21</v>
      </c>
      <c r="F15" s="17">
        <v>3.4000000000000002E-2</v>
      </c>
      <c r="G15" s="17"/>
    </row>
    <row r="16" spans="1:7" x14ac:dyDescent="0.35">
      <c r="A16" s="13" t="s">
        <v>1478</v>
      </c>
      <c r="B16" s="41" t="s">
        <v>1479</v>
      </c>
      <c r="C16" s="41" t="s">
        <v>1369</v>
      </c>
      <c r="D16" s="15">
        <v>21872</v>
      </c>
      <c r="E16" s="16">
        <v>683.26</v>
      </c>
      <c r="F16" s="17">
        <v>2.76E-2</v>
      </c>
      <c r="G16" s="17"/>
    </row>
    <row r="17" spans="1:7" x14ac:dyDescent="0.35">
      <c r="A17" s="13" t="s">
        <v>1273</v>
      </c>
      <c r="B17" s="41" t="s">
        <v>1274</v>
      </c>
      <c r="C17" s="41" t="s">
        <v>1275</v>
      </c>
      <c r="D17" s="15">
        <v>206400</v>
      </c>
      <c r="E17" s="16">
        <v>664.92</v>
      </c>
      <c r="F17" s="17">
        <v>2.6800000000000001E-2</v>
      </c>
      <c r="G17" s="17"/>
    </row>
    <row r="18" spans="1:7" x14ac:dyDescent="0.35">
      <c r="A18" s="13" t="s">
        <v>1295</v>
      </c>
      <c r="B18" s="41" t="s">
        <v>1296</v>
      </c>
      <c r="C18" s="41" t="s">
        <v>1188</v>
      </c>
      <c r="D18" s="15">
        <v>19119</v>
      </c>
      <c r="E18" s="16">
        <v>656.13</v>
      </c>
      <c r="F18" s="17">
        <v>2.6499999999999999E-2</v>
      </c>
      <c r="G18" s="17"/>
    </row>
    <row r="19" spans="1:7" x14ac:dyDescent="0.35">
      <c r="A19" s="13" t="s">
        <v>1235</v>
      </c>
      <c r="B19" s="41" t="s">
        <v>1236</v>
      </c>
      <c r="C19" s="41" t="s">
        <v>1178</v>
      </c>
      <c r="D19" s="15">
        <v>157500</v>
      </c>
      <c r="E19" s="16">
        <v>642.6</v>
      </c>
      <c r="F19" s="17">
        <v>2.5899999999999999E-2</v>
      </c>
      <c r="G19" s="17"/>
    </row>
    <row r="20" spans="1:7" x14ac:dyDescent="0.35">
      <c r="A20" s="13" t="s">
        <v>1209</v>
      </c>
      <c r="B20" s="41" t="s">
        <v>1210</v>
      </c>
      <c r="C20" s="41" t="s">
        <v>1211</v>
      </c>
      <c r="D20" s="15">
        <v>56869</v>
      </c>
      <c r="E20" s="16">
        <v>528.79999999999995</v>
      </c>
      <c r="F20" s="17">
        <v>2.1299999999999999E-2</v>
      </c>
      <c r="G20" s="17"/>
    </row>
    <row r="21" spans="1:7" x14ac:dyDescent="0.35">
      <c r="A21" s="13" t="s">
        <v>1488</v>
      </c>
      <c r="B21" s="41" t="s">
        <v>1489</v>
      </c>
      <c r="C21" s="41" t="s">
        <v>1275</v>
      </c>
      <c r="D21" s="15">
        <v>19007</v>
      </c>
      <c r="E21" s="16">
        <v>451.04</v>
      </c>
      <c r="F21" s="17">
        <v>1.8200000000000001E-2</v>
      </c>
      <c r="G21" s="17"/>
    </row>
    <row r="22" spans="1:7" x14ac:dyDescent="0.35">
      <c r="A22" s="13" t="s">
        <v>1264</v>
      </c>
      <c r="B22" s="41" t="s">
        <v>1265</v>
      </c>
      <c r="C22" s="41" t="s">
        <v>1266</v>
      </c>
      <c r="D22" s="15">
        <v>153888</v>
      </c>
      <c r="E22" s="16">
        <v>421.04</v>
      </c>
      <c r="F22" s="17">
        <v>1.7000000000000001E-2</v>
      </c>
      <c r="G22" s="17"/>
    </row>
    <row r="23" spans="1:7" x14ac:dyDescent="0.35">
      <c r="A23" s="13" t="s">
        <v>1186</v>
      </c>
      <c r="B23" s="41" t="s">
        <v>1187</v>
      </c>
      <c r="C23" s="41" t="s">
        <v>1188</v>
      </c>
      <c r="D23" s="15">
        <v>2810</v>
      </c>
      <c r="E23" s="16">
        <v>410.23</v>
      </c>
      <c r="F23" s="17">
        <v>1.66E-2</v>
      </c>
      <c r="G23" s="17"/>
    </row>
    <row r="24" spans="1:7" x14ac:dyDescent="0.35">
      <c r="A24" s="13" t="s">
        <v>1502</v>
      </c>
      <c r="B24" s="41" t="s">
        <v>1503</v>
      </c>
      <c r="C24" s="41" t="s">
        <v>1369</v>
      </c>
      <c r="D24" s="15">
        <v>22599</v>
      </c>
      <c r="E24" s="16">
        <v>383.19</v>
      </c>
      <c r="F24" s="17">
        <v>1.55E-2</v>
      </c>
      <c r="G24" s="17"/>
    </row>
    <row r="25" spans="1:7" x14ac:dyDescent="0.35">
      <c r="A25" s="13" t="s">
        <v>1237</v>
      </c>
      <c r="B25" s="41" t="s">
        <v>1238</v>
      </c>
      <c r="C25" s="41" t="s">
        <v>1234</v>
      </c>
      <c r="D25" s="15">
        <v>22679</v>
      </c>
      <c r="E25" s="16">
        <v>361.8</v>
      </c>
      <c r="F25" s="17">
        <v>1.46E-2</v>
      </c>
      <c r="G25" s="17"/>
    </row>
    <row r="26" spans="1:7" x14ac:dyDescent="0.35">
      <c r="A26" s="13" t="s">
        <v>1351</v>
      </c>
      <c r="B26" s="41" t="s">
        <v>1352</v>
      </c>
      <c r="C26" s="41" t="s">
        <v>1305</v>
      </c>
      <c r="D26" s="15">
        <v>101546</v>
      </c>
      <c r="E26" s="16">
        <v>361.5</v>
      </c>
      <c r="F26" s="17">
        <v>1.46E-2</v>
      </c>
      <c r="G26" s="17"/>
    </row>
    <row r="27" spans="1:7" x14ac:dyDescent="0.35">
      <c r="A27" s="13" t="s">
        <v>1199</v>
      </c>
      <c r="B27" s="41" t="s">
        <v>1200</v>
      </c>
      <c r="C27" s="41" t="s">
        <v>1201</v>
      </c>
      <c r="D27" s="15">
        <v>8840</v>
      </c>
      <c r="E27" s="16">
        <v>351.6</v>
      </c>
      <c r="F27" s="17">
        <v>1.4200000000000001E-2</v>
      </c>
      <c r="G27" s="17"/>
    </row>
    <row r="28" spans="1:7" x14ac:dyDescent="0.35">
      <c r="A28" s="13" t="s">
        <v>1289</v>
      </c>
      <c r="B28" s="41" t="s">
        <v>1290</v>
      </c>
      <c r="C28" s="41" t="s">
        <v>1285</v>
      </c>
      <c r="D28" s="15">
        <v>76712</v>
      </c>
      <c r="E28" s="16">
        <v>344.44</v>
      </c>
      <c r="F28" s="17">
        <v>1.3899999999999999E-2</v>
      </c>
      <c r="G28" s="17"/>
    </row>
    <row r="29" spans="1:7" x14ac:dyDescent="0.35">
      <c r="A29" s="13" t="s">
        <v>1310</v>
      </c>
      <c r="B29" s="41" t="s">
        <v>1311</v>
      </c>
      <c r="C29" s="41" t="s">
        <v>1261</v>
      </c>
      <c r="D29" s="15">
        <v>177071</v>
      </c>
      <c r="E29" s="16">
        <v>341.98</v>
      </c>
      <c r="F29" s="17">
        <v>1.38E-2</v>
      </c>
      <c r="G29" s="17"/>
    </row>
    <row r="30" spans="1:7" x14ac:dyDescent="0.35">
      <c r="A30" s="13" t="s">
        <v>1222</v>
      </c>
      <c r="B30" s="41" t="s">
        <v>1223</v>
      </c>
      <c r="C30" s="41" t="s">
        <v>1224</v>
      </c>
      <c r="D30" s="15">
        <v>2539</v>
      </c>
      <c r="E30" s="16">
        <v>322.3</v>
      </c>
      <c r="F30" s="17">
        <v>1.2999999999999999E-2</v>
      </c>
      <c r="G30" s="17"/>
    </row>
    <row r="31" spans="1:7" x14ac:dyDescent="0.35">
      <c r="A31" s="13" t="s">
        <v>1314</v>
      </c>
      <c r="B31" s="41" t="s">
        <v>1315</v>
      </c>
      <c r="C31" s="41" t="s">
        <v>1211</v>
      </c>
      <c r="D31" s="15">
        <v>29997</v>
      </c>
      <c r="E31" s="16">
        <v>305.97000000000003</v>
      </c>
      <c r="F31" s="17">
        <v>1.23E-2</v>
      </c>
      <c r="G31" s="17"/>
    </row>
    <row r="32" spans="1:7" x14ac:dyDescent="0.35">
      <c r="A32" s="13" t="s">
        <v>1472</v>
      </c>
      <c r="B32" s="41" t="s">
        <v>1473</v>
      </c>
      <c r="C32" s="41" t="s">
        <v>1419</v>
      </c>
      <c r="D32" s="15">
        <v>30996</v>
      </c>
      <c r="E32" s="16">
        <v>298.37</v>
      </c>
      <c r="F32" s="17">
        <v>1.2E-2</v>
      </c>
      <c r="G32" s="17"/>
    </row>
    <row r="33" spans="1:7" x14ac:dyDescent="0.35">
      <c r="A33" s="13" t="s">
        <v>2005</v>
      </c>
      <c r="B33" s="41" t="s">
        <v>2006</v>
      </c>
      <c r="C33" s="41" t="s">
        <v>1305</v>
      </c>
      <c r="D33" s="15">
        <v>97020</v>
      </c>
      <c r="E33" s="16">
        <v>248.86</v>
      </c>
      <c r="F33" s="17">
        <v>0.01</v>
      </c>
      <c r="G33" s="17"/>
    </row>
    <row r="34" spans="1:7" x14ac:dyDescent="0.35">
      <c r="A34" s="13" t="s">
        <v>1259</v>
      </c>
      <c r="B34" s="41" t="s">
        <v>1260</v>
      </c>
      <c r="C34" s="41" t="s">
        <v>1261</v>
      </c>
      <c r="D34" s="15">
        <v>20123</v>
      </c>
      <c r="E34" s="16">
        <v>244.37</v>
      </c>
      <c r="F34" s="17">
        <v>9.9000000000000008E-3</v>
      </c>
      <c r="G34" s="17"/>
    </row>
    <row r="35" spans="1:7" x14ac:dyDescent="0.35">
      <c r="A35" s="13" t="s">
        <v>1230</v>
      </c>
      <c r="B35" s="41" t="s">
        <v>1231</v>
      </c>
      <c r="C35" s="41" t="s">
        <v>1211</v>
      </c>
      <c r="D35" s="15">
        <v>12247</v>
      </c>
      <c r="E35" s="16">
        <v>239.13</v>
      </c>
      <c r="F35" s="17">
        <v>9.7000000000000003E-3</v>
      </c>
      <c r="G35" s="17"/>
    </row>
    <row r="36" spans="1:7" x14ac:dyDescent="0.35">
      <c r="A36" s="13" t="s">
        <v>1394</v>
      </c>
      <c r="B36" s="41" t="s">
        <v>1395</v>
      </c>
      <c r="C36" s="41" t="s">
        <v>1369</v>
      </c>
      <c r="D36" s="15">
        <v>13598</v>
      </c>
      <c r="E36" s="16">
        <v>237.03</v>
      </c>
      <c r="F36" s="17">
        <v>9.5999999999999992E-3</v>
      </c>
      <c r="G36" s="17"/>
    </row>
    <row r="37" spans="1:7" x14ac:dyDescent="0.35">
      <c r="A37" s="13" t="s">
        <v>1217</v>
      </c>
      <c r="B37" s="41" t="s">
        <v>1218</v>
      </c>
      <c r="C37" s="41" t="s">
        <v>1201</v>
      </c>
      <c r="D37" s="15">
        <v>9685</v>
      </c>
      <c r="E37" s="16">
        <v>235.18</v>
      </c>
      <c r="F37" s="17">
        <v>9.4999999999999998E-3</v>
      </c>
      <c r="G37" s="17"/>
    </row>
    <row r="38" spans="1:7" x14ac:dyDescent="0.35">
      <c r="A38" s="13" t="s">
        <v>1243</v>
      </c>
      <c r="B38" s="41" t="s">
        <v>1244</v>
      </c>
      <c r="C38" s="41" t="s">
        <v>1224</v>
      </c>
      <c r="D38" s="15">
        <v>8182</v>
      </c>
      <c r="E38" s="16">
        <v>230.65</v>
      </c>
      <c r="F38" s="17">
        <v>9.2999999999999992E-3</v>
      </c>
      <c r="G38" s="17"/>
    </row>
    <row r="39" spans="1:7" x14ac:dyDescent="0.35">
      <c r="A39" s="13" t="s">
        <v>1508</v>
      </c>
      <c r="B39" s="41" t="s">
        <v>1509</v>
      </c>
      <c r="C39" s="41" t="s">
        <v>1188</v>
      </c>
      <c r="D39" s="15">
        <v>2375</v>
      </c>
      <c r="E39" s="16">
        <v>227.94</v>
      </c>
      <c r="F39" s="17">
        <v>9.1999999999999998E-3</v>
      </c>
      <c r="G39" s="17"/>
    </row>
    <row r="40" spans="1:7" x14ac:dyDescent="0.35">
      <c r="A40" s="13" t="s">
        <v>1396</v>
      </c>
      <c r="B40" s="41" t="s">
        <v>1397</v>
      </c>
      <c r="C40" s="41" t="s">
        <v>1398</v>
      </c>
      <c r="D40" s="15">
        <v>15801</v>
      </c>
      <c r="E40" s="16">
        <v>224.34</v>
      </c>
      <c r="F40" s="17">
        <v>9.1000000000000004E-3</v>
      </c>
      <c r="G40" s="17"/>
    </row>
    <row r="41" spans="1:7" x14ac:dyDescent="0.35">
      <c r="A41" s="13" t="s">
        <v>1299</v>
      </c>
      <c r="B41" s="41" t="s">
        <v>1300</v>
      </c>
      <c r="C41" s="41" t="s">
        <v>1301</v>
      </c>
      <c r="D41" s="15">
        <v>83208</v>
      </c>
      <c r="E41" s="16">
        <v>223.8</v>
      </c>
      <c r="F41" s="17">
        <v>8.9999999999999993E-3</v>
      </c>
      <c r="G41" s="17"/>
    </row>
    <row r="42" spans="1:7" x14ac:dyDescent="0.35">
      <c r="A42" s="13" t="s">
        <v>1343</v>
      </c>
      <c r="B42" s="41" t="s">
        <v>1344</v>
      </c>
      <c r="C42" s="41" t="s">
        <v>1345</v>
      </c>
      <c r="D42" s="15">
        <v>4842</v>
      </c>
      <c r="E42" s="16">
        <v>222.56</v>
      </c>
      <c r="F42" s="17">
        <v>8.9999999999999993E-3</v>
      </c>
      <c r="G42" s="17"/>
    </row>
    <row r="43" spans="1:7" x14ac:dyDescent="0.35">
      <c r="A43" s="13" t="s">
        <v>2068</v>
      </c>
      <c r="B43" s="41" t="s">
        <v>2069</v>
      </c>
      <c r="C43" s="41" t="s">
        <v>2070</v>
      </c>
      <c r="D43" s="15">
        <v>48641</v>
      </c>
      <c r="E43" s="16">
        <v>214.39</v>
      </c>
      <c r="F43" s="17">
        <v>8.6999999999999994E-3</v>
      </c>
      <c r="G43" s="17"/>
    </row>
    <row r="44" spans="1:7" x14ac:dyDescent="0.35">
      <c r="A44" s="13" t="s">
        <v>1194</v>
      </c>
      <c r="B44" s="41" t="s">
        <v>1195</v>
      </c>
      <c r="C44" s="41" t="s">
        <v>1188</v>
      </c>
      <c r="D44" s="15">
        <v>2948</v>
      </c>
      <c r="E44" s="16">
        <v>209.97</v>
      </c>
      <c r="F44" s="17">
        <v>8.5000000000000006E-3</v>
      </c>
      <c r="G44" s="17"/>
    </row>
    <row r="45" spans="1:7" x14ac:dyDescent="0.35">
      <c r="A45" s="13" t="s">
        <v>1189</v>
      </c>
      <c r="B45" s="41" t="s">
        <v>1190</v>
      </c>
      <c r="C45" s="41" t="s">
        <v>1191</v>
      </c>
      <c r="D45" s="15">
        <v>15355</v>
      </c>
      <c r="E45" s="16">
        <v>204.59</v>
      </c>
      <c r="F45" s="17">
        <v>8.3000000000000001E-3</v>
      </c>
      <c r="G45" s="17"/>
    </row>
    <row r="46" spans="1:7" x14ac:dyDescent="0.35">
      <c r="A46" s="13" t="s">
        <v>1183</v>
      </c>
      <c r="B46" s="41" t="s">
        <v>1184</v>
      </c>
      <c r="C46" s="41" t="s">
        <v>1185</v>
      </c>
      <c r="D46" s="15">
        <v>9614</v>
      </c>
      <c r="E46" s="16">
        <v>192.14</v>
      </c>
      <c r="F46" s="17">
        <v>7.7999999999999996E-3</v>
      </c>
      <c r="G46" s="17"/>
    </row>
    <row r="47" spans="1:7" x14ac:dyDescent="0.35">
      <c r="A47" s="13" t="s">
        <v>1459</v>
      </c>
      <c r="B47" s="41" t="s">
        <v>1460</v>
      </c>
      <c r="C47" s="41" t="s">
        <v>1266</v>
      </c>
      <c r="D47" s="15">
        <v>4752</v>
      </c>
      <c r="E47" s="16">
        <v>179.89</v>
      </c>
      <c r="F47" s="17">
        <v>7.3000000000000001E-3</v>
      </c>
      <c r="G47" s="17"/>
    </row>
    <row r="48" spans="1:7" x14ac:dyDescent="0.35">
      <c r="A48" s="13" t="s">
        <v>1308</v>
      </c>
      <c r="B48" s="41" t="s">
        <v>1309</v>
      </c>
      <c r="C48" s="41" t="s">
        <v>1211</v>
      </c>
      <c r="D48" s="15">
        <v>70211</v>
      </c>
      <c r="E48" s="16">
        <v>178.69</v>
      </c>
      <c r="F48" s="17">
        <v>7.1999999999999998E-3</v>
      </c>
      <c r="G48" s="17"/>
    </row>
    <row r="49" spans="1:7" x14ac:dyDescent="0.35">
      <c r="A49" s="13" t="s">
        <v>1207</v>
      </c>
      <c r="B49" s="41" t="s">
        <v>1208</v>
      </c>
      <c r="C49" s="41" t="s">
        <v>1185</v>
      </c>
      <c r="D49" s="15">
        <v>23019</v>
      </c>
      <c r="E49" s="16">
        <v>168.27</v>
      </c>
      <c r="F49" s="17">
        <v>6.7999999999999996E-3</v>
      </c>
      <c r="G49" s="17"/>
    </row>
    <row r="50" spans="1:7" x14ac:dyDescent="0.35">
      <c r="A50" s="13" t="s">
        <v>2183</v>
      </c>
      <c r="B50" s="41" t="s">
        <v>2184</v>
      </c>
      <c r="C50" s="41" t="s">
        <v>1234</v>
      </c>
      <c r="D50" s="15">
        <v>12050</v>
      </c>
      <c r="E50" s="16">
        <v>159.54</v>
      </c>
      <c r="F50" s="17">
        <v>6.4000000000000003E-3</v>
      </c>
      <c r="G50" s="17"/>
    </row>
    <row r="51" spans="1:7" x14ac:dyDescent="0.35">
      <c r="A51" s="13" t="s">
        <v>1239</v>
      </c>
      <c r="B51" s="41" t="s">
        <v>1240</v>
      </c>
      <c r="C51" s="41" t="s">
        <v>1234</v>
      </c>
      <c r="D51" s="15">
        <v>13052</v>
      </c>
      <c r="E51" s="16">
        <v>158.99</v>
      </c>
      <c r="F51" s="17">
        <v>6.4000000000000003E-3</v>
      </c>
      <c r="G51" s="17"/>
    </row>
    <row r="52" spans="1:7" x14ac:dyDescent="0.35">
      <c r="A52" s="13" t="s">
        <v>1214</v>
      </c>
      <c r="B52" s="41" t="s">
        <v>1215</v>
      </c>
      <c r="C52" s="41" t="s">
        <v>1216</v>
      </c>
      <c r="D52" s="15">
        <v>13944</v>
      </c>
      <c r="E52" s="16">
        <v>158.11000000000001</v>
      </c>
      <c r="F52" s="17">
        <v>6.4000000000000003E-3</v>
      </c>
      <c r="G52" s="17"/>
    </row>
    <row r="53" spans="1:7" x14ac:dyDescent="0.35">
      <c r="A53" s="13" t="s">
        <v>1516</v>
      </c>
      <c r="B53" s="41" t="s">
        <v>1517</v>
      </c>
      <c r="C53" s="41" t="s">
        <v>1188</v>
      </c>
      <c r="D53" s="15">
        <v>44788</v>
      </c>
      <c r="E53" s="16">
        <v>156.78</v>
      </c>
      <c r="F53" s="17">
        <v>6.3E-3</v>
      </c>
      <c r="G53" s="17"/>
    </row>
    <row r="54" spans="1:7" x14ac:dyDescent="0.35">
      <c r="A54" s="13" t="s">
        <v>1227</v>
      </c>
      <c r="B54" s="41" t="s">
        <v>1228</v>
      </c>
      <c r="C54" s="41" t="s">
        <v>1229</v>
      </c>
      <c r="D54" s="15">
        <v>2205</v>
      </c>
      <c r="E54" s="16">
        <v>153.47999999999999</v>
      </c>
      <c r="F54" s="17">
        <v>6.1999999999999998E-3</v>
      </c>
      <c r="G54" s="17"/>
    </row>
    <row r="55" spans="1:7" x14ac:dyDescent="0.35">
      <c r="A55" s="13" t="s">
        <v>1449</v>
      </c>
      <c r="B55" s="41" t="s">
        <v>1450</v>
      </c>
      <c r="C55" s="41" t="s">
        <v>1229</v>
      </c>
      <c r="D55" s="15">
        <v>15928</v>
      </c>
      <c r="E55" s="16">
        <v>152.4</v>
      </c>
      <c r="F55" s="17">
        <v>6.1999999999999998E-3</v>
      </c>
      <c r="G55" s="17"/>
    </row>
    <row r="56" spans="1:7" x14ac:dyDescent="0.35">
      <c r="A56" s="13" t="s">
        <v>2171</v>
      </c>
      <c r="B56" s="41" t="s">
        <v>2172</v>
      </c>
      <c r="C56" s="41" t="s">
        <v>1369</v>
      </c>
      <c r="D56" s="15">
        <v>61157</v>
      </c>
      <c r="E56" s="16">
        <v>144.88</v>
      </c>
      <c r="F56" s="17">
        <v>5.7999999999999996E-3</v>
      </c>
      <c r="G56" s="17"/>
    </row>
    <row r="57" spans="1:7" x14ac:dyDescent="0.35">
      <c r="A57" s="13" t="s">
        <v>1340</v>
      </c>
      <c r="B57" s="41" t="s">
        <v>2187</v>
      </c>
      <c r="C57" s="41" t="s">
        <v>1342</v>
      </c>
      <c r="D57" s="15">
        <v>5579</v>
      </c>
      <c r="E57" s="16">
        <v>112.72</v>
      </c>
      <c r="F57" s="17">
        <v>4.4999999999999997E-3</v>
      </c>
      <c r="G57" s="17"/>
    </row>
    <row r="58" spans="1:7" x14ac:dyDescent="0.35">
      <c r="A58" s="13" t="s">
        <v>1843</v>
      </c>
      <c r="B58" s="41" t="s">
        <v>1844</v>
      </c>
      <c r="C58" s="41" t="s">
        <v>1191</v>
      </c>
      <c r="D58" s="15">
        <v>17092</v>
      </c>
      <c r="E58" s="16">
        <v>6.18</v>
      </c>
      <c r="F58" s="17">
        <v>2.0000000000000001E-4</v>
      </c>
      <c r="G58" s="17"/>
    </row>
    <row r="59" spans="1:7" x14ac:dyDescent="0.35">
      <c r="A59" s="14" t="s">
        <v>149</v>
      </c>
      <c r="B59" s="42"/>
      <c r="C59" s="42"/>
      <c r="D59" s="18"/>
      <c r="E59" s="19">
        <f>SUM(E8:E58)</f>
        <v>24743.449999999997</v>
      </c>
      <c r="F59" s="20">
        <f>SUM(F8:F58)</f>
        <v>0.9986999999999997</v>
      </c>
      <c r="G59" s="21"/>
    </row>
    <row r="60" spans="1:7" x14ac:dyDescent="0.35">
      <c r="A60" s="13"/>
      <c r="B60" s="41"/>
      <c r="C60" s="41"/>
      <c r="D60" s="15"/>
      <c r="E60" s="16"/>
      <c r="F60" s="17"/>
      <c r="G60" s="17"/>
    </row>
    <row r="61" spans="1:7" x14ac:dyDescent="0.35">
      <c r="A61" s="22" t="s">
        <v>160</v>
      </c>
      <c r="B61" s="43"/>
      <c r="C61" s="43"/>
      <c r="D61" s="23"/>
      <c r="E61" s="19">
        <v>24743.45</v>
      </c>
      <c r="F61" s="20">
        <v>0.9986999999999997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3"/>
      <c r="B63" s="41"/>
      <c r="C63" s="41"/>
      <c r="D63" s="15"/>
      <c r="E63" s="16"/>
      <c r="F63" s="17"/>
      <c r="G63" s="17"/>
    </row>
    <row r="64" spans="1:7" x14ac:dyDescent="0.35">
      <c r="A64" s="14" t="s">
        <v>255</v>
      </c>
      <c r="B64" s="41"/>
      <c r="C64" s="41"/>
      <c r="D64" s="15"/>
      <c r="E64" s="16"/>
      <c r="F64" s="17"/>
      <c r="G64" s="17"/>
    </row>
    <row r="65" spans="1:7" x14ac:dyDescent="0.35">
      <c r="A65" s="13" t="s">
        <v>257</v>
      </c>
      <c r="B65" s="41"/>
      <c r="C65" s="41"/>
      <c r="D65" s="15"/>
      <c r="E65" s="16">
        <v>131.94</v>
      </c>
      <c r="F65" s="17">
        <v>5.3E-3</v>
      </c>
      <c r="G65" s="17">
        <v>5.1742000000000003E-2</v>
      </c>
    </row>
    <row r="66" spans="1:7" x14ac:dyDescent="0.35">
      <c r="A66" s="14" t="s">
        <v>149</v>
      </c>
      <c r="B66" s="42"/>
      <c r="C66" s="42"/>
      <c r="D66" s="18"/>
      <c r="E66" s="19">
        <v>131.94</v>
      </c>
      <c r="F66" s="20">
        <v>5.3E-3</v>
      </c>
      <c r="G66" s="21"/>
    </row>
    <row r="67" spans="1:7" x14ac:dyDescent="0.35">
      <c r="A67" s="13"/>
      <c r="B67" s="41"/>
      <c r="C67" s="41"/>
      <c r="D67" s="15"/>
      <c r="E67" s="16"/>
      <c r="F67" s="17"/>
      <c r="G67" s="17"/>
    </row>
    <row r="68" spans="1:7" x14ac:dyDescent="0.35">
      <c r="A68" s="22" t="s">
        <v>160</v>
      </c>
      <c r="B68" s="43"/>
      <c r="C68" s="43"/>
      <c r="D68" s="23"/>
      <c r="E68" s="36">
        <v>131.94</v>
      </c>
      <c r="F68" s="37">
        <v>5.3E-3</v>
      </c>
      <c r="G68" s="21"/>
    </row>
    <row r="69" spans="1:7" x14ac:dyDescent="0.35">
      <c r="A69" s="13" t="s">
        <v>258</v>
      </c>
      <c r="B69" s="41"/>
      <c r="C69" s="41"/>
      <c r="D69" s="15"/>
      <c r="E69" s="16">
        <v>3.7408400000000001E-2</v>
      </c>
      <c r="F69" s="17">
        <v>9.9999999999999995E-7</v>
      </c>
      <c r="G69" s="17"/>
    </row>
    <row r="70" spans="1:7" x14ac:dyDescent="0.35">
      <c r="A70" s="13" t="s">
        <v>259</v>
      </c>
      <c r="B70" s="41"/>
      <c r="C70" s="41"/>
      <c r="D70" s="15"/>
      <c r="E70" s="28">
        <v>-97.657408399999994</v>
      </c>
      <c r="F70" s="29">
        <v>-4.0010000000000002E-3</v>
      </c>
      <c r="G70" s="17">
        <v>5.1741000000000002E-2</v>
      </c>
    </row>
    <row r="71" spans="1:7" x14ac:dyDescent="0.35">
      <c r="A71" s="38" t="s">
        <v>260</v>
      </c>
      <c r="B71" s="44"/>
      <c r="C71" s="44"/>
      <c r="D71" s="39"/>
      <c r="E71" s="24">
        <v>24777.77</v>
      </c>
      <c r="F71" s="25">
        <v>1</v>
      </c>
      <c r="G71" s="25"/>
    </row>
    <row r="76" spans="1:7" x14ac:dyDescent="0.35">
      <c r="A76" s="1" t="s">
        <v>263</v>
      </c>
    </row>
    <row r="77" spans="1:7" x14ac:dyDescent="0.35">
      <c r="A77" s="47" t="s">
        <v>264</v>
      </c>
      <c r="B77" s="3" t="s">
        <v>146</v>
      </c>
    </row>
    <row r="78" spans="1:7" x14ac:dyDescent="0.35">
      <c r="A78" t="s">
        <v>265</v>
      </c>
    </row>
    <row r="79" spans="1:7" x14ac:dyDescent="0.35">
      <c r="A79" t="s">
        <v>266</v>
      </c>
      <c r="B79" t="s">
        <v>267</v>
      </c>
      <c r="C79" t="s">
        <v>267</v>
      </c>
    </row>
    <row r="80" spans="1:7" x14ac:dyDescent="0.35">
      <c r="B80" s="49">
        <v>46022</v>
      </c>
      <c r="C80" s="49">
        <v>46052</v>
      </c>
    </row>
    <row r="81" spans="1:3" x14ac:dyDescent="0.35">
      <c r="A81" t="s">
        <v>272</v>
      </c>
      <c r="B81">
        <v>15.3711</v>
      </c>
      <c r="C81">
        <v>14.9024</v>
      </c>
    </row>
    <row r="82" spans="1:3" x14ac:dyDescent="0.35">
      <c r="A82" t="s">
        <v>273</v>
      </c>
      <c r="B82">
        <v>15.1584</v>
      </c>
      <c r="C82">
        <v>14.696199999999999</v>
      </c>
    </row>
    <row r="83" spans="1:3" x14ac:dyDescent="0.35">
      <c r="A83" t="s">
        <v>708</v>
      </c>
      <c r="B83">
        <v>14.864599999999999</v>
      </c>
      <c r="C83">
        <v>14.406000000000001</v>
      </c>
    </row>
    <row r="84" spans="1:3" x14ac:dyDescent="0.35">
      <c r="A84" t="s">
        <v>709</v>
      </c>
      <c r="B84">
        <v>14.8644</v>
      </c>
      <c r="C84">
        <v>14.405799999999999</v>
      </c>
    </row>
    <row r="86" spans="1:3" x14ac:dyDescent="0.35">
      <c r="A86" t="s">
        <v>283</v>
      </c>
      <c r="B86" s="3" t="s">
        <v>146</v>
      </c>
    </row>
    <row r="87" spans="1:3" x14ac:dyDescent="0.35">
      <c r="A87" t="s">
        <v>284</v>
      </c>
      <c r="B87" s="3" t="s">
        <v>146</v>
      </c>
    </row>
    <row r="88" spans="1:3" ht="29" customHeight="1" x14ac:dyDescent="0.35">
      <c r="A88" s="47" t="s">
        <v>285</v>
      </c>
      <c r="B88" s="3" t="s">
        <v>146</v>
      </c>
    </row>
    <row r="89" spans="1:3" ht="29" customHeight="1" x14ac:dyDescent="0.35">
      <c r="A89" s="47" t="s">
        <v>286</v>
      </c>
      <c r="B89" s="3" t="s">
        <v>146</v>
      </c>
    </row>
    <row r="90" spans="1:3" x14ac:dyDescent="0.35">
      <c r="A90" t="s">
        <v>1253</v>
      </c>
      <c r="B90" s="48">
        <v>9.6600000000000005E-2</v>
      </c>
    </row>
    <row r="91" spans="1:3" ht="43.5" customHeight="1" x14ac:dyDescent="0.35">
      <c r="A91" s="47" t="s">
        <v>288</v>
      </c>
      <c r="B91" s="3" t="s">
        <v>146</v>
      </c>
    </row>
    <row r="92" spans="1:3" x14ac:dyDescent="0.35">
      <c r="B92" s="3"/>
    </row>
    <row r="93" spans="1:3" ht="29" customHeight="1" x14ac:dyDescent="0.35">
      <c r="A93" s="47" t="s">
        <v>289</v>
      </c>
      <c r="B93" s="3" t="s">
        <v>146</v>
      </c>
    </row>
    <row r="94" spans="1:3" ht="29" customHeight="1" x14ac:dyDescent="0.35">
      <c r="A94" s="47" t="s">
        <v>290</v>
      </c>
      <c r="B94">
        <v>243.55</v>
      </c>
    </row>
    <row r="95" spans="1:3" ht="29" customHeight="1" x14ac:dyDescent="0.35">
      <c r="A95" s="47" t="s">
        <v>291</v>
      </c>
      <c r="B95" s="3" t="s">
        <v>146</v>
      </c>
    </row>
    <row r="96" spans="1:3" ht="29" customHeight="1" x14ac:dyDescent="0.35">
      <c r="A96" s="47" t="s">
        <v>292</v>
      </c>
      <c r="B96" s="3" t="s">
        <v>146</v>
      </c>
    </row>
    <row r="98" spans="1:4" ht="70" customHeight="1" x14ac:dyDescent="0.35">
      <c r="A98" s="70" t="s">
        <v>303</v>
      </c>
      <c r="B98" s="70" t="s">
        <v>304</v>
      </c>
      <c r="C98" s="70" t="s">
        <v>4</v>
      </c>
      <c r="D98" s="70" t="s">
        <v>5</v>
      </c>
    </row>
    <row r="99" spans="1:4" ht="70" customHeight="1" x14ac:dyDescent="0.35">
      <c r="A99" s="70" t="s">
        <v>2235</v>
      </c>
      <c r="B99" s="70"/>
      <c r="C99" s="70" t="s">
        <v>80</v>
      </c>
      <c r="D9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G295"/>
  <sheetViews>
    <sheetView showGridLines="0" workbookViewId="0">
      <pane ySplit="4" topLeftCell="A240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2236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2237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66048</v>
      </c>
      <c r="E8" s="16">
        <v>613.75</v>
      </c>
      <c r="F8" s="17">
        <v>5.1499999999999997E-2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30838</v>
      </c>
      <c r="E9" s="16">
        <v>417.85</v>
      </c>
      <c r="F9" s="17">
        <v>3.5099999999999999E-2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29152</v>
      </c>
      <c r="E10" s="16">
        <v>406.79</v>
      </c>
      <c r="F10" s="17">
        <v>3.4200000000000001E-2</v>
      </c>
      <c r="G10" s="17"/>
    </row>
    <row r="11" spans="1:7" x14ac:dyDescent="0.35">
      <c r="A11" s="13" t="s">
        <v>1367</v>
      </c>
      <c r="B11" s="41" t="s">
        <v>1368</v>
      </c>
      <c r="C11" s="41" t="s">
        <v>1369</v>
      </c>
      <c r="D11" s="15">
        <v>15124</v>
      </c>
      <c r="E11" s="16">
        <v>248.18</v>
      </c>
      <c r="F11" s="17">
        <v>2.0799999999999999E-2</v>
      </c>
      <c r="G11" s="17"/>
    </row>
    <row r="12" spans="1:7" x14ac:dyDescent="0.35">
      <c r="A12" s="13" t="s">
        <v>1196</v>
      </c>
      <c r="B12" s="41" t="s">
        <v>1197</v>
      </c>
      <c r="C12" s="41" t="s">
        <v>1198</v>
      </c>
      <c r="D12" s="15">
        <v>12032</v>
      </c>
      <c r="E12" s="16">
        <v>236.87</v>
      </c>
      <c r="F12" s="17">
        <v>1.9900000000000001E-2</v>
      </c>
      <c r="G12" s="17"/>
    </row>
    <row r="13" spans="1:7" x14ac:dyDescent="0.35">
      <c r="A13" s="13" t="s">
        <v>1385</v>
      </c>
      <c r="B13" s="41" t="s">
        <v>1386</v>
      </c>
      <c r="C13" s="41" t="s">
        <v>1387</v>
      </c>
      <c r="D13" s="15">
        <v>5070</v>
      </c>
      <c r="E13" s="16">
        <v>199.37</v>
      </c>
      <c r="F13" s="17">
        <v>1.67E-2</v>
      </c>
      <c r="G13" s="17"/>
    </row>
    <row r="14" spans="1:7" x14ac:dyDescent="0.35">
      <c r="A14" s="13" t="s">
        <v>1176</v>
      </c>
      <c r="B14" s="41" t="s">
        <v>1177</v>
      </c>
      <c r="C14" s="41" t="s">
        <v>1178</v>
      </c>
      <c r="D14" s="15">
        <v>17914</v>
      </c>
      <c r="E14" s="16">
        <v>192.96</v>
      </c>
      <c r="F14" s="17">
        <v>1.6199999999999999E-2</v>
      </c>
      <c r="G14" s="17"/>
    </row>
    <row r="15" spans="1:7" x14ac:dyDescent="0.35">
      <c r="A15" s="13" t="s">
        <v>1376</v>
      </c>
      <c r="B15" s="41" t="s">
        <v>1377</v>
      </c>
      <c r="C15" s="41" t="s">
        <v>1280</v>
      </c>
      <c r="D15" s="15">
        <v>6520</v>
      </c>
      <c r="E15" s="16">
        <v>182.36</v>
      </c>
      <c r="F15" s="17">
        <v>1.5299999999999999E-2</v>
      </c>
      <c r="G15" s="17"/>
    </row>
    <row r="16" spans="1:7" x14ac:dyDescent="0.35">
      <c r="A16" s="13" t="s">
        <v>1262</v>
      </c>
      <c r="B16" s="41" t="s">
        <v>1263</v>
      </c>
      <c r="C16" s="41" t="s">
        <v>1178</v>
      </c>
      <c r="D16" s="15">
        <v>12375</v>
      </c>
      <c r="E16" s="16">
        <v>169.59</v>
      </c>
      <c r="F16" s="17">
        <v>1.4200000000000001E-2</v>
      </c>
      <c r="G16" s="17"/>
    </row>
    <row r="17" spans="1:7" x14ac:dyDescent="0.35">
      <c r="A17" s="13" t="s">
        <v>1478</v>
      </c>
      <c r="B17" s="41" t="s">
        <v>1479</v>
      </c>
      <c r="C17" s="41" t="s">
        <v>1369</v>
      </c>
      <c r="D17" s="15">
        <v>4407</v>
      </c>
      <c r="E17" s="16">
        <v>137.66999999999999</v>
      </c>
      <c r="F17" s="17">
        <v>1.1599999999999999E-2</v>
      </c>
      <c r="G17" s="17"/>
    </row>
    <row r="18" spans="1:7" x14ac:dyDescent="0.35">
      <c r="A18" s="13" t="s">
        <v>1273</v>
      </c>
      <c r="B18" s="41" t="s">
        <v>1274</v>
      </c>
      <c r="C18" s="41" t="s">
        <v>1275</v>
      </c>
      <c r="D18" s="15">
        <v>41606</v>
      </c>
      <c r="E18" s="16">
        <v>134.03</v>
      </c>
      <c r="F18" s="17">
        <v>1.1299999999999999E-2</v>
      </c>
      <c r="G18" s="17"/>
    </row>
    <row r="19" spans="1:7" x14ac:dyDescent="0.35">
      <c r="A19" s="13" t="s">
        <v>1295</v>
      </c>
      <c r="B19" s="41" t="s">
        <v>1296</v>
      </c>
      <c r="C19" s="41" t="s">
        <v>1188</v>
      </c>
      <c r="D19" s="15">
        <v>3856</v>
      </c>
      <c r="E19" s="16">
        <v>132.33000000000001</v>
      </c>
      <c r="F19" s="17">
        <v>1.11E-2</v>
      </c>
      <c r="G19" s="17"/>
    </row>
    <row r="20" spans="1:7" x14ac:dyDescent="0.35">
      <c r="A20" s="13" t="s">
        <v>1235</v>
      </c>
      <c r="B20" s="41" t="s">
        <v>1236</v>
      </c>
      <c r="C20" s="41" t="s">
        <v>1178</v>
      </c>
      <c r="D20" s="15">
        <v>31749</v>
      </c>
      <c r="E20" s="16">
        <v>129.54</v>
      </c>
      <c r="F20" s="17">
        <v>1.09E-2</v>
      </c>
      <c r="G20" s="17"/>
    </row>
    <row r="21" spans="1:7" x14ac:dyDescent="0.35">
      <c r="A21" s="13" t="s">
        <v>1512</v>
      </c>
      <c r="B21" s="41" t="s">
        <v>1513</v>
      </c>
      <c r="C21" s="41" t="s">
        <v>1188</v>
      </c>
      <c r="D21" s="15">
        <v>2072</v>
      </c>
      <c r="E21" s="16">
        <v>114.66</v>
      </c>
      <c r="F21" s="17">
        <v>9.5999999999999992E-3</v>
      </c>
      <c r="G21" s="17"/>
    </row>
    <row r="22" spans="1:7" x14ac:dyDescent="0.35">
      <c r="A22" s="13" t="s">
        <v>1202</v>
      </c>
      <c r="B22" s="41" t="s">
        <v>1203</v>
      </c>
      <c r="C22" s="41" t="s">
        <v>1178</v>
      </c>
      <c r="D22" s="15">
        <v>39257</v>
      </c>
      <c r="E22" s="16">
        <v>112.96</v>
      </c>
      <c r="F22" s="17">
        <v>9.4999999999999998E-3</v>
      </c>
      <c r="G22" s="17"/>
    </row>
    <row r="23" spans="1:7" x14ac:dyDescent="0.35">
      <c r="A23" s="13" t="s">
        <v>1209</v>
      </c>
      <c r="B23" s="41" t="s">
        <v>1210</v>
      </c>
      <c r="C23" s="41" t="s">
        <v>1211</v>
      </c>
      <c r="D23" s="15">
        <v>11462</v>
      </c>
      <c r="E23" s="16">
        <v>106.58</v>
      </c>
      <c r="F23" s="17">
        <v>8.8999999999999999E-3</v>
      </c>
      <c r="G23" s="17"/>
    </row>
    <row r="24" spans="1:7" x14ac:dyDescent="0.35">
      <c r="A24" s="13" t="s">
        <v>1547</v>
      </c>
      <c r="B24" s="41" t="s">
        <v>1548</v>
      </c>
      <c r="C24" s="41" t="s">
        <v>1369</v>
      </c>
      <c r="D24" s="15">
        <v>1738</v>
      </c>
      <c r="E24" s="16">
        <v>104.89</v>
      </c>
      <c r="F24" s="17">
        <v>8.8000000000000005E-3</v>
      </c>
      <c r="G24" s="17"/>
    </row>
    <row r="25" spans="1:7" x14ac:dyDescent="0.35">
      <c r="A25" s="13" t="s">
        <v>1399</v>
      </c>
      <c r="B25" s="41" t="s">
        <v>1400</v>
      </c>
      <c r="C25" s="41" t="s">
        <v>1178</v>
      </c>
      <c r="D25" s="15">
        <v>10510</v>
      </c>
      <c r="E25" s="16">
        <v>94.18</v>
      </c>
      <c r="F25" s="17">
        <v>7.9000000000000008E-3</v>
      </c>
      <c r="G25" s="17"/>
    </row>
    <row r="26" spans="1:7" x14ac:dyDescent="0.35">
      <c r="A26" s="13" t="s">
        <v>1439</v>
      </c>
      <c r="B26" s="41" t="s">
        <v>1440</v>
      </c>
      <c r="C26" s="41" t="s">
        <v>1333</v>
      </c>
      <c r="D26" s="15">
        <v>193618</v>
      </c>
      <c r="E26" s="16">
        <v>92.3</v>
      </c>
      <c r="F26" s="17">
        <v>7.7000000000000002E-3</v>
      </c>
      <c r="G26" s="17"/>
    </row>
    <row r="27" spans="1:7" x14ac:dyDescent="0.35">
      <c r="A27" s="13" t="s">
        <v>1297</v>
      </c>
      <c r="B27" s="41" t="s">
        <v>1298</v>
      </c>
      <c r="C27" s="41" t="s">
        <v>1198</v>
      </c>
      <c r="D27" s="15">
        <v>20654</v>
      </c>
      <c r="E27" s="16">
        <v>91.77</v>
      </c>
      <c r="F27" s="17">
        <v>7.7000000000000002E-3</v>
      </c>
      <c r="G27" s="17"/>
    </row>
    <row r="28" spans="1:7" x14ac:dyDescent="0.35">
      <c r="A28" s="13" t="s">
        <v>1488</v>
      </c>
      <c r="B28" s="41" t="s">
        <v>1489</v>
      </c>
      <c r="C28" s="41" t="s">
        <v>1275</v>
      </c>
      <c r="D28" s="15">
        <v>3834</v>
      </c>
      <c r="E28" s="16">
        <v>90.98</v>
      </c>
      <c r="F28" s="17">
        <v>7.6E-3</v>
      </c>
      <c r="G28" s="17"/>
    </row>
    <row r="29" spans="1:7" x14ac:dyDescent="0.35">
      <c r="A29" s="13" t="s">
        <v>1463</v>
      </c>
      <c r="B29" s="41" t="s">
        <v>1464</v>
      </c>
      <c r="C29" s="41" t="s">
        <v>1465</v>
      </c>
      <c r="D29" s="15">
        <v>5439</v>
      </c>
      <c r="E29" s="16">
        <v>89.99</v>
      </c>
      <c r="F29" s="17">
        <v>7.6E-3</v>
      </c>
      <c r="G29" s="17"/>
    </row>
    <row r="30" spans="1:7" x14ac:dyDescent="0.35">
      <c r="A30" s="13" t="s">
        <v>1847</v>
      </c>
      <c r="B30" s="41" t="s">
        <v>1848</v>
      </c>
      <c r="C30" s="41" t="s">
        <v>1849</v>
      </c>
      <c r="D30" s="15">
        <v>45654</v>
      </c>
      <c r="E30" s="16">
        <v>89.8</v>
      </c>
      <c r="F30" s="17">
        <v>7.4999999999999997E-3</v>
      </c>
      <c r="G30" s="17"/>
    </row>
    <row r="31" spans="1:7" x14ac:dyDescent="0.35">
      <c r="A31" s="13" t="s">
        <v>2013</v>
      </c>
      <c r="B31" s="41" t="s">
        <v>2014</v>
      </c>
      <c r="C31" s="41" t="s">
        <v>1288</v>
      </c>
      <c r="D31" s="15">
        <v>2155</v>
      </c>
      <c r="E31" s="16">
        <v>88.62</v>
      </c>
      <c r="F31" s="17">
        <v>7.4000000000000003E-3</v>
      </c>
      <c r="G31" s="17"/>
    </row>
    <row r="32" spans="1:7" x14ac:dyDescent="0.35">
      <c r="A32" s="13" t="s">
        <v>1426</v>
      </c>
      <c r="B32" s="41" t="s">
        <v>1427</v>
      </c>
      <c r="C32" s="41" t="s">
        <v>1178</v>
      </c>
      <c r="D32" s="15">
        <v>9004</v>
      </c>
      <c r="E32" s="16">
        <v>88.45</v>
      </c>
      <c r="F32" s="17">
        <v>7.4000000000000003E-3</v>
      </c>
      <c r="G32" s="17"/>
    </row>
    <row r="33" spans="1:7" x14ac:dyDescent="0.35">
      <c r="A33" s="13" t="s">
        <v>1531</v>
      </c>
      <c r="B33" s="41" t="s">
        <v>1532</v>
      </c>
      <c r="C33" s="41" t="s">
        <v>1369</v>
      </c>
      <c r="D33" s="15">
        <v>5343</v>
      </c>
      <c r="E33" s="16">
        <v>88.36</v>
      </c>
      <c r="F33" s="17">
        <v>7.4000000000000003E-3</v>
      </c>
      <c r="G33" s="17"/>
    </row>
    <row r="34" spans="1:7" x14ac:dyDescent="0.35">
      <c r="A34" s="13" t="s">
        <v>1443</v>
      </c>
      <c r="B34" s="41" t="s">
        <v>1444</v>
      </c>
      <c r="C34" s="41" t="s">
        <v>1178</v>
      </c>
      <c r="D34" s="15">
        <v>105608</v>
      </c>
      <c r="E34" s="16">
        <v>88.27</v>
      </c>
      <c r="F34" s="17">
        <v>7.4000000000000003E-3</v>
      </c>
      <c r="G34" s="17"/>
    </row>
    <row r="35" spans="1:7" x14ac:dyDescent="0.35">
      <c r="A35" s="13" t="s">
        <v>1264</v>
      </c>
      <c r="B35" s="41" t="s">
        <v>1265</v>
      </c>
      <c r="C35" s="41" t="s">
        <v>1266</v>
      </c>
      <c r="D35" s="15">
        <v>31019</v>
      </c>
      <c r="E35" s="16">
        <v>84.87</v>
      </c>
      <c r="F35" s="17">
        <v>7.1000000000000004E-3</v>
      </c>
      <c r="G35" s="17"/>
    </row>
    <row r="36" spans="1:7" x14ac:dyDescent="0.35">
      <c r="A36" s="13" t="s">
        <v>1506</v>
      </c>
      <c r="B36" s="41" t="s">
        <v>1507</v>
      </c>
      <c r="C36" s="41" t="s">
        <v>1234</v>
      </c>
      <c r="D36" s="15">
        <v>3869</v>
      </c>
      <c r="E36" s="16">
        <v>83.29</v>
      </c>
      <c r="F36" s="17">
        <v>7.0000000000000001E-3</v>
      </c>
      <c r="G36" s="17"/>
    </row>
    <row r="37" spans="1:7" x14ac:dyDescent="0.35">
      <c r="A37" s="13" t="s">
        <v>1186</v>
      </c>
      <c r="B37" s="41" t="s">
        <v>1187</v>
      </c>
      <c r="C37" s="41" t="s">
        <v>1188</v>
      </c>
      <c r="D37" s="15">
        <v>564</v>
      </c>
      <c r="E37" s="16">
        <v>82.34</v>
      </c>
      <c r="F37" s="17">
        <v>6.8999999999999999E-3</v>
      </c>
      <c r="G37" s="17"/>
    </row>
    <row r="38" spans="1:7" x14ac:dyDescent="0.35">
      <c r="A38" s="13" t="s">
        <v>1441</v>
      </c>
      <c r="B38" s="41" t="s">
        <v>1442</v>
      </c>
      <c r="C38" s="41" t="s">
        <v>1280</v>
      </c>
      <c r="D38" s="15">
        <v>3248</v>
      </c>
      <c r="E38" s="16">
        <v>81.709999999999994</v>
      </c>
      <c r="F38" s="17">
        <v>6.8999999999999999E-3</v>
      </c>
      <c r="G38" s="17"/>
    </row>
    <row r="39" spans="1:7" x14ac:dyDescent="0.35">
      <c r="A39" s="13" t="s">
        <v>1502</v>
      </c>
      <c r="B39" s="41" t="s">
        <v>1503</v>
      </c>
      <c r="C39" s="41" t="s">
        <v>1369</v>
      </c>
      <c r="D39" s="15">
        <v>4556</v>
      </c>
      <c r="E39" s="16">
        <v>77.25</v>
      </c>
      <c r="F39" s="17">
        <v>6.4999999999999997E-3</v>
      </c>
      <c r="G39" s="17"/>
    </row>
    <row r="40" spans="1:7" x14ac:dyDescent="0.35">
      <c r="A40" s="13" t="s">
        <v>1486</v>
      </c>
      <c r="B40" s="41" t="s">
        <v>1487</v>
      </c>
      <c r="C40" s="41" t="s">
        <v>1465</v>
      </c>
      <c r="D40" s="15">
        <v>6479</v>
      </c>
      <c r="E40" s="16">
        <v>73.7</v>
      </c>
      <c r="F40" s="17">
        <v>6.1999999999999998E-3</v>
      </c>
      <c r="G40" s="17"/>
    </row>
    <row r="41" spans="1:7" x14ac:dyDescent="0.35">
      <c r="A41" s="13" t="s">
        <v>1237</v>
      </c>
      <c r="B41" s="41" t="s">
        <v>1238</v>
      </c>
      <c r="C41" s="41" t="s">
        <v>1234</v>
      </c>
      <c r="D41" s="15">
        <v>4571</v>
      </c>
      <c r="E41" s="16">
        <v>72.92</v>
      </c>
      <c r="F41" s="17">
        <v>6.1000000000000004E-3</v>
      </c>
      <c r="G41" s="17"/>
    </row>
    <row r="42" spans="1:7" x14ac:dyDescent="0.35">
      <c r="A42" s="13" t="s">
        <v>1351</v>
      </c>
      <c r="B42" s="41" t="s">
        <v>1352</v>
      </c>
      <c r="C42" s="41" t="s">
        <v>1305</v>
      </c>
      <c r="D42" s="15">
        <v>20472</v>
      </c>
      <c r="E42" s="16">
        <v>72.88</v>
      </c>
      <c r="F42" s="17">
        <v>6.1000000000000004E-3</v>
      </c>
      <c r="G42" s="17"/>
    </row>
    <row r="43" spans="1:7" x14ac:dyDescent="0.35">
      <c r="A43" s="13" t="s">
        <v>1199</v>
      </c>
      <c r="B43" s="41" t="s">
        <v>1200</v>
      </c>
      <c r="C43" s="41" t="s">
        <v>1201</v>
      </c>
      <c r="D43" s="15">
        <v>1782</v>
      </c>
      <c r="E43" s="16">
        <v>70.88</v>
      </c>
      <c r="F43" s="17">
        <v>6.0000000000000001E-3</v>
      </c>
      <c r="G43" s="17"/>
    </row>
    <row r="44" spans="1:7" x14ac:dyDescent="0.35">
      <c r="A44" s="13" t="s">
        <v>1361</v>
      </c>
      <c r="B44" s="41" t="s">
        <v>1362</v>
      </c>
      <c r="C44" s="41" t="s">
        <v>1229</v>
      </c>
      <c r="D44" s="15">
        <v>8315</v>
      </c>
      <c r="E44" s="16">
        <v>70.8</v>
      </c>
      <c r="F44" s="17">
        <v>5.8999999999999999E-3</v>
      </c>
      <c r="G44" s="17"/>
    </row>
    <row r="45" spans="1:7" x14ac:dyDescent="0.35">
      <c r="A45" s="13" t="s">
        <v>1289</v>
      </c>
      <c r="B45" s="41" t="s">
        <v>1290</v>
      </c>
      <c r="C45" s="41" t="s">
        <v>1285</v>
      </c>
      <c r="D45" s="15">
        <v>15465</v>
      </c>
      <c r="E45" s="16">
        <v>69.44</v>
      </c>
      <c r="F45" s="17">
        <v>5.7999999999999996E-3</v>
      </c>
      <c r="G45" s="17"/>
    </row>
    <row r="46" spans="1:7" x14ac:dyDescent="0.35">
      <c r="A46" s="13" t="s">
        <v>1310</v>
      </c>
      <c r="B46" s="41" t="s">
        <v>1311</v>
      </c>
      <c r="C46" s="41" t="s">
        <v>1261</v>
      </c>
      <c r="D46" s="15">
        <v>35688</v>
      </c>
      <c r="E46" s="16">
        <v>68.92</v>
      </c>
      <c r="F46" s="17">
        <v>5.7999999999999996E-3</v>
      </c>
      <c r="G46" s="17"/>
    </row>
    <row r="47" spans="1:7" x14ac:dyDescent="0.35">
      <c r="A47" s="13" t="s">
        <v>1484</v>
      </c>
      <c r="B47" s="41" t="s">
        <v>1485</v>
      </c>
      <c r="C47" s="41" t="s">
        <v>1201</v>
      </c>
      <c r="D47" s="15">
        <v>656</v>
      </c>
      <c r="E47" s="16">
        <v>68.53</v>
      </c>
      <c r="F47" s="17">
        <v>5.7999999999999996E-3</v>
      </c>
      <c r="G47" s="17"/>
    </row>
    <row r="48" spans="1:7" x14ac:dyDescent="0.35">
      <c r="A48" s="13" t="s">
        <v>1225</v>
      </c>
      <c r="B48" s="41" t="s">
        <v>1226</v>
      </c>
      <c r="C48" s="41" t="s">
        <v>1185</v>
      </c>
      <c r="D48" s="15">
        <v>4207</v>
      </c>
      <c r="E48" s="16">
        <v>67.88</v>
      </c>
      <c r="F48" s="17">
        <v>5.7000000000000002E-3</v>
      </c>
      <c r="G48" s="17"/>
    </row>
    <row r="49" spans="1:7" x14ac:dyDescent="0.35">
      <c r="A49" s="13" t="s">
        <v>1952</v>
      </c>
      <c r="B49" s="41" t="s">
        <v>1953</v>
      </c>
      <c r="C49" s="41" t="s">
        <v>1266</v>
      </c>
      <c r="D49" s="15">
        <v>21328</v>
      </c>
      <c r="E49" s="16">
        <v>66.06</v>
      </c>
      <c r="F49" s="17">
        <v>5.4999999999999997E-3</v>
      </c>
      <c r="G49" s="17"/>
    </row>
    <row r="50" spans="1:7" x14ac:dyDescent="0.35">
      <c r="A50" s="13" t="s">
        <v>1553</v>
      </c>
      <c r="B50" s="41" t="s">
        <v>1554</v>
      </c>
      <c r="C50" s="41" t="s">
        <v>1211</v>
      </c>
      <c r="D50" s="15">
        <v>1714</v>
      </c>
      <c r="E50" s="16">
        <v>65.64</v>
      </c>
      <c r="F50" s="17">
        <v>5.4999999999999997E-3</v>
      </c>
      <c r="G50" s="17"/>
    </row>
    <row r="51" spans="1:7" x14ac:dyDescent="0.35">
      <c r="A51" s="13" t="s">
        <v>1291</v>
      </c>
      <c r="B51" s="41" t="s">
        <v>1292</v>
      </c>
      <c r="C51" s="41" t="s">
        <v>1206</v>
      </c>
      <c r="D51" s="15">
        <v>15324</v>
      </c>
      <c r="E51" s="16">
        <v>65.430000000000007</v>
      </c>
      <c r="F51" s="17">
        <v>5.4999999999999997E-3</v>
      </c>
      <c r="G51" s="17"/>
    </row>
    <row r="52" spans="1:7" x14ac:dyDescent="0.35">
      <c r="A52" s="13" t="s">
        <v>1476</v>
      </c>
      <c r="B52" s="41" t="s">
        <v>1477</v>
      </c>
      <c r="C52" s="41" t="s">
        <v>1221</v>
      </c>
      <c r="D52" s="15">
        <v>2316</v>
      </c>
      <c r="E52" s="16">
        <v>65.23</v>
      </c>
      <c r="F52" s="17">
        <v>5.4999999999999997E-3</v>
      </c>
      <c r="G52" s="17"/>
    </row>
    <row r="53" spans="1:7" x14ac:dyDescent="0.35">
      <c r="A53" s="13" t="s">
        <v>1222</v>
      </c>
      <c r="B53" s="41" t="s">
        <v>1223</v>
      </c>
      <c r="C53" s="41" t="s">
        <v>1224</v>
      </c>
      <c r="D53" s="15">
        <v>511</v>
      </c>
      <c r="E53" s="16">
        <v>64.87</v>
      </c>
      <c r="F53" s="17">
        <v>5.4000000000000003E-3</v>
      </c>
      <c r="G53" s="17"/>
    </row>
    <row r="54" spans="1:7" x14ac:dyDescent="0.35">
      <c r="A54" s="13" t="s">
        <v>1798</v>
      </c>
      <c r="B54" s="41" t="s">
        <v>1799</v>
      </c>
      <c r="C54" s="41" t="s">
        <v>1333</v>
      </c>
      <c r="D54" s="15">
        <v>1976</v>
      </c>
      <c r="E54" s="16">
        <v>63.83</v>
      </c>
      <c r="F54" s="17">
        <v>5.4000000000000003E-3</v>
      </c>
      <c r="G54" s="17"/>
    </row>
    <row r="55" spans="1:7" x14ac:dyDescent="0.35">
      <c r="A55" s="13" t="s">
        <v>1348</v>
      </c>
      <c r="B55" s="41" t="s">
        <v>1349</v>
      </c>
      <c r="C55" s="41" t="s">
        <v>1350</v>
      </c>
      <c r="D55" s="15">
        <v>8938</v>
      </c>
      <c r="E55" s="16">
        <v>62.92</v>
      </c>
      <c r="F55" s="17">
        <v>5.3E-3</v>
      </c>
      <c r="G55" s="17"/>
    </row>
    <row r="56" spans="1:7" x14ac:dyDescent="0.35">
      <c r="A56" s="13" t="s">
        <v>1314</v>
      </c>
      <c r="B56" s="41" t="s">
        <v>1315</v>
      </c>
      <c r="C56" s="41" t="s">
        <v>1211</v>
      </c>
      <c r="D56" s="15">
        <v>6046</v>
      </c>
      <c r="E56" s="16">
        <v>61.67</v>
      </c>
      <c r="F56" s="17">
        <v>5.1999999999999998E-3</v>
      </c>
      <c r="G56" s="17"/>
    </row>
    <row r="57" spans="1:7" x14ac:dyDescent="0.35">
      <c r="A57" s="13" t="s">
        <v>1241</v>
      </c>
      <c r="B57" s="41" t="s">
        <v>1242</v>
      </c>
      <c r="C57" s="41" t="s">
        <v>1216</v>
      </c>
      <c r="D57" s="15">
        <v>8435</v>
      </c>
      <c r="E57" s="16">
        <v>61.56</v>
      </c>
      <c r="F57" s="17">
        <v>5.1999999999999998E-3</v>
      </c>
      <c r="G57" s="17"/>
    </row>
    <row r="58" spans="1:7" x14ac:dyDescent="0.35">
      <c r="A58" s="13" t="s">
        <v>1480</v>
      </c>
      <c r="B58" s="41" t="s">
        <v>1481</v>
      </c>
      <c r="C58" s="41" t="s">
        <v>1382</v>
      </c>
      <c r="D58" s="15">
        <v>4254</v>
      </c>
      <c r="E58" s="16">
        <v>61.32</v>
      </c>
      <c r="F58" s="17">
        <v>5.1000000000000004E-3</v>
      </c>
      <c r="G58" s="17"/>
    </row>
    <row r="59" spans="1:7" x14ac:dyDescent="0.35">
      <c r="A59" s="13" t="s">
        <v>1472</v>
      </c>
      <c r="B59" s="41" t="s">
        <v>1473</v>
      </c>
      <c r="C59" s="41" t="s">
        <v>1419</v>
      </c>
      <c r="D59" s="15">
        <v>6245</v>
      </c>
      <c r="E59" s="16">
        <v>60.11</v>
      </c>
      <c r="F59" s="17">
        <v>5.0000000000000001E-3</v>
      </c>
      <c r="G59" s="17"/>
    </row>
    <row r="60" spans="1:7" x14ac:dyDescent="0.35">
      <c r="A60" s="13" t="s">
        <v>1306</v>
      </c>
      <c r="B60" s="41" t="s">
        <v>1307</v>
      </c>
      <c r="C60" s="41" t="s">
        <v>1178</v>
      </c>
      <c r="D60" s="15">
        <v>280140</v>
      </c>
      <c r="E60" s="16">
        <v>59.98</v>
      </c>
      <c r="F60" s="17">
        <v>5.0000000000000001E-3</v>
      </c>
      <c r="G60" s="17"/>
    </row>
    <row r="61" spans="1:7" x14ac:dyDescent="0.35">
      <c r="A61" s="13" t="s">
        <v>1356</v>
      </c>
      <c r="B61" s="41" t="s">
        <v>1357</v>
      </c>
      <c r="C61" s="41" t="s">
        <v>1288</v>
      </c>
      <c r="D61" s="15">
        <v>2901</v>
      </c>
      <c r="E61" s="16">
        <v>59.35</v>
      </c>
      <c r="F61" s="17">
        <v>5.0000000000000001E-3</v>
      </c>
      <c r="G61" s="17"/>
    </row>
    <row r="62" spans="1:7" x14ac:dyDescent="0.35">
      <c r="A62" s="13" t="s">
        <v>1286</v>
      </c>
      <c r="B62" s="41" t="s">
        <v>1287</v>
      </c>
      <c r="C62" s="41" t="s">
        <v>1288</v>
      </c>
      <c r="D62" s="15">
        <v>839</v>
      </c>
      <c r="E62" s="16">
        <v>58.84</v>
      </c>
      <c r="F62" s="17">
        <v>4.8999999999999998E-3</v>
      </c>
      <c r="G62" s="17"/>
    </row>
    <row r="63" spans="1:7" x14ac:dyDescent="0.35">
      <c r="A63" s="13" t="s">
        <v>1945</v>
      </c>
      <c r="B63" s="41" t="s">
        <v>1946</v>
      </c>
      <c r="C63" s="41" t="s">
        <v>1211</v>
      </c>
      <c r="D63" s="15">
        <v>1100</v>
      </c>
      <c r="E63" s="16">
        <v>58.06</v>
      </c>
      <c r="F63" s="17">
        <v>4.8999999999999998E-3</v>
      </c>
      <c r="G63" s="17"/>
    </row>
    <row r="64" spans="1:7" x14ac:dyDescent="0.35">
      <c r="A64" s="13" t="s">
        <v>1420</v>
      </c>
      <c r="B64" s="41" t="s">
        <v>1421</v>
      </c>
      <c r="C64" s="41" t="s">
        <v>1178</v>
      </c>
      <c r="D64" s="15">
        <v>30830</v>
      </c>
      <c r="E64" s="16">
        <v>55.73</v>
      </c>
      <c r="F64" s="17">
        <v>4.7000000000000002E-3</v>
      </c>
      <c r="G64" s="17"/>
    </row>
    <row r="65" spans="1:7" x14ac:dyDescent="0.35">
      <c r="A65" s="13" t="s">
        <v>1925</v>
      </c>
      <c r="B65" s="41" t="s">
        <v>1926</v>
      </c>
      <c r="C65" s="41" t="s">
        <v>1419</v>
      </c>
      <c r="D65" s="15">
        <v>14311</v>
      </c>
      <c r="E65" s="16">
        <v>55.16</v>
      </c>
      <c r="F65" s="17">
        <v>4.5999999999999999E-3</v>
      </c>
      <c r="G65" s="17"/>
    </row>
    <row r="66" spans="1:7" x14ac:dyDescent="0.35">
      <c r="A66" s="13" t="s">
        <v>1293</v>
      </c>
      <c r="B66" s="41" t="s">
        <v>1294</v>
      </c>
      <c r="C66" s="41" t="s">
        <v>1234</v>
      </c>
      <c r="D66" s="15">
        <v>4461</v>
      </c>
      <c r="E66" s="16">
        <v>53.88</v>
      </c>
      <c r="F66" s="17">
        <v>4.4999999999999997E-3</v>
      </c>
      <c r="G66" s="17"/>
    </row>
    <row r="67" spans="1:7" x14ac:dyDescent="0.35">
      <c r="A67" s="13" t="s">
        <v>1346</v>
      </c>
      <c r="B67" s="41" t="s">
        <v>1347</v>
      </c>
      <c r="C67" s="41" t="s">
        <v>1333</v>
      </c>
      <c r="D67" s="15">
        <v>20506</v>
      </c>
      <c r="E67" s="16">
        <v>53.87</v>
      </c>
      <c r="F67" s="17">
        <v>4.4999999999999997E-3</v>
      </c>
      <c r="G67" s="17"/>
    </row>
    <row r="68" spans="1:7" x14ac:dyDescent="0.35">
      <c r="A68" s="13" t="s">
        <v>1415</v>
      </c>
      <c r="B68" s="41" t="s">
        <v>1416</v>
      </c>
      <c r="C68" s="41" t="s">
        <v>1398</v>
      </c>
      <c r="D68" s="15">
        <v>56937</v>
      </c>
      <c r="E68" s="16">
        <v>53.46</v>
      </c>
      <c r="F68" s="17">
        <v>4.4999999999999997E-3</v>
      </c>
      <c r="G68" s="17"/>
    </row>
    <row r="69" spans="1:7" x14ac:dyDescent="0.35">
      <c r="A69" s="13" t="s">
        <v>1492</v>
      </c>
      <c r="B69" s="41" t="s">
        <v>1493</v>
      </c>
      <c r="C69" s="41" t="s">
        <v>1234</v>
      </c>
      <c r="D69" s="15">
        <v>935</v>
      </c>
      <c r="E69" s="16">
        <v>53.08</v>
      </c>
      <c r="F69" s="17">
        <v>4.4999999999999997E-3</v>
      </c>
      <c r="G69" s="17"/>
    </row>
    <row r="70" spans="1:7" x14ac:dyDescent="0.35">
      <c r="A70" s="13" t="s">
        <v>1567</v>
      </c>
      <c r="B70" s="41" t="s">
        <v>1568</v>
      </c>
      <c r="C70" s="41" t="s">
        <v>1266</v>
      </c>
      <c r="D70" s="15">
        <v>21797</v>
      </c>
      <c r="E70" s="16">
        <v>51.77</v>
      </c>
      <c r="F70" s="17">
        <v>4.3E-3</v>
      </c>
      <c r="G70" s="17"/>
    </row>
    <row r="71" spans="1:7" x14ac:dyDescent="0.35">
      <c r="A71" s="13" t="s">
        <v>1555</v>
      </c>
      <c r="B71" s="41" t="s">
        <v>1556</v>
      </c>
      <c r="C71" s="41" t="s">
        <v>1178</v>
      </c>
      <c r="D71" s="15">
        <v>5641</v>
      </c>
      <c r="E71" s="16">
        <v>51.43</v>
      </c>
      <c r="F71" s="17">
        <v>4.3E-3</v>
      </c>
      <c r="G71" s="17"/>
    </row>
    <row r="72" spans="1:7" x14ac:dyDescent="0.35">
      <c r="A72" s="13" t="s">
        <v>1392</v>
      </c>
      <c r="B72" s="41" t="s">
        <v>1393</v>
      </c>
      <c r="C72" s="41" t="s">
        <v>1369</v>
      </c>
      <c r="D72" s="15">
        <v>1819</v>
      </c>
      <c r="E72" s="16">
        <v>50.19</v>
      </c>
      <c r="F72" s="17">
        <v>4.1999999999999997E-3</v>
      </c>
      <c r="G72" s="17"/>
    </row>
    <row r="73" spans="1:7" x14ac:dyDescent="0.35">
      <c r="A73" s="13" t="s">
        <v>2005</v>
      </c>
      <c r="B73" s="41" t="s">
        <v>2006</v>
      </c>
      <c r="C73" s="41" t="s">
        <v>1305</v>
      </c>
      <c r="D73" s="15">
        <v>19556</v>
      </c>
      <c r="E73" s="16">
        <v>50.16</v>
      </c>
      <c r="F73" s="17">
        <v>4.1999999999999997E-3</v>
      </c>
      <c r="G73" s="17"/>
    </row>
    <row r="74" spans="1:7" x14ac:dyDescent="0.35">
      <c r="A74" s="13" t="s">
        <v>1267</v>
      </c>
      <c r="B74" s="41" t="s">
        <v>1268</v>
      </c>
      <c r="C74" s="41" t="s">
        <v>1269</v>
      </c>
      <c r="D74" s="15">
        <v>7325</v>
      </c>
      <c r="E74" s="16">
        <v>49.92</v>
      </c>
      <c r="F74" s="17">
        <v>4.1999999999999997E-3</v>
      </c>
      <c r="G74" s="17"/>
    </row>
    <row r="75" spans="1:7" x14ac:dyDescent="0.35">
      <c r="A75" s="13" t="s">
        <v>1468</v>
      </c>
      <c r="B75" s="41" t="s">
        <v>1469</v>
      </c>
      <c r="C75" s="41" t="s">
        <v>1324</v>
      </c>
      <c r="D75" s="15">
        <v>2976</v>
      </c>
      <c r="E75" s="16">
        <v>49.72</v>
      </c>
      <c r="F75" s="17">
        <v>4.1999999999999997E-3</v>
      </c>
      <c r="G75" s="17"/>
    </row>
    <row r="76" spans="1:7" x14ac:dyDescent="0.35">
      <c r="A76" s="13" t="s">
        <v>1259</v>
      </c>
      <c r="B76" s="41" t="s">
        <v>1260</v>
      </c>
      <c r="C76" s="41" t="s">
        <v>1261</v>
      </c>
      <c r="D76" s="15">
        <v>4057</v>
      </c>
      <c r="E76" s="16">
        <v>49.27</v>
      </c>
      <c r="F76" s="17">
        <v>4.1000000000000003E-3</v>
      </c>
      <c r="G76" s="17"/>
    </row>
    <row r="77" spans="1:7" x14ac:dyDescent="0.35">
      <c r="A77" s="13" t="s">
        <v>1257</v>
      </c>
      <c r="B77" s="41" t="s">
        <v>1258</v>
      </c>
      <c r="C77" s="41" t="s">
        <v>1198</v>
      </c>
      <c r="D77" s="15">
        <v>440567</v>
      </c>
      <c r="E77" s="16">
        <v>49.21</v>
      </c>
      <c r="F77" s="17">
        <v>4.1000000000000003E-3</v>
      </c>
      <c r="G77" s="17"/>
    </row>
    <row r="78" spans="1:7" x14ac:dyDescent="0.35">
      <c r="A78" s="13" t="s">
        <v>1281</v>
      </c>
      <c r="B78" s="41" t="s">
        <v>1282</v>
      </c>
      <c r="C78" s="41" t="s">
        <v>1234</v>
      </c>
      <c r="D78" s="15">
        <v>2404</v>
      </c>
      <c r="E78" s="16">
        <v>48.46</v>
      </c>
      <c r="F78" s="17">
        <v>4.1000000000000003E-3</v>
      </c>
      <c r="G78" s="17"/>
    </row>
    <row r="79" spans="1:7" x14ac:dyDescent="0.35">
      <c r="A79" s="13" t="s">
        <v>1527</v>
      </c>
      <c r="B79" s="41" t="s">
        <v>1528</v>
      </c>
      <c r="C79" s="41" t="s">
        <v>1201</v>
      </c>
      <c r="D79" s="15">
        <v>3632</v>
      </c>
      <c r="E79" s="16">
        <v>48.23</v>
      </c>
      <c r="F79" s="17">
        <v>4.0000000000000001E-3</v>
      </c>
      <c r="G79" s="17"/>
    </row>
    <row r="80" spans="1:7" x14ac:dyDescent="0.35">
      <c r="A80" s="13" t="s">
        <v>1230</v>
      </c>
      <c r="B80" s="41" t="s">
        <v>1231</v>
      </c>
      <c r="C80" s="41" t="s">
        <v>1211</v>
      </c>
      <c r="D80" s="15">
        <v>2468</v>
      </c>
      <c r="E80" s="16">
        <v>48.19</v>
      </c>
      <c r="F80" s="17">
        <v>4.0000000000000001E-3</v>
      </c>
      <c r="G80" s="17"/>
    </row>
    <row r="81" spans="1:7" x14ac:dyDescent="0.35">
      <c r="A81" s="13" t="s">
        <v>1394</v>
      </c>
      <c r="B81" s="41" t="s">
        <v>1395</v>
      </c>
      <c r="C81" s="41" t="s">
        <v>1369</v>
      </c>
      <c r="D81" s="15">
        <v>2742</v>
      </c>
      <c r="E81" s="16">
        <v>47.8</v>
      </c>
      <c r="F81" s="17">
        <v>4.0000000000000001E-3</v>
      </c>
      <c r="G81" s="17"/>
    </row>
    <row r="82" spans="1:7" x14ac:dyDescent="0.35">
      <c r="A82" s="13" t="s">
        <v>1561</v>
      </c>
      <c r="B82" s="41" t="s">
        <v>1562</v>
      </c>
      <c r="C82" s="41" t="s">
        <v>1409</v>
      </c>
      <c r="D82" s="15">
        <v>9401</v>
      </c>
      <c r="E82" s="16">
        <v>47.63</v>
      </c>
      <c r="F82" s="17">
        <v>4.0000000000000001E-3</v>
      </c>
      <c r="G82" s="17"/>
    </row>
    <row r="83" spans="1:7" x14ac:dyDescent="0.35">
      <c r="A83" s="13" t="s">
        <v>1217</v>
      </c>
      <c r="B83" s="41" t="s">
        <v>1218</v>
      </c>
      <c r="C83" s="41" t="s">
        <v>1201</v>
      </c>
      <c r="D83" s="15">
        <v>1952</v>
      </c>
      <c r="E83" s="16">
        <v>47.4</v>
      </c>
      <c r="F83" s="17">
        <v>4.0000000000000001E-3</v>
      </c>
      <c r="G83" s="17"/>
    </row>
    <row r="84" spans="1:7" x14ac:dyDescent="0.35">
      <c r="A84" s="13" t="s">
        <v>1243</v>
      </c>
      <c r="B84" s="41" t="s">
        <v>1244</v>
      </c>
      <c r="C84" s="41" t="s">
        <v>1224</v>
      </c>
      <c r="D84" s="15">
        <v>1649</v>
      </c>
      <c r="E84" s="16">
        <v>46.49</v>
      </c>
      <c r="F84" s="17">
        <v>3.8999999999999998E-3</v>
      </c>
      <c r="G84" s="17"/>
    </row>
    <row r="85" spans="1:7" x14ac:dyDescent="0.35">
      <c r="A85" s="13" t="s">
        <v>1826</v>
      </c>
      <c r="B85" s="41" t="s">
        <v>1827</v>
      </c>
      <c r="C85" s="41" t="s">
        <v>1280</v>
      </c>
      <c r="D85" s="15">
        <v>4056</v>
      </c>
      <c r="E85" s="16">
        <v>46.01</v>
      </c>
      <c r="F85" s="17">
        <v>3.8999999999999998E-3</v>
      </c>
      <c r="G85" s="17"/>
    </row>
    <row r="86" spans="1:7" x14ac:dyDescent="0.35">
      <c r="A86" s="13" t="s">
        <v>1508</v>
      </c>
      <c r="B86" s="41" t="s">
        <v>1509</v>
      </c>
      <c r="C86" s="41" t="s">
        <v>1188</v>
      </c>
      <c r="D86" s="15">
        <v>479</v>
      </c>
      <c r="E86" s="16">
        <v>45.97</v>
      </c>
      <c r="F86" s="17">
        <v>3.8999999999999998E-3</v>
      </c>
      <c r="G86" s="17"/>
    </row>
    <row r="87" spans="1:7" x14ac:dyDescent="0.35">
      <c r="A87" s="13" t="s">
        <v>1396</v>
      </c>
      <c r="B87" s="41" t="s">
        <v>1397</v>
      </c>
      <c r="C87" s="41" t="s">
        <v>1398</v>
      </c>
      <c r="D87" s="15">
        <v>3187</v>
      </c>
      <c r="E87" s="16">
        <v>45.25</v>
      </c>
      <c r="F87" s="17">
        <v>3.8E-3</v>
      </c>
      <c r="G87" s="17"/>
    </row>
    <row r="88" spans="1:7" x14ac:dyDescent="0.35">
      <c r="A88" s="13" t="s">
        <v>1299</v>
      </c>
      <c r="B88" s="41" t="s">
        <v>1300</v>
      </c>
      <c r="C88" s="41" t="s">
        <v>1301</v>
      </c>
      <c r="D88" s="15">
        <v>16772</v>
      </c>
      <c r="E88" s="16">
        <v>45.11</v>
      </c>
      <c r="F88" s="17">
        <v>3.8E-3</v>
      </c>
      <c r="G88" s="17"/>
    </row>
    <row r="89" spans="1:7" x14ac:dyDescent="0.35">
      <c r="A89" s="13" t="s">
        <v>1343</v>
      </c>
      <c r="B89" s="41" t="s">
        <v>1344</v>
      </c>
      <c r="C89" s="41" t="s">
        <v>1345</v>
      </c>
      <c r="D89" s="15">
        <v>976</v>
      </c>
      <c r="E89" s="16">
        <v>44.86</v>
      </c>
      <c r="F89" s="17">
        <v>3.8E-3</v>
      </c>
      <c r="G89" s="17"/>
    </row>
    <row r="90" spans="1:7" x14ac:dyDescent="0.35">
      <c r="A90" s="13" t="s">
        <v>1270</v>
      </c>
      <c r="B90" s="41" t="s">
        <v>1271</v>
      </c>
      <c r="C90" s="41" t="s">
        <v>1272</v>
      </c>
      <c r="D90" s="15">
        <v>55154</v>
      </c>
      <c r="E90" s="16">
        <v>44.79</v>
      </c>
      <c r="F90" s="17">
        <v>3.8E-3</v>
      </c>
      <c r="G90" s="17"/>
    </row>
    <row r="91" spans="1:7" x14ac:dyDescent="0.35">
      <c r="A91" s="13" t="s">
        <v>2238</v>
      </c>
      <c r="B91" s="41" t="s">
        <v>2239</v>
      </c>
      <c r="C91" s="41" t="s">
        <v>1409</v>
      </c>
      <c r="D91" s="15">
        <v>2102</v>
      </c>
      <c r="E91" s="16">
        <v>44.44</v>
      </c>
      <c r="F91" s="17">
        <v>3.7000000000000002E-3</v>
      </c>
      <c r="G91" s="17"/>
    </row>
    <row r="92" spans="1:7" x14ac:dyDescent="0.35">
      <c r="A92" s="13" t="s">
        <v>1937</v>
      </c>
      <c r="B92" s="41" t="s">
        <v>1938</v>
      </c>
      <c r="C92" s="41" t="s">
        <v>1301</v>
      </c>
      <c r="D92" s="15">
        <v>8701</v>
      </c>
      <c r="E92" s="16">
        <v>44.38</v>
      </c>
      <c r="F92" s="17">
        <v>3.7000000000000002E-3</v>
      </c>
      <c r="G92" s="17"/>
    </row>
    <row r="93" spans="1:7" x14ac:dyDescent="0.35">
      <c r="A93" s="13" t="s">
        <v>2068</v>
      </c>
      <c r="B93" s="41" t="s">
        <v>2069</v>
      </c>
      <c r="C93" s="41" t="s">
        <v>2070</v>
      </c>
      <c r="D93" s="15">
        <v>9803</v>
      </c>
      <c r="E93" s="16">
        <v>43.21</v>
      </c>
      <c r="F93" s="17">
        <v>3.5999999999999999E-3</v>
      </c>
      <c r="G93" s="17"/>
    </row>
    <row r="94" spans="1:7" x14ac:dyDescent="0.35">
      <c r="A94" s="13" t="s">
        <v>1921</v>
      </c>
      <c r="B94" s="41" t="s">
        <v>1922</v>
      </c>
      <c r="C94" s="41" t="s">
        <v>1350</v>
      </c>
      <c r="D94" s="15">
        <v>1888</v>
      </c>
      <c r="E94" s="16">
        <v>43.1</v>
      </c>
      <c r="F94" s="17">
        <v>3.5999999999999999E-3</v>
      </c>
      <c r="G94" s="17"/>
    </row>
    <row r="95" spans="1:7" x14ac:dyDescent="0.35">
      <c r="A95" s="13" t="s">
        <v>1822</v>
      </c>
      <c r="B95" s="41" t="s">
        <v>1823</v>
      </c>
      <c r="C95" s="41" t="s">
        <v>1266</v>
      </c>
      <c r="D95" s="15">
        <v>33962</v>
      </c>
      <c r="E95" s="16">
        <v>42.78</v>
      </c>
      <c r="F95" s="17">
        <v>3.5999999999999999E-3</v>
      </c>
      <c r="G95" s="17"/>
    </row>
    <row r="96" spans="1:7" x14ac:dyDescent="0.35">
      <c r="A96" s="13" t="s">
        <v>1549</v>
      </c>
      <c r="B96" s="41" t="s">
        <v>1550</v>
      </c>
      <c r="C96" s="41" t="s">
        <v>1333</v>
      </c>
      <c r="D96" s="15">
        <v>1527</v>
      </c>
      <c r="E96" s="16">
        <v>42.57</v>
      </c>
      <c r="F96" s="17">
        <v>3.5999999999999999E-3</v>
      </c>
      <c r="G96" s="17"/>
    </row>
    <row r="97" spans="1:7" x14ac:dyDescent="0.35">
      <c r="A97" s="13" t="s">
        <v>1194</v>
      </c>
      <c r="B97" s="41" t="s">
        <v>1195</v>
      </c>
      <c r="C97" s="41" t="s">
        <v>1188</v>
      </c>
      <c r="D97" s="15">
        <v>596</v>
      </c>
      <c r="E97" s="16">
        <v>42.45</v>
      </c>
      <c r="F97" s="17">
        <v>3.5999999999999999E-3</v>
      </c>
      <c r="G97" s="17"/>
    </row>
    <row r="98" spans="1:7" x14ac:dyDescent="0.35">
      <c r="A98" s="13" t="s">
        <v>2240</v>
      </c>
      <c r="B98" s="41" t="s">
        <v>2241</v>
      </c>
      <c r="C98" s="41" t="s">
        <v>1305</v>
      </c>
      <c r="D98" s="15">
        <v>3038</v>
      </c>
      <c r="E98" s="16">
        <v>42.16</v>
      </c>
      <c r="F98" s="17">
        <v>3.5000000000000001E-3</v>
      </c>
      <c r="G98" s="17"/>
    </row>
    <row r="99" spans="1:7" x14ac:dyDescent="0.35">
      <c r="A99" s="13" t="s">
        <v>1931</v>
      </c>
      <c r="B99" s="41" t="s">
        <v>1932</v>
      </c>
      <c r="C99" s="41" t="s">
        <v>1261</v>
      </c>
      <c r="D99" s="15">
        <v>5100</v>
      </c>
      <c r="E99" s="16">
        <v>41.95</v>
      </c>
      <c r="F99" s="17">
        <v>3.5000000000000001E-3</v>
      </c>
      <c r="G99" s="17"/>
    </row>
    <row r="100" spans="1:7" x14ac:dyDescent="0.35">
      <c r="A100" s="13" t="s">
        <v>1466</v>
      </c>
      <c r="B100" s="41" t="s">
        <v>1467</v>
      </c>
      <c r="C100" s="41" t="s">
        <v>1234</v>
      </c>
      <c r="D100" s="15">
        <v>11429</v>
      </c>
      <c r="E100" s="16">
        <v>41.92</v>
      </c>
      <c r="F100" s="17">
        <v>3.5000000000000001E-3</v>
      </c>
      <c r="G100" s="17"/>
    </row>
    <row r="101" spans="1:7" x14ac:dyDescent="0.35">
      <c r="A101" s="13" t="s">
        <v>1336</v>
      </c>
      <c r="B101" s="41" t="s">
        <v>1337</v>
      </c>
      <c r="C101" s="41" t="s">
        <v>1211</v>
      </c>
      <c r="D101" s="15">
        <v>12240</v>
      </c>
      <c r="E101" s="16">
        <v>41.59</v>
      </c>
      <c r="F101" s="17">
        <v>3.5000000000000001E-3</v>
      </c>
      <c r="G101" s="17"/>
    </row>
    <row r="102" spans="1:7" x14ac:dyDescent="0.35">
      <c r="A102" s="13" t="s">
        <v>1824</v>
      </c>
      <c r="B102" s="41" t="s">
        <v>1825</v>
      </c>
      <c r="C102" s="41" t="s">
        <v>1350</v>
      </c>
      <c r="D102" s="15">
        <v>1293</v>
      </c>
      <c r="E102" s="16">
        <v>41.32</v>
      </c>
      <c r="F102" s="17">
        <v>3.5000000000000001E-3</v>
      </c>
      <c r="G102" s="17"/>
    </row>
    <row r="103" spans="1:7" x14ac:dyDescent="0.35">
      <c r="A103" s="13" t="s">
        <v>1189</v>
      </c>
      <c r="B103" s="41" t="s">
        <v>1190</v>
      </c>
      <c r="C103" s="41" t="s">
        <v>1191</v>
      </c>
      <c r="D103" s="15">
        <v>3096</v>
      </c>
      <c r="E103" s="16">
        <v>41.25</v>
      </c>
      <c r="F103" s="17">
        <v>3.5000000000000001E-3</v>
      </c>
      <c r="G103" s="17"/>
    </row>
    <row r="104" spans="1:7" x14ac:dyDescent="0.35">
      <c r="A104" s="13" t="s">
        <v>2242</v>
      </c>
      <c r="B104" s="41" t="s">
        <v>2243</v>
      </c>
      <c r="C104" s="41" t="s">
        <v>1382</v>
      </c>
      <c r="D104" s="15">
        <v>31</v>
      </c>
      <c r="E104" s="16">
        <v>40.97</v>
      </c>
      <c r="F104" s="17">
        <v>3.3999999999999998E-3</v>
      </c>
      <c r="G104" s="17"/>
    </row>
    <row r="105" spans="1:7" x14ac:dyDescent="0.35">
      <c r="A105" s="13" t="s">
        <v>1437</v>
      </c>
      <c r="B105" s="41" t="s">
        <v>1438</v>
      </c>
      <c r="C105" s="41" t="s">
        <v>1185</v>
      </c>
      <c r="D105" s="15">
        <v>6267</v>
      </c>
      <c r="E105" s="16">
        <v>39.909999999999997</v>
      </c>
      <c r="F105" s="17">
        <v>3.3999999999999998E-3</v>
      </c>
      <c r="G105" s="17"/>
    </row>
    <row r="106" spans="1:7" x14ac:dyDescent="0.35">
      <c r="A106" s="13" t="s">
        <v>1504</v>
      </c>
      <c r="B106" s="41" t="s">
        <v>1505</v>
      </c>
      <c r="C106" s="41" t="s">
        <v>1382</v>
      </c>
      <c r="D106" s="15">
        <v>1702</v>
      </c>
      <c r="E106" s="16">
        <v>39.74</v>
      </c>
      <c r="F106" s="17">
        <v>3.3E-3</v>
      </c>
      <c r="G106" s="17"/>
    </row>
    <row r="107" spans="1:7" x14ac:dyDescent="0.35">
      <c r="A107" s="13" t="s">
        <v>1929</v>
      </c>
      <c r="B107" s="41" t="s">
        <v>1930</v>
      </c>
      <c r="C107" s="41" t="s">
        <v>1211</v>
      </c>
      <c r="D107" s="15">
        <v>10557</v>
      </c>
      <c r="E107" s="16">
        <v>39.65</v>
      </c>
      <c r="F107" s="17">
        <v>3.3E-3</v>
      </c>
      <c r="G107" s="17"/>
    </row>
    <row r="108" spans="1:7" x14ac:dyDescent="0.35">
      <c r="A108" s="13" t="s">
        <v>1993</v>
      </c>
      <c r="B108" s="41" t="s">
        <v>1994</v>
      </c>
      <c r="C108" s="41" t="s">
        <v>1288</v>
      </c>
      <c r="D108" s="15">
        <v>984</v>
      </c>
      <c r="E108" s="16">
        <v>39.57</v>
      </c>
      <c r="F108" s="17">
        <v>3.3E-3</v>
      </c>
      <c r="G108" s="17"/>
    </row>
    <row r="109" spans="1:7" x14ac:dyDescent="0.35">
      <c r="A109" s="13" t="s">
        <v>2244</v>
      </c>
      <c r="B109" s="41" t="s">
        <v>2245</v>
      </c>
      <c r="C109" s="41" t="s">
        <v>1305</v>
      </c>
      <c r="D109" s="15">
        <v>50483</v>
      </c>
      <c r="E109" s="16">
        <v>39.479999999999997</v>
      </c>
      <c r="F109" s="17">
        <v>3.3E-3</v>
      </c>
      <c r="G109" s="17"/>
    </row>
    <row r="110" spans="1:7" x14ac:dyDescent="0.35">
      <c r="A110" s="13" t="s">
        <v>1453</v>
      </c>
      <c r="B110" s="41" t="s">
        <v>1454</v>
      </c>
      <c r="C110" s="41" t="s">
        <v>1324</v>
      </c>
      <c r="D110" s="15">
        <v>2694</v>
      </c>
      <c r="E110" s="16">
        <v>39.369999999999997</v>
      </c>
      <c r="F110" s="17">
        <v>3.3E-3</v>
      </c>
      <c r="G110" s="17"/>
    </row>
    <row r="111" spans="1:7" x14ac:dyDescent="0.35">
      <c r="A111" s="13" t="s">
        <v>1183</v>
      </c>
      <c r="B111" s="41" t="s">
        <v>1184</v>
      </c>
      <c r="C111" s="41" t="s">
        <v>1185</v>
      </c>
      <c r="D111" s="15">
        <v>1939</v>
      </c>
      <c r="E111" s="16">
        <v>38.75</v>
      </c>
      <c r="F111" s="17">
        <v>3.3E-3</v>
      </c>
      <c r="G111" s="17"/>
    </row>
    <row r="112" spans="1:7" x14ac:dyDescent="0.35">
      <c r="A112" s="13" t="s">
        <v>2075</v>
      </c>
      <c r="B112" s="41" t="s">
        <v>2076</v>
      </c>
      <c r="C112" s="41" t="s">
        <v>1234</v>
      </c>
      <c r="D112" s="15">
        <v>1804</v>
      </c>
      <c r="E112" s="16">
        <v>38.32</v>
      </c>
      <c r="F112" s="17">
        <v>3.2000000000000002E-3</v>
      </c>
      <c r="G112" s="17"/>
    </row>
    <row r="113" spans="1:7" x14ac:dyDescent="0.35">
      <c r="A113" s="13" t="s">
        <v>1514</v>
      </c>
      <c r="B113" s="41" t="s">
        <v>1515</v>
      </c>
      <c r="C113" s="41" t="s">
        <v>1333</v>
      </c>
      <c r="D113" s="15">
        <v>202</v>
      </c>
      <c r="E113" s="16">
        <v>38.1</v>
      </c>
      <c r="F113" s="17">
        <v>3.2000000000000002E-3</v>
      </c>
      <c r="G113" s="17"/>
    </row>
    <row r="114" spans="1:7" x14ac:dyDescent="0.35">
      <c r="A114" s="13" t="s">
        <v>1283</v>
      </c>
      <c r="B114" s="41" t="s">
        <v>1284</v>
      </c>
      <c r="C114" s="41" t="s">
        <v>1285</v>
      </c>
      <c r="D114" s="15">
        <v>819</v>
      </c>
      <c r="E114" s="16">
        <v>37.83</v>
      </c>
      <c r="F114" s="17">
        <v>3.2000000000000002E-3</v>
      </c>
      <c r="G114" s="17"/>
    </row>
    <row r="115" spans="1:7" x14ac:dyDescent="0.35">
      <c r="A115" s="13" t="s">
        <v>1569</v>
      </c>
      <c r="B115" s="41" t="s">
        <v>1570</v>
      </c>
      <c r="C115" s="41" t="s">
        <v>1201</v>
      </c>
      <c r="D115" s="15">
        <v>2072</v>
      </c>
      <c r="E115" s="16">
        <v>37.65</v>
      </c>
      <c r="F115" s="17">
        <v>3.2000000000000002E-3</v>
      </c>
      <c r="G115" s="17"/>
    </row>
    <row r="116" spans="1:7" x14ac:dyDescent="0.35">
      <c r="A116" s="13" t="s">
        <v>1390</v>
      </c>
      <c r="B116" s="41" t="s">
        <v>1391</v>
      </c>
      <c r="C116" s="41" t="s">
        <v>1324</v>
      </c>
      <c r="D116" s="15">
        <v>2382</v>
      </c>
      <c r="E116" s="16">
        <v>37.56</v>
      </c>
      <c r="F116" s="17">
        <v>3.2000000000000002E-3</v>
      </c>
      <c r="G116" s="17"/>
    </row>
    <row r="117" spans="1:7" x14ac:dyDescent="0.35">
      <c r="A117" s="13" t="s">
        <v>1559</v>
      </c>
      <c r="B117" s="41" t="s">
        <v>1560</v>
      </c>
      <c r="C117" s="41" t="s">
        <v>1211</v>
      </c>
      <c r="D117" s="15">
        <v>13049</v>
      </c>
      <c r="E117" s="16">
        <v>37.369999999999997</v>
      </c>
      <c r="F117" s="17">
        <v>3.0999999999999999E-3</v>
      </c>
      <c r="G117" s="17"/>
    </row>
    <row r="118" spans="1:7" x14ac:dyDescent="0.35">
      <c r="A118" s="13" t="s">
        <v>1212</v>
      </c>
      <c r="B118" s="41" t="s">
        <v>1213</v>
      </c>
      <c r="C118" s="41" t="s">
        <v>1188</v>
      </c>
      <c r="D118" s="15">
        <v>1013</v>
      </c>
      <c r="E118" s="16">
        <v>37.25</v>
      </c>
      <c r="F118" s="17">
        <v>3.0999999999999999E-3</v>
      </c>
      <c r="G118" s="17"/>
    </row>
    <row r="119" spans="1:7" x14ac:dyDescent="0.35">
      <c r="A119" s="13" t="s">
        <v>1923</v>
      </c>
      <c r="B119" s="41" t="s">
        <v>1924</v>
      </c>
      <c r="C119" s="41" t="s">
        <v>1224</v>
      </c>
      <c r="D119" s="15">
        <v>667</v>
      </c>
      <c r="E119" s="16">
        <v>36.840000000000003</v>
      </c>
      <c r="F119" s="17">
        <v>3.0999999999999999E-3</v>
      </c>
      <c r="G119" s="17"/>
    </row>
    <row r="120" spans="1:7" x14ac:dyDescent="0.35">
      <c r="A120" s="13" t="s">
        <v>1459</v>
      </c>
      <c r="B120" s="41" t="s">
        <v>1460</v>
      </c>
      <c r="C120" s="41" t="s">
        <v>1266</v>
      </c>
      <c r="D120" s="15">
        <v>958</v>
      </c>
      <c r="E120" s="16">
        <v>36.270000000000003</v>
      </c>
      <c r="F120" s="17">
        <v>3.0000000000000001E-3</v>
      </c>
      <c r="G120" s="17"/>
    </row>
    <row r="121" spans="1:7" x14ac:dyDescent="0.35">
      <c r="A121" s="13" t="s">
        <v>1520</v>
      </c>
      <c r="B121" s="41" t="s">
        <v>1521</v>
      </c>
      <c r="C121" s="41" t="s">
        <v>1288</v>
      </c>
      <c r="D121" s="15">
        <v>1027</v>
      </c>
      <c r="E121" s="16">
        <v>36.08</v>
      </c>
      <c r="F121" s="17">
        <v>3.0000000000000001E-3</v>
      </c>
      <c r="G121" s="17"/>
    </row>
    <row r="122" spans="1:7" x14ac:dyDescent="0.35">
      <c r="A122" s="13" t="s">
        <v>1247</v>
      </c>
      <c r="B122" s="41" t="s">
        <v>1248</v>
      </c>
      <c r="C122" s="41" t="s">
        <v>1211</v>
      </c>
      <c r="D122" s="15">
        <v>4781</v>
      </c>
      <c r="E122" s="16">
        <v>36.03</v>
      </c>
      <c r="F122" s="17">
        <v>3.0000000000000001E-3</v>
      </c>
      <c r="G122" s="17"/>
    </row>
    <row r="123" spans="1:7" x14ac:dyDescent="0.35">
      <c r="A123" s="13" t="s">
        <v>1308</v>
      </c>
      <c r="B123" s="41" t="s">
        <v>1309</v>
      </c>
      <c r="C123" s="41" t="s">
        <v>1211</v>
      </c>
      <c r="D123" s="15">
        <v>14154</v>
      </c>
      <c r="E123" s="16">
        <v>36.020000000000003</v>
      </c>
      <c r="F123" s="17">
        <v>3.0000000000000001E-3</v>
      </c>
      <c r="G123" s="17"/>
    </row>
    <row r="124" spans="1:7" x14ac:dyDescent="0.35">
      <c r="A124" s="13" t="s">
        <v>1482</v>
      </c>
      <c r="B124" s="41" t="s">
        <v>1483</v>
      </c>
      <c r="C124" s="41" t="s">
        <v>1382</v>
      </c>
      <c r="D124" s="15">
        <v>7152</v>
      </c>
      <c r="E124" s="16">
        <v>35.46</v>
      </c>
      <c r="F124" s="17">
        <v>3.0000000000000001E-3</v>
      </c>
      <c r="G124" s="17"/>
    </row>
    <row r="125" spans="1:7" x14ac:dyDescent="0.35">
      <c r="A125" s="13" t="s">
        <v>1276</v>
      </c>
      <c r="B125" s="41" t="s">
        <v>1277</v>
      </c>
      <c r="C125" s="41" t="s">
        <v>1261</v>
      </c>
      <c r="D125" s="15">
        <v>23070</v>
      </c>
      <c r="E125" s="16">
        <v>34.869999999999997</v>
      </c>
      <c r="F125" s="17">
        <v>2.8999999999999998E-3</v>
      </c>
      <c r="G125" s="17"/>
    </row>
    <row r="126" spans="1:7" x14ac:dyDescent="0.35">
      <c r="A126" s="13" t="s">
        <v>1363</v>
      </c>
      <c r="B126" s="41" t="s">
        <v>1364</v>
      </c>
      <c r="C126" s="41" t="s">
        <v>1355</v>
      </c>
      <c r="D126" s="15">
        <v>11958</v>
      </c>
      <c r="E126" s="16">
        <v>34.65</v>
      </c>
      <c r="F126" s="17">
        <v>2.8999999999999998E-3</v>
      </c>
      <c r="G126" s="17"/>
    </row>
    <row r="127" spans="1:7" x14ac:dyDescent="0.35">
      <c r="A127" s="13" t="s">
        <v>1470</v>
      </c>
      <c r="B127" s="41" t="s">
        <v>1471</v>
      </c>
      <c r="C127" s="41" t="s">
        <v>1382</v>
      </c>
      <c r="D127" s="15">
        <v>2893</v>
      </c>
      <c r="E127" s="16">
        <v>34.200000000000003</v>
      </c>
      <c r="F127" s="17">
        <v>2.8999999999999998E-3</v>
      </c>
      <c r="G127" s="17"/>
    </row>
    <row r="128" spans="1:7" x14ac:dyDescent="0.35">
      <c r="A128" s="13" t="s">
        <v>1974</v>
      </c>
      <c r="B128" s="41" t="s">
        <v>1975</v>
      </c>
      <c r="C128" s="41" t="s">
        <v>1855</v>
      </c>
      <c r="D128" s="15">
        <v>103</v>
      </c>
      <c r="E128" s="16">
        <v>33.979999999999997</v>
      </c>
      <c r="F128" s="17">
        <v>2.8999999999999998E-3</v>
      </c>
      <c r="G128" s="17"/>
    </row>
    <row r="129" spans="1:7" x14ac:dyDescent="0.35">
      <c r="A129" s="13" t="s">
        <v>1207</v>
      </c>
      <c r="B129" s="41" t="s">
        <v>1208</v>
      </c>
      <c r="C129" s="41" t="s">
        <v>1185</v>
      </c>
      <c r="D129" s="15">
        <v>4638</v>
      </c>
      <c r="E129" s="16">
        <v>33.9</v>
      </c>
      <c r="F129" s="17">
        <v>2.8E-3</v>
      </c>
      <c r="G129" s="17"/>
    </row>
    <row r="130" spans="1:7" x14ac:dyDescent="0.35">
      <c r="A130" s="13" t="s">
        <v>1403</v>
      </c>
      <c r="B130" s="41" t="s">
        <v>1404</v>
      </c>
      <c r="C130" s="41" t="s">
        <v>1234</v>
      </c>
      <c r="D130" s="15">
        <v>547</v>
      </c>
      <c r="E130" s="16">
        <v>33.1</v>
      </c>
      <c r="F130" s="17">
        <v>2.8E-3</v>
      </c>
      <c r="G130" s="17"/>
    </row>
    <row r="131" spans="1:7" x14ac:dyDescent="0.35">
      <c r="A131" s="13" t="s">
        <v>2026</v>
      </c>
      <c r="B131" s="41" t="s">
        <v>2027</v>
      </c>
      <c r="C131" s="41" t="s">
        <v>1234</v>
      </c>
      <c r="D131" s="15">
        <v>2220</v>
      </c>
      <c r="E131" s="16">
        <v>32.65</v>
      </c>
      <c r="F131" s="17">
        <v>2.7000000000000001E-3</v>
      </c>
      <c r="G131" s="17"/>
    </row>
    <row r="132" spans="1:7" x14ac:dyDescent="0.35">
      <c r="A132" s="13" t="s">
        <v>2183</v>
      </c>
      <c r="B132" s="41" t="s">
        <v>2184</v>
      </c>
      <c r="C132" s="41" t="s">
        <v>1234</v>
      </c>
      <c r="D132" s="15">
        <v>2430</v>
      </c>
      <c r="E132" s="16">
        <v>32.17</v>
      </c>
      <c r="F132" s="17">
        <v>2.7000000000000001E-3</v>
      </c>
      <c r="G132" s="17"/>
    </row>
    <row r="133" spans="1:7" x14ac:dyDescent="0.35">
      <c r="A133" s="13" t="s">
        <v>1239</v>
      </c>
      <c r="B133" s="41" t="s">
        <v>1240</v>
      </c>
      <c r="C133" s="41" t="s">
        <v>1234</v>
      </c>
      <c r="D133" s="15">
        <v>2630</v>
      </c>
      <c r="E133" s="16">
        <v>32.04</v>
      </c>
      <c r="F133" s="17">
        <v>2.7000000000000001E-3</v>
      </c>
      <c r="G133" s="17"/>
    </row>
    <row r="134" spans="1:7" x14ac:dyDescent="0.35">
      <c r="A134" s="13" t="s">
        <v>1214</v>
      </c>
      <c r="B134" s="41" t="s">
        <v>1215</v>
      </c>
      <c r="C134" s="41" t="s">
        <v>1216</v>
      </c>
      <c r="D134" s="15">
        <v>2810</v>
      </c>
      <c r="E134" s="16">
        <v>31.86</v>
      </c>
      <c r="F134" s="17">
        <v>2.7000000000000001E-3</v>
      </c>
      <c r="G134" s="17"/>
    </row>
    <row r="135" spans="1:7" x14ac:dyDescent="0.35">
      <c r="A135" s="13" t="s">
        <v>1405</v>
      </c>
      <c r="B135" s="41" t="s">
        <v>1406</v>
      </c>
      <c r="C135" s="41" t="s">
        <v>1178</v>
      </c>
      <c r="D135" s="15">
        <v>19390</v>
      </c>
      <c r="E135" s="16">
        <v>31.82</v>
      </c>
      <c r="F135" s="17">
        <v>2.7000000000000001E-3</v>
      </c>
      <c r="G135" s="17"/>
    </row>
    <row r="136" spans="1:7" x14ac:dyDescent="0.35">
      <c r="A136" s="13" t="s">
        <v>1516</v>
      </c>
      <c r="B136" s="41" t="s">
        <v>1517</v>
      </c>
      <c r="C136" s="41" t="s">
        <v>1188</v>
      </c>
      <c r="D136" s="15">
        <v>9026</v>
      </c>
      <c r="E136" s="16">
        <v>31.6</v>
      </c>
      <c r="F136" s="17">
        <v>2.7000000000000001E-3</v>
      </c>
      <c r="G136" s="17"/>
    </row>
    <row r="137" spans="1:7" x14ac:dyDescent="0.35">
      <c r="A137" s="13" t="s">
        <v>2246</v>
      </c>
      <c r="B137" s="41" t="s">
        <v>2247</v>
      </c>
      <c r="C137" s="41" t="s">
        <v>1387</v>
      </c>
      <c r="D137" s="15">
        <v>9059</v>
      </c>
      <c r="E137" s="16">
        <v>31.11</v>
      </c>
      <c r="F137" s="17">
        <v>2.5999999999999999E-3</v>
      </c>
      <c r="G137" s="17"/>
    </row>
    <row r="138" spans="1:7" x14ac:dyDescent="0.35">
      <c r="A138" s="13" t="s">
        <v>1987</v>
      </c>
      <c r="B138" s="41" t="s">
        <v>1988</v>
      </c>
      <c r="C138" s="41" t="s">
        <v>1412</v>
      </c>
      <c r="D138" s="15">
        <v>6244</v>
      </c>
      <c r="E138" s="16">
        <v>31.04</v>
      </c>
      <c r="F138" s="17">
        <v>2.5999999999999999E-3</v>
      </c>
      <c r="G138" s="17"/>
    </row>
    <row r="139" spans="1:7" x14ac:dyDescent="0.35">
      <c r="A139" s="13" t="s">
        <v>1227</v>
      </c>
      <c r="B139" s="41" t="s">
        <v>1228</v>
      </c>
      <c r="C139" s="41" t="s">
        <v>1229</v>
      </c>
      <c r="D139" s="15">
        <v>446</v>
      </c>
      <c r="E139" s="16">
        <v>31.04</v>
      </c>
      <c r="F139" s="17">
        <v>2.5999999999999999E-3</v>
      </c>
      <c r="G139" s="17"/>
    </row>
    <row r="140" spans="1:7" x14ac:dyDescent="0.35">
      <c r="A140" s="13" t="s">
        <v>1449</v>
      </c>
      <c r="B140" s="41" t="s">
        <v>1450</v>
      </c>
      <c r="C140" s="41" t="s">
        <v>1229</v>
      </c>
      <c r="D140" s="15">
        <v>3212</v>
      </c>
      <c r="E140" s="16">
        <v>30.73</v>
      </c>
      <c r="F140" s="17">
        <v>2.5999999999999999E-3</v>
      </c>
      <c r="G140" s="17"/>
    </row>
    <row r="141" spans="1:7" x14ac:dyDescent="0.35">
      <c r="A141" s="13" t="s">
        <v>1543</v>
      </c>
      <c r="B141" s="41" t="s">
        <v>1544</v>
      </c>
      <c r="C141" s="41" t="s">
        <v>1206</v>
      </c>
      <c r="D141" s="15">
        <v>8367</v>
      </c>
      <c r="E141" s="16">
        <v>30.5</v>
      </c>
      <c r="F141" s="17">
        <v>2.5999999999999999E-3</v>
      </c>
      <c r="G141" s="17"/>
    </row>
    <row r="142" spans="1:7" x14ac:dyDescent="0.35">
      <c r="A142" s="13" t="s">
        <v>1954</v>
      </c>
      <c r="B142" s="41" t="s">
        <v>1955</v>
      </c>
      <c r="C142" s="41" t="s">
        <v>1412</v>
      </c>
      <c r="D142" s="15">
        <v>4815</v>
      </c>
      <c r="E142" s="16">
        <v>30</v>
      </c>
      <c r="F142" s="17">
        <v>2.5000000000000001E-3</v>
      </c>
      <c r="G142" s="17"/>
    </row>
    <row r="143" spans="1:7" x14ac:dyDescent="0.35">
      <c r="A143" s="13" t="s">
        <v>1192</v>
      </c>
      <c r="B143" s="41" t="s">
        <v>1193</v>
      </c>
      <c r="C143" s="41" t="s">
        <v>1191</v>
      </c>
      <c r="D143" s="15">
        <v>509</v>
      </c>
      <c r="E143" s="16">
        <v>29.83</v>
      </c>
      <c r="F143" s="17">
        <v>2.5000000000000001E-3</v>
      </c>
      <c r="G143" s="17"/>
    </row>
    <row r="144" spans="1:7" x14ac:dyDescent="0.35">
      <c r="A144" s="13" t="s">
        <v>1496</v>
      </c>
      <c r="B144" s="41" t="s">
        <v>1497</v>
      </c>
      <c r="C144" s="41" t="s">
        <v>1211</v>
      </c>
      <c r="D144" s="15">
        <v>1825</v>
      </c>
      <c r="E144" s="16">
        <v>29.78</v>
      </c>
      <c r="F144" s="17">
        <v>2.5000000000000001E-3</v>
      </c>
      <c r="G144" s="17"/>
    </row>
    <row r="145" spans="1:7" x14ac:dyDescent="0.35">
      <c r="A145" s="13" t="s">
        <v>1956</v>
      </c>
      <c r="B145" s="41" t="s">
        <v>1957</v>
      </c>
      <c r="C145" s="41" t="s">
        <v>1198</v>
      </c>
      <c r="D145" s="15">
        <v>1877</v>
      </c>
      <c r="E145" s="16">
        <v>29.48</v>
      </c>
      <c r="F145" s="17">
        <v>2.5000000000000001E-3</v>
      </c>
      <c r="G145" s="17"/>
    </row>
    <row r="146" spans="1:7" x14ac:dyDescent="0.35">
      <c r="A146" s="13" t="s">
        <v>2248</v>
      </c>
      <c r="B146" s="41" t="s">
        <v>2249</v>
      </c>
      <c r="C146" s="41" t="s">
        <v>1382</v>
      </c>
      <c r="D146" s="15">
        <v>1278</v>
      </c>
      <c r="E146" s="16">
        <v>29.47</v>
      </c>
      <c r="F146" s="17">
        <v>2.5000000000000001E-3</v>
      </c>
      <c r="G146" s="17"/>
    </row>
    <row r="147" spans="1:7" x14ac:dyDescent="0.35">
      <c r="A147" s="13" t="s">
        <v>1537</v>
      </c>
      <c r="B147" s="41" t="s">
        <v>1538</v>
      </c>
      <c r="C147" s="41" t="s">
        <v>1369</v>
      </c>
      <c r="D147" s="15">
        <v>378</v>
      </c>
      <c r="E147" s="16">
        <v>29.33</v>
      </c>
      <c r="F147" s="17">
        <v>2.5000000000000001E-3</v>
      </c>
      <c r="G147" s="17"/>
    </row>
    <row r="148" spans="1:7" x14ac:dyDescent="0.35">
      <c r="A148" s="13" t="s">
        <v>2171</v>
      </c>
      <c r="B148" s="41" t="s">
        <v>2172</v>
      </c>
      <c r="C148" s="41" t="s">
        <v>1369</v>
      </c>
      <c r="D148" s="15">
        <v>12329</v>
      </c>
      <c r="E148" s="16">
        <v>29.21</v>
      </c>
      <c r="F148" s="17">
        <v>2.5000000000000001E-3</v>
      </c>
      <c r="G148" s="17"/>
    </row>
    <row r="149" spans="1:7" x14ac:dyDescent="0.35">
      <c r="A149" s="13" t="s">
        <v>2250</v>
      </c>
      <c r="B149" s="41" t="s">
        <v>2251</v>
      </c>
      <c r="C149" s="41" t="s">
        <v>1369</v>
      </c>
      <c r="D149" s="15">
        <v>547</v>
      </c>
      <c r="E149" s="16">
        <v>29.12</v>
      </c>
      <c r="F149" s="17">
        <v>2.3999999999999998E-3</v>
      </c>
      <c r="G149" s="17"/>
    </row>
    <row r="150" spans="1:7" x14ac:dyDescent="0.35">
      <c r="A150" s="13" t="s">
        <v>1978</v>
      </c>
      <c r="B150" s="41" t="s">
        <v>1979</v>
      </c>
      <c r="C150" s="41" t="s">
        <v>1288</v>
      </c>
      <c r="D150" s="15">
        <v>1955</v>
      </c>
      <c r="E150" s="16">
        <v>28.87</v>
      </c>
      <c r="F150" s="17">
        <v>2.3999999999999998E-3</v>
      </c>
      <c r="G150" s="17"/>
    </row>
    <row r="151" spans="1:7" x14ac:dyDescent="0.35">
      <c r="A151" s="13" t="s">
        <v>1522</v>
      </c>
      <c r="B151" s="41" t="s">
        <v>1523</v>
      </c>
      <c r="C151" s="41" t="s">
        <v>1324</v>
      </c>
      <c r="D151" s="15">
        <v>1880</v>
      </c>
      <c r="E151" s="16">
        <v>28.03</v>
      </c>
      <c r="F151" s="17">
        <v>2.3999999999999998E-3</v>
      </c>
      <c r="G151" s="17"/>
    </row>
    <row r="152" spans="1:7" x14ac:dyDescent="0.35">
      <c r="A152" s="13" t="s">
        <v>1358</v>
      </c>
      <c r="B152" s="41" t="s">
        <v>1359</v>
      </c>
      <c r="C152" s="41" t="s">
        <v>1360</v>
      </c>
      <c r="D152" s="15">
        <v>5907</v>
      </c>
      <c r="E152" s="16">
        <v>27.84</v>
      </c>
      <c r="F152" s="17">
        <v>2.3E-3</v>
      </c>
      <c r="G152" s="17"/>
    </row>
    <row r="153" spans="1:7" x14ac:dyDescent="0.35">
      <c r="A153" s="13" t="s">
        <v>1372</v>
      </c>
      <c r="B153" s="41" t="s">
        <v>1373</v>
      </c>
      <c r="C153" s="41" t="s">
        <v>1345</v>
      </c>
      <c r="D153" s="15">
        <v>5509</v>
      </c>
      <c r="E153" s="16">
        <v>27.67</v>
      </c>
      <c r="F153" s="17">
        <v>2.3E-3</v>
      </c>
      <c r="G153" s="17"/>
    </row>
    <row r="154" spans="1:7" x14ac:dyDescent="0.35">
      <c r="A154" s="13" t="s">
        <v>1500</v>
      </c>
      <c r="B154" s="41" t="s">
        <v>1501</v>
      </c>
      <c r="C154" s="41" t="s">
        <v>1369</v>
      </c>
      <c r="D154" s="15">
        <v>2613</v>
      </c>
      <c r="E154" s="16">
        <v>27.22</v>
      </c>
      <c r="F154" s="17">
        <v>2.3E-3</v>
      </c>
      <c r="G154" s="17"/>
    </row>
    <row r="155" spans="1:7" x14ac:dyDescent="0.35">
      <c r="A155" s="13" t="s">
        <v>1334</v>
      </c>
      <c r="B155" s="41" t="s">
        <v>1335</v>
      </c>
      <c r="C155" s="41" t="s">
        <v>1216</v>
      </c>
      <c r="D155" s="15">
        <v>5425</v>
      </c>
      <c r="E155" s="16">
        <v>27.15</v>
      </c>
      <c r="F155" s="17">
        <v>2.3E-3</v>
      </c>
      <c r="G155" s="17"/>
    </row>
    <row r="156" spans="1:7" x14ac:dyDescent="0.35">
      <c r="A156" s="13" t="s">
        <v>2079</v>
      </c>
      <c r="B156" s="41" t="s">
        <v>2080</v>
      </c>
      <c r="C156" s="41" t="s">
        <v>1412</v>
      </c>
      <c r="D156" s="15">
        <v>14875</v>
      </c>
      <c r="E156" s="16">
        <v>26.89</v>
      </c>
      <c r="F156" s="17">
        <v>2.3E-3</v>
      </c>
      <c r="G156" s="17"/>
    </row>
    <row r="157" spans="1:7" x14ac:dyDescent="0.35">
      <c r="A157" s="13" t="s">
        <v>1518</v>
      </c>
      <c r="B157" s="41" t="s">
        <v>1519</v>
      </c>
      <c r="C157" s="41" t="s">
        <v>1305</v>
      </c>
      <c r="D157" s="15">
        <v>7253</v>
      </c>
      <c r="E157" s="16">
        <v>26.57</v>
      </c>
      <c r="F157" s="17">
        <v>2.2000000000000001E-3</v>
      </c>
      <c r="G157" s="17"/>
    </row>
    <row r="158" spans="1:7" x14ac:dyDescent="0.35">
      <c r="A158" s="13" t="s">
        <v>1428</v>
      </c>
      <c r="B158" s="41" t="s">
        <v>1429</v>
      </c>
      <c r="C158" s="41" t="s">
        <v>1206</v>
      </c>
      <c r="D158" s="15">
        <v>16133</v>
      </c>
      <c r="E158" s="16">
        <v>26.34</v>
      </c>
      <c r="F158" s="17">
        <v>2.2000000000000001E-3</v>
      </c>
      <c r="G158" s="17"/>
    </row>
    <row r="159" spans="1:7" x14ac:dyDescent="0.35">
      <c r="A159" s="13" t="s">
        <v>1494</v>
      </c>
      <c r="B159" s="41" t="s">
        <v>1495</v>
      </c>
      <c r="C159" s="41" t="s">
        <v>1224</v>
      </c>
      <c r="D159" s="15">
        <v>1272</v>
      </c>
      <c r="E159" s="16">
        <v>26.27</v>
      </c>
      <c r="F159" s="17">
        <v>2.2000000000000001E-3</v>
      </c>
      <c r="G159" s="17"/>
    </row>
    <row r="160" spans="1:7" x14ac:dyDescent="0.35">
      <c r="A160" s="13" t="s">
        <v>1410</v>
      </c>
      <c r="B160" s="41" t="s">
        <v>1411</v>
      </c>
      <c r="C160" s="41" t="s">
        <v>1412</v>
      </c>
      <c r="D160" s="15">
        <v>3791</v>
      </c>
      <c r="E160" s="16">
        <v>25.56</v>
      </c>
      <c r="F160" s="17">
        <v>2.0999999999999999E-3</v>
      </c>
      <c r="G160" s="17"/>
    </row>
    <row r="161" spans="1:7" x14ac:dyDescent="0.35">
      <c r="A161" s="13" t="s">
        <v>2252</v>
      </c>
      <c r="B161" s="41" t="s">
        <v>2253</v>
      </c>
      <c r="C161" s="41" t="s">
        <v>1382</v>
      </c>
      <c r="D161" s="15">
        <v>5163</v>
      </c>
      <c r="E161" s="16">
        <v>25.41</v>
      </c>
      <c r="F161" s="17">
        <v>2.0999999999999999E-3</v>
      </c>
      <c r="G161" s="17"/>
    </row>
    <row r="162" spans="1:7" x14ac:dyDescent="0.35">
      <c r="A162" s="13" t="s">
        <v>1401</v>
      </c>
      <c r="B162" s="41" t="s">
        <v>1402</v>
      </c>
      <c r="C162" s="41" t="s">
        <v>1211</v>
      </c>
      <c r="D162" s="15">
        <v>4796</v>
      </c>
      <c r="E162" s="16">
        <v>25.24</v>
      </c>
      <c r="F162" s="17">
        <v>2.0999999999999999E-3</v>
      </c>
      <c r="G162" s="17"/>
    </row>
    <row r="163" spans="1:7" x14ac:dyDescent="0.35">
      <c r="A163" s="13" t="s">
        <v>1888</v>
      </c>
      <c r="B163" s="41" t="s">
        <v>1889</v>
      </c>
      <c r="C163" s="41" t="s">
        <v>1280</v>
      </c>
      <c r="D163" s="15">
        <v>2834</v>
      </c>
      <c r="E163" s="16">
        <v>24.89</v>
      </c>
      <c r="F163" s="17">
        <v>2.0999999999999999E-3</v>
      </c>
      <c r="G163" s="17"/>
    </row>
    <row r="164" spans="1:7" x14ac:dyDescent="0.35">
      <c r="A164" s="13" t="s">
        <v>2254</v>
      </c>
      <c r="B164" s="41" t="s">
        <v>2255</v>
      </c>
      <c r="C164" s="41" t="s">
        <v>1288</v>
      </c>
      <c r="D164" s="15">
        <v>620</v>
      </c>
      <c r="E164" s="16">
        <v>24.73</v>
      </c>
      <c r="F164" s="17">
        <v>2.0999999999999999E-3</v>
      </c>
      <c r="G164" s="17"/>
    </row>
    <row r="165" spans="1:7" x14ac:dyDescent="0.35">
      <c r="A165" s="13" t="s">
        <v>1374</v>
      </c>
      <c r="B165" s="41" t="s">
        <v>1375</v>
      </c>
      <c r="C165" s="41" t="s">
        <v>1178</v>
      </c>
      <c r="D165" s="15">
        <v>8009</v>
      </c>
      <c r="E165" s="16">
        <v>23.98</v>
      </c>
      <c r="F165" s="17">
        <v>2E-3</v>
      </c>
      <c r="G165" s="17"/>
    </row>
    <row r="166" spans="1:7" x14ac:dyDescent="0.35">
      <c r="A166" s="13" t="s">
        <v>1325</v>
      </c>
      <c r="B166" s="41" t="s">
        <v>1326</v>
      </c>
      <c r="C166" s="41" t="s">
        <v>1211</v>
      </c>
      <c r="D166" s="15">
        <v>6289</v>
      </c>
      <c r="E166" s="16">
        <v>23.86</v>
      </c>
      <c r="F166" s="17">
        <v>2E-3</v>
      </c>
      <c r="G166" s="17"/>
    </row>
    <row r="167" spans="1:7" x14ac:dyDescent="0.35">
      <c r="A167" s="13" t="s">
        <v>1533</v>
      </c>
      <c r="B167" s="41" t="s">
        <v>1534</v>
      </c>
      <c r="C167" s="41" t="s">
        <v>1369</v>
      </c>
      <c r="D167" s="15">
        <v>398</v>
      </c>
      <c r="E167" s="16">
        <v>23.78</v>
      </c>
      <c r="F167" s="17">
        <v>2E-3</v>
      </c>
      <c r="G167" s="17"/>
    </row>
    <row r="168" spans="1:7" x14ac:dyDescent="0.35">
      <c r="A168" s="13" t="s">
        <v>1808</v>
      </c>
      <c r="B168" s="41" t="s">
        <v>1809</v>
      </c>
      <c r="C168" s="41" t="s">
        <v>1266</v>
      </c>
      <c r="D168" s="15">
        <v>636</v>
      </c>
      <c r="E168" s="16">
        <v>23.47</v>
      </c>
      <c r="F168" s="17">
        <v>2E-3</v>
      </c>
      <c r="G168" s="17"/>
    </row>
    <row r="169" spans="1:7" x14ac:dyDescent="0.35">
      <c r="A169" s="13" t="s">
        <v>1814</v>
      </c>
      <c r="B169" s="41" t="s">
        <v>1815</v>
      </c>
      <c r="C169" s="41" t="s">
        <v>1234</v>
      </c>
      <c r="D169" s="15">
        <v>85</v>
      </c>
      <c r="E169" s="16">
        <v>23.43</v>
      </c>
      <c r="F169" s="17">
        <v>2E-3</v>
      </c>
      <c r="G169" s="17"/>
    </row>
    <row r="170" spans="1:7" x14ac:dyDescent="0.35">
      <c r="A170" s="13" t="s">
        <v>1380</v>
      </c>
      <c r="B170" s="41" t="s">
        <v>1381</v>
      </c>
      <c r="C170" s="41" t="s">
        <v>1382</v>
      </c>
      <c r="D170" s="15">
        <v>7262</v>
      </c>
      <c r="E170" s="16">
        <v>23.35</v>
      </c>
      <c r="F170" s="17">
        <v>2E-3</v>
      </c>
      <c r="G170" s="17"/>
    </row>
    <row r="171" spans="1:7" x14ac:dyDescent="0.35">
      <c r="A171" s="13" t="s">
        <v>2256</v>
      </c>
      <c r="B171" s="41" t="s">
        <v>2257</v>
      </c>
      <c r="C171" s="41" t="s">
        <v>1355</v>
      </c>
      <c r="D171" s="15">
        <v>4425</v>
      </c>
      <c r="E171" s="16">
        <v>23.32</v>
      </c>
      <c r="F171" s="17">
        <v>2E-3</v>
      </c>
      <c r="G171" s="17"/>
    </row>
    <row r="172" spans="1:7" x14ac:dyDescent="0.35">
      <c r="A172" s="13" t="s">
        <v>1818</v>
      </c>
      <c r="B172" s="41" t="s">
        <v>1819</v>
      </c>
      <c r="C172" s="41" t="s">
        <v>1382</v>
      </c>
      <c r="D172" s="15">
        <v>642</v>
      </c>
      <c r="E172" s="16">
        <v>23.25</v>
      </c>
      <c r="F172" s="17">
        <v>2E-3</v>
      </c>
      <c r="G172" s="17"/>
    </row>
    <row r="173" spans="1:7" x14ac:dyDescent="0.35">
      <c r="A173" s="13" t="s">
        <v>2258</v>
      </c>
      <c r="B173" s="41" t="s">
        <v>2259</v>
      </c>
      <c r="C173" s="41" t="s">
        <v>1305</v>
      </c>
      <c r="D173" s="15">
        <v>17035</v>
      </c>
      <c r="E173" s="16">
        <v>23.06</v>
      </c>
      <c r="F173" s="17">
        <v>1.9E-3</v>
      </c>
      <c r="G173" s="17"/>
    </row>
    <row r="174" spans="1:7" x14ac:dyDescent="0.35">
      <c r="A174" s="13" t="s">
        <v>2260</v>
      </c>
      <c r="B174" s="41" t="s">
        <v>2261</v>
      </c>
      <c r="C174" s="41" t="s">
        <v>1272</v>
      </c>
      <c r="D174" s="15">
        <v>2069</v>
      </c>
      <c r="E174" s="16">
        <v>22.84</v>
      </c>
      <c r="F174" s="17">
        <v>1.9E-3</v>
      </c>
      <c r="G174" s="17"/>
    </row>
    <row r="175" spans="1:7" x14ac:dyDescent="0.35">
      <c r="A175" s="13" t="s">
        <v>1340</v>
      </c>
      <c r="B175" s="41" t="s">
        <v>2187</v>
      </c>
      <c r="C175" s="41" t="s">
        <v>1342</v>
      </c>
      <c r="D175" s="15">
        <v>1125</v>
      </c>
      <c r="E175" s="16">
        <v>22.73</v>
      </c>
      <c r="F175" s="17">
        <v>1.9E-3</v>
      </c>
      <c r="G175" s="17"/>
    </row>
    <row r="176" spans="1:7" x14ac:dyDescent="0.35">
      <c r="A176" s="13" t="s">
        <v>1447</v>
      </c>
      <c r="B176" s="41" t="s">
        <v>1448</v>
      </c>
      <c r="C176" s="41" t="s">
        <v>1285</v>
      </c>
      <c r="D176" s="15">
        <v>1471</v>
      </c>
      <c r="E176" s="16">
        <v>22.63</v>
      </c>
      <c r="F176" s="17">
        <v>1.9E-3</v>
      </c>
      <c r="G176" s="17"/>
    </row>
    <row r="177" spans="1:7" x14ac:dyDescent="0.35">
      <c r="A177" s="13" t="s">
        <v>2262</v>
      </c>
      <c r="B177" s="41" t="s">
        <v>2263</v>
      </c>
      <c r="C177" s="41" t="s">
        <v>1436</v>
      </c>
      <c r="D177" s="15">
        <v>1349</v>
      </c>
      <c r="E177" s="16">
        <v>22.39</v>
      </c>
      <c r="F177" s="17">
        <v>1.9E-3</v>
      </c>
      <c r="G177" s="17"/>
    </row>
    <row r="178" spans="1:7" x14ac:dyDescent="0.35">
      <c r="A178" s="13" t="s">
        <v>1383</v>
      </c>
      <c r="B178" s="41" t="s">
        <v>1384</v>
      </c>
      <c r="C178" s="41" t="s">
        <v>1201</v>
      </c>
      <c r="D178" s="15">
        <v>6145</v>
      </c>
      <c r="E178" s="16">
        <v>22.22</v>
      </c>
      <c r="F178" s="17">
        <v>1.9E-3</v>
      </c>
      <c r="G178" s="17"/>
    </row>
    <row r="179" spans="1:7" x14ac:dyDescent="0.35">
      <c r="A179" s="13" t="s">
        <v>2264</v>
      </c>
      <c r="B179" s="41" t="s">
        <v>2265</v>
      </c>
      <c r="C179" s="41" t="s">
        <v>1333</v>
      </c>
      <c r="D179" s="15">
        <v>272</v>
      </c>
      <c r="E179" s="16">
        <v>21.74</v>
      </c>
      <c r="F179" s="17">
        <v>1.8E-3</v>
      </c>
      <c r="G179" s="17"/>
    </row>
    <row r="180" spans="1:7" x14ac:dyDescent="0.35">
      <c r="A180" s="13" t="s">
        <v>1490</v>
      </c>
      <c r="B180" s="41" t="s">
        <v>1491</v>
      </c>
      <c r="C180" s="41" t="s">
        <v>1382</v>
      </c>
      <c r="D180" s="15">
        <v>19178</v>
      </c>
      <c r="E180" s="16">
        <v>21.65</v>
      </c>
      <c r="F180" s="17">
        <v>1.8E-3</v>
      </c>
      <c r="G180" s="17"/>
    </row>
    <row r="181" spans="1:7" x14ac:dyDescent="0.35">
      <c r="A181" s="13" t="s">
        <v>1919</v>
      </c>
      <c r="B181" s="41" t="s">
        <v>1920</v>
      </c>
      <c r="C181" s="41" t="s">
        <v>1178</v>
      </c>
      <c r="D181" s="15">
        <v>14555</v>
      </c>
      <c r="E181" s="16">
        <v>21.46</v>
      </c>
      <c r="F181" s="17">
        <v>1.8E-3</v>
      </c>
      <c r="G181" s="17"/>
    </row>
    <row r="182" spans="1:7" x14ac:dyDescent="0.35">
      <c r="A182" s="13" t="s">
        <v>2266</v>
      </c>
      <c r="B182" s="41" t="s">
        <v>2267</v>
      </c>
      <c r="C182" s="41" t="s">
        <v>1178</v>
      </c>
      <c r="D182" s="15">
        <v>32488</v>
      </c>
      <c r="E182" s="16">
        <v>21.2</v>
      </c>
      <c r="F182" s="17">
        <v>1.8E-3</v>
      </c>
      <c r="G182" s="17"/>
    </row>
    <row r="183" spans="1:7" x14ac:dyDescent="0.35">
      <c r="A183" s="13" t="s">
        <v>2268</v>
      </c>
      <c r="B183" s="41" t="s">
        <v>2269</v>
      </c>
      <c r="C183" s="41" t="s">
        <v>1201</v>
      </c>
      <c r="D183" s="15">
        <v>4543</v>
      </c>
      <c r="E183" s="16">
        <v>21.03</v>
      </c>
      <c r="F183" s="17">
        <v>1.8E-3</v>
      </c>
      <c r="G183" s="17"/>
    </row>
    <row r="184" spans="1:7" x14ac:dyDescent="0.35">
      <c r="A184" s="13" t="s">
        <v>1565</v>
      </c>
      <c r="B184" s="41" t="s">
        <v>1566</v>
      </c>
      <c r="C184" s="41" t="s">
        <v>1266</v>
      </c>
      <c r="D184" s="15">
        <v>1676</v>
      </c>
      <c r="E184" s="16">
        <v>20.94</v>
      </c>
      <c r="F184" s="17">
        <v>1.8E-3</v>
      </c>
      <c r="G184" s="17"/>
    </row>
    <row r="185" spans="1:7" x14ac:dyDescent="0.35">
      <c r="A185" s="13" t="s">
        <v>2270</v>
      </c>
      <c r="B185" s="41" t="s">
        <v>2271</v>
      </c>
      <c r="C185" s="41" t="s">
        <v>1221</v>
      </c>
      <c r="D185" s="15">
        <v>672</v>
      </c>
      <c r="E185" s="16">
        <v>20.52</v>
      </c>
      <c r="F185" s="17">
        <v>1.6999999999999999E-3</v>
      </c>
      <c r="G185" s="17"/>
    </row>
    <row r="186" spans="1:7" x14ac:dyDescent="0.35">
      <c r="A186" s="13" t="s">
        <v>2272</v>
      </c>
      <c r="B186" s="41" t="s">
        <v>2273</v>
      </c>
      <c r="C186" s="41" t="s">
        <v>1221</v>
      </c>
      <c r="D186" s="15">
        <v>335</v>
      </c>
      <c r="E186" s="16">
        <v>20.12</v>
      </c>
      <c r="F186" s="17">
        <v>1.6999999999999999E-3</v>
      </c>
      <c r="G186" s="17"/>
    </row>
    <row r="187" spans="1:7" x14ac:dyDescent="0.35">
      <c r="A187" s="13" t="s">
        <v>1539</v>
      </c>
      <c r="B187" s="41" t="s">
        <v>1540</v>
      </c>
      <c r="C187" s="41" t="s">
        <v>1211</v>
      </c>
      <c r="D187" s="15">
        <v>186</v>
      </c>
      <c r="E187" s="16">
        <v>20.09</v>
      </c>
      <c r="F187" s="17">
        <v>1.6999999999999999E-3</v>
      </c>
      <c r="G187" s="17"/>
    </row>
    <row r="188" spans="1:7" x14ac:dyDescent="0.35">
      <c r="A188" s="13" t="s">
        <v>1407</v>
      </c>
      <c r="B188" s="41" t="s">
        <v>1408</v>
      </c>
      <c r="C188" s="41" t="s">
        <v>1409</v>
      </c>
      <c r="D188" s="15">
        <v>1739</v>
      </c>
      <c r="E188" s="16">
        <v>20.07</v>
      </c>
      <c r="F188" s="17">
        <v>1.6999999999999999E-3</v>
      </c>
      <c r="G188" s="17"/>
    </row>
    <row r="189" spans="1:7" x14ac:dyDescent="0.35">
      <c r="A189" s="13" t="s">
        <v>2274</v>
      </c>
      <c r="B189" s="41" t="s">
        <v>2275</v>
      </c>
      <c r="C189" s="41" t="s">
        <v>1355</v>
      </c>
      <c r="D189" s="15">
        <v>11194</v>
      </c>
      <c r="E189" s="16">
        <v>19.91</v>
      </c>
      <c r="F189" s="17">
        <v>1.6999999999999999E-3</v>
      </c>
      <c r="G189" s="17"/>
    </row>
    <row r="190" spans="1:7" x14ac:dyDescent="0.35">
      <c r="A190" s="13" t="s">
        <v>1320</v>
      </c>
      <c r="B190" s="41" t="s">
        <v>1321</v>
      </c>
      <c r="C190" s="41" t="s">
        <v>1211</v>
      </c>
      <c r="D190" s="15">
        <v>5392</v>
      </c>
      <c r="E190" s="16">
        <v>19.63</v>
      </c>
      <c r="F190" s="17">
        <v>1.6000000000000001E-3</v>
      </c>
      <c r="G190" s="17"/>
    </row>
    <row r="191" spans="1:7" x14ac:dyDescent="0.35">
      <c r="A191" s="13" t="s">
        <v>1353</v>
      </c>
      <c r="B191" s="41" t="s">
        <v>1354</v>
      </c>
      <c r="C191" s="41" t="s">
        <v>1355</v>
      </c>
      <c r="D191" s="15">
        <v>11649</v>
      </c>
      <c r="E191" s="16">
        <v>19.489999999999998</v>
      </c>
      <c r="F191" s="17">
        <v>1.6000000000000001E-3</v>
      </c>
      <c r="G191" s="17"/>
    </row>
    <row r="192" spans="1:7" x14ac:dyDescent="0.35">
      <c r="A192" s="13" t="s">
        <v>1219</v>
      </c>
      <c r="B192" s="41" t="s">
        <v>1220</v>
      </c>
      <c r="C192" s="41" t="s">
        <v>1221</v>
      </c>
      <c r="D192" s="15">
        <v>1340</v>
      </c>
      <c r="E192" s="16">
        <v>19.18</v>
      </c>
      <c r="F192" s="17">
        <v>1.6000000000000001E-3</v>
      </c>
      <c r="G192" s="17"/>
    </row>
    <row r="193" spans="1:7" x14ac:dyDescent="0.35">
      <c r="A193" s="13" t="s">
        <v>1529</v>
      </c>
      <c r="B193" s="41" t="s">
        <v>1530</v>
      </c>
      <c r="C193" s="41" t="s">
        <v>1185</v>
      </c>
      <c r="D193" s="15">
        <v>1043</v>
      </c>
      <c r="E193" s="16">
        <v>18.920000000000002</v>
      </c>
      <c r="F193" s="17">
        <v>1.6000000000000001E-3</v>
      </c>
      <c r="G193" s="17"/>
    </row>
    <row r="194" spans="1:7" x14ac:dyDescent="0.35">
      <c r="A194" s="13" t="s">
        <v>2090</v>
      </c>
      <c r="B194" s="41" t="s">
        <v>2091</v>
      </c>
      <c r="C194" s="41" t="s">
        <v>1234</v>
      </c>
      <c r="D194" s="15">
        <v>672</v>
      </c>
      <c r="E194" s="16">
        <v>18.690000000000001</v>
      </c>
      <c r="F194" s="17">
        <v>1.6000000000000001E-3</v>
      </c>
      <c r="G194" s="17"/>
    </row>
    <row r="195" spans="1:7" x14ac:dyDescent="0.35">
      <c r="A195" s="13" t="s">
        <v>1894</v>
      </c>
      <c r="B195" s="41" t="s">
        <v>1895</v>
      </c>
      <c r="C195" s="41" t="s">
        <v>1185</v>
      </c>
      <c r="D195" s="15">
        <v>4933</v>
      </c>
      <c r="E195" s="16">
        <v>18.649999999999999</v>
      </c>
      <c r="F195" s="17">
        <v>1.6000000000000001E-3</v>
      </c>
      <c r="G195" s="17"/>
    </row>
    <row r="196" spans="1:7" x14ac:dyDescent="0.35">
      <c r="A196" s="13" t="s">
        <v>1327</v>
      </c>
      <c r="B196" s="41" t="s">
        <v>1328</v>
      </c>
      <c r="C196" s="41" t="s">
        <v>1178</v>
      </c>
      <c r="D196" s="15">
        <v>14885</v>
      </c>
      <c r="E196" s="16">
        <v>18.63</v>
      </c>
      <c r="F196" s="17">
        <v>1.6000000000000001E-3</v>
      </c>
      <c r="G196" s="17"/>
    </row>
    <row r="197" spans="1:7" x14ac:dyDescent="0.35">
      <c r="A197" s="13" t="s">
        <v>1898</v>
      </c>
      <c r="B197" s="41" t="s">
        <v>1899</v>
      </c>
      <c r="C197" s="41" t="s">
        <v>1280</v>
      </c>
      <c r="D197" s="15">
        <v>2472</v>
      </c>
      <c r="E197" s="16">
        <v>18.63</v>
      </c>
      <c r="F197" s="17">
        <v>1.6000000000000001E-3</v>
      </c>
      <c r="G197" s="17"/>
    </row>
    <row r="198" spans="1:7" x14ac:dyDescent="0.35">
      <c r="A198" s="13" t="s">
        <v>1941</v>
      </c>
      <c r="B198" s="41" t="s">
        <v>1942</v>
      </c>
      <c r="C198" s="41" t="s">
        <v>1198</v>
      </c>
      <c r="D198" s="15">
        <v>1198</v>
      </c>
      <c r="E198" s="16">
        <v>18.510000000000002</v>
      </c>
      <c r="F198" s="17">
        <v>1.6000000000000001E-3</v>
      </c>
      <c r="G198" s="17"/>
    </row>
    <row r="199" spans="1:7" x14ac:dyDescent="0.35">
      <c r="A199" s="13" t="s">
        <v>1510</v>
      </c>
      <c r="B199" s="41" t="s">
        <v>1511</v>
      </c>
      <c r="C199" s="41" t="s">
        <v>1261</v>
      </c>
      <c r="D199" s="15">
        <v>1614</v>
      </c>
      <c r="E199" s="16">
        <v>18.27</v>
      </c>
      <c r="F199" s="17">
        <v>1.5E-3</v>
      </c>
      <c r="G199" s="17"/>
    </row>
    <row r="200" spans="1:7" x14ac:dyDescent="0.35">
      <c r="A200" s="13" t="s">
        <v>2276</v>
      </c>
      <c r="B200" s="41" t="s">
        <v>2277</v>
      </c>
      <c r="C200" s="41" t="s">
        <v>1211</v>
      </c>
      <c r="D200" s="15">
        <v>387</v>
      </c>
      <c r="E200" s="16">
        <v>18.05</v>
      </c>
      <c r="F200" s="17">
        <v>1.5E-3</v>
      </c>
      <c r="G200" s="17"/>
    </row>
    <row r="201" spans="1:7" x14ac:dyDescent="0.35">
      <c r="A201" s="13" t="s">
        <v>2278</v>
      </c>
      <c r="B201" s="41" t="s">
        <v>2279</v>
      </c>
      <c r="C201" s="41" t="s">
        <v>1221</v>
      </c>
      <c r="D201" s="15">
        <v>1097</v>
      </c>
      <c r="E201" s="16">
        <v>18.02</v>
      </c>
      <c r="F201" s="17">
        <v>1.5E-3</v>
      </c>
      <c r="G201" s="17"/>
    </row>
    <row r="202" spans="1:7" x14ac:dyDescent="0.35">
      <c r="A202" s="13" t="s">
        <v>1232</v>
      </c>
      <c r="B202" s="41" t="s">
        <v>1233</v>
      </c>
      <c r="C202" s="41" t="s">
        <v>1234</v>
      </c>
      <c r="D202" s="15">
        <v>453</v>
      </c>
      <c r="E202" s="16">
        <v>17.940000000000001</v>
      </c>
      <c r="F202" s="17">
        <v>1.5E-3</v>
      </c>
      <c r="G202" s="17"/>
    </row>
    <row r="203" spans="1:7" x14ac:dyDescent="0.35">
      <c r="A203" s="13" t="s">
        <v>2280</v>
      </c>
      <c r="B203" s="41" t="s">
        <v>2281</v>
      </c>
      <c r="C203" s="41" t="s">
        <v>1849</v>
      </c>
      <c r="D203" s="15">
        <v>529</v>
      </c>
      <c r="E203" s="16">
        <v>17.88</v>
      </c>
      <c r="F203" s="17">
        <v>1.5E-3</v>
      </c>
      <c r="G203" s="17"/>
    </row>
    <row r="204" spans="1:7" x14ac:dyDescent="0.35">
      <c r="A204" s="13" t="s">
        <v>2120</v>
      </c>
      <c r="B204" s="41" t="s">
        <v>2121</v>
      </c>
      <c r="C204" s="41" t="s">
        <v>1333</v>
      </c>
      <c r="D204" s="15">
        <v>619</v>
      </c>
      <c r="E204" s="16">
        <v>17.809999999999999</v>
      </c>
      <c r="F204" s="17">
        <v>1.5E-3</v>
      </c>
      <c r="G204" s="17"/>
    </row>
    <row r="205" spans="1:7" x14ac:dyDescent="0.35">
      <c r="A205" s="13" t="s">
        <v>2282</v>
      </c>
      <c r="B205" s="41" t="s">
        <v>2283</v>
      </c>
      <c r="C205" s="41" t="s">
        <v>1409</v>
      </c>
      <c r="D205" s="15">
        <v>151</v>
      </c>
      <c r="E205" s="16">
        <v>17.77</v>
      </c>
      <c r="F205" s="17">
        <v>1.5E-3</v>
      </c>
      <c r="G205" s="17"/>
    </row>
    <row r="206" spans="1:7" x14ac:dyDescent="0.35">
      <c r="A206" s="13" t="s">
        <v>1524</v>
      </c>
      <c r="B206" s="41" t="s">
        <v>1525</v>
      </c>
      <c r="C206" s="41" t="s">
        <v>1526</v>
      </c>
      <c r="D206" s="15">
        <v>2739</v>
      </c>
      <c r="E206" s="16">
        <v>17.690000000000001</v>
      </c>
      <c r="F206" s="17">
        <v>1.5E-3</v>
      </c>
      <c r="G206" s="17"/>
    </row>
    <row r="207" spans="1:7" x14ac:dyDescent="0.35">
      <c r="A207" s="13" t="s">
        <v>1322</v>
      </c>
      <c r="B207" s="41" t="s">
        <v>1323</v>
      </c>
      <c r="C207" s="41" t="s">
        <v>1324</v>
      </c>
      <c r="D207" s="15">
        <v>2770</v>
      </c>
      <c r="E207" s="16">
        <v>17.61</v>
      </c>
      <c r="F207" s="17">
        <v>1.5E-3</v>
      </c>
      <c r="G207" s="17"/>
    </row>
    <row r="208" spans="1:7" x14ac:dyDescent="0.35">
      <c r="A208" s="13" t="s">
        <v>1461</v>
      </c>
      <c r="B208" s="41" t="s">
        <v>1462</v>
      </c>
      <c r="C208" s="41" t="s">
        <v>1360</v>
      </c>
      <c r="D208" s="15">
        <v>1276</v>
      </c>
      <c r="E208" s="16">
        <v>17.39</v>
      </c>
      <c r="F208" s="17">
        <v>1.5E-3</v>
      </c>
      <c r="G208" s="17"/>
    </row>
    <row r="209" spans="1:7" x14ac:dyDescent="0.35">
      <c r="A209" s="13" t="s">
        <v>1498</v>
      </c>
      <c r="B209" s="41" t="s">
        <v>1499</v>
      </c>
      <c r="C209" s="41" t="s">
        <v>1333</v>
      </c>
      <c r="D209" s="15">
        <v>2964</v>
      </c>
      <c r="E209" s="16">
        <v>17.309999999999999</v>
      </c>
      <c r="F209" s="17">
        <v>1.5E-3</v>
      </c>
      <c r="G209" s="17"/>
    </row>
    <row r="210" spans="1:7" x14ac:dyDescent="0.35">
      <c r="A210" s="13" t="s">
        <v>2284</v>
      </c>
      <c r="B210" s="41" t="s">
        <v>2285</v>
      </c>
      <c r="C210" s="41" t="s">
        <v>1360</v>
      </c>
      <c r="D210" s="15">
        <v>1152</v>
      </c>
      <c r="E210" s="16">
        <v>16.920000000000002</v>
      </c>
      <c r="F210" s="17">
        <v>1.4E-3</v>
      </c>
      <c r="G210" s="17"/>
    </row>
    <row r="211" spans="1:7" x14ac:dyDescent="0.35">
      <c r="A211" s="13" t="s">
        <v>2286</v>
      </c>
      <c r="B211" s="41" t="s">
        <v>2287</v>
      </c>
      <c r="C211" s="41" t="s">
        <v>1211</v>
      </c>
      <c r="D211" s="15">
        <v>12695</v>
      </c>
      <c r="E211" s="16">
        <v>16.77</v>
      </c>
      <c r="F211" s="17">
        <v>1.4E-3</v>
      </c>
      <c r="G211" s="17"/>
    </row>
    <row r="212" spans="1:7" x14ac:dyDescent="0.35">
      <c r="A212" s="13" t="s">
        <v>2288</v>
      </c>
      <c r="B212" s="41" t="s">
        <v>2289</v>
      </c>
      <c r="C212" s="41" t="s">
        <v>1369</v>
      </c>
      <c r="D212" s="15">
        <v>2371</v>
      </c>
      <c r="E212" s="16">
        <v>16.54</v>
      </c>
      <c r="F212" s="17">
        <v>1.4E-3</v>
      </c>
      <c r="G212" s="17"/>
    </row>
    <row r="213" spans="1:7" x14ac:dyDescent="0.35">
      <c r="A213" s="13" t="s">
        <v>2290</v>
      </c>
      <c r="B213" s="41" t="s">
        <v>2291</v>
      </c>
      <c r="C213" s="41" t="s">
        <v>1526</v>
      </c>
      <c r="D213" s="15">
        <v>441</v>
      </c>
      <c r="E213" s="16">
        <v>16.420000000000002</v>
      </c>
      <c r="F213" s="17">
        <v>1.4E-3</v>
      </c>
      <c r="G213" s="17"/>
    </row>
    <row r="214" spans="1:7" x14ac:dyDescent="0.35">
      <c r="A214" s="13" t="s">
        <v>1991</v>
      </c>
      <c r="B214" s="41" t="s">
        <v>1992</v>
      </c>
      <c r="C214" s="41" t="s">
        <v>1855</v>
      </c>
      <c r="D214" s="15">
        <v>1840</v>
      </c>
      <c r="E214" s="16">
        <v>16</v>
      </c>
      <c r="F214" s="17">
        <v>1.2999999999999999E-3</v>
      </c>
      <c r="G214" s="17"/>
    </row>
    <row r="215" spans="1:7" x14ac:dyDescent="0.35">
      <c r="A215" s="13" t="s">
        <v>2292</v>
      </c>
      <c r="B215" s="41" t="s">
        <v>2293</v>
      </c>
      <c r="C215" s="41" t="s">
        <v>1224</v>
      </c>
      <c r="D215" s="15">
        <v>974</v>
      </c>
      <c r="E215" s="16">
        <v>15.94</v>
      </c>
      <c r="F215" s="17">
        <v>1.2999999999999999E-3</v>
      </c>
      <c r="G215" s="17"/>
    </row>
    <row r="216" spans="1:7" x14ac:dyDescent="0.35">
      <c r="A216" s="13" t="s">
        <v>2294</v>
      </c>
      <c r="B216" s="41" t="s">
        <v>2295</v>
      </c>
      <c r="C216" s="41" t="s">
        <v>1216</v>
      </c>
      <c r="D216" s="15">
        <v>7431</v>
      </c>
      <c r="E216" s="16">
        <v>15.9</v>
      </c>
      <c r="F216" s="17">
        <v>1.2999999999999999E-3</v>
      </c>
      <c r="G216" s="17"/>
    </row>
    <row r="217" spans="1:7" x14ac:dyDescent="0.35">
      <c r="A217" s="13" t="s">
        <v>2296</v>
      </c>
      <c r="B217" s="41" t="s">
        <v>2297</v>
      </c>
      <c r="C217" s="41" t="s">
        <v>1234</v>
      </c>
      <c r="D217" s="15">
        <v>660</v>
      </c>
      <c r="E217" s="16">
        <v>15.85</v>
      </c>
      <c r="F217" s="17">
        <v>1.2999999999999999E-3</v>
      </c>
      <c r="G217" s="17"/>
    </row>
    <row r="218" spans="1:7" x14ac:dyDescent="0.35">
      <c r="A218" s="13" t="s">
        <v>1422</v>
      </c>
      <c r="B218" s="41" t="s">
        <v>1423</v>
      </c>
      <c r="C218" s="41" t="s">
        <v>1211</v>
      </c>
      <c r="D218" s="15">
        <v>8007</v>
      </c>
      <c r="E218" s="16">
        <v>15.35</v>
      </c>
      <c r="F218" s="17">
        <v>1.2999999999999999E-3</v>
      </c>
      <c r="G218" s="17"/>
    </row>
    <row r="219" spans="1:7" x14ac:dyDescent="0.35">
      <c r="A219" s="13" t="s">
        <v>2298</v>
      </c>
      <c r="B219" s="41" t="s">
        <v>2299</v>
      </c>
      <c r="C219" s="41" t="s">
        <v>2300</v>
      </c>
      <c r="D219" s="15">
        <v>44</v>
      </c>
      <c r="E219" s="16">
        <v>15.13</v>
      </c>
      <c r="F219" s="17">
        <v>1.2999999999999999E-3</v>
      </c>
      <c r="G219" s="17"/>
    </row>
    <row r="220" spans="1:7" x14ac:dyDescent="0.35">
      <c r="A220" s="13" t="s">
        <v>1245</v>
      </c>
      <c r="B220" s="41" t="s">
        <v>1246</v>
      </c>
      <c r="C220" s="41" t="s">
        <v>1224</v>
      </c>
      <c r="D220" s="15">
        <v>56</v>
      </c>
      <c r="E220" s="16">
        <v>15.11</v>
      </c>
      <c r="F220" s="17">
        <v>1.2999999999999999E-3</v>
      </c>
      <c r="G220" s="17"/>
    </row>
    <row r="221" spans="1:7" x14ac:dyDescent="0.35">
      <c r="A221" s="13" t="s">
        <v>1338</v>
      </c>
      <c r="B221" s="41" t="s">
        <v>1339</v>
      </c>
      <c r="C221" s="41" t="s">
        <v>1221</v>
      </c>
      <c r="D221" s="15">
        <v>107</v>
      </c>
      <c r="E221" s="16">
        <v>14.42</v>
      </c>
      <c r="F221" s="17">
        <v>1.1999999999999999E-3</v>
      </c>
      <c r="G221" s="17"/>
    </row>
    <row r="222" spans="1:7" x14ac:dyDescent="0.35">
      <c r="A222" s="13" t="s">
        <v>1557</v>
      </c>
      <c r="B222" s="41" t="s">
        <v>1558</v>
      </c>
      <c r="C222" s="41" t="s">
        <v>1229</v>
      </c>
      <c r="D222" s="15">
        <v>3029</v>
      </c>
      <c r="E222" s="16">
        <v>14.34</v>
      </c>
      <c r="F222" s="17">
        <v>1.1999999999999999E-3</v>
      </c>
      <c r="G222" s="17"/>
    </row>
    <row r="223" spans="1:7" x14ac:dyDescent="0.35">
      <c r="A223" s="13" t="s">
        <v>2301</v>
      </c>
      <c r="B223" s="41" t="s">
        <v>2302</v>
      </c>
      <c r="C223" s="41" t="s">
        <v>1229</v>
      </c>
      <c r="D223" s="15">
        <v>1349</v>
      </c>
      <c r="E223" s="16">
        <v>14.22</v>
      </c>
      <c r="F223" s="17">
        <v>1.1999999999999999E-3</v>
      </c>
      <c r="G223" s="17"/>
    </row>
    <row r="224" spans="1:7" x14ac:dyDescent="0.35">
      <c r="A224" s="13" t="s">
        <v>1430</v>
      </c>
      <c r="B224" s="41" t="s">
        <v>1431</v>
      </c>
      <c r="C224" s="41" t="s">
        <v>1201</v>
      </c>
      <c r="D224" s="15">
        <v>1090</v>
      </c>
      <c r="E224" s="16">
        <v>14.01</v>
      </c>
      <c r="F224" s="17">
        <v>1.1999999999999999E-3</v>
      </c>
      <c r="G224" s="17"/>
    </row>
    <row r="225" spans="1:7" x14ac:dyDescent="0.35">
      <c r="A225" s="13" t="s">
        <v>1933</v>
      </c>
      <c r="B225" s="41" t="s">
        <v>1934</v>
      </c>
      <c r="C225" s="41" t="s">
        <v>1382</v>
      </c>
      <c r="D225" s="15">
        <v>561</v>
      </c>
      <c r="E225" s="16">
        <v>13.61</v>
      </c>
      <c r="F225" s="17">
        <v>1.1000000000000001E-3</v>
      </c>
      <c r="G225" s="17"/>
    </row>
    <row r="226" spans="1:7" x14ac:dyDescent="0.35">
      <c r="A226" s="13" t="s">
        <v>2011</v>
      </c>
      <c r="B226" s="41" t="s">
        <v>2012</v>
      </c>
      <c r="C226" s="41" t="s">
        <v>1188</v>
      </c>
      <c r="D226" s="15">
        <v>617</v>
      </c>
      <c r="E226" s="16">
        <v>13.55</v>
      </c>
      <c r="F226" s="17">
        <v>1.1000000000000001E-3</v>
      </c>
      <c r="G226" s="17"/>
    </row>
    <row r="227" spans="1:7" x14ac:dyDescent="0.35">
      <c r="A227" s="13" t="s">
        <v>2303</v>
      </c>
      <c r="B227" s="41" t="s">
        <v>2304</v>
      </c>
      <c r="C227" s="41" t="s">
        <v>1305</v>
      </c>
      <c r="D227" s="15">
        <v>5206</v>
      </c>
      <c r="E227" s="16">
        <v>13.49</v>
      </c>
      <c r="F227" s="17">
        <v>1.1000000000000001E-3</v>
      </c>
      <c r="G227" s="17"/>
    </row>
    <row r="228" spans="1:7" x14ac:dyDescent="0.35">
      <c r="A228" s="13" t="s">
        <v>1451</v>
      </c>
      <c r="B228" s="41" t="s">
        <v>1452</v>
      </c>
      <c r="C228" s="41" t="s">
        <v>1224</v>
      </c>
      <c r="D228" s="15">
        <v>2632</v>
      </c>
      <c r="E228" s="16">
        <v>13.43</v>
      </c>
      <c r="F228" s="17">
        <v>1.1000000000000001E-3</v>
      </c>
      <c r="G228" s="17"/>
    </row>
    <row r="229" spans="1:7" x14ac:dyDescent="0.35">
      <c r="A229" s="13" t="s">
        <v>1312</v>
      </c>
      <c r="B229" s="41" t="s">
        <v>1313</v>
      </c>
      <c r="C229" s="41" t="s">
        <v>1305</v>
      </c>
      <c r="D229" s="15">
        <v>1497</v>
      </c>
      <c r="E229" s="16">
        <v>13.4</v>
      </c>
      <c r="F229" s="17">
        <v>1.1000000000000001E-3</v>
      </c>
      <c r="G229" s="17"/>
    </row>
    <row r="230" spans="1:7" x14ac:dyDescent="0.35">
      <c r="A230" s="13" t="s">
        <v>2305</v>
      </c>
      <c r="B230" s="41" t="s">
        <v>2306</v>
      </c>
      <c r="C230" s="41" t="s">
        <v>1398</v>
      </c>
      <c r="D230" s="15">
        <v>5162</v>
      </c>
      <c r="E230" s="16">
        <v>13.34</v>
      </c>
      <c r="F230" s="17">
        <v>1.1000000000000001E-3</v>
      </c>
      <c r="G230" s="17"/>
    </row>
    <row r="231" spans="1:7" x14ac:dyDescent="0.35">
      <c r="A231" s="13" t="s">
        <v>1806</v>
      </c>
      <c r="B231" s="41" t="s">
        <v>1807</v>
      </c>
      <c r="C231" s="41" t="s">
        <v>1333</v>
      </c>
      <c r="D231" s="15">
        <v>1841</v>
      </c>
      <c r="E231" s="16">
        <v>13.25</v>
      </c>
      <c r="F231" s="17">
        <v>1.1000000000000001E-3</v>
      </c>
      <c r="G231" s="17"/>
    </row>
    <row r="232" spans="1:7" x14ac:dyDescent="0.35">
      <c r="A232" s="13" t="s">
        <v>2307</v>
      </c>
      <c r="B232" s="41" t="s">
        <v>2308</v>
      </c>
      <c r="C232" s="41" t="s">
        <v>2309</v>
      </c>
      <c r="D232" s="15">
        <v>650</v>
      </c>
      <c r="E232" s="16">
        <v>13.23</v>
      </c>
      <c r="F232" s="17">
        <v>1.1000000000000001E-3</v>
      </c>
      <c r="G232" s="17"/>
    </row>
    <row r="233" spans="1:7" x14ac:dyDescent="0.35">
      <c r="A233" s="13" t="s">
        <v>2310</v>
      </c>
      <c r="B233" s="41" t="s">
        <v>2311</v>
      </c>
      <c r="C233" s="41" t="s">
        <v>1387</v>
      </c>
      <c r="D233" s="15">
        <v>31652</v>
      </c>
      <c r="E233" s="16">
        <v>13.15</v>
      </c>
      <c r="F233" s="17">
        <v>1.1000000000000001E-3</v>
      </c>
      <c r="G233" s="17"/>
    </row>
    <row r="234" spans="1:7" x14ac:dyDescent="0.35">
      <c r="A234" s="13" t="s">
        <v>1551</v>
      </c>
      <c r="B234" s="41" t="s">
        <v>1552</v>
      </c>
      <c r="C234" s="41" t="s">
        <v>1382</v>
      </c>
      <c r="D234" s="15">
        <v>36</v>
      </c>
      <c r="E234" s="16">
        <v>13.15</v>
      </c>
      <c r="F234" s="17">
        <v>1.1000000000000001E-3</v>
      </c>
      <c r="G234" s="17"/>
    </row>
    <row r="235" spans="1:7" x14ac:dyDescent="0.35">
      <c r="A235" s="13" t="s">
        <v>2312</v>
      </c>
      <c r="B235" s="41" t="s">
        <v>2313</v>
      </c>
      <c r="C235" s="41" t="s">
        <v>1211</v>
      </c>
      <c r="D235" s="15">
        <v>2075</v>
      </c>
      <c r="E235" s="16">
        <v>12.93</v>
      </c>
      <c r="F235" s="17">
        <v>1.1000000000000001E-3</v>
      </c>
      <c r="G235" s="17"/>
    </row>
    <row r="236" spans="1:7" x14ac:dyDescent="0.35">
      <c r="A236" s="13" t="s">
        <v>2085</v>
      </c>
      <c r="B236" s="41" t="s">
        <v>2086</v>
      </c>
      <c r="C236" s="41" t="s">
        <v>1305</v>
      </c>
      <c r="D236" s="15">
        <v>14822</v>
      </c>
      <c r="E236" s="16">
        <v>12.77</v>
      </c>
      <c r="F236" s="17">
        <v>1.1000000000000001E-3</v>
      </c>
      <c r="G236" s="17"/>
    </row>
    <row r="237" spans="1:7" x14ac:dyDescent="0.35">
      <c r="A237" s="13" t="s">
        <v>2228</v>
      </c>
      <c r="B237" s="41" t="s">
        <v>2229</v>
      </c>
      <c r="C237" s="41" t="s">
        <v>1333</v>
      </c>
      <c r="D237" s="15">
        <v>224</v>
      </c>
      <c r="E237" s="16">
        <v>12.5</v>
      </c>
      <c r="F237" s="17">
        <v>1E-3</v>
      </c>
      <c r="G237" s="17"/>
    </row>
    <row r="238" spans="1:7" x14ac:dyDescent="0.35">
      <c r="A238" s="13" t="s">
        <v>1563</v>
      </c>
      <c r="B238" s="41" t="s">
        <v>1564</v>
      </c>
      <c r="C238" s="41" t="s">
        <v>1333</v>
      </c>
      <c r="D238" s="15">
        <v>380</v>
      </c>
      <c r="E238" s="16">
        <v>11.78</v>
      </c>
      <c r="F238" s="17">
        <v>1E-3</v>
      </c>
      <c r="G238" s="17"/>
    </row>
    <row r="239" spans="1:7" x14ac:dyDescent="0.35">
      <c r="A239" s="13" t="s">
        <v>1445</v>
      </c>
      <c r="B239" s="41" t="s">
        <v>1446</v>
      </c>
      <c r="C239" s="41" t="s">
        <v>1324</v>
      </c>
      <c r="D239" s="15">
        <v>1212</v>
      </c>
      <c r="E239" s="16">
        <v>11.77</v>
      </c>
      <c r="F239" s="17">
        <v>1E-3</v>
      </c>
      <c r="G239" s="17"/>
    </row>
    <row r="240" spans="1:7" x14ac:dyDescent="0.35">
      <c r="A240" s="13" t="s">
        <v>1417</v>
      </c>
      <c r="B240" s="41" t="s">
        <v>1418</v>
      </c>
      <c r="C240" s="41" t="s">
        <v>1419</v>
      </c>
      <c r="D240" s="15">
        <v>1869</v>
      </c>
      <c r="E240" s="16">
        <v>11.75</v>
      </c>
      <c r="F240" s="17">
        <v>1E-3</v>
      </c>
      <c r="G240" s="17"/>
    </row>
    <row r="241" spans="1:7" x14ac:dyDescent="0.35">
      <c r="A241" s="13" t="s">
        <v>2314</v>
      </c>
      <c r="B241" s="41" t="s">
        <v>2315</v>
      </c>
      <c r="C241" s="41" t="s">
        <v>1355</v>
      </c>
      <c r="D241" s="15">
        <v>2752</v>
      </c>
      <c r="E241" s="16">
        <v>11.71</v>
      </c>
      <c r="F241" s="17">
        <v>1E-3</v>
      </c>
      <c r="G241" s="17"/>
    </row>
    <row r="242" spans="1:7" x14ac:dyDescent="0.35">
      <c r="A242" s="13" t="s">
        <v>2316</v>
      </c>
      <c r="B242" s="41" t="s">
        <v>2317</v>
      </c>
      <c r="C242" s="41" t="s">
        <v>1436</v>
      </c>
      <c r="D242" s="15">
        <v>34</v>
      </c>
      <c r="E242" s="16">
        <v>11.35</v>
      </c>
      <c r="F242" s="17">
        <v>1E-3</v>
      </c>
      <c r="G242" s="17"/>
    </row>
    <row r="243" spans="1:7" x14ac:dyDescent="0.35">
      <c r="A243" s="13" t="s">
        <v>1316</v>
      </c>
      <c r="B243" s="41" t="s">
        <v>1317</v>
      </c>
      <c r="C243" s="41" t="s">
        <v>1305</v>
      </c>
      <c r="D243" s="15">
        <v>1323</v>
      </c>
      <c r="E243" s="16">
        <v>11.28</v>
      </c>
      <c r="F243" s="17">
        <v>8.9999999999999998E-4</v>
      </c>
      <c r="G243" s="17"/>
    </row>
    <row r="244" spans="1:7" x14ac:dyDescent="0.35">
      <c r="A244" s="13" t="s">
        <v>1303</v>
      </c>
      <c r="B244" s="41" t="s">
        <v>1304</v>
      </c>
      <c r="C244" s="41" t="s">
        <v>1305</v>
      </c>
      <c r="D244" s="15">
        <v>2316</v>
      </c>
      <c r="E244" s="16">
        <v>10.65</v>
      </c>
      <c r="F244" s="17">
        <v>8.9999999999999998E-4</v>
      </c>
      <c r="G244" s="17"/>
    </row>
    <row r="245" spans="1:7" x14ac:dyDescent="0.35">
      <c r="A245" s="13" t="s">
        <v>2230</v>
      </c>
      <c r="B245" s="41" t="s">
        <v>2231</v>
      </c>
      <c r="C245" s="41" t="s">
        <v>1234</v>
      </c>
      <c r="D245" s="15">
        <v>1082</v>
      </c>
      <c r="E245" s="16">
        <v>9.58</v>
      </c>
      <c r="F245" s="17">
        <v>8.0000000000000004E-4</v>
      </c>
      <c r="G245" s="17"/>
    </row>
    <row r="246" spans="1:7" x14ac:dyDescent="0.35">
      <c r="A246" s="13" t="s">
        <v>2059</v>
      </c>
      <c r="B246" s="41" t="s">
        <v>2060</v>
      </c>
      <c r="C246" s="41" t="s">
        <v>1333</v>
      </c>
      <c r="D246" s="15">
        <v>380</v>
      </c>
      <c r="E246" s="16">
        <v>9.4499999999999993</v>
      </c>
      <c r="F246" s="17">
        <v>8.0000000000000004E-4</v>
      </c>
      <c r="G246" s="17"/>
    </row>
    <row r="247" spans="1:7" x14ac:dyDescent="0.35">
      <c r="A247" s="13" t="s">
        <v>2318</v>
      </c>
      <c r="B247" s="41" t="s">
        <v>2319</v>
      </c>
      <c r="C247" s="41" t="s">
        <v>1211</v>
      </c>
      <c r="D247" s="15">
        <v>7713</v>
      </c>
      <c r="E247" s="16">
        <v>9.26</v>
      </c>
      <c r="F247" s="17">
        <v>8.0000000000000004E-4</v>
      </c>
      <c r="G247" s="17"/>
    </row>
    <row r="248" spans="1:7" x14ac:dyDescent="0.35">
      <c r="A248" s="13" t="s">
        <v>2320</v>
      </c>
      <c r="B248" s="41" t="s">
        <v>2321</v>
      </c>
      <c r="C248" s="41" t="s">
        <v>1178</v>
      </c>
      <c r="D248" s="15">
        <v>8945</v>
      </c>
      <c r="E248" s="16">
        <v>8.91</v>
      </c>
      <c r="F248" s="17">
        <v>6.9999999999999999E-4</v>
      </c>
      <c r="G248" s="17"/>
    </row>
    <row r="249" spans="1:7" x14ac:dyDescent="0.35">
      <c r="A249" s="13" t="s">
        <v>1434</v>
      </c>
      <c r="B249" s="41" t="s">
        <v>1435</v>
      </c>
      <c r="C249" s="41" t="s">
        <v>1436</v>
      </c>
      <c r="D249" s="15">
        <v>328</v>
      </c>
      <c r="E249" s="16">
        <v>8.44</v>
      </c>
      <c r="F249" s="17">
        <v>6.9999999999999999E-4</v>
      </c>
      <c r="G249" s="17"/>
    </row>
    <row r="250" spans="1:7" x14ac:dyDescent="0.35">
      <c r="A250" s="13" t="s">
        <v>2322</v>
      </c>
      <c r="B250" s="41" t="s">
        <v>2323</v>
      </c>
      <c r="C250" s="41" t="s">
        <v>1178</v>
      </c>
      <c r="D250" s="15">
        <v>23299</v>
      </c>
      <c r="E250" s="16">
        <v>8.3000000000000007</v>
      </c>
      <c r="F250" s="17">
        <v>6.9999999999999999E-4</v>
      </c>
      <c r="G250" s="17"/>
    </row>
    <row r="251" spans="1:7" x14ac:dyDescent="0.35">
      <c r="A251" s="13" t="s">
        <v>1830</v>
      </c>
      <c r="B251" s="41" t="s">
        <v>1831</v>
      </c>
      <c r="C251" s="41" t="s">
        <v>1305</v>
      </c>
      <c r="D251" s="15">
        <v>11413</v>
      </c>
      <c r="E251" s="16">
        <v>8.27</v>
      </c>
      <c r="F251" s="17">
        <v>6.9999999999999999E-4</v>
      </c>
      <c r="G251" s="17"/>
    </row>
    <row r="252" spans="1:7" x14ac:dyDescent="0.35">
      <c r="A252" s="13" t="s">
        <v>2324</v>
      </c>
      <c r="B252" s="41" t="s">
        <v>2325</v>
      </c>
      <c r="C252" s="41" t="s">
        <v>1350</v>
      </c>
      <c r="D252" s="15">
        <v>994</v>
      </c>
      <c r="E252" s="16">
        <v>8.1199999999999992</v>
      </c>
      <c r="F252" s="17">
        <v>6.9999999999999999E-4</v>
      </c>
      <c r="G252" s="17"/>
    </row>
    <row r="253" spans="1:7" x14ac:dyDescent="0.35">
      <c r="A253" s="13" t="s">
        <v>1457</v>
      </c>
      <c r="B253" s="41" t="s">
        <v>1458</v>
      </c>
      <c r="C253" s="41" t="s">
        <v>1185</v>
      </c>
      <c r="D253" s="15">
        <v>959</v>
      </c>
      <c r="E253" s="16">
        <v>7.91</v>
      </c>
      <c r="F253" s="17">
        <v>6.9999999999999999E-4</v>
      </c>
      <c r="G253" s="17"/>
    </row>
    <row r="254" spans="1:7" x14ac:dyDescent="0.35">
      <c r="A254" s="13" t="s">
        <v>2326</v>
      </c>
      <c r="B254" s="41" t="s">
        <v>2327</v>
      </c>
      <c r="C254" s="41" t="s">
        <v>2300</v>
      </c>
      <c r="D254" s="15">
        <v>688</v>
      </c>
      <c r="E254" s="16">
        <v>6.7</v>
      </c>
      <c r="F254" s="17">
        <v>5.9999999999999995E-4</v>
      </c>
      <c r="G254" s="17"/>
    </row>
    <row r="255" spans="1:7" x14ac:dyDescent="0.35">
      <c r="A255" s="13" t="s">
        <v>1912</v>
      </c>
      <c r="B255" s="41" t="s">
        <v>1913</v>
      </c>
      <c r="C255" s="41" t="s">
        <v>1185</v>
      </c>
      <c r="D255" s="15">
        <v>3842</v>
      </c>
      <c r="E255" s="16">
        <v>5.72</v>
      </c>
      <c r="F255" s="17">
        <v>5.0000000000000001E-4</v>
      </c>
      <c r="G255" s="17"/>
    </row>
    <row r="256" spans="1:7" x14ac:dyDescent="0.35">
      <c r="A256" s="13" t="s">
        <v>2328</v>
      </c>
      <c r="B256" s="41" t="s">
        <v>2329</v>
      </c>
      <c r="C256" s="41" t="s">
        <v>1178</v>
      </c>
      <c r="D256" s="15">
        <v>18153</v>
      </c>
      <c r="E256" s="16">
        <v>5.3</v>
      </c>
      <c r="F256" s="17">
        <v>4.0000000000000002E-4</v>
      </c>
      <c r="G256" s="17"/>
    </row>
    <row r="257" spans="1:7" x14ac:dyDescent="0.35">
      <c r="A257" s="13" t="s">
        <v>2330</v>
      </c>
      <c r="B257" s="41" t="s">
        <v>2331</v>
      </c>
      <c r="C257" s="41" t="s">
        <v>1211</v>
      </c>
      <c r="D257" s="15">
        <v>4044</v>
      </c>
      <c r="E257" s="16">
        <v>3.67</v>
      </c>
      <c r="F257" s="17">
        <v>2.9999999999999997E-4</v>
      </c>
      <c r="G257" s="17"/>
    </row>
    <row r="258" spans="1:7" x14ac:dyDescent="0.35">
      <c r="A258" s="13" t="s">
        <v>1843</v>
      </c>
      <c r="B258" s="41" t="s">
        <v>1844</v>
      </c>
      <c r="C258" s="41" t="s">
        <v>1191</v>
      </c>
      <c r="D258" s="15">
        <v>2823</v>
      </c>
      <c r="E258" s="16">
        <v>1.02</v>
      </c>
      <c r="F258" s="17">
        <v>1E-4</v>
      </c>
      <c r="G258" s="17"/>
    </row>
    <row r="259" spans="1:7" x14ac:dyDescent="0.35">
      <c r="A259" s="14" t="s">
        <v>149</v>
      </c>
      <c r="B259" s="42"/>
      <c r="C259" s="42"/>
      <c r="D259" s="18"/>
      <c r="E259" s="19">
        <f>SUM(E8:E258)</f>
        <v>11898.690000000002</v>
      </c>
      <c r="F259" s="20">
        <f>SUM(F8:F258)</f>
        <v>0.99889999999999923</v>
      </c>
      <c r="G259" s="21"/>
    </row>
    <row r="260" spans="1:7" x14ac:dyDescent="0.35">
      <c r="A260" s="22" t="s">
        <v>160</v>
      </c>
      <c r="B260" s="43"/>
      <c r="C260" s="43"/>
      <c r="D260" s="23"/>
      <c r="E260" s="24">
        <v>11898.69</v>
      </c>
      <c r="F260" s="25">
        <v>0.99889999999999923</v>
      </c>
      <c r="G260" s="21"/>
    </row>
    <row r="261" spans="1:7" x14ac:dyDescent="0.35">
      <c r="A261" s="13"/>
      <c r="B261" s="41"/>
      <c r="C261" s="41"/>
      <c r="D261" s="15"/>
      <c r="E261" s="16"/>
      <c r="F261" s="17"/>
      <c r="G261" s="17"/>
    </row>
    <row r="262" spans="1:7" x14ac:dyDescent="0.35">
      <c r="A262" s="13"/>
      <c r="B262" s="41"/>
      <c r="C262" s="41"/>
      <c r="D262" s="15"/>
      <c r="E262" s="16"/>
      <c r="F262" s="17"/>
      <c r="G262" s="17"/>
    </row>
    <row r="263" spans="1:7" x14ac:dyDescent="0.35">
      <c r="A263" s="14" t="s">
        <v>255</v>
      </c>
      <c r="B263" s="41"/>
      <c r="C263" s="41"/>
      <c r="D263" s="15"/>
      <c r="E263" s="16"/>
      <c r="F263" s="17"/>
      <c r="G263" s="17"/>
    </row>
    <row r="264" spans="1:7" x14ac:dyDescent="0.35">
      <c r="A264" s="13" t="s">
        <v>257</v>
      </c>
      <c r="B264" s="41"/>
      <c r="C264" s="41"/>
      <c r="D264" s="15"/>
      <c r="E264" s="16">
        <v>10</v>
      </c>
      <c r="F264" s="17">
        <v>8.0000000000000004E-4</v>
      </c>
      <c r="G264" s="17">
        <v>5.1742000000000003E-2</v>
      </c>
    </row>
    <row r="265" spans="1:7" x14ac:dyDescent="0.35">
      <c r="A265" s="14" t="s">
        <v>149</v>
      </c>
      <c r="B265" s="42"/>
      <c r="C265" s="42"/>
      <c r="D265" s="18"/>
      <c r="E265" s="19">
        <v>10</v>
      </c>
      <c r="F265" s="20">
        <v>8.0000000000000004E-4</v>
      </c>
      <c r="G265" s="21"/>
    </row>
    <row r="266" spans="1:7" x14ac:dyDescent="0.35">
      <c r="A266" s="13"/>
      <c r="B266" s="41"/>
      <c r="C266" s="41"/>
      <c r="D266" s="15"/>
      <c r="E266" s="16"/>
      <c r="F266" s="17"/>
      <c r="G266" s="17"/>
    </row>
    <row r="267" spans="1:7" x14ac:dyDescent="0.35">
      <c r="A267" s="22" t="s">
        <v>160</v>
      </c>
      <c r="B267" s="43"/>
      <c r="C267" s="43"/>
      <c r="D267" s="23"/>
      <c r="E267" s="36">
        <v>10</v>
      </c>
      <c r="F267" s="37">
        <v>8.0000000000000004E-4</v>
      </c>
      <c r="G267" s="21"/>
    </row>
    <row r="268" spans="1:7" x14ac:dyDescent="0.35">
      <c r="A268" s="13" t="s">
        <v>258</v>
      </c>
      <c r="B268" s="41"/>
      <c r="C268" s="41"/>
      <c r="D268" s="15"/>
      <c r="E268" s="16">
        <v>2.8340000000000001E-3</v>
      </c>
      <c r="F268" s="17">
        <v>0</v>
      </c>
      <c r="G268" s="17"/>
    </row>
    <row r="269" spans="1:7" x14ac:dyDescent="0.35">
      <c r="A269" s="13" t="s">
        <v>259</v>
      </c>
      <c r="B269" s="41"/>
      <c r="C269" s="41"/>
      <c r="D269" s="15"/>
      <c r="E269" s="16">
        <v>0.77716600000000002</v>
      </c>
      <c r="F269" s="17">
        <v>2.9999999999999997E-4</v>
      </c>
      <c r="G269" s="17">
        <v>5.1742000000000003E-2</v>
      </c>
    </row>
    <row r="270" spans="1:7" x14ac:dyDescent="0.35">
      <c r="A270" s="38" t="s">
        <v>260</v>
      </c>
      <c r="B270" s="44"/>
      <c r="C270" s="44"/>
      <c r="D270" s="39"/>
      <c r="E270" s="24">
        <v>11909.47</v>
      </c>
      <c r="F270" s="25">
        <v>1</v>
      </c>
      <c r="G270" s="25"/>
    </row>
    <row r="275" spans="1:3" x14ac:dyDescent="0.35">
      <c r="A275" s="1" t="s">
        <v>263</v>
      </c>
    </row>
    <row r="276" spans="1:3" x14ac:dyDescent="0.35">
      <c r="A276" s="47" t="s">
        <v>264</v>
      </c>
      <c r="B276" s="3" t="s">
        <v>146</v>
      </c>
    </row>
    <row r="277" spans="1:3" x14ac:dyDescent="0.35">
      <c r="A277" t="s">
        <v>265</v>
      </c>
    </row>
    <row r="278" spans="1:3" x14ac:dyDescent="0.35">
      <c r="A278" t="s">
        <v>2332</v>
      </c>
      <c r="B278" t="s">
        <v>267</v>
      </c>
      <c r="C278" t="s">
        <v>267</v>
      </c>
    </row>
    <row r="279" spans="1:3" x14ac:dyDescent="0.35">
      <c r="B279" s="49">
        <v>46022</v>
      </c>
      <c r="C279" s="49">
        <v>46052</v>
      </c>
    </row>
    <row r="280" spans="1:3" x14ac:dyDescent="0.35">
      <c r="A280" t="s">
        <v>753</v>
      </c>
      <c r="B280">
        <v>16.802299999999999</v>
      </c>
      <c r="C280">
        <v>16.250800000000002</v>
      </c>
    </row>
    <row r="282" spans="1:3" x14ac:dyDescent="0.35">
      <c r="A282" t="s">
        <v>283</v>
      </c>
      <c r="B282" s="3" t="s">
        <v>146</v>
      </c>
    </row>
    <row r="283" spans="1:3" x14ac:dyDescent="0.35">
      <c r="A283" t="s">
        <v>284</v>
      </c>
      <c r="B283" s="3" t="s">
        <v>146</v>
      </c>
    </row>
    <row r="284" spans="1:3" ht="29" customHeight="1" x14ac:dyDescent="0.35">
      <c r="A284" s="47" t="s">
        <v>285</v>
      </c>
      <c r="B284" s="3" t="s">
        <v>146</v>
      </c>
    </row>
    <row r="285" spans="1:3" ht="29" customHeight="1" x14ac:dyDescent="0.35">
      <c r="A285" s="47" t="s">
        <v>286</v>
      </c>
      <c r="B285" s="3" t="s">
        <v>146</v>
      </c>
    </row>
    <row r="286" spans="1:3" x14ac:dyDescent="0.35">
      <c r="A286" t="s">
        <v>1253</v>
      </c>
      <c r="B286" s="48">
        <v>6.0400000000000002E-2</v>
      </c>
    </row>
    <row r="287" spans="1:3" ht="43.5" customHeight="1" x14ac:dyDescent="0.35">
      <c r="A287" s="47" t="s">
        <v>288</v>
      </c>
      <c r="B287" s="3" t="s">
        <v>146</v>
      </c>
    </row>
    <row r="288" spans="1:3" x14ac:dyDescent="0.35">
      <c r="B288" s="3"/>
    </row>
    <row r="289" spans="1:4" ht="29" customHeight="1" x14ac:dyDescent="0.35">
      <c r="A289" s="47" t="s">
        <v>289</v>
      </c>
      <c r="B289" s="3" t="s">
        <v>146</v>
      </c>
    </row>
    <row r="290" spans="1:4" ht="29" customHeight="1" x14ac:dyDescent="0.35">
      <c r="A290" s="47" t="s">
        <v>290</v>
      </c>
      <c r="B290">
        <v>11662.24</v>
      </c>
    </row>
    <row r="291" spans="1:4" ht="29" customHeight="1" x14ac:dyDescent="0.35">
      <c r="A291" s="47" t="s">
        <v>291</v>
      </c>
      <c r="B291" s="3" t="s">
        <v>146</v>
      </c>
    </row>
    <row r="292" spans="1:4" ht="29" customHeight="1" x14ac:dyDescent="0.35">
      <c r="A292" s="47" t="s">
        <v>292</v>
      </c>
      <c r="B292" s="3" t="s">
        <v>146</v>
      </c>
    </row>
    <row r="294" spans="1:4" ht="70" customHeight="1" x14ac:dyDescent="0.35">
      <c r="A294" s="70" t="s">
        <v>303</v>
      </c>
      <c r="B294" s="70" t="s">
        <v>304</v>
      </c>
      <c r="C294" s="70" t="s">
        <v>4</v>
      </c>
      <c r="D294" s="70" t="s">
        <v>5</v>
      </c>
    </row>
    <row r="295" spans="1:4" ht="70" customHeight="1" x14ac:dyDescent="0.35">
      <c r="A295" s="70" t="s">
        <v>2333</v>
      </c>
      <c r="B295" s="70"/>
      <c r="C295" s="70" t="s">
        <v>82</v>
      </c>
      <c r="D295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G306"/>
  <sheetViews>
    <sheetView showGridLines="0" workbookViewId="0">
      <pane ySplit="4" topLeftCell="A24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2334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2335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177428</v>
      </c>
      <c r="E8" s="16">
        <v>1648.75</v>
      </c>
      <c r="F8" s="17">
        <v>5.16E-2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82847</v>
      </c>
      <c r="E9" s="16">
        <v>1122.58</v>
      </c>
      <c r="F9" s="17">
        <v>3.5099999999999999E-2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78317</v>
      </c>
      <c r="E10" s="16">
        <v>1092.8399999999999</v>
      </c>
      <c r="F10" s="17">
        <v>3.4200000000000001E-2</v>
      </c>
      <c r="G10" s="17"/>
    </row>
    <row r="11" spans="1:7" x14ac:dyDescent="0.35">
      <c r="A11" s="13" t="s">
        <v>1367</v>
      </c>
      <c r="B11" s="41" t="s">
        <v>1368</v>
      </c>
      <c r="C11" s="41" t="s">
        <v>1369</v>
      </c>
      <c r="D11" s="15">
        <v>40629</v>
      </c>
      <c r="E11" s="16">
        <v>666.72</v>
      </c>
      <c r="F11" s="17">
        <v>2.0899999999999998E-2</v>
      </c>
      <c r="G11" s="17"/>
    </row>
    <row r="12" spans="1:7" x14ac:dyDescent="0.35">
      <c r="A12" s="13" t="s">
        <v>1196</v>
      </c>
      <c r="B12" s="41" t="s">
        <v>1197</v>
      </c>
      <c r="C12" s="41" t="s">
        <v>1198</v>
      </c>
      <c r="D12" s="15">
        <v>32321</v>
      </c>
      <c r="E12" s="16">
        <v>636.29999999999995</v>
      </c>
      <c r="F12" s="17">
        <v>1.9900000000000001E-2</v>
      </c>
      <c r="G12" s="17"/>
    </row>
    <row r="13" spans="1:7" x14ac:dyDescent="0.35">
      <c r="A13" s="13" t="s">
        <v>1385</v>
      </c>
      <c r="B13" s="41" t="s">
        <v>1386</v>
      </c>
      <c r="C13" s="41" t="s">
        <v>1387</v>
      </c>
      <c r="D13" s="15">
        <v>13622</v>
      </c>
      <c r="E13" s="16">
        <v>535.66</v>
      </c>
      <c r="F13" s="17">
        <v>1.6799999999999999E-2</v>
      </c>
      <c r="G13" s="17"/>
    </row>
    <row r="14" spans="1:7" x14ac:dyDescent="0.35">
      <c r="A14" s="13" t="s">
        <v>1176</v>
      </c>
      <c r="B14" s="41" t="s">
        <v>1177</v>
      </c>
      <c r="C14" s="41" t="s">
        <v>1178</v>
      </c>
      <c r="D14" s="15">
        <v>48124</v>
      </c>
      <c r="E14" s="16">
        <v>518.37</v>
      </c>
      <c r="F14" s="17">
        <v>1.6199999999999999E-2</v>
      </c>
      <c r="G14" s="17"/>
    </row>
    <row r="15" spans="1:7" x14ac:dyDescent="0.35">
      <c r="A15" s="13" t="s">
        <v>1376</v>
      </c>
      <c r="B15" s="41" t="s">
        <v>1377</v>
      </c>
      <c r="C15" s="41" t="s">
        <v>1280</v>
      </c>
      <c r="D15" s="15">
        <v>17516</v>
      </c>
      <c r="E15" s="16">
        <v>489.92</v>
      </c>
      <c r="F15" s="17">
        <v>1.5299999999999999E-2</v>
      </c>
      <c r="G15" s="17"/>
    </row>
    <row r="16" spans="1:7" x14ac:dyDescent="0.35">
      <c r="A16" s="13" t="s">
        <v>1262</v>
      </c>
      <c r="B16" s="41" t="s">
        <v>1263</v>
      </c>
      <c r="C16" s="41" t="s">
        <v>1178</v>
      </c>
      <c r="D16" s="15">
        <v>33241</v>
      </c>
      <c r="E16" s="16">
        <v>455.53</v>
      </c>
      <c r="F16" s="17">
        <v>1.43E-2</v>
      </c>
      <c r="G16" s="17"/>
    </row>
    <row r="17" spans="1:7" x14ac:dyDescent="0.35">
      <c r="A17" s="13" t="s">
        <v>1478</v>
      </c>
      <c r="B17" s="41" t="s">
        <v>1479</v>
      </c>
      <c r="C17" s="41" t="s">
        <v>1369</v>
      </c>
      <c r="D17" s="15">
        <v>11845</v>
      </c>
      <c r="E17" s="16">
        <v>370.03</v>
      </c>
      <c r="F17" s="17">
        <v>1.1599999999999999E-2</v>
      </c>
      <c r="G17" s="17"/>
    </row>
    <row r="18" spans="1:7" x14ac:dyDescent="0.35">
      <c r="A18" s="13" t="s">
        <v>1273</v>
      </c>
      <c r="B18" s="41" t="s">
        <v>1274</v>
      </c>
      <c r="C18" s="41" t="s">
        <v>1275</v>
      </c>
      <c r="D18" s="15">
        <v>111782</v>
      </c>
      <c r="E18" s="16">
        <v>360.11</v>
      </c>
      <c r="F18" s="17">
        <v>1.1299999999999999E-2</v>
      </c>
      <c r="G18" s="17"/>
    </row>
    <row r="19" spans="1:7" x14ac:dyDescent="0.35">
      <c r="A19" s="13" t="s">
        <v>1295</v>
      </c>
      <c r="B19" s="41" t="s">
        <v>1296</v>
      </c>
      <c r="C19" s="41" t="s">
        <v>1188</v>
      </c>
      <c r="D19" s="15">
        <v>10355</v>
      </c>
      <c r="E19" s="16">
        <v>355.36</v>
      </c>
      <c r="F19" s="17">
        <v>1.11E-2</v>
      </c>
      <c r="G19" s="17"/>
    </row>
    <row r="20" spans="1:7" x14ac:dyDescent="0.35">
      <c r="A20" s="13" t="s">
        <v>1235</v>
      </c>
      <c r="B20" s="41" t="s">
        <v>1236</v>
      </c>
      <c r="C20" s="41" t="s">
        <v>1178</v>
      </c>
      <c r="D20" s="15">
        <v>85295</v>
      </c>
      <c r="E20" s="16">
        <v>348</v>
      </c>
      <c r="F20" s="17">
        <v>1.09E-2</v>
      </c>
      <c r="G20" s="17"/>
    </row>
    <row r="21" spans="1:7" x14ac:dyDescent="0.35">
      <c r="A21" s="13" t="s">
        <v>1512</v>
      </c>
      <c r="B21" s="41" t="s">
        <v>1513</v>
      </c>
      <c r="C21" s="41" t="s">
        <v>1188</v>
      </c>
      <c r="D21" s="15">
        <v>5564</v>
      </c>
      <c r="E21" s="16">
        <v>307.91000000000003</v>
      </c>
      <c r="F21" s="17">
        <v>9.5999999999999992E-3</v>
      </c>
      <c r="G21" s="17"/>
    </row>
    <row r="22" spans="1:7" x14ac:dyDescent="0.35">
      <c r="A22" s="13" t="s">
        <v>1202</v>
      </c>
      <c r="B22" s="41" t="s">
        <v>1203</v>
      </c>
      <c r="C22" s="41" t="s">
        <v>1178</v>
      </c>
      <c r="D22" s="15">
        <v>105459</v>
      </c>
      <c r="E22" s="16">
        <v>303.45999999999998</v>
      </c>
      <c r="F22" s="17">
        <v>9.4999999999999998E-3</v>
      </c>
      <c r="G22" s="17"/>
    </row>
    <row r="23" spans="1:7" x14ac:dyDescent="0.35">
      <c r="A23" s="13" t="s">
        <v>1209</v>
      </c>
      <c r="B23" s="41" t="s">
        <v>1210</v>
      </c>
      <c r="C23" s="41" t="s">
        <v>1211</v>
      </c>
      <c r="D23" s="15">
        <v>30797</v>
      </c>
      <c r="E23" s="16">
        <v>286.37</v>
      </c>
      <c r="F23" s="17">
        <v>8.9999999999999993E-3</v>
      </c>
      <c r="G23" s="17"/>
    </row>
    <row r="24" spans="1:7" x14ac:dyDescent="0.35">
      <c r="A24" s="13" t="s">
        <v>1547</v>
      </c>
      <c r="B24" s="41" t="s">
        <v>1548</v>
      </c>
      <c r="C24" s="41" t="s">
        <v>1369</v>
      </c>
      <c r="D24" s="15">
        <v>4665</v>
      </c>
      <c r="E24" s="16">
        <v>281.52999999999997</v>
      </c>
      <c r="F24" s="17">
        <v>8.8000000000000005E-3</v>
      </c>
      <c r="G24" s="17"/>
    </row>
    <row r="25" spans="1:7" x14ac:dyDescent="0.35">
      <c r="A25" s="13" t="s">
        <v>1399</v>
      </c>
      <c r="B25" s="41" t="s">
        <v>1400</v>
      </c>
      <c r="C25" s="41" t="s">
        <v>1178</v>
      </c>
      <c r="D25" s="15">
        <v>28230</v>
      </c>
      <c r="E25" s="16">
        <v>252.97</v>
      </c>
      <c r="F25" s="17">
        <v>7.9000000000000008E-3</v>
      </c>
      <c r="G25" s="17"/>
    </row>
    <row r="26" spans="1:7" x14ac:dyDescent="0.35">
      <c r="A26" s="13" t="s">
        <v>1439</v>
      </c>
      <c r="B26" s="41" t="s">
        <v>1440</v>
      </c>
      <c r="C26" s="41" t="s">
        <v>1333</v>
      </c>
      <c r="D26" s="15">
        <v>520163</v>
      </c>
      <c r="E26" s="16">
        <v>247.96</v>
      </c>
      <c r="F26" s="17">
        <v>7.7999999999999996E-3</v>
      </c>
      <c r="G26" s="17"/>
    </row>
    <row r="27" spans="1:7" x14ac:dyDescent="0.35">
      <c r="A27" s="13" t="s">
        <v>1297</v>
      </c>
      <c r="B27" s="41" t="s">
        <v>1298</v>
      </c>
      <c r="C27" s="41" t="s">
        <v>1198</v>
      </c>
      <c r="D27" s="15">
        <v>55480</v>
      </c>
      <c r="E27" s="16">
        <v>246.5</v>
      </c>
      <c r="F27" s="17">
        <v>7.7000000000000002E-3</v>
      </c>
      <c r="G27" s="17"/>
    </row>
    <row r="28" spans="1:7" x14ac:dyDescent="0.35">
      <c r="A28" s="13" t="s">
        <v>1488</v>
      </c>
      <c r="B28" s="41" t="s">
        <v>1489</v>
      </c>
      <c r="C28" s="41" t="s">
        <v>1275</v>
      </c>
      <c r="D28" s="15">
        <v>10294</v>
      </c>
      <c r="E28" s="16">
        <v>244.28</v>
      </c>
      <c r="F28" s="17">
        <v>7.6E-3</v>
      </c>
      <c r="G28" s="17"/>
    </row>
    <row r="29" spans="1:7" x14ac:dyDescent="0.35">
      <c r="A29" s="13" t="s">
        <v>1463</v>
      </c>
      <c r="B29" s="41" t="s">
        <v>1464</v>
      </c>
      <c r="C29" s="41" t="s">
        <v>1465</v>
      </c>
      <c r="D29" s="15">
        <v>14617</v>
      </c>
      <c r="E29" s="16">
        <v>241.84</v>
      </c>
      <c r="F29" s="17">
        <v>7.6E-3</v>
      </c>
      <c r="G29" s="17"/>
    </row>
    <row r="30" spans="1:7" x14ac:dyDescent="0.35">
      <c r="A30" s="13" t="s">
        <v>1847</v>
      </c>
      <c r="B30" s="41" t="s">
        <v>1848</v>
      </c>
      <c r="C30" s="41" t="s">
        <v>1849</v>
      </c>
      <c r="D30" s="15">
        <v>122656</v>
      </c>
      <c r="E30" s="16">
        <v>241.25</v>
      </c>
      <c r="F30" s="17">
        <v>7.4999999999999997E-3</v>
      </c>
      <c r="G30" s="17"/>
    </row>
    <row r="31" spans="1:7" x14ac:dyDescent="0.35">
      <c r="A31" s="13" t="s">
        <v>2013</v>
      </c>
      <c r="B31" s="41" t="s">
        <v>2014</v>
      </c>
      <c r="C31" s="41" t="s">
        <v>1288</v>
      </c>
      <c r="D31" s="15">
        <v>5793</v>
      </c>
      <c r="E31" s="16">
        <v>238.24</v>
      </c>
      <c r="F31" s="17">
        <v>7.4999999999999997E-3</v>
      </c>
      <c r="G31" s="17"/>
    </row>
    <row r="32" spans="1:7" x14ac:dyDescent="0.35">
      <c r="A32" s="13" t="s">
        <v>1426</v>
      </c>
      <c r="B32" s="41" t="s">
        <v>1427</v>
      </c>
      <c r="C32" s="41" t="s">
        <v>1178</v>
      </c>
      <c r="D32" s="15">
        <v>24193</v>
      </c>
      <c r="E32" s="16">
        <v>237.66</v>
      </c>
      <c r="F32" s="17">
        <v>7.4000000000000003E-3</v>
      </c>
      <c r="G32" s="17"/>
    </row>
    <row r="33" spans="1:7" x14ac:dyDescent="0.35">
      <c r="A33" s="13" t="s">
        <v>1531</v>
      </c>
      <c r="B33" s="41" t="s">
        <v>1532</v>
      </c>
      <c r="C33" s="41" t="s">
        <v>1369</v>
      </c>
      <c r="D33" s="15">
        <v>14351</v>
      </c>
      <c r="E33" s="16">
        <v>237.34</v>
      </c>
      <c r="F33" s="17">
        <v>7.4000000000000003E-3</v>
      </c>
      <c r="G33" s="17"/>
    </row>
    <row r="34" spans="1:7" x14ac:dyDescent="0.35">
      <c r="A34" s="13" t="s">
        <v>1443</v>
      </c>
      <c r="B34" s="41" t="s">
        <v>1444</v>
      </c>
      <c r="C34" s="41" t="s">
        <v>1178</v>
      </c>
      <c r="D34" s="15">
        <v>283720</v>
      </c>
      <c r="E34" s="16">
        <v>237.13</v>
      </c>
      <c r="F34" s="17">
        <v>7.4000000000000003E-3</v>
      </c>
      <c r="G34" s="17"/>
    </row>
    <row r="35" spans="1:7" x14ac:dyDescent="0.35">
      <c r="A35" s="13" t="s">
        <v>1264</v>
      </c>
      <c r="B35" s="41" t="s">
        <v>1265</v>
      </c>
      <c r="C35" s="41" t="s">
        <v>1266</v>
      </c>
      <c r="D35" s="15">
        <v>83339</v>
      </c>
      <c r="E35" s="16">
        <v>228.02</v>
      </c>
      <c r="F35" s="17">
        <v>7.1000000000000004E-3</v>
      </c>
      <c r="G35" s="17"/>
    </row>
    <row r="36" spans="1:7" x14ac:dyDescent="0.35">
      <c r="A36" s="13" t="s">
        <v>1506</v>
      </c>
      <c r="B36" s="41" t="s">
        <v>1507</v>
      </c>
      <c r="C36" s="41" t="s">
        <v>1234</v>
      </c>
      <c r="D36" s="15">
        <v>10392</v>
      </c>
      <c r="E36" s="16">
        <v>223.72</v>
      </c>
      <c r="F36" s="17">
        <v>7.0000000000000001E-3</v>
      </c>
      <c r="G36" s="17"/>
    </row>
    <row r="37" spans="1:7" x14ac:dyDescent="0.35">
      <c r="A37" s="13" t="s">
        <v>1186</v>
      </c>
      <c r="B37" s="41" t="s">
        <v>1187</v>
      </c>
      <c r="C37" s="41" t="s">
        <v>1188</v>
      </c>
      <c r="D37" s="15">
        <v>1522</v>
      </c>
      <c r="E37" s="16">
        <v>222.2</v>
      </c>
      <c r="F37" s="17">
        <v>7.0000000000000001E-3</v>
      </c>
      <c r="G37" s="17"/>
    </row>
    <row r="38" spans="1:7" x14ac:dyDescent="0.35">
      <c r="A38" s="13" t="s">
        <v>1441</v>
      </c>
      <c r="B38" s="41" t="s">
        <v>1442</v>
      </c>
      <c r="C38" s="41" t="s">
        <v>1280</v>
      </c>
      <c r="D38" s="15">
        <v>8724</v>
      </c>
      <c r="E38" s="16">
        <v>219.47</v>
      </c>
      <c r="F38" s="17">
        <v>6.8999999999999999E-3</v>
      </c>
      <c r="G38" s="17"/>
    </row>
    <row r="39" spans="1:7" x14ac:dyDescent="0.35">
      <c r="A39" s="13" t="s">
        <v>1502</v>
      </c>
      <c r="B39" s="41" t="s">
        <v>1503</v>
      </c>
      <c r="C39" s="41" t="s">
        <v>1369</v>
      </c>
      <c r="D39" s="15">
        <v>12238</v>
      </c>
      <c r="E39" s="16">
        <v>207.51</v>
      </c>
      <c r="F39" s="17">
        <v>6.4999999999999997E-3</v>
      </c>
      <c r="G39" s="17"/>
    </row>
    <row r="40" spans="1:7" x14ac:dyDescent="0.35">
      <c r="A40" s="13" t="s">
        <v>1486</v>
      </c>
      <c r="B40" s="41" t="s">
        <v>1487</v>
      </c>
      <c r="C40" s="41" t="s">
        <v>1465</v>
      </c>
      <c r="D40" s="15">
        <v>17403</v>
      </c>
      <c r="E40" s="16">
        <v>197.96</v>
      </c>
      <c r="F40" s="17">
        <v>6.1999999999999998E-3</v>
      </c>
      <c r="G40" s="17"/>
    </row>
    <row r="41" spans="1:7" x14ac:dyDescent="0.35">
      <c r="A41" s="13" t="s">
        <v>1237</v>
      </c>
      <c r="B41" s="41" t="s">
        <v>1238</v>
      </c>
      <c r="C41" s="41" t="s">
        <v>1234</v>
      </c>
      <c r="D41" s="15">
        <v>12282</v>
      </c>
      <c r="E41" s="16">
        <v>195.93</v>
      </c>
      <c r="F41" s="17">
        <v>6.1000000000000004E-3</v>
      </c>
      <c r="G41" s="17"/>
    </row>
    <row r="42" spans="1:7" x14ac:dyDescent="0.35">
      <c r="A42" s="13" t="s">
        <v>1351</v>
      </c>
      <c r="B42" s="41" t="s">
        <v>1352</v>
      </c>
      <c r="C42" s="41" t="s">
        <v>1305</v>
      </c>
      <c r="D42" s="15">
        <v>54989</v>
      </c>
      <c r="E42" s="16">
        <v>195.76</v>
      </c>
      <c r="F42" s="17">
        <v>6.1000000000000004E-3</v>
      </c>
      <c r="G42" s="17"/>
    </row>
    <row r="43" spans="1:7" x14ac:dyDescent="0.35">
      <c r="A43" s="13" t="s">
        <v>1199</v>
      </c>
      <c r="B43" s="41" t="s">
        <v>1200</v>
      </c>
      <c r="C43" s="41" t="s">
        <v>1201</v>
      </c>
      <c r="D43" s="15">
        <v>4788</v>
      </c>
      <c r="E43" s="16">
        <v>190.44</v>
      </c>
      <c r="F43" s="17">
        <v>6.0000000000000001E-3</v>
      </c>
      <c r="G43" s="17"/>
    </row>
    <row r="44" spans="1:7" x14ac:dyDescent="0.35">
      <c r="A44" s="13" t="s">
        <v>1361</v>
      </c>
      <c r="B44" s="41" t="s">
        <v>1362</v>
      </c>
      <c r="C44" s="41" t="s">
        <v>1229</v>
      </c>
      <c r="D44" s="15">
        <v>22339</v>
      </c>
      <c r="E44" s="16">
        <v>190.22</v>
      </c>
      <c r="F44" s="17">
        <v>6.0000000000000001E-3</v>
      </c>
      <c r="G44" s="17"/>
    </row>
    <row r="45" spans="1:7" x14ac:dyDescent="0.35">
      <c r="A45" s="13" t="s">
        <v>1289</v>
      </c>
      <c r="B45" s="41" t="s">
        <v>1290</v>
      </c>
      <c r="C45" s="41" t="s">
        <v>1285</v>
      </c>
      <c r="D45" s="15">
        <v>41545</v>
      </c>
      <c r="E45" s="16">
        <v>186.54</v>
      </c>
      <c r="F45" s="17">
        <v>5.7999999999999996E-3</v>
      </c>
      <c r="G45" s="17"/>
    </row>
    <row r="46" spans="1:7" x14ac:dyDescent="0.35">
      <c r="A46" s="13" t="s">
        <v>1310</v>
      </c>
      <c r="B46" s="41" t="s">
        <v>1311</v>
      </c>
      <c r="C46" s="41" t="s">
        <v>1261</v>
      </c>
      <c r="D46" s="15">
        <v>95871</v>
      </c>
      <c r="E46" s="16">
        <v>185.16</v>
      </c>
      <c r="F46" s="17">
        <v>5.7999999999999996E-3</v>
      </c>
      <c r="G46" s="17"/>
    </row>
    <row r="47" spans="1:7" x14ac:dyDescent="0.35">
      <c r="A47" s="13" t="s">
        <v>1484</v>
      </c>
      <c r="B47" s="41" t="s">
        <v>1485</v>
      </c>
      <c r="C47" s="41" t="s">
        <v>1201</v>
      </c>
      <c r="D47" s="15">
        <v>1763</v>
      </c>
      <c r="E47" s="16">
        <v>184.16</v>
      </c>
      <c r="F47" s="17">
        <v>5.7999999999999996E-3</v>
      </c>
      <c r="G47" s="17"/>
    </row>
    <row r="48" spans="1:7" x14ac:dyDescent="0.35">
      <c r="A48" s="13" t="s">
        <v>1225</v>
      </c>
      <c r="B48" s="41" t="s">
        <v>1226</v>
      </c>
      <c r="C48" s="41" t="s">
        <v>1185</v>
      </c>
      <c r="D48" s="15">
        <v>11301</v>
      </c>
      <c r="E48" s="16">
        <v>182.35</v>
      </c>
      <c r="F48" s="17">
        <v>5.7000000000000002E-3</v>
      </c>
      <c r="G48" s="17"/>
    </row>
    <row r="49" spans="1:7" x14ac:dyDescent="0.35">
      <c r="A49" s="13" t="s">
        <v>1952</v>
      </c>
      <c r="B49" s="41" t="s">
        <v>1953</v>
      </c>
      <c r="C49" s="41" t="s">
        <v>1266</v>
      </c>
      <c r="D49" s="15">
        <v>57295</v>
      </c>
      <c r="E49" s="16">
        <v>177.47</v>
      </c>
      <c r="F49" s="17">
        <v>5.5999999999999999E-3</v>
      </c>
      <c r="G49" s="17"/>
    </row>
    <row r="50" spans="1:7" x14ac:dyDescent="0.35">
      <c r="A50" s="13" t="s">
        <v>1553</v>
      </c>
      <c r="B50" s="41" t="s">
        <v>1554</v>
      </c>
      <c r="C50" s="41" t="s">
        <v>1211</v>
      </c>
      <c r="D50" s="15">
        <v>4597</v>
      </c>
      <c r="E50" s="16">
        <v>176.05</v>
      </c>
      <c r="F50" s="17">
        <v>5.4999999999999997E-3</v>
      </c>
      <c r="G50" s="17"/>
    </row>
    <row r="51" spans="1:7" x14ac:dyDescent="0.35">
      <c r="A51" s="13" t="s">
        <v>1291</v>
      </c>
      <c r="B51" s="41" t="s">
        <v>1292</v>
      </c>
      <c r="C51" s="41" t="s">
        <v>1206</v>
      </c>
      <c r="D51" s="15">
        <v>41168</v>
      </c>
      <c r="E51" s="16">
        <v>175.79</v>
      </c>
      <c r="F51" s="17">
        <v>5.4999999999999997E-3</v>
      </c>
      <c r="G51" s="17"/>
    </row>
    <row r="52" spans="1:7" x14ac:dyDescent="0.35">
      <c r="A52" s="13" t="s">
        <v>1476</v>
      </c>
      <c r="B52" s="41" t="s">
        <v>1477</v>
      </c>
      <c r="C52" s="41" t="s">
        <v>1221</v>
      </c>
      <c r="D52" s="15">
        <v>6224</v>
      </c>
      <c r="E52" s="16">
        <v>175.29</v>
      </c>
      <c r="F52" s="17">
        <v>5.4999999999999997E-3</v>
      </c>
      <c r="G52" s="17"/>
    </row>
    <row r="53" spans="1:7" x14ac:dyDescent="0.35">
      <c r="A53" s="13" t="s">
        <v>1222</v>
      </c>
      <c r="B53" s="41" t="s">
        <v>1223</v>
      </c>
      <c r="C53" s="41" t="s">
        <v>1224</v>
      </c>
      <c r="D53" s="15">
        <v>1375</v>
      </c>
      <c r="E53" s="16">
        <v>174.54</v>
      </c>
      <c r="F53" s="17">
        <v>5.4999999999999997E-3</v>
      </c>
      <c r="G53" s="17"/>
    </row>
    <row r="54" spans="1:7" x14ac:dyDescent="0.35">
      <c r="A54" s="13" t="s">
        <v>1798</v>
      </c>
      <c r="B54" s="41" t="s">
        <v>1799</v>
      </c>
      <c r="C54" s="41" t="s">
        <v>1333</v>
      </c>
      <c r="D54" s="15">
        <v>5311</v>
      </c>
      <c r="E54" s="16">
        <v>171.56</v>
      </c>
      <c r="F54" s="17">
        <v>5.4000000000000003E-3</v>
      </c>
      <c r="G54" s="17"/>
    </row>
    <row r="55" spans="1:7" x14ac:dyDescent="0.35">
      <c r="A55" s="13" t="s">
        <v>1348</v>
      </c>
      <c r="B55" s="41" t="s">
        <v>1349</v>
      </c>
      <c r="C55" s="41" t="s">
        <v>1350</v>
      </c>
      <c r="D55" s="15">
        <v>24011</v>
      </c>
      <c r="E55" s="16">
        <v>169.03</v>
      </c>
      <c r="F55" s="17">
        <v>5.3E-3</v>
      </c>
      <c r="G55" s="17"/>
    </row>
    <row r="56" spans="1:7" x14ac:dyDescent="0.35">
      <c r="A56" s="13" t="s">
        <v>1314</v>
      </c>
      <c r="B56" s="41" t="s">
        <v>1315</v>
      </c>
      <c r="C56" s="41" t="s">
        <v>1211</v>
      </c>
      <c r="D56" s="15">
        <v>16245</v>
      </c>
      <c r="E56" s="16">
        <v>165.7</v>
      </c>
      <c r="F56" s="17">
        <v>5.1999999999999998E-3</v>
      </c>
      <c r="G56" s="17"/>
    </row>
    <row r="57" spans="1:7" x14ac:dyDescent="0.35">
      <c r="A57" s="13" t="s">
        <v>1241</v>
      </c>
      <c r="B57" s="41" t="s">
        <v>1242</v>
      </c>
      <c r="C57" s="41" t="s">
        <v>1216</v>
      </c>
      <c r="D57" s="15">
        <v>22658</v>
      </c>
      <c r="E57" s="16">
        <v>165.36</v>
      </c>
      <c r="F57" s="17">
        <v>5.1999999999999998E-3</v>
      </c>
      <c r="G57" s="17"/>
    </row>
    <row r="58" spans="1:7" x14ac:dyDescent="0.35">
      <c r="A58" s="13" t="s">
        <v>1480</v>
      </c>
      <c r="B58" s="41" t="s">
        <v>1481</v>
      </c>
      <c r="C58" s="41" t="s">
        <v>1382</v>
      </c>
      <c r="D58" s="15">
        <v>11429</v>
      </c>
      <c r="E58" s="16">
        <v>164.74</v>
      </c>
      <c r="F58" s="17">
        <v>5.1999999999999998E-3</v>
      </c>
      <c r="G58" s="17"/>
    </row>
    <row r="59" spans="1:7" x14ac:dyDescent="0.35">
      <c r="A59" s="13" t="s">
        <v>1472</v>
      </c>
      <c r="B59" s="41" t="s">
        <v>1473</v>
      </c>
      <c r="C59" s="41" t="s">
        <v>1419</v>
      </c>
      <c r="D59" s="15">
        <v>16781</v>
      </c>
      <c r="E59" s="16">
        <v>161.53</v>
      </c>
      <c r="F59" s="17">
        <v>5.1000000000000004E-3</v>
      </c>
      <c r="G59" s="17"/>
    </row>
    <row r="60" spans="1:7" x14ac:dyDescent="0.35">
      <c r="A60" s="13" t="s">
        <v>1306</v>
      </c>
      <c r="B60" s="41" t="s">
        <v>1307</v>
      </c>
      <c r="C60" s="41" t="s">
        <v>1178</v>
      </c>
      <c r="D60" s="15">
        <v>752603</v>
      </c>
      <c r="E60" s="16">
        <v>161.13</v>
      </c>
      <c r="F60" s="17">
        <v>5.0000000000000001E-3</v>
      </c>
      <c r="G60" s="17"/>
    </row>
    <row r="61" spans="1:7" x14ac:dyDescent="0.35">
      <c r="A61" s="13" t="s">
        <v>1356</v>
      </c>
      <c r="B61" s="41" t="s">
        <v>1357</v>
      </c>
      <c r="C61" s="41" t="s">
        <v>1288</v>
      </c>
      <c r="D61" s="15">
        <v>7791</v>
      </c>
      <c r="E61" s="16">
        <v>159.38</v>
      </c>
      <c r="F61" s="17">
        <v>5.0000000000000001E-3</v>
      </c>
      <c r="G61" s="17"/>
    </row>
    <row r="62" spans="1:7" x14ac:dyDescent="0.35">
      <c r="A62" s="13" t="s">
        <v>1286</v>
      </c>
      <c r="B62" s="41" t="s">
        <v>1287</v>
      </c>
      <c r="C62" s="41" t="s">
        <v>1288</v>
      </c>
      <c r="D62" s="15">
        <v>2257</v>
      </c>
      <c r="E62" s="16">
        <v>158.29</v>
      </c>
      <c r="F62" s="17">
        <v>5.0000000000000001E-3</v>
      </c>
      <c r="G62" s="17"/>
    </row>
    <row r="63" spans="1:7" x14ac:dyDescent="0.35">
      <c r="A63" s="13" t="s">
        <v>1945</v>
      </c>
      <c r="B63" s="41" t="s">
        <v>1946</v>
      </c>
      <c r="C63" s="41" t="s">
        <v>1211</v>
      </c>
      <c r="D63" s="15">
        <v>2951</v>
      </c>
      <c r="E63" s="16">
        <v>155.75</v>
      </c>
      <c r="F63" s="17">
        <v>4.8999999999999998E-3</v>
      </c>
      <c r="G63" s="17"/>
    </row>
    <row r="64" spans="1:7" x14ac:dyDescent="0.35">
      <c r="A64" s="13" t="s">
        <v>1420</v>
      </c>
      <c r="B64" s="41" t="s">
        <v>1421</v>
      </c>
      <c r="C64" s="41" t="s">
        <v>1178</v>
      </c>
      <c r="D64" s="15">
        <v>82829</v>
      </c>
      <c r="E64" s="16">
        <v>149.72</v>
      </c>
      <c r="F64" s="17">
        <v>4.7000000000000002E-3</v>
      </c>
      <c r="G64" s="17"/>
    </row>
    <row r="65" spans="1:7" x14ac:dyDescent="0.35">
      <c r="A65" s="13" t="s">
        <v>1925</v>
      </c>
      <c r="B65" s="41" t="s">
        <v>1926</v>
      </c>
      <c r="C65" s="41" t="s">
        <v>1419</v>
      </c>
      <c r="D65" s="15">
        <v>38440</v>
      </c>
      <c r="E65" s="16">
        <v>148.16999999999999</v>
      </c>
      <c r="F65" s="17">
        <v>4.5999999999999999E-3</v>
      </c>
      <c r="G65" s="17"/>
    </row>
    <row r="66" spans="1:7" x14ac:dyDescent="0.35">
      <c r="A66" s="13" t="s">
        <v>1293</v>
      </c>
      <c r="B66" s="41" t="s">
        <v>1294</v>
      </c>
      <c r="C66" s="41" t="s">
        <v>1234</v>
      </c>
      <c r="D66" s="15">
        <v>11990</v>
      </c>
      <c r="E66" s="16">
        <v>144.80000000000001</v>
      </c>
      <c r="F66" s="17">
        <v>4.4999999999999997E-3</v>
      </c>
      <c r="G66" s="17"/>
    </row>
    <row r="67" spans="1:7" x14ac:dyDescent="0.35">
      <c r="A67" s="13" t="s">
        <v>1346</v>
      </c>
      <c r="B67" s="41" t="s">
        <v>1347</v>
      </c>
      <c r="C67" s="41" t="s">
        <v>1333</v>
      </c>
      <c r="D67" s="15">
        <v>55086</v>
      </c>
      <c r="E67" s="16">
        <v>144.71</v>
      </c>
      <c r="F67" s="17">
        <v>4.4999999999999997E-3</v>
      </c>
      <c r="G67" s="17"/>
    </row>
    <row r="68" spans="1:7" x14ac:dyDescent="0.35">
      <c r="A68" s="13" t="s">
        <v>1415</v>
      </c>
      <c r="B68" s="41" t="s">
        <v>1416</v>
      </c>
      <c r="C68" s="41" t="s">
        <v>1398</v>
      </c>
      <c r="D68" s="15">
        <v>152955</v>
      </c>
      <c r="E68" s="16">
        <v>143.61000000000001</v>
      </c>
      <c r="F68" s="17">
        <v>4.4999999999999997E-3</v>
      </c>
      <c r="G68" s="17"/>
    </row>
    <row r="69" spans="1:7" x14ac:dyDescent="0.35">
      <c r="A69" s="13" t="s">
        <v>1492</v>
      </c>
      <c r="B69" s="41" t="s">
        <v>1493</v>
      </c>
      <c r="C69" s="41" t="s">
        <v>1234</v>
      </c>
      <c r="D69" s="15">
        <v>2508</v>
      </c>
      <c r="E69" s="16">
        <v>142.38999999999999</v>
      </c>
      <c r="F69" s="17">
        <v>4.4999999999999997E-3</v>
      </c>
      <c r="G69" s="17"/>
    </row>
    <row r="70" spans="1:7" x14ac:dyDescent="0.35">
      <c r="A70" s="13" t="s">
        <v>1567</v>
      </c>
      <c r="B70" s="41" t="s">
        <v>1568</v>
      </c>
      <c r="C70" s="41" t="s">
        <v>1266</v>
      </c>
      <c r="D70" s="15">
        <v>58556</v>
      </c>
      <c r="E70" s="16">
        <v>139.07</v>
      </c>
      <c r="F70" s="17">
        <v>4.4000000000000003E-3</v>
      </c>
      <c r="G70" s="17"/>
    </row>
    <row r="71" spans="1:7" x14ac:dyDescent="0.35">
      <c r="A71" s="13" t="s">
        <v>1555</v>
      </c>
      <c r="B71" s="41" t="s">
        <v>1556</v>
      </c>
      <c r="C71" s="41" t="s">
        <v>1178</v>
      </c>
      <c r="D71" s="15">
        <v>15149</v>
      </c>
      <c r="E71" s="16">
        <v>138.11000000000001</v>
      </c>
      <c r="F71" s="17">
        <v>4.3E-3</v>
      </c>
      <c r="G71" s="17"/>
    </row>
    <row r="72" spans="1:7" x14ac:dyDescent="0.35">
      <c r="A72" s="13" t="s">
        <v>1392</v>
      </c>
      <c r="B72" s="41" t="s">
        <v>1393</v>
      </c>
      <c r="C72" s="41" t="s">
        <v>1369</v>
      </c>
      <c r="D72" s="15">
        <v>4889</v>
      </c>
      <c r="E72" s="16">
        <v>134.88999999999999</v>
      </c>
      <c r="F72" s="17">
        <v>4.1999999999999997E-3</v>
      </c>
      <c r="G72" s="17"/>
    </row>
    <row r="73" spans="1:7" x14ac:dyDescent="0.35">
      <c r="A73" s="13" t="s">
        <v>2005</v>
      </c>
      <c r="B73" s="41" t="s">
        <v>2006</v>
      </c>
      <c r="C73" s="41" t="s">
        <v>1305</v>
      </c>
      <c r="D73" s="15">
        <v>52538</v>
      </c>
      <c r="E73" s="16">
        <v>134.76</v>
      </c>
      <c r="F73" s="17">
        <v>4.1999999999999997E-3</v>
      </c>
      <c r="G73" s="17"/>
    </row>
    <row r="74" spans="1:7" x14ac:dyDescent="0.35">
      <c r="A74" s="13" t="s">
        <v>1267</v>
      </c>
      <c r="B74" s="41" t="s">
        <v>1268</v>
      </c>
      <c r="C74" s="41" t="s">
        <v>1269</v>
      </c>
      <c r="D74" s="15">
        <v>19677</v>
      </c>
      <c r="E74" s="16">
        <v>134.11000000000001</v>
      </c>
      <c r="F74" s="17">
        <v>4.1999999999999997E-3</v>
      </c>
      <c r="G74" s="17"/>
    </row>
    <row r="75" spans="1:7" x14ac:dyDescent="0.35">
      <c r="A75" s="13" t="s">
        <v>1468</v>
      </c>
      <c r="B75" s="41" t="s">
        <v>1469</v>
      </c>
      <c r="C75" s="41" t="s">
        <v>1324</v>
      </c>
      <c r="D75" s="15">
        <v>7998</v>
      </c>
      <c r="E75" s="16">
        <v>133.62</v>
      </c>
      <c r="F75" s="17">
        <v>4.1999999999999997E-3</v>
      </c>
      <c r="G75" s="17"/>
    </row>
    <row r="76" spans="1:7" x14ac:dyDescent="0.35">
      <c r="A76" s="13" t="s">
        <v>1259</v>
      </c>
      <c r="B76" s="41" t="s">
        <v>1260</v>
      </c>
      <c r="C76" s="41" t="s">
        <v>1261</v>
      </c>
      <c r="D76" s="15">
        <v>10897</v>
      </c>
      <c r="E76" s="16">
        <v>132.33000000000001</v>
      </c>
      <c r="F76" s="17">
        <v>4.1000000000000003E-3</v>
      </c>
      <c r="G76" s="17"/>
    </row>
    <row r="77" spans="1:7" x14ac:dyDescent="0.35">
      <c r="A77" s="13" t="s">
        <v>1257</v>
      </c>
      <c r="B77" s="41" t="s">
        <v>1258</v>
      </c>
      <c r="C77" s="41" t="s">
        <v>1198</v>
      </c>
      <c r="D77" s="15">
        <v>1183601</v>
      </c>
      <c r="E77" s="16">
        <v>132.21</v>
      </c>
      <c r="F77" s="17">
        <v>4.1000000000000003E-3</v>
      </c>
      <c r="G77" s="17"/>
    </row>
    <row r="78" spans="1:7" x14ac:dyDescent="0.35">
      <c r="A78" s="13" t="s">
        <v>1281</v>
      </c>
      <c r="B78" s="41" t="s">
        <v>1282</v>
      </c>
      <c r="C78" s="41" t="s">
        <v>1234</v>
      </c>
      <c r="D78" s="15">
        <v>6455</v>
      </c>
      <c r="E78" s="16">
        <v>130.13</v>
      </c>
      <c r="F78" s="17">
        <v>4.1000000000000003E-3</v>
      </c>
      <c r="G78" s="17"/>
    </row>
    <row r="79" spans="1:7" x14ac:dyDescent="0.35">
      <c r="A79" s="13" t="s">
        <v>1527</v>
      </c>
      <c r="B79" s="41" t="s">
        <v>1528</v>
      </c>
      <c r="C79" s="41" t="s">
        <v>1201</v>
      </c>
      <c r="D79" s="15">
        <v>9762</v>
      </c>
      <c r="E79" s="16">
        <v>129.63</v>
      </c>
      <c r="F79" s="17">
        <v>4.1000000000000003E-3</v>
      </c>
      <c r="G79" s="17"/>
    </row>
    <row r="80" spans="1:7" x14ac:dyDescent="0.35">
      <c r="A80" s="13" t="s">
        <v>1230</v>
      </c>
      <c r="B80" s="41" t="s">
        <v>1231</v>
      </c>
      <c r="C80" s="41" t="s">
        <v>1211</v>
      </c>
      <c r="D80" s="15">
        <v>6633</v>
      </c>
      <c r="E80" s="16">
        <v>129.52000000000001</v>
      </c>
      <c r="F80" s="17">
        <v>4.1000000000000003E-3</v>
      </c>
      <c r="G80" s="17"/>
    </row>
    <row r="81" spans="1:7" x14ac:dyDescent="0.35">
      <c r="A81" s="13" t="s">
        <v>1394</v>
      </c>
      <c r="B81" s="41" t="s">
        <v>1395</v>
      </c>
      <c r="C81" s="41" t="s">
        <v>1369</v>
      </c>
      <c r="D81" s="15">
        <v>7364</v>
      </c>
      <c r="E81" s="16">
        <v>128.36000000000001</v>
      </c>
      <c r="F81" s="17">
        <v>4.0000000000000001E-3</v>
      </c>
      <c r="G81" s="17"/>
    </row>
    <row r="82" spans="1:7" x14ac:dyDescent="0.35">
      <c r="A82" s="13" t="s">
        <v>1561</v>
      </c>
      <c r="B82" s="41" t="s">
        <v>1562</v>
      </c>
      <c r="C82" s="41" t="s">
        <v>1409</v>
      </c>
      <c r="D82" s="15">
        <v>25252</v>
      </c>
      <c r="E82" s="16">
        <v>127.93</v>
      </c>
      <c r="F82" s="17">
        <v>4.0000000000000001E-3</v>
      </c>
      <c r="G82" s="17"/>
    </row>
    <row r="83" spans="1:7" x14ac:dyDescent="0.35">
      <c r="A83" s="13" t="s">
        <v>1217</v>
      </c>
      <c r="B83" s="41" t="s">
        <v>1218</v>
      </c>
      <c r="C83" s="41" t="s">
        <v>1201</v>
      </c>
      <c r="D83" s="15">
        <v>5245</v>
      </c>
      <c r="E83" s="16">
        <v>127.36</v>
      </c>
      <c r="F83" s="17">
        <v>4.0000000000000001E-3</v>
      </c>
      <c r="G83" s="17"/>
    </row>
    <row r="84" spans="1:7" x14ac:dyDescent="0.35">
      <c r="A84" s="13" t="s">
        <v>1243</v>
      </c>
      <c r="B84" s="41" t="s">
        <v>1244</v>
      </c>
      <c r="C84" s="41" t="s">
        <v>1224</v>
      </c>
      <c r="D84" s="15">
        <v>4431</v>
      </c>
      <c r="E84" s="16">
        <v>124.91</v>
      </c>
      <c r="F84" s="17">
        <v>3.8999999999999998E-3</v>
      </c>
      <c r="G84" s="17"/>
    </row>
    <row r="85" spans="1:7" x14ac:dyDescent="0.35">
      <c r="A85" s="13" t="s">
        <v>1826</v>
      </c>
      <c r="B85" s="41" t="s">
        <v>1827</v>
      </c>
      <c r="C85" s="41" t="s">
        <v>1280</v>
      </c>
      <c r="D85" s="15">
        <v>10896</v>
      </c>
      <c r="E85" s="16">
        <v>123.59</v>
      </c>
      <c r="F85" s="17">
        <v>3.8999999999999998E-3</v>
      </c>
      <c r="G85" s="17"/>
    </row>
    <row r="86" spans="1:7" x14ac:dyDescent="0.35">
      <c r="A86" s="13" t="s">
        <v>1508</v>
      </c>
      <c r="B86" s="41" t="s">
        <v>1509</v>
      </c>
      <c r="C86" s="41" t="s">
        <v>1188</v>
      </c>
      <c r="D86" s="15">
        <v>1286</v>
      </c>
      <c r="E86" s="16">
        <v>123.42</v>
      </c>
      <c r="F86" s="17">
        <v>3.8999999999999998E-3</v>
      </c>
      <c r="G86" s="17"/>
    </row>
    <row r="87" spans="1:7" x14ac:dyDescent="0.35">
      <c r="A87" s="13" t="s">
        <v>1299</v>
      </c>
      <c r="B87" s="41" t="s">
        <v>1300</v>
      </c>
      <c r="C87" s="41" t="s">
        <v>1301</v>
      </c>
      <c r="D87" s="15">
        <v>45056</v>
      </c>
      <c r="E87" s="16">
        <v>121.18</v>
      </c>
      <c r="F87" s="17">
        <v>3.8E-3</v>
      </c>
      <c r="G87" s="17"/>
    </row>
    <row r="88" spans="1:7" x14ac:dyDescent="0.35">
      <c r="A88" s="13" t="s">
        <v>1343</v>
      </c>
      <c r="B88" s="41" t="s">
        <v>1344</v>
      </c>
      <c r="C88" s="41" t="s">
        <v>1345</v>
      </c>
      <c r="D88" s="15">
        <v>2622</v>
      </c>
      <c r="E88" s="16">
        <v>120.52</v>
      </c>
      <c r="F88" s="17">
        <v>3.8E-3</v>
      </c>
      <c r="G88" s="17"/>
    </row>
    <row r="89" spans="1:7" x14ac:dyDescent="0.35">
      <c r="A89" s="13" t="s">
        <v>1270</v>
      </c>
      <c r="B89" s="41" t="s">
        <v>1271</v>
      </c>
      <c r="C89" s="41" t="s">
        <v>1272</v>
      </c>
      <c r="D89" s="15">
        <v>148157</v>
      </c>
      <c r="E89" s="16">
        <v>120.32</v>
      </c>
      <c r="F89" s="17">
        <v>3.8E-3</v>
      </c>
      <c r="G89" s="17"/>
    </row>
    <row r="90" spans="1:7" x14ac:dyDescent="0.35">
      <c r="A90" s="13" t="s">
        <v>2238</v>
      </c>
      <c r="B90" s="41" t="s">
        <v>2239</v>
      </c>
      <c r="C90" s="41" t="s">
        <v>1409</v>
      </c>
      <c r="D90" s="15">
        <v>5645</v>
      </c>
      <c r="E90" s="16">
        <v>119.35</v>
      </c>
      <c r="F90" s="17">
        <v>3.7000000000000002E-3</v>
      </c>
      <c r="G90" s="17"/>
    </row>
    <row r="91" spans="1:7" x14ac:dyDescent="0.35">
      <c r="A91" s="13" t="s">
        <v>1937</v>
      </c>
      <c r="B91" s="41" t="s">
        <v>1938</v>
      </c>
      <c r="C91" s="41" t="s">
        <v>1301</v>
      </c>
      <c r="D91" s="15">
        <v>23379</v>
      </c>
      <c r="E91" s="16">
        <v>119.24</v>
      </c>
      <c r="F91" s="17">
        <v>3.7000000000000002E-3</v>
      </c>
      <c r="G91" s="17"/>
    </row>
    <row r="92" spans="1:7" x14ac:dyDescent="0.35">
      <c r="A92" s="13" t="s">
        <v>2068</v>
      </c>
      <c r="B92" s="41" t="s">
        <v>2069</v>
      </c>
      <c r="C92" s="41" t="s">
        <v>2070</v>
      </c>
      <c r="D92" s="15">
        <v>26337</v>
      </c>
      <c r="E92" s="16">
        <v>116.08</v>
      </c>
      <c r="F92" s="17">
        <v>3.5999999999999999E-3</v>
      </c>
      <c r="G92" s="17"/>
    </row>
    <row r="93" spans="1:7" x14ac:dyDescent="0.35">
      <c r="A93" s="13" t="s">
        <v>1921</v>
      </c>
      <c r="B93" s="41" t="s">
        <v>1922</v>
      </c>
      <c r="C93" s="41" t="s">
        <v>1350</v>
      </c>
      <c r="D93" s="15">
        <v>5067</v>
      </c>
      <c r="E93" s="16">
        <v>115.66</v>
      </c>
      <c r="F93" s="17">
        <v>3.5999999999999999E-3</v>
      </c>
      <c r="G93" s="17"/>
    </row>
    <row r="94" spans="1:7" x14ac:dyDescent="0.35">
      <c r="A94" s="13" t="s">
        <v>2242</v>
      </c>
      <c r="B94" s="41" t="s">
        <v>2243</v>
      </c>
      <c r="C94" s="41" t="s">
        <v>1382</v>
      </c>
      <c r="D94" s="15">
        <v>87</v>
      </c>
      <c r="E94" s="16">
        <v>114.98</v>
      </c>
      <c r="F94" s="17">
        <v>3.5999999999999999E-3</v>
      </c>
      <c r="G94" s="17"/>
    </row>
    <row r="95" spans="1:7" x14ac:dyDescent="0.35">
      <c r="A95" s="13" t="s">
        <v>1822</v>
      </c>
      <c r="B95" s="41" t="s">
        <v>1823</v>
      </c>
      <c r="C95" s="41" t="s">
        <v>1266</v>
      </c>
      <c r="D95" s="15">
        <v>91231</v>
      </c>
      <c r="E95" s="16">
        <v>114.91</v>
      </c>
      <c r="F95" s="17">
        <v>3.5999999999999999E-3</v>
      </c>
      <c r="G95" s="17"/>
    </row>
    <row r="96" spans="1:7" x14ac:dyDescent="0.35">
      <c r="A96" s="13" t="s">
        <v>1549</v>
      </c>
      <c r="B96" s="41" t="s">
        <v>1550</v>
      </c>
      <c r="C96" s="41" t="s">
        <v>1333</v>
      </c>
      <c r="D96" s="15">
        <v>4106</v>
      </c>
      <c r="E96" s="16">
        <v>114.45</v>
      </c>
      <c r="F96" s="17">
        <v>3.5999999999999999E-3</v>
      </c>
      <c r="G96" s="17"/>
    </row>
    <row r="97" spans="1:7" x14ac:dyDescent="0.35">
      <c r="A97" s="13" t="s">
        <v>1396</v>
      </c>
      <c r="B97" s="41" t="s">
        <v>1397</v>
      </c>
      <c r="C97" s="41" t="s">
        <v>1398</v>
      </c>
      <c r="D97" s="15">
        <v>8026</v>
      </c>
      <c r="E97" s="16">
        <v>113.95</v>
      </c>
      <c r="F97" s="17">
        <v>3.5999999999999999E-3</v>
      </c>
      <c r="G97" s="17"/>
    </row>
    <row r="98" spans="1:7" x14ac:dyDescent="0.35">
      <c r="A98" s="13" t="s">
        <v>1194</v>
      </c>
      <c r="B98" s="41" t="s">
        <v>1195</v>
      </c>
      <c r="C98" s="41" t="s">
        <v>1188</v>
      </c>
      <c r="D98" s="15">
        <v>1597</v>
      </c>
      <c r="E98" s="16">
        <v>113.75</v>
      </c>
      <c r="F98" s="17">
        <v>3.5999999999999999E-3</v>
      </c>
      <c r="G98" s="17"/>
    </row>
    <row r="99" spans="1:7" x14ac:dyDescent="0.35">
      <c r="A99" s="13" t="s">
        <v>2240</v>
      </c>
      <c r="B99" s="41" t="s">
        <v>2241</v>
      </c>
      <c r="C99" s="41" t="s">
        <v>1305</v>
      </c>
      <c r="D99" s="15">
        <v>8156</v>
      </c>
      <c r="E99" s="16">
        <v>113.17</v>
      </c>
      <c r="F99" s="17">
        <v>3.5000000000000001E-3</v>
      </c>
      <c r="G99" s="17"/>
    </row>
    <row r="100" spans="1:7" x14ac:dyDescent="0.35">
      <c r="A100" s="13" t="s">
        <v>1931</v>
      </c>
      <c r="B100" s="41" t="s">
        <v>1932</v>
      </c>
      <c r="C100" s="41" t="s">
        <v>1261</v>
      </c>
      <c r="D100" s="15">
        <v>13704</v>
      </c>
      <c r="E100" s="16">
        <v>112.72</v>
      </c>
      <c r="F100" s="17">
        <v>3.5000000000000001E-3</v>
      </c>
      <c r="G100" s="17"/>
    </row>
    <row r="101" spans="1:7" x14ac:dyDescent="0.35">
      <c r="A101" s="13" t="s">
        <v>1336</v>
      </c>
      <c r="B101" s="41" t="s">
        <v>1337</v>
      </c>
      <c r="C101" s="41" t="s">
        <v>1211</v>
      </c>
      <c r="D101" s="15">
        <v>32884</v>
      </c>
      <c r="E101" s="16">
        <v>111.74</v>
      </c>
      <c r="F101" s="17">
        <v>3.5000000000000001E-3</v>
      </c>
      <c r="G101" s="17"/>
    </row>
    <row r="102" spans="1:7" x14ac:dyDescent="0.35">
      <c r="A102" s="13" t="s">
        <v>1824</v>
      </c>
      <c r="B102" s="41" t="s">
        <v>1825</v>
      </c>
      <c r="C102" s="41" t="s">
        <v>1350</v>
      </c>
      <c r="D102" s="15">
        <v>3473</v>
      </c>
      <c r="E102" s="16">
        <v>110.98</v>
      </c>
      <c r="F102" s="17">
        <v>3.5000000000000001E-3</v>
      </c>
      <c r="G102" s="17"/>
    </row>
    <row r="103" spans="1:7" x14ac:dyDescent="0.35">
      <c r="A103" s="13" t="s">
        <v>1189</v>
      </c>
      <c r="B103" s="41" t="s">
        <v>1190</v>
      </c>
      <c r="C103" s="41" t="s">
        <v>1191</v>
      </c>
      <c r="D103" s="15">
        <v>8316</v>
      </c>
      <c r="E103" s="16">
        <v>110.8</v>
      </c>
      <c r="F103" s="17">
        <v>3.5000000000000001E-3</v>
      </c>
      <c r="G103" s="17"/>
    </row>
    <row r="104" spans="1:7" x14ac:dyDescent="0.35">
      <c r="A104" s="13" t="s">
        <v>1437</v>
      </c>
      <c r="B104" s="41" t="s">
        <v>1438</v>
      </c>
      <c r="C104" s="41" t="s">
        <v>1185</v>
      </c>
      <c r="D104" s="15">
        <v>16843</v>
      </c>
      <c r="E104" s="16">
        <v>107.26</v>
      </c>
      <c r="F104" s="17">
        <v>3.3999999999999998E-3</v>
      </c>
      <c r="G104" s="17"/>
    </row>
    <row r="105" spans="1:7" x14ac:dyDescent="0.35">
      <c r="A105" s="13" t="s">
        <v>1504</v>
      </c>
      <c r="B105" s="41" t="s">
        <v>1505</v>
      </c>
      <c r="C105" s="41" t="s">
        <v>1382</v>
      </c>
      <c r="D105" s="15">
        <v>4578</v>
      </c>
      <c r="E105" s="16">
        <v>106.9</v>
      </c>
      <c r="F105" s="17">
        <v>3.3E-3</v>
      </c>
      <c r="G105" s="17"/>
    </row>
    <row r="106" spans="1:7" x14ac:dyDescent="0.35">
      <c r="A106" s="13" t="s">
        <v>1929</v>
      </c>
      <c r="B106" s="41" t="s">
        <v>1930</v>
      </c>
      <c r="C106" s="41" t="s">
        <v>1211</v>
      </c>
      <c r="D106" s="15">
        <v>28358</v>
      </c>
      <c r="E106" s="16">
        <v>106.5</v>
      </c>
      <c r="F106" s="17">
        <v>3.3E-3</v>
      </c>
      <c r="G106" s="17"/>
    </row>
    <row r="107" spans="1:7" x14ac:dyDescent="0.35">
      <c r="A107" s="13" t="s">
        <v>1993</v>
      </c>
      <c r="B107" s="41" t="s">
        <v>1994</v>
      </c>
      <c r="C107" s="41" t="s">
        <v>1288</v>
      </c>
      <c r="D107" s="15">
        <v>2644</v>
      </c>
      <c r="E107" s="16">
        <v>106.32</v>
      </c>
      <c r="F107" s="17">
        <v>3.3E-3</v>
      </c>
      <c r="G107" s="17"/>
    </row>
    <row r="108" spans="1:7" x14ac:dyDescent="0.35">
      <c r="A108" s="13" t="s">
        <v>2244</v>
      </c>
      <c r="B108" s="41" t="s">
        <v>2245</v>
      </c>
      <c r="C108" s="41" t="s">
        <v>1305</v>
      </c>
      <c r="D108" s="15">
        <v>135622</v>
      </c>
      <c r="E108" s="16">
        <v>106.06</v>
      </c>
      <c r="F108" s="17">
        <v>3.3E-3</v>
      </c>
      <c r="G108" s="17"/>
    </row>
    <row r="109" spans="1:7" x14ac:dyDescent="0.35">
      <c r="A109" s="13" t="s">
        <v>1453</v>
      </c>
      <c r="B109" s="41" t="s">
        <v>1454</v>
      </c>
      <c r="C109" s="41" t="s">
        <v>1324</v>
      </c>
      <c r="D109" s="15">
        <v>7231</v>
      </c>
      <c r="E109" s="16">
        <v>105.68</v>
      </c>
      <c r="F109" s="17">
        <v>3.3E-3</v>
      </c>
      <c r="G109" s="17"/>
    </row>
    <row r="110" spans="1:7" x14ac:dyDescent="0.35">
      <c r="A110" s="13" t="s">
        <v>1183</v>
      </c>
      <c r="B110" s="41" t="s">
        <v>1184</v>
      </c>
      <c r="C110" s="41" t="s">
        <v>1185</v>
      </c>
      <c r="D110" s="15">
        <v>5207</v>
      </c>
      <c r="E110" s="16">
        <v>104.06</v>
      </c>
      <c r="F110" s="17">
        <v>3.3E-3</v>
      </c>
      <c r="G110" s="17"/>
    </row>
    <row r="111" spans="1:7" x14ac:dyDescent="0.35">
      <c r="A111" s="13" t="s">
        <v>2075</v>
      </c>
      <c r="B111" s="41" t="s">
        <v>2076</v>
      </c>
      <c r="C111" s="41" t="s">
        <v>1234</v>
      </c>
      <c r="D111" s="15">
        <v>4849</v>
      </c>
      <c r="E111" s="16">
        <v>102.99</v>
      </c>
      <c r="F111" s="17">
        <v>3.2000000000000002E-3</v>
      </c>
      <c r="G111" s="17"/>
    </row>
    <row r="112" spans="1:7" x14ac:dyDescent="0.35">
      <c r="A112" s="13" t="s">
        <v>1514</v>
      </c>
      <c r="B112" s="41" t="s">
        <v>1515</v>
      </c>
      <c r="C112" s="41" t="s">
        <v>1333</v>
      </c>
      <c r="D112" s="15">
        <v>545</v>
      </c>
      <c r="E112" s="16">
        <v>102.8</v>
      </c>
      <c r="F112" s="17">
        <v>3.2000000000000002E-3</v>
      </c>
      <c r="G112" s="17"/>
    </row>
    <row r="113" spans="1:7" x14ac:dyDescent="0.35">
      <c r="A113" s="13" t="s">
        <v>1283</v>
      </c>
      <c r="B113" s="41" t="s">
        <v>1284</v>
      </c>
      <c r="C113" s="41" t="s">
        <v>1285</v>
      </c>
      <c r="D113" s="15">
        <v>2201</v>
      </c>
      <c r="E113" s="16">
        <v>101.67</v>
      </c>
      <c r="F113" s="17">
        <v>3.2000000000000002E-3</v>
      </c>
      <c r="G113" s="17"/>
    </row>
    <row r="114" spans="1:7" x14ac:dyDescent="0.35">
      <c r="A114" s="13" t="s">
        <v>1569</v>
      </c>
      <c r="B114" s="41" t="s">
        <v>1570</v>
      </c>
      <c r="C114" s="41" t="s">
        <v>1201</v>
      </c>
      <c r="D114" s="15">
        <v>5563</v>
      </c>
      <c r="E114" s="16">
        <v>101.07</v>
      </c>
      <c r="F114" s="17">
        <v>3.2000000000000002E-3</v>
      </c>
      <c r="G114" s="17"/>
    </row>
    <row r="115" spans="1:7" x14ac:dyDescent="0.35">
      <c r="A115" s="13" t="s">
        <v>1390</v>
      </c>
      <c r="B115" s="41" t="s">
        <v>1391</v>
      </c>
      <c r="C115" s="41" t="s">
        <v>1324</v>
      </c>
      <c r="D115" s="15">
        <v>6394</v>
      </c>
      <c r="E115" s="16">
        <v>100.82</v>
      </c>
      <c r="F115" s="17">
        <v>3.2000000000000002E-3</v>
      </c>
      <c r="G115" s="17"/>
    </row>
    <row r="116" spans="1:7" x14ac:dyDescent="0.35">
      <c r="A116" s="13" t="s">
        <v>1559</v>
      </c>
      <c r="B116" s="41" t="s">
        <v>1560</v>
      </c>
      <c r="C116" s="41" t="s">
        <v>1211</v>
      </c>
      <c r="D116" s="15">
        <v>35060</v>
      </c>
      <c r="E116" s="16">
        <v>100.39</v>
      </c>
      <c r="F116" s="17">
        <v>3.0999999999999999E-3</v>
      </c>
      <c r="G116" s="17"/>
    </row>
    <row r="117" spans="1:7" x14ac:dyDescent="0.35">
      <c r="A117" s="13" t="s">
        <v>1212</v>
      </c>
      <c r="B117" s="41" t="s">
        <v>1213</v>
      </c>
      <c r="C117" s="41" t="s">
        <v>1188</v>
      </c>
      <c r="D117" s="15">
        <v>2723</v>
      </c>
      <c r="E117" s="16">
        <v>100.14</v>
      </c>
      <c r="F117" s="17">
        <v>3.0999999999999999E-3</v>
      </c>
      <c r="G117" s="17"/>
    </row>
    <row r="118" spans="1:7" x14ac:dyDescent="0.35">
      <c r="A118" s="13" t="s">
        <v>1923</v>
      </c>
      <c r="B118" s="41" t="s">
        <v>1924</v>
      </c>
      <c r="C118" s="41" t="s">
        <v>1224</v>
      </c>
      <c r="D118" s="15">
        <v>1794</v>
      </c>
      <c r="E118" s="16">
        <v>99.09</v>
      </c>
      <c r="F118" s="17">
        <v>3.0999999999999999E-3</v>
      </c>
      <c r="G118" s="17"/>
    </row>
    <row r="119" spans="1:7" x14ac:dyDescent="0.35">
      <c r="A119" s="13" t="s">
        <v>1459</v>
      </c>
      <c r="B119" s="41" t="s">
        <v>1460</v>
      </c>
      <c r="C119" s="41" t="s">
        <v>1266</v>
      </c>
      <c r="D119" s="15">
        <v>2573</v>
      </c>
      <c r="E119" s="16">
        <v>97.4</v>
      </c>
      <c r="F119" s="17">
        <v>3.0000000000000001E-3</v>
      </c>
      <c r="G119" s="17"/>
    </row>
    <row r="120" spans="1:7" x14ac:dyDescent="0.35">
      <c r="A120" s="13" t="s">
        <v>1520</v>
      </c>
      <c r="B120" s="41" t="s">
        <v>1521</v>
      </c>
      <c r="C120" s="41" t="s">
        <v>1288</v>
      </c>
      <c r="D120" s="15">
        <v>2764</v>
      </c>
      <c r="E120" s="16">
        <v>97.11</v>
      </c>
      <c r="F120" s="17">
        <v>3.0000000000000001E-3</v>
      </c>
      <c r="G120" s="17"/>
    </row>
    <row r="121" spans="1:7" x14ac:dyDescent="0.35">
      <c r="A121" s="13" t="s">
        <v>1247</v>
      </c>
      <c r="B121" s="41" t="s">
        <v>1248</v>
      </c>
      <c r="C121" s="41" t="s">
        <v>1211</v>
      </c>
      <c r="D121" s="15">
        <v>12849</v>
      </c>
      <c r="E121" s="16">
        <v>96.82</v>
      </c>
      <c r="F121" s="17">
        <v>3.0000000000000001E-3</v>
      </c>
      <c r="G121" s="17"/>
    </row>
    <row r="122" spans="1:7" x14ac:dyDescent="0.35">
      <c r="A122" s="13" t="s">
        <v>1308</v>
      </c>
      <c r="B122" s="41" t="s">
        <v>1309</v>
      </c>
      <c r="C122" s="41" t="s">
        <v>1211</v>
      </c>
      <c r="D122" s="15">
        <v>38023</v>
      </c>
      <c r="E122" s="16">
        <v>96.77</v>
      </c>
      <c r="F122" s="17">
        <v>3.0000000000000001E-3</v>
      </c>
      <c r="G122" s="17"/>
    </row>
    <row r="123" spans="1:7" x14ac:dyDescent="0.35">
      <c r="A123" s="13" t="s">
        <v>1482</v>
      </c>
      <c r="B123" s="41" t="s">
        <v>1483</v>
      </c>
      <c r="C123" s="41" t="s">
        <v>1382</v>
      </c>
      <c r="D123" s="15">
        <v>19212</v>
      </c>
      <c r="E123" s="16">
        <v>95.24</v>
      </c>
      <c r="F123" s="17">
        <v>3.0000000000000001E-3</v>
      </c>
      <c r="G123" s="17"/>
    </row>
    <row r="124" spans="1:7" x14ac:dyDescent="0.35">
      <c r="A124" s="13" t="s">
        <v>1466</v>
      </c>
      <c r="B124" s="41" t="s">
        <v>1467</v>
      </c>
      <c r="C124" s="41" t="s">
        <v>1234</v>
      </c>
      <c r="D124" s="15">
        <v>25737</v>
      </c>
      <c r="E124" s="16">
        <v>94.4</v>
      </c>
      <c r="F124" s="17">
        <v>3.0000000000000001E-3</v>
      </c>
      <c r="G124" s="17"/>
    </row>
    <row r="125" spans="1:7" x14ac:dyDescent="0.35">
      <c r="A125" s="13" t="s">
        <v>1276</v>
      </c>
      <c r="B125" s="41" t="s">
        <v>1277</v>
      </c>
      <c r="C125" s="41" t="s">
        <v>1261</v>
      </c>
      <c r="D125" s="15">
        <v>61969</v>
      </c>
      <c r="E125" s="16">
        <v>93.65</v>
      </c>
      <c r="F125" s="17">
        <v>2.8999999999999998E-3</v>
      </c>
      <c r="G125" s="17"/>
    </row>
    <row r="126" spans="1:7" x14ac:dyDescent="0.35">
      <c r="A126" s="13" t="s">
        <v>1363</v>
      </c>
      <c r="B126" s="41" t="s">
        <v>1364</v>
      </c>
      <c r="C126" s="41" t="s">
        <v>1355</v>
      </c>
      <c r="D126" s="15">
        <v>32130</v>
      </c>
      <c r="E126" s="16">
        <v>93.1</v>
      </c>
      <c r="F126" s="17">
        <v>2.8999999999999998E-3</v>
      </c>
      <c r="G126" s="17"/>
    </row>
    <row r="127" spans="1:7" x14ac:dyDescent="0.35">
      <c r="A127" s="13" t="s">
        <v>1470</v>
      </c>
      <c r="B127" s="41" t="s">
        <v>1471</v>
      </c>
      <c r="C127" s="41" t="s">
        <v>1382</v>
      </c>
      <c r="D127" s="15">
        <v>7770</v>
      </c>
      <c r="E127" s="16">
        <v>91.86</v>
      </c>
      <c r="F127" s="17">
        <v>2.8999999999999998E-3</v>
      </c>
      <c r="G127" s="17"/>
    </row>
    <row r="128" spans="1:7" x14ac:dyDescent="0.35">
      <c r="A128" s="13" t="s">
        <v>1207</v>
      </c>
      <c r="B128" s="41" t="s">
        <v>1208</v>
      </c>
      <c r="C128" s="41" t="s">
        <v>1185</v>
      </c>
      <c r="D128" s="15">
        <v>12466</v>
      </c>
      <c r="E128" s="16">
        <v>91.13</v>
      </c>
      <c r="F128" s="17">
        <v>2.8999999999999998E-3</v>
      </c>
      <c r="G128" s="17"/>
    </row>
    <row r="129" spans="1:7" x14ac:dyDescent="0.35">
      <c r="A129" s="13" t="s">
        <v>1403</v>
      </c>
      <c r="B129" s="41" t="s">
        <v>1404</v>
      </c>
      <c r="C129" s="41" t="s">
        <v>1234</v>
      </c>
      <c r="D129" s="15">
        <v>1474</v>
      </c>
      <c r="E129" s="16">
        <v>89.19</v>
      </c>
      <c r="F129" s="17">
        <v>2.8E-3</v>
      </c>
      <c r="G129" s="17"/>
    </row>
    <row r="130" spans="1:7" x14ac:dyDescent="0.35">
      <c r="A130" s="13" t="s">
        <v>1974</v>
      </c>
      <c r="B130" s="41" t="s">
        <v>1975</v>
      </c>
      <c r="C130" s="41" t="s">
        <v>1855</v>
      </c>
      <c r="D130" s="15">
        <v>270</v>
      </c>
      <c r="E130" s="16">
        <v>89.09</v>
      </c>
      <c r="F130" s="17">
        <v>2.8E-3</v>
      </c>
      <c r="G130" s="17"/>
    </row>
    <row r="131" spans="1:7" x14ac:dyDescent="0.35">
      <c r="A131" s="13" t="s">
        <v>2026</v>
      </c>
      <c r="B131" s="41" t="s">
        <v>2027</v>
      </c>
      <c r="C131" s="41" t="s">
        <v>1234</v>
      </c>
      <c r="D131" s="15">
        <v>5958</v>
      </c>
      <c r="E131" s="16">
        <v>87.63</v>
      </c>
      <c r="F131" s="17">
        <v>2.7000000000000001E-3</v>
      </c>
      <c r="G131" s="17"/>
    </row>
    <row r="132" spans="1:7" x14ac:dyDescent="0.35">
      <c r="A132" s="13" t="s">
        <v>2183</v>
      </c>
      <c r="B132" s="41" t="s">
        <v>2184</v>
      </c>
      <c r="C132" s="41" t="s">
        <v>1234</v>
      </c>
      <c r="D132" s="15">
        <v>6526</v>
      </c>
      <c r="E132" s="16">
        <v>86.4</v>
      </c>
      <c r="F132" s="17">
        <v>2.7000000000000001E-3</v>
      </c>
      <c r="G132" s="17"/>
    </row>
    <row r="133" spans="1:7" x14ac:dyDescent="0.35">
      <c r="A133" s="13" t="s">
        <v>1239</v>
      </c>
      <c r="B133" s="41" t="s">
        <v>1240</v>
      </c>
      <c r="C133" s="41" t="s">
        <v>1234</v>
      </c>
      <c r="D133" s="15">
        <v>7068</v>
      </c>
      <c r="E133" s="16">
        <v>86.1</v>
      </c>
      <c r="F133" s="17">
        <v>2.7000000000000001E-3</v>
      </c>
      <c r="G133" s="17"/>
    </row>
    <row r="134" spans="1:7" x14ac:dyDescent="0.35">
      <c r="A134" s="13" t="s">
        <v>1214</v>
      </c>
      <c r="B134" s="41" t="s">
        <v>1215</v>
      </c>
      <c r="C134" s="41" t="s">
        <v>1216</v>
      </c>
      <c r="D134" s="15">
        <v>7552</v>
      </c>
      <c r="E134" s="16">
        <v>85.63</v>
      </c>
      <c r="F134" s="17">
        <v>2.7000000000000001E-3</v>
      </c>
      <c r="G134" s="17"/>
    </row>
    <row r="135" spans="1:7" x14ac:dyDescent="0.35">
      <c r="A135" s="13" t="s">
        <v>1405</v>
      </c>
      <c r="B135" s="41" t="s">
        <v>1406</v>
      </c>
      <c r="C135" s="41" t="s">
        <v>1178</v>
      </c>
      <c r="D135" s="15">
        <v>52090</v>
      </c>
      <c r="E135" s="16">
        <v>85.48</v>
      </c>
      <c r="F135" s="17">
        <v>2.7000000000000001E-3</v>
      </c>
      <c r="G135" s="17"/>
    </row>
    <row r="136" spans="1:7" x14ac:dyDescent="0.35">
      <c r="A136" s="13" t="s">
        <v>1516</v>
      </c>
      <c r="B136" s="41" t="s">
        <v>1517</v>
      </c>
      <c r="C136" s="41" t="s">
        <v>1188</v>
      </c>
      <c r="D136" s="15">
        <v>24255</v>
      </c>
      <c r="E136" s="16">
        <v>84.9</v>
      </c>
      <c r="F136" s="17">
        <v>2.7000000000000001E-3</v>
      </c>
      <c r="G136" s="17"/>
    </row>
    <row r="137" spans="1:7" x14ac:dyDescent="0.35">
      <c r="A137" s="13" t="s">
        <v>2246</v>
      </c>
      <c r="B137" s="41" t="s">
        <v>2247</v>
      </c>
      <c r="C137" s="41" t="s">
        <v>1387</v>
      </c>
      <c r="D137" s="15">
        <v>24334</v>
      </c>
      <c r="E137" s="16">
        <v>83.56</v>
      </c>
      <c r="F137" s="17">
        <v>2.5999999999999999E-3</v>
      </c>
      <c r="G137" s="17"/>
    </row>
    <row r="138" spans="1:7" x14ac:dyDescent="0.35">
      <c r="A138" s="13" t="s">
        <v>1987</v>
      </c>
      <c r="B138" s="41" t="s">
        <v>1988</v>
      </c>
      <c r="C138" s="41" t="s">
        <v>1412</v>
      </c>
      <c r="D138" s="15">
        <v>16778</v>
      </c>
      <c r="E138" s="16">
        <v>83.4</v>
      </c>
      <c r="F138" s="17">
        <v>2.5999999999999999E-3</v>
      </c>
      <c r="G138" s="17"/>
    </row>
    <row r="139" spans="1:7" x14ac:dyDescent="0.35">
      <c r="A139" s="13" t="s">
        <v>1227</v>
      </c>
      <c r="B139" s="41" t="s">
        <v>1228</v>
      </c>
      <c r="C139" s="41" t="s">
        <v>1229</v>
      </c>
      <c r="D139" s="15">
        <v>1194</v>
      </c>
      <c r="E139" s="16">
        <v>83.11</v>
      </c>
      <c r="F139" s="17">
        <v>2.5999999999999999E-3</v>
      </c>
      <c r="G139" s="17"/>
    </row>
    <row r="140" spans="1:7" x14ac:dyDescent="0.35">
      <c r="A140" s="13" t="s">
        <v>1449</v>
      </c>
      <c r="B140" s="41" t="s">
        <v>1450</v>
      </c>
      <c r="C140" s="41" t="s">
        <v>1229</v>
      </c>
      <c r="D140" s="15">
        <v>8626</v>
      </c>
      <c r="E140" s="16">
        <v>82.53</v>
      </c>
      <c r="F140" s="17">
        <v>2.5999999999999999E-3</v>
      </c>
      <c r="G140" s="17"/>
    </row>
    <row r="141" spans="1:7" x14ac:dyDescent="0.35">
      <c r="A141" s="13" t="s">
        <v>1543</v>
      </c>
      <c r="B141" s="41" t="s">
        <v>1544</v>
      </c>
      <c r="C141" s="41" t="s">
        <v>1206</v>
      </c>
      <c r="D141" s="15">
        <v>22482</v>
      </c>
      <c r="E141" s="16">
        <v>81.95</v>
      </c>
      <c r="F141" s="17">
        <v>2.5999999999999999E-3</v>
      </c>
      <c r="G141" s="17"/>
    </row>
    <row r="142" spans="1:7" x14ac:dyDescent="0.35">
      <c r="A142" s="13" t="s">
        <v>1954</v>
      </c>
      <c r="B142" s="41" t="s">
        <v>1955</v>
      </c>
      <c r="C142" s="41" t="s">
        <v>1412</v>
      </c>
      <c r="D142" s="15">
        <v>12932</v>
      </c>
      <c r="E142" s="16">
        <v>80.569999999999993</v>
      </c>
      <c r="F142" s="17">
        <v>2.5000000000000001E-3</v>
      </c>
      <c r="G142" s="17"/>
    </row>
    <row r="143" spans="1:7" x14ac:dyDescent="0.35">
      <c r="A143" s="13" t="s">
        <v>1192</v>
      </c>
      <c r="B143" s="41" t="s">
        <v>1193</v>
      </c>
      <c r="C143" s="41" t="s">
        <v>1191</v>
      </c>
      <c r="D143" s="15">
        <v>1368</v>
      </c>
      <c r="E143" s="16">
        <v>80.17</v>
      </c>
      <c r="F143" s="17">
        <v>2.5000000000000001E-3</v>
      </c>
      <c r="G143" s="17"/>
    </row>
    <row r="144" spans="1:7" x14ac:dyDescent="0.35">
      <c r="A144" s="13" t="s">
        <v>1496</v>
      </c>
      <c r="B144" s="41" t="s">
        <v>1497</v>
      </c>
      <c r="C144" s="41" t="s">
        <v>1211</v>
      </c>
      <c r="D144" s="15">
        <v>4906</v>
      </c>
      <c r="E144" s="16">
        <v>80.05</v>
      </c>
      <c r="F144" s="17">
        <v>2.5000000000000001E-3</v>
      </c>
      <c r="G144" s="17"/>
    </row>
    <row r="145" spans="1:7" x14ac:dyDescent="0.35">
      <c r="A145" s="13" t="s">
        <v>1537</v>
      </c>
      <c r="B145" s="41" t="s">
        <v>1538</v>
      </c>
      <c r="C145" s="41" t="s">
        <v>1369</v>
      </c>
      <c r="D145" s="15">
        <v>1020</v>
      </c>
      <c r="E145" s="16">
        <v>79.150000000000006</v>
      </c>
      <c r="F145" s="17">
        <v>2.5000000000000001E-3</v>
      </c>
      <c r="G145" s="17"/>
    </row>
    <row r="146" spans="1:7" x14ac:dyDescent="0.35">
      <c r="A146" s="13" t="s">
        <v>2248</v>
      </c>
      <c r="B146" s="41" t="s">
        <v>2249</v>
      </c>
      <c r="C146" s="41" t="s">
        <v>1382</v>
      </c>
      <c r="D146" s="15">
        <v>3432</v>
      </c>
      <c r="E146" s="16">
        <v>79.14</v>
      </c>
      <c r="F146" s="17">
        <v>2.5000000000000001E-3</v>
      </c>
      <c r="G146" s="17"/>
    </row>
    <row r="147" spans="1:7" x14ac:dyDescent="0.35">
      <c r="A147" s="13" t="s">
        <v>1956</v>
      </c>
      <c r="B147" s="41" t="s">
        <v>1957</v>
      </c>
      <c r="C147" s="41" t="s">
        <v>1198</v>
      </c>
      <c r="D147" s="15">
        <v>5035</v>
      </c>
      <c r="E147" s="16">
        <v>79.069999999999993</v>
      </c>
      <c r="F147" s="17">
        <v>2.5000000000000001E-3</v>
      </c>
      <c r="G147" s="17"/>
    </row>
    <row r="148" spans="1:7" x14ac:dyDescent="0.35">
      <c r="A148" s="13" t="s">
        <v>2250</v>
      </c>
      <c r="B148" s="41" t="s">
        <v>2251</v>
      </c>
      <c r="C148" s="41" t="s">
        <v>1369</v>
      </c>
      <c r="D148" s="15">
        <v>1475</v>
      </c>
      <c r="E148" s="16">
        <v>78.52</v>
      </c>
      <c r="F148" s="17">
        <v>2.5000000000000001E-3</v>
      </c>
      <c r="G148" s="17"/>
    </row>
    <row r="149" spans="1:7" x14ac:dyDescent="0.35">
      <c r="A149" s="13" t="s">
        <v>2171</v>
      </c>
      <c r="B149" s="41" t="s">
        <v>2172</v>
      </c>
      <c r="C149" s="41" t="s">
        <v>1369</v>
      </c>
      <c r="D149" s="15">
        <v>33118</v>
      </c>
      <c r="E149" s="16">
        <v>78.459999999999994</v>
      </c>
      <c r="F149" s="17">
        <v>2.5000000000000001E-3</v>
      </c>
      <c r="G149" s="17"/>
    </row>
    <row r="150" spans="1:7" x14ac:dyDescent="0.35">
      <c r="A150" s="13" t="s">
        <v>1978</v>
      </c>
      <c r="B150" s="41" t="s">
        <v>1979</v>
      </c>
      <c r="C150" s="41" t="s">
        <v>1288</v>
      </c>
      <c r="D150" s="15">
        <v>5252</v>
      </c>
      <c r="E150" s="16">
        <v>77.55</v>
      </c>
      <c r="F150" s="17">
        <v>2.3999999999999998E-3</v>
      </c>
      <c r="G150" s="17"/>
    </row>
    <row r="151" spans="1:7" x14ac:dyDescent="0.35">
      <c r="A151" s="13" t="s">
        <v>1522</v>
      </c>
      <c r="B151" s="41" t="s">
        <v>1523</v>
      </c>
      <c r="C151" s="41" t="s">
        <v>1324</v>
      </c>
      <c r="D151" s="15">
        <v>5046</v>
      </c>
      <c r="E151" s="16">
        <v>75.23</v>
      </c>
      <c r="F151" s="17">
        <v>2.3999999999999998E-3</v>
      </c>
      <c r="G151" s="17"/>
    </row>
    <row r="152" spans="1:7" x14ac:dyDescent="0.35">
      <c r="A152" s="13" t="s">
        <v>1358</v>
      </c>
      <c r="B152" s="41" t="s">
        <v>1359</v>
      </c>
      <c r="C152" s="41" t="s">
        <v>1360</v>
      </c>
      <c r="D152" s="15">
        <v>15874</v>
      </c>
      <c r="E152" s="16">
        <v>74.81</v>
      </c>
      <c r="F152" s="17">
        <v>2.3E-3</v>
      </c>
      <c r="G152" s="17"/>
    </row>
    <row r="153" spans="1:7" x14ac:dyDescent="0.35">
      <c r="A153" s="13" t="s">
        <v>1372</v>
      </c>
      <c r="B153" s="41" t="s">
        <v>1373</v>
      </c>
      <c r="C153" s="41" t="s">
        <v>1345</v>
      </c>
      <c r="D153" s="15">
        <v>14798</v>
      </c>
      <c r="E153" s="16">
        <v>74.319999999999993</v>
      </c>
      <c r="F153" s="17">
        <v>2.3E-3</v>
      </c>
      <c r="G153" s="17"/>
    </row>
    <row r="154" spans="1:7" x14ac:dyDescent="0.35">
      <c r="A154" s="13" t="s">
        <v>1500</v>
      </c>
      <c r="B154" s="41" t="s">
        <v>1501</v>
      </c>
      <c r="C154" s="41" t="s">
        <v>1369</v>
      </c>
      <c r="D154" s="15">
        <v>7021</v>
      </c>
      <c r="E154" s="16">
        <v>73.150000000000006</v>
      </c>
      <c r="F154" s="17">
        <v>2.3E-3</v>
      </c>
      <c r="G154" s="17"/>
    </row>
    <row r="155" spans="1:7" x14ac:dyDescent="0.35">
      <c r="A155" s="13" t="s">
        <v>1334</v>
      </c>
      <c r="B155" s="41" t="s">
        <v>1335</v>
      </c>
      <c r="C155" s="41" t="s">
        <v>1216</v>
      </c>
      <c r="D155" s="15">
        <v>14578</v>
      </c>
      <c r="E155" s="16">
        <v>72.95</v>
      </c>
      <c r="F155" s="17">
        <v>2.3E-3</v>
      </c>
      <c r="G155" s="17"/>
    </row>
    <row r="156" spans="1:7" x14ac:dyDescent="0.35">
      <c r="A156" s="13" t="s">
        <v>2079</v>
      </c>
      <c r="B156" s="41" t="s">
        <v>2080</v>
      </c>
      <c r="C156" s="41" t="s">
        <v>1412</v>
      </c>
      <c r="D156" s="15">
        <v>39967</v>
      </c>
      <c r="E156" s="16">
        <v>72.239999999999995</v>
      </c>
      <c r="F156" s="17">
        <v>2.3E-3</v>
      </c>
      <c r="G156" s="17"/>
    </row>
    <row r="157" spans="1:7" x14ac:dyDescent="0.35">
      <c r="A157" s="13" t="s">
        <v>1518</v>
      </c>
      <c r="B157" s="41" t="s">
        <v>1519</v>
      </c>
      <c r="C157" s="41" t="s">
        <v>1305</v>
      </c>
      <c r="D157" s="15">
        <v>19478</v>
      </c>
      <c r="E157" s="16">
        <v>71.349999999999994</v>
      </c>
      <c r="F157" s="17">
        <v>2.2000000000000001E-3</v>
      </c>
      <c r="G157" s="17"/>
    </row>
    <row r="158" spans="1:7" x14ac:dyDescent="0.35">
      <c r="A158" s="13" t="s">
        <v>1428</v>
      </c>
      <c r="B158" s="41" t="s">
        <v>1429</v>
      </c>
      <c r="C158" s="41" t="s">
        <v>1206</v>
      </c>
      <c r="D158" s="15">
        <v>43339</v>
      </c>
      <c r="E158" s="16">
        <v>70.75</v>
      </c>
      <c r="F158" s="17">
        <v>2.2000000000000001E-3</v>
      </c>
      <c r="G158" s="17"/>
    </row>
    <row r="159" spans="1:7" x14ac:dyDescent="0.35">
      <c r="A159" s="13" t="s">
        <v>1494</v>
      </c>
      <c r="B159" s="41" t="s">
        <v>1495</v>
      </c>
      <c r="C159" s="41" t="s">
        <v>1224</v>
      </c>
      <c r="D159" s="15">
        <v>3415</v>
      </c>
      <c r="E159" s="16">
        <v>70.540000000000006</v>
      </c>
      <c r="F159" s="17">
        <v>2.2000000000000001E-3</v>
      </c>
      <c r="G159" s="17"/>
    </row>
    <row r="160" spans="1:7" x14ac:dyDescent="0.35">
      <c r="A160" s="13" t="s">
        <v>1410</v>
      </c>
      <c r="B160" s="41" t="s">
        <v>1411</v>
      </c>
      <c r="C160" s="41" t="s">
        <v>1412</v>
      </c>
      <c r="D160" s="15">
        <v>10188</v>
      </c>
      <c r="E160" s="16">
        <v>68.680000000000007</v>
      </c>
      <c r="F160" s="17">
        <v>2.0999999999999999E-3</v>
      </c>
      <c r="G160" s="17"/>
    </row>
    <row r="161" spans="1:7" x14ac:dyDescent="0.35">
      <c r="A161" s="13" t="s">
        <v>2252</v>
      </c>
      <c r="B161" s="41" t="s">
        <v>2253</v>
      </c>
      <c r="C161" s="41" t="s">
        <v>1382</v>
      </c>
      <c r="D161" s="15">
        <v>13866</v>
      </c>
      <c r="E161" s="16">
        <v>68.239999999999995</v>
      </c>
      <c r="F161" s="17">
        <v>2.0999999999999999E-3</v>
      </c>
      <c r="G161" s="17"/>
    </row>
    <row r="162" spans="1:7" x14ac:dyDescent="0.35">
      <c r="A162" s="13" t="s">
        <v>1401</v>
      </c>
      <c r="B162" s="41" t="s">
        <v>1402</v>
      </c>
      <c r="C162" s="41" t="s">
        <v>1211</v>
      </c>
      <c r="D162" s="15">
        <v>12890</v>
      </c>
      <c r="E162" s="16">
        <v>67.84</v>
      </c>
      <c r="F162" s="17">
        <v>2.0999999999999999E-3</v>
      </c>
      <c r="G162" s="17"/>
    </row>
    <row r="163" spans="1:7" x14ac:dyDescent="0.35">
      <c r="A163" s="13" t="s">
        <v>1888</v>
      </c>
      <c r="B163" s="41" t="s">
        <v>1889</v>
      </c>
      <c r="C163" s="41" t="s">
        <v>1280</v>
      </c>
      <c r="D163" s="15">
        <v>7619</v>
      </c>
      <c r="E163" s="16">
        <v>66.900000000000006</v>
      </c>
      <c r="F163" s="17">
        <v>2.0999999999999999E-3</v>
      </c>
      <c r="G163" s="17"/>
    </row>
    <row r="164" spans="1:7" x14ac:dyDescent="0.35">
      <c r="A164" s="13" t="s">
        <v>2254</v>
      </c>
      <c r="B164" s="41" t="s">
        <v>2255</v>
      </c>
      <c r="C164" s="41" t="s">
        <v>1288</v>
      </c>
      <c r="D164" s="15">
        <v>1664</v>
      </c>
      <c r="E164" s="16">
        <v>66.38</v>
      </c>
      <c r="F164" s="17">
        <v>2.0999999999999999E-3</v>
      </c>
      <c r="G164" s="17"/>
    </row>
    <row r="165" spans="1:7" x14ac:dyDescent="0.35">
      <c r="A165" s="13" t="s">
        <v>1374</v>
      </c>
      <c r="B165" s="41" t="s">
        <v>1375</v>
      </c>
      <c r="C165" s="41" t="s">
        <v>1178</v>
      </c>
      <c r="D165" s="15">
        <v>21519</v>
      </c>
      <c r="E165" s="16">
        <v>64.430000000000007</v>
      </c>
      <c r="F165" s="17">
        <v>2E-3</v>
      </c>
      <c r="G165" s="17"/>
    </row>
    <row r="166" spans="1:7" x14ac:dyDescent="0.35">
      <c r="A166" s="13" t="s">
        <v>1533</v>
      </c>
      <c r="B166" s="41" t="s">
        <v>1534</v>
      </c>
      <c r="C166" s="41" t="s">
        <v>1369</v>
      </c>
      <c r="D166" s="15">
        <v>1076</v>
      </c>
      <c r="E166" s="16">
        <v>64.290000000000006</v>
      </c>
      <c r="F166" s="17">
        <v>2E-3</v>
      </c>
      <c r="G166" s="17"/>
    </row>
    <row r="167" spans="1:7" x14ac:dyDescent="0.35">
      <c r="A167" s="13" t="s">
        <v>1325</v>
      </c>
      <c r="B167" s="41" t="s">
        <v>1326</v>
      </c>
      <c r="C167" s="41" t="s">
        <v>1211</v>
      </c>
      <c r="D167" s="15">
        <v>16889</v>
      </c>
      <c r="E167" s="16">
        <v>64.069999999999993</v>
      </c>
      <c r="F167" s="17">
        <v>2E-3</v>
      </c>
      <c r="G167" s="17"/>
    </row>
    <row r="168" spans="1:7" x14ac:dyDescent="0.35">
      <c r="A168" s="13" t="s">
        <v>1808</v>
      </c>
      <c r="B168" s="41" t="s">
        <v>1809</v>
      </c>
      <c r="C168" s="41" t="s">
        <v>1266</v>
      </c>
      <c r="D168" s="15">
        <v>1708</v>
      </c>
      <c r="E168" s="16">
        <v>63.02</v>
      </c>
      <c r="F168" s="17">
        <v>2E-3</v>
      </c>
      <c r="G168" s="17"/>
    </row>
    <row r="169" spans="1:7" x14ac:dyDescent="0.35">
      <c r="A169" s="13" t="s">
        <v>1380</v>
      </c>
      <c r="B169" s="41" t="s">
        <v>1381</v>
      </c>
      <c r="C169" s="41" t="s">
        <v>1382</v>
      </c>
      <c r="D169" s="15">
        <v>19503</v>
      </c>
      <c r="E169" s="16">
        <v>62.72</v>
      </c>
      <c r="F169" s="17">
        <v>2E-3</v>
      </c>
      <c r="G169" s="17"/>
    </row>
    <row r="170" spans="1:7" x14ac:dyDescent="0.35">
      <c r="A170" s="13" t="s">
        <v>2256</v>
      </c>
      <c r="B170" s="41" t="s">
        <v>2257</v>
      </c>
      <c r="C170" s="41" t="s">
        <v>1355</v>
      </c>
      <c r="D170" s="15">
        <v>11891</v>
      </c>
      <c r="E170" s="16">
        <v>62.66</v>
      </c>
      <c r="F170" s="17">
        <v>2E-3</v>
      </c>
      <c r="G170" s="17"/>
    </row>
    <row r="171" spans="1:7" x14ac:dyDescent="0.35">
      <c r="A171" s="13" t="s">
        <v>1818</v>
      </c>
      <c r="B171" s="41" t="s">
        <v>1819</v>
      </c>
      <c r="C171" s="41" t="s">
        <v>1382</v>
      </c>
      <c r="D171" s="15">
        <v>1725</v>
      </c>
      <c r="E171" s="16">
        <v>62.48</v>
      </c>
      <c r="F171" s="17">
        <v>2E-3</v>
      </c>
      <c r="G171" s="17"/>
    </row>
    <row r="172" spans="1:7" x14ac:dyDescent="0.35">
      <c r="A172" s="13" t="s">
        <v>2258</v>
      </c>
      <c r="B172" s="41" t="s">
        <v>2259</v>
      </c>
      <c r="C172" s="41" t="s">
        <v>1305</v>
      </c>
      <c r="D172" s="15">
        <v>45758</v>
      </c>
      <c r="E172" s="16">
        <v>61.95</v>
      </c>
      <c r="F172" s="17">
        <v>1.9E-3</v>
      </c>
      <c r="G172" s="17"/>
    </row>
    <row r="173" spans="1:7" x14ac:dyDescent="0.35">
      <c r="A173" s="13" t="s">
        <v>1814</v>
      </c>
      <c r="B173" s="41" t="s">
        <v>1815</v>
      </c>
      <c r="C173" s="41" t="s">
        <v>1234</v>
      </c>
      <c r="D173" s="15">
        <v>224</v>
      </c>
      <c r="E173" s="16">
        <v>61.75</v>
      </c>
      <c r="F173" s="17">
        <v>1.9E-3</v>
      </c>
      <c r="G173" s="17"/>
    </row>
    <row r="174" spans="1:7" x14ac:dyDescent="0.35">
      <c r="A174" s="13" t="s">
        <v>2260</v>
      </c>
      <c r="B174" s="41" t="s">
        <v>2261</v>
      </c>
      <c r="C174" s="41" t="s">
        <v>1272</v>
      </c>
      <c r="D174" s="15">
        <v>5555</v>
      </c>
      <c r="E174" s="16">
        <v>61.32</v>
      </c>
      <c r="F174" s="17">
        <v>1.9E-3</v>
      </c>
      <c r="G174" s="17"/>
    </row>
    <row r="175" spans="1:7" x14ac:dyDescent="0.35">
      <c r="A175" s="13" t="s">
        <v>1340</v>
      </c>
      <c r="B175" s="41" t="s">
        <v>2187</v>
      </c>
      <c r="C175" s="41" t="s">
        <v>1342</v>
      </c>
      <c r="D175" s="15">
        <v>3021</v>
      </c>
      <c r="E175" s="16">
        <v>61.04</v>
      </c>
      <c r="F175" s="17">
        <v>1.9E-3</v>
      </c>
      <c r="G175" s="17"/>
    </row>
    <row r="176" spans="1:7" x14ac:dyDescent="0.35">
      <c r="A176" s="13" t="s">
        <v>1447</v>
      </c>
      <c r="B176" s="41" t="s">
        <v>1448</v>
      </c>
      <c r="C176" s="41" t="s">
        <v>1285</v>
      </c>
      <c r="D176" s="15">
        <v>3951</v>
      </c>
      <c r="E176" s="16">
        <v>60.77</v>
      </c>
      <c r="F176" s="17">
        <v>1.9E-3</v>
      </c>
      <c r="G176" s="17"/>
    </row>
    <row r="177" spans="1:7" x14ac:dyDescent="0.35">
      <c r="A177" s="13" t="s">
        <v>2262</v>
      </c>
      <c r="B177" s="41" t="s">
        <v>2263</v>
      </c>
      <c r="C177" s="41" t="s">
        <v>1436</v>
      </c>
      <c r="D177" s="15">
        <v>3628</v>
      </c>
      <c r="E177" s="16">
        <v>60.22</v>
      </c>
      <c r="F177" s="17">
        <v>1.9E-3</v>
      </c>
      <c r="G177" s="17"/>
    </row>
    <row r="178" spans="1:7" x14ac:dyDescent="0.35">
      <c r="A178" s="13" t="s">
        <v>1383</v>
      </c>
      <c r="B178" s="41" t="s">
        <v>1384</v>
      </c>
      <c r="C178" s="41" t="s">
        <v>1201</v>
      </c>
      <c r="D178" s="15">
        <v>16506</v>
      </c>
      <c r="E178" s="16">
        <v>59.69</v>
      </c>
      <c r="F178" s="17">
        <v>1.9E-3</v>
      </c>
      <c r="G178" s="17"/>
    </row>
    <row r="179" spans="1:7" x14ac:dyDescent="0.35">
      <c r="A179" s="13" t="s">
        <v>1490</v>
      </c>
      <c r="B179" s="41" t="s">
        <v>1491</v>
      </c>
      <c r="C179" s="41" t="s">
        <v>1382</v>
      </c>
      <c r="D179" s="15">
        <v>51516</v>
      </c>
      <c r="E179" s="16">
        <v>58.16</v>
      </c>
      <c r="F179" s="17">
        <v>1.8E-3</v>
      </c>
      <c r="G179" s="17"/>
    </row>
    <row r="180" spans="1:7" x14ac:dyDescent="0.35">
      <c r="A180" s="13" t="s">
        <v>2264</v>
      </c>
      <c r="B180" s="41" t="s">
        <v>2265</v>
      </c>
      <c r="C180" s="41" t="s">
        <v>1333</v>
      </c>
      <c r="D180" s="15">
        <v>724</v>
      </c>
      <c r="E180" s="16">
        <v>57.88</v>
      </c>
      <c r="F180" s="17">
        <v>1.8E-3</v>
      </c>
      <c r="G180" s="17"/>
    </row>
    <row r="181" spans="1:7" x14ac:dyDescent="0.35">
      <c r="A181" s="13" t="s">
        <v>1919</v>
      </c>
      <c r="B181" s="41" t="s">
        <v>1920</v>
      </c>
      <c r="C181" s="41" t="s">
        <v>1178</v>
      </c>
      <c r="D181" s="15">
        <v>39105</v>
      </c>
      <c r="E181" s="16">
        <v>57.65</v>
      </c>
      <c r="F181" s="17">
        <v>1.8E-3</v>
      </c>
      <c r="G181" s="17"/>
    </row>
    <row r="182" spans="1:7" x14ac:dyDescent="0.35">
      <c r="A182" s="13" t="s">
        <v>2266</v>
      </c>
      <c r="B182" s="41" t="s">
        <v>2267</v>
      </c>
      <c r="C182" s="41" t="s">
        <v>1178</v>
      </c>
      <c r="D182" s="15">
        <v>87285</v>
      </c>
      <c r="E182" s="16">
        <v>56.97</v>
      </c>
      <c r="F182" s="17">
        <v>1.8E-3</v>
      </c>
      <c r="G182" s="17"/>
    </row>
    <row r="183" spans="1:7" x14ac:dyDescent="0.35">
      <c r="A183" s="13" t="s">
        <v>2268</v>
      </c>
      <c r="B183" s="41" t="s">
        <v>2269</v>
      </c>
      <c r="C183" s="41" t="s">
        <v>1201</v>
      </c>
      <c r="D183" s="15">
        <v>12203</v>
      </c>
      <c r="E183" s="16">
        <v>56.49</v>
      </c>
      <c r="F183" s="17">
        <v>1.8E-3</v>
      </c>
      <c r="G183" s="17"/>
    </row>
    <row r="184" spans="1:7" x14ac:dyDescent="0.35">
      <c r="A184" s="13" t="s">
        <v>1565</v>
      </c>
      <c r="B184" s="41" t="s">
        <v>1566</v>
      </c>
      <c r="C184" s="41" t="s">
        <v>1266</v>
      </c>
      <c r="D184" s="15">
        <v>4507</v>
      </c>
      <c r="E184" s="16">
        <v>56.31</v>
      </c>
      <c r="F184" s="17">
        <v>1.8E-3</v>
      </c>
      <c r="G184" s="17"/>
    </row>
    <row r="185" spans="1:7" x14ac:dyDescent="0.35">
      <c r="A185" s="13" t="s">
        <v>2270</v>
      </c>
      <c r="B185" s="41" t="s">
        <v>2271</v>
      </c>
      <c r="C185" s="41" t="s">
        <v>1221</v>
      </c>
      <c r="D185" s="15">
        <v>1807</v>
      </c>
      <c r="E185" s="16">
        <v>55.18</v>
      </c>
      <c r="F185" s="17">
        <v>1.6999999999999999E-3</v>
      </c>
      <c r="G185" s="17"/>
    </row>
    <row r="186" spans="1:7" x14ac:dyDescent="0.35">
      <c r="A186" s="13" t="s">
        <v>1539</v>
      </c>
      <c r="B186" s="41" t="s">
        <v>1540</v>
      </c>
      <c r="C186" s="41" t="s">
        <v>1211</v>
      </c>
      <c r="D186" s="15">
        <v>502</v>
      </c>
      <c r="E186" s="16">
        <v>54.22</v>
      </c>
      <c r="F186" s="17">
        <v>1.6999999999999999E-3</v>
      </c>
      <c r="G186" s="17"/>
    </row>
    <row r="187" spans="1:7" x14ac:dyDescent="0.35">
      <c r="A187" s="13" t="s">
        <v>2272</v>
      </c>
      <c r="B187" s="41" t="s">
        <v>2273</v>
      </c>
      <c r="C187" s="41" t="s">
        <v>1221</v>
      </c>
      <c r="D187" s="15">
        <v>902</v>
      </c>
      <c r="E187" s="16">
        <v>54.18</v>
      </c>
      <c r="F187" s="17">
        <v>1.6999999999999999E-3</v>
      </c>
      <c r="G187" s="17"/>
    </row>
    <row r="188" spans="1:7" x14ac:dyDescent="0.35">
      <c r="A188" s="13" t="s">
        <v>1407</v>
      </c>
      <c r="B188" s="41" t="s">
        <v>1408</v>
      </c>
      <c r="C188" s="41" t="s">
        <v>1409</v>
      </c>
      <c r="D188" s="15">
        <v>4668</v>
      </c>
      <c r="E188" s="16">
        <v>53.87</v>
      </c>
      <c r="F188" s="17">
        <v>1.6999999999999999E-3</v>
      </c>
      <c r="G188" s="17"/>
    </row>
    <row r="189" spans="1:7" x14ac:dyDescent="0.35">
      <c r="A189" s="13" t="s">
        <v>2274</v>
      </c>
      <c r="B189" s="41" t="s">
        <v>2275</v>
      </c>
      <c r="C189" s="41" t="s">
        <v>1355</v>
      </c>
      <c r="D189" s="15">
        <v>30069</v>
      </c>
      <c r="E189" s="16">
        <v>53.49</v>
      </c>
      <c r="F189" s="17">
        <v>1.6999999999999999E-3</v>
      </c>
      <c r="G189" s="17"/>
    </row>
    <row r="190" spans="1:7" x14ac:dyDescent="0.35">
      <c r="A190" s="13" t="s">
        <v>1320</v>
      </c>
      <c r="B190" s="41" t="s">
        <v>1321</v>
      </c>
      <c r="C190" s="41" t="s">
        <v>1211</v>
      </c>
      <c r="D190" s="15">
        <v>14488</v>
      </c>
      <c r="E190" s="16">
        <v>52.75</v>
      </c>
      <c r="F190" s="17">
        <v>1.6999999999999999E-3</v>
      </c>
      <c r="G190" s="17"/>
    </row>
    <row r="191" spans="1:7" x14ac:dyDescent="0.35">
      <c r="A191" s="13" t="s">
        <v>1353</v>
      </c>
      <c r="B191" s="41" t="s">
        <v>1354</v>
      </c>
      <c r="C191" s="41" t="s">
        <v>1355</v>
      </c>
      <c r="D191" s="15">
        <v>31288</v>
      </c>
      <c r="E191" s="16">
        <v>52.34</v>
      </c>
      <c r="F191" s="17">
        <v>1.6000000000000001E-3</v>
      </c>
      <c r="G191" s="17"/>
    </row>
    <row r="192" spans="1:7" x14ac:dyDescent="0.35">
      <c r="A192" s="13" t="s">
        <v>1219</v>
      </c>
      <c r="B192" s="41" t="s">
        <v>1220</v>
      </c>
      <c r="C192" s="41" t="s">
        <v>1221</v>
      </c>
      <c r="D192" s="15">
        <v>3602</v>
      </c>
      <c r="E192" s="16">
        <v>51.55</v>
      </c>
      <c r="F192" s="17">
        <v>1.6000000000000001E-3</v>
      </c>
      <c r="G192" s="17"/>
    </row>
    <row r="193" spans="1:7" x14ac:dyDescent="0.35">
      <c r="A193" s="13" t="s">
        <v>1529</v>
      </c>
      <c r="B193" s="41" t="s">
        <v>1530</v>
      </c>
      <c r="C193" s="41" t="s">
        <v>1185</v>
      </c>
      <c r="D193" s="15">
        <v>2808</v>
      </c>
      <c r="E193" s="16">
        <v>50.94</v>
      </c>
      <c r="F193" s="17">
        <v>1.6000000000000001E-3</v>
      </c>
      <c r="G193" s="17"/>
    </row>
    <row r="194" spans="1:7" x14ac:dyDescent="0.35">
      <c r="A194" s="13" t="s">
        <v>2090</v>
      </c>
      <c r="B194" s="41" t="s">
        <v>2091</v>
      </c>
      <c r="C194" s="41" t="s">
        <v>1234</v>
      </c>
      <c r="D194" s="15">
        <v>1806</v>
      </c>
      <c r="E194" s="16">
        <v>50.24</v>
      </c>
      <c r="F194" s="17">
        <v>1.6000000000000001E-3</v>
      </c>
      <c r="G194" s="17"/>
    </row>
    <row r="195" spans="1:7" x14ac:dyDescent="0.35">
      <c r="A195" s="13" t="s">
        <v>1894</v>
      </c>
      <c r="B195" s="41" t="s">
        <v>1895</v>
      </c>
      <c r="C195" s="41" t="s">
        <v>1185</v>
      </c>
      <c r="D195" s="15">
        <v>13255</v>
      </c>
      <c r="E195" s="16">
        <v>50.11</v>
      </c>
      <c r="F195" s="17">
        <v>1.6000000000000001E-3</v>
      </c>
      <c r="G195" s="17"/>
    </row>
    <row r="196" spans="1:7" x14ac:dyDescent="0.35">
      <c r="A196" s="13" t="s">
        <v>1327</v>
      </c>
      <c r="B196" s="41" t="s">
        <v>1328</v>
      </c>
      <c r="C196" s="41" t="s">
        <v>1178</v>
      </c>
      <c r="D196" s="15">
        <v>39994</v>
      </c>
      <c r="E196" s="16">
        <v>50.07</v>
      </c>
      <c r="F196" s="17">
        <v>1.6000000000000001E-3</v>
      </c>
      <c r="G196" s="17"/>
    </row>
    <row r="197" spans="1:7" x14ac:dyDescent="0.35">
      <c r="A197" s="13" t="s">
        <v>1898</v>
      </c>
      <c r="B197" s="41" t="s">
        <v>1899</v>
      </c>
      <c r="C197" s="41" t="s">
        <v>1280</v>
      </c>
      <c r="D197" s="15">
        <v>6644</v>
      </c>
      <c r="E197" s="16">
        <v>50.07</v>
      </c>
      <c r="F197" s="17">
        <v>1.6000000000000001E-3</v>
      </c>
      <c r="G197" s="17"/>
    </row>
    <row r="198" spans="1:7" x14ac:dyDescent="0.35">
      <c r="A198" s="13" t="s">
        <v>1941</v>
      </c>
      <c r="B198" s="41" t="s">
        <v>1942</v>
      </c>
      <c r="C198" s="41" t="s">
        <v>1198</v>
      </c>
      <c r="D198" s="15">
        <v>3224</v>
      </c>
      <c r="E198" s="16">
        <v>49.8</v>
      </c>
      <c r="F198" s="17">
        <v>1.6000000000000001E-3</v>
      </c>
      <c r="G198" s="17"/>
    </row>
    <row r="199" spans="1:7" x14ac:dyDescent="0.35">
      <c r="A199" s="13" t="s">
        <v>1510</v>
      </c>
      <c r="B199" s="41" t="s">
        <v>1511</v>
      </c>
      <c r="C199" s="41" t="s">
        <v>1261</v>
      </c>
      <c r="D199" s="15">
        <v>4334</v>
      </c>
      <c r="E199" s="16">
        <v>49.06</v>
      </c>
      <c r="F199" s="17">
        <v>1.5E-3</v>
      </c>
      <c r="G199" s="17"/>
    </row>
    <row r="200" spans="1:7" x14ac:dyDescent="0.35">
      <c r="A200" s="13" t="s">
        <v>2276</v>
      </c>
      <c r="B200" s="41" t="s">
        <v>2277</v>
      </c>
      <c r="C200" s="41" t="s">
        <v>1211</v>
      </c>
      <c r="D200" s="15">
        <v>1045</v>
      </c>
      <c r="E200" s="16">
        <v>48.74</v>
      </c>
      <c r="F200" s="17">
        <v>1.5E-3</v>
      </c>
      <c r="G200" s="17"/>
    </row>
    <row r="201" spans="1:7" x14ac:dyDescent="0.35">
      <c r="A201" s="13" t="s">
        <v>2278</v>
      </c>
      <c r="B201" s="41" t="s">
        <v>2279</v>
      </c>
      <c r="C201" s="41" t="s">
        <v>1221</v>
      </c>
      <c r="D201" s="15">
        <v>2944</v>
      </c>
      <c r="E201" s="16">
        <v>48.36</v>
      </c>
      <c r="F201" s="17">
        <v>1.5E-3</v>
      </c>
      <c r="G201" s="17"/>
    </row>
    <row r="202" spans="1:7" x14ac:dyDescent="0.35">
      <c r="A202" s="13" t="s">
        <v>2280</v>
      </c>
      <c r="B202" s="41" t="s">
        <v>2281</v>
      </c>
      <c r="C202" s="41" t="s">
        <v>1849</v>
      </c>
      <c r="D202" s="15">
        <v>1425</v>
      </c>
      <c r="E202" s="16">
        <v>48.18</v>
      </c>
      <c r="F202" s="17">
        <v>1.5E-3</v>
      </c>
      <c r="G202" s="17"/>
    </row>
    <row r="203" spans="1:7" x14ac:dyDescent="0.35">
      <c r="A203" s="13" t="s">
        <v>1232</v>
      </c>
      <c r="B203" s="41" t="s">
        <v>1233</v>
      </c>
      <c r="C203" s="41" t="s">
        <v>1234</v>
      </c>
      <c r="D203" s="15">
        <v>1213</v>
      </c>
      <c r="E203" s="16">
        <v>48.04</v>
      </c>
      <c r="F203" s="17">
        <v>1.5E-3</v>
      </c>
      <c r="G203" s="17"/>
    </row>
    <row r="204" spans="1:7" x14ac:dyDescent="0.35">
      <c r="A204" s="13" t="s">
        <v>2120</v>
      </c>
      <c r="B204" s="41" t="s">
        <v>2121</v>
      </c>
      <c r="C204" s="41" t="s">
        <v>1333</v>
      </c>
      <c r="D204" s="15">
        <v>1661</v>
      </c>
      <c r="E204" s="16">
        <v>47.8</v>
      </c>
      <c r="F204" s="17">
        <v>1.5E-3</v>
      </c>
      <c r="G204" s="17"/>
    </row>
    <row r="205" spans="1:7" x14ac:dyDescent="0.35">
      <c r="A205" s="13" t="s">
        <v>2282</v>
      </c>
      <c r="B205" s="41" t="s">
        <v>2283</v>
      </c>
      <c r="C205" s="41" t="s">
        <v>1409</v>
      </c>
      <c r="D205" s="15">
        <v>405</v>
      </c>
      <c r="E205" s="16">
        <v>47.65</v>
      </c>
      <c r="F205" s="17">
        <v>1.5E-3</v>
      </c>
      <c r="G205" s="17"/>
    </row>
    <row r="206" spans="1:7" x14ac:dyDescent="0.35">
      <c r="A206" s="13" t="s">
        <v>1524</v>
      </c>
      <c r="B206" s="41" t="s">
        <v>1525</v>
      </c>
      <c r="C206" s="41" t="s">
        <v>1526</v>
      </c>
      <c r="D206" s="15">
        <v>7356</v>
      </c>
      <c r="E206" s="16">
        <v>47.52</v>
      </c>
      <c r="F206" s="17">
        <v>1.5E-3</v>
      </c>
      <c r="G206" s="17"/>
    </row>
    <row r="207" spans="1:7" x14ac:dyDescent="0.35">
      <c r="A207" s="13" t="s">
        <v>1322</v>
      </c>
      <c r="B207" s="41" t="s">
        <v>1323</v>
      </c>
      <c r="C207" s="41" t="s">
        <v>1324</v>
      </c>
      <c r="D207" s="15">
        <v>7441</v>
      </c>
      <c r="E207" s="16">
        <v>47.31</v>
      </c>
      <c r="F207" s="17">
        <v>1.5E-3</v>
      </c>
      <c r="G207" s="17"/>
    </row>
    <row r="208" spans="1:7" x14ac:dyDescent="0.35">
      <c r="A208" s="13" t="s">
        <v>1461</v>
      </c>
      <c r="B208" s="41" t="s">
        <v>1462</v>
      </c>
      <c r="C208" s="41" t="s">
        <v>1360</v>
      </c>
      <c r="D208" s="15">
        <v>3426</v>
      </c>
      <c r="E208" s="16">
        <v>46.68</v>
      </c>
      <c r="F208" s="17">
        <v>1.5E-3</v>
      </c>
      <c r="G208" s="17"/>
    </row>
    <row r="209" spans="1:7" x14ac:dyDescent="0.35">
      <c r="A209" s="13" t="s">
        <v>1498</v>
      </c>
      <c r="B209" s="41" t="s">
        <v>1499</v>
      </c>
      <c r="C209" s="41" t="s">
        <v>1333</v>
      </c>
      <c r="D209" s="15">
        <v>7965</v>
      </c>
      <c r="E209" s="16">
        <v>46.52</v>
      </c>
      <c r="F209" s="17">
        <v>1.5E-3</v>
      </c>
      <c r="G209" s="17"/>
    </row>
    <row r="210" spans="1:7" x14ac:dyDescent="0.35">
      <c r="A210" s="13" t="s">
        <v>2284</v>
      </c>
      <c r="B210" s="41" t="s">
        <v>2285</v>
      </c>
      <c r="C210" s="41" t="s">
        <v>1360</v>
      </c>
      <c r="D210" s="15">
        <v>3096</v>
      </c>
      <c r="E210" s="16">
        <v>45.46</v>
      </c>
      <c r="F210" s="17">
        <v>1.4E-3</v>
      </c>
      <c r="G210" s="17"/>
    </row>
    <row r="211" spans="1:7" x14ac:dyDescent="0.35">
      <c r="A211" s="13" t="s">
        <v>2286</v>
      </c>
      <c r="B211" s="41" t="s">
        <v>2287</v>
      </c>
      <c r="C211" s="41" t="s">
        <v>1211</v>
      </c>
      <c r="D211" s="15">
        <v>34103</v>
      </c>
      <c r="E211" s="16">
        <v>45.04</v>
      </c>
      <c r="F211" s="17">
        <v>1.4E-3</v>
      </c>
      <c r="G211" s="17"/>
    </row>
    <row r="212" spans="1:7" x14ac:dyDescent="0.35">
      <c r="A212" s="13" t="s">
        <v>2288</v>
      </c>
      <c r="B212" s="41" t="s">
        <v>2289</v>
      </c>
      <c r="C212" s="41" t="s">
        <v>1369</v>
      </c>
      <c r="D212" s="15">
        <v>6363</v>
      </c>
      <c r="E212" s="16">
        <v>44.39</v>
      </c>
      <c r="F212" s="17">
        <v>1.4E-3</v>
      </c>
      <c r="G212" s="17"/>
    </row>
    <row r="213" spans="1:7" x14ac:dyDescent="0.35">
      <c r="A213" s="13" t="s">
        <v>2290</v>
      </c>
      <c r="B213" s="41" t="s">
        <v>2291</v>
      </c>
      <c r="C213" s="41" t="s">
        <v>1526</v>
      </c>
      <c r="D213" s="15">
        <v>1181</v>
      </c>
      <c r="E213" s="16">
        <v>43.97</v>
      </c>
      <c r="F213" s="17">
        <v>1.4E-3</v>
      </c>
      <c r="G213" s="17"/>
    </row>
    <row r="214" spans="1:7" x14ac:dyDescent="0.35">
      <c r="A214" s="13" t="s">
        <v>1991</v>
      </c>
      <c r="B214" s="41" t="s">
        <v>1992</v>
      </c>
      <c r="C214" s="41" t="s">
        <v>1855</v>
      </c>
      <c r="D214" s="15">
        <v>4946</v>
      </c>
      <c r="E214" s="16">
        <v>43.01</v>
      </c>
      <c r="F214" s="17">
        <v>1.2999999999999999E-3</v>
      </c>
      <c r="G214" s="17"/>
    </row>
    <row r="215" spans="1:7" x14ac:dyDescent="0.35">
      <c r="A215" s="13" t="s">
        <v>2292</v>
      </c>
      <c r="B215" s="41" t="s">
        <v>2293</v>
      </c>
      <c r="C215" s="41" t="s">
        <v>1224</v>
      </c>
      <c r="D215" s="15">
        <v>2615</v>
      </c>
      <c r="E215" s="16">
        <v>42.8</v>
      </c>
      <c r="F215" s="17">
        <v>1.2999999999999999E-3</v>
      </c>
      <c r="G215" s="17"/>
    </row>
    <row r="216" spans="1:7" x14ac:dyDescent="0.35">
      <c r="A216" s="13" t="s">
        <v>2294</v>
      </c>
      <c r="B216" s="41" t="s">
        <v>2295</v>
      </c>
      <c r="C216" s="41" t="s">
        <v>1216</v>
      </c>
      <c r="D216" s="15">
        <v>19959</v>
      </c>
      <c r="E216" s="16">
        <v>42.71</v>
      </c>
      <c r="F216" s="17">
        <v>1.2999999999999999E-3</v>
      </c>
      <c r="G216" s="17"/>
    </row>
    <row r="217" spans="1:7" x14ac:dyDescent="0.35">
      <c r="A217" s="13" t="s">
        <v>2296</v>
      </c>
      <c r="B217" s="41" t="s">
        <v>2297</v>
      </c>
      <c r="C217" s="41" t="s">
        <v>1234</v>
      </c>
      <c r="D217" s="15">
        <v>1773</v>
      </c>
      <c r="E217" s="16">
        <v>42.58</v>
      </c>
      <c r="F217" s="17">
        <v>1.2999999999999999E-3</v>
      </c>
      <c r="G217" s="17"/>
    </row>
    <row r="218" spans="1:7" x14ac:dyDescent="0.35">
      <c r="A218" s="13" t="s">
        <v>1245</v>
      </c>
      <c r="B218" s="41" t="s">
        <v>1246</v>
      </c>
      <c r="C218" s="41" t="s">
        <v>1224</v>
      </c>
      <c r="D218" s="15">
        <v>155</v>
      </c>
      <c r="E218" s="16">
        <v>41.83</v>
      </c>
      <c r="F218" s="17">
        <v>1.2999999999999999E-3</v>
      </c>
      <c r="G218" s="17"/>
    </row>
    <row r="219" spans="1:7" x14ac:dyDescent="0.35">
      <c r="A219" s="13" t="s">
        <v>2298</v>
      </c>
      <c r="B219" s="41" t="s">
        <v>2299</v>
      </c>
      <c r="C219" s="41" t="s">
        <v>2300</v>
      </c>
      <c r="D219" s="15">
        <v>121</v>
      </c>
      <c r="E219" s="16">
        <v>41.61</v>
      </c>
      <c r="F219" s="17">
        <v>1.2999999999999999E-3</v>
      </c>
      <c r="G219" s="17"/>
    </row>
    <row r="220" spans="1:7" x14ac:dyDescent="0.35">
      <c r="A220" s="13" t="s">
        <v>1422</v>
      </c>
      <c r="B220" s="41" t="s">
        <v>1423</v>
      </c>
      <c r="C220" s="41" t="s">
        <v>1211</v>
      </c>
      <c r="D220" s="15">
        <v>21513</v>
      </c>
      <c r="E220" s="16">
        <v>41.23</v>
      </c>
      <c r="F220" s="17">
        <v>1.2999999999999999E-3</v>
      </c>
      <c r="G220" s="17"/>
    </row>
    <row r="221" spans="1:7" x14ac:dyDescent="0.35">
      <c r="A221" s="13" t="s">
        <v>1557</v>
      </c>
      <c r="B221" s="41" t="s">
        <v>1558</v>
      </c>
      <c r="C221" s="41" t="s">
        <v>1229</v>
      </c>
      <c r="D221" s="15">
        <v>8134</v>
      </c>
      <c r="E221" s="16">
        <v>38.51</v>
      </c>
      <c r="F221" s="17">
        <v>1.1999999999999999E-3</v>
      </c>
      <c r="G221" s="17"/>
    </row>
    <row r="222" spans="1:7" x14ac:dyDescent="0.35">
      <c r="A222" s="13" t="s">
        <v>2301</v>
      </c>
      <c r="B222" s="41" t="s">
        <v>2302</v>
      </c>
      <c r="C222" s="41" t="s">
        <v>1229</v>
      </c>
      <c r="D222" s="15">
        <v>3629</v>
      </c>
      <c r="E222" s="16">
        <v>38.24</v>
      </c>
      <c r="F222" s="17">
        <v>1.1999999999999999E-3</v>
      </c>
      <c r="G222" s="17"/>
    </row>
    <row r="223" spans="1:7" x14ac:dyDescent="0.35">
      <c r="A223" s="13" t="s">
        <v>1338</v>
      </c>
      <c r="B223" s="41" t="s">
        <v>1339</v>
      </c>
      <c r="C223" s="41" t="s">
        <v>1221</v>
      </c>
      <c r="D223" s="15">
        <v>283</v>
      </c>
      <c r="E223" s="16">
        <v>38.15</v>
      </c>
      <c r="F223" s="17">
        <v>1.1999999999999999E-3</v>
      </c>
      <c r="G223" s="17"/>
    </row>
    <row r="224" spans="1:7" x14ac:dyDescent="0.35">
      <c r="A224" s="13" t="s">
        <v>1430</v>
      </c>
      <c r="B224" s="41" t="s">
        <v>1431</v>
      </c>
      <c r="C224" s="41" t="s">
        <v>1201</v>
      </c>
      <c r="D224" s="15">
        <v>2925</v>
      </c>
      <c r="E224" s="16">
        <v>37.590000000000003</v>
      </c>
      <c r="F224" s="17">
        <v>1.1999999999999999E-3</v>
      </c>
      <c r="G224" s="17"/>
    </row>
    <row r="225" spans="1:7" x14ac:dyDescent="0.35">
      <c r="A225" s="13" t="s">
        <v>1551</v>
      </c>
      <c r="B225" s="41" t="s">
        <v>1552</v>
      </c>
      <c r="C225" s="41" t="s">
        <v>1382</v>
      </c>
      <c r="D225" s="15">
        <v>101</v>
      </c>
      <c r="E225" s="16">
        <v>36.9</v>
      </c>
      <c r="F225" s="17">
        <v>1.1999999999999999E-3</v>
      </c>
      <c r="G225" s="17"/>
    </row>
    <row r="226" spans="1:7" x14ac:dyDescent="0.35">
      <c r="A226" s="13" t="s">
        <v>1933</v>
      </c>
      <c r="B226" s="41" t="s">
        <v>1934</v>
      </c>
      <c r="C226" s="41" t="s">
        <v>1382</v>
      </c>
      <c r="D226" s="15">
        <v>1512</v>
      </c>
      <c r="E226" s="16">
        <v>36.69</v>
      </c>
      <c r="F226" s="17">
        <v>1.1000000000000001E-3</v>
      </c>
      <c r="G226" s="17"/>
    </row>
    <row r="227" spans="1:7" x14ac:dyDescent="0.35">
      <c r="A227" s="13" t="s">
        <v>2011</v>
      </c>
      <c r="B227" s="41" t="s">
        <v>2012</v>
      </c>
      <c r="C227" s="41" t="s">
        <v>1188</v>
      </c>
      <c r="D227" s="15">
        <v>1654</v>
      </c>
      <c r="E227" s="16">
        <v>36.33</v>
      </c>
      <c r="F227" s="17">
        <v>1.1000000000000001E-3</v>
      </c>
      <c r="G227" s="17"/>
    </row>
    <row r="228" spans="1:7" x14ac:dyDescent="0.35">
      <c r="A228" s="13" t="s">
        <v>2303</v>
      </c>
      <c r="B228" s="41" t="s">
        <v>2304</v>
      </c>
      <c r="C228" s="41" t="s">
        <v>1305</v>
      </c>
      <c r="D228" s="15">
        <v>13984</v>
      </c>
      <c r="E228" s="16">
        <v>36.229999999999997</v>
      </c>
      <c r="F228" s="17">
        <v>1.1000000000000001E-3</v>
      </c>
      <c r="G228" s="17"/>
    </row>
    <row r="229" spans="1:7" x14ac:dyDescent="0.35">
      <c r="A229" s="13" t="s">
        <v>1451</v>
      </c>
      <c r="B229" s="41" t="s">
        <v>1452</v>
      </c>
      <c r="C229" s="41" t="s">
        <v>1224</v>
      </c>
      <c r="D229" s="15">
        <v>7073</v>
      </c>
      <c r="E229" s="16">
        <v>36.08</v>
      </c>
      <c r="F229" s="17">
        <v>1.1000000000000001E-3</v>
      </c>
      <c r="G229" s="17"/>
    </row>
    <row r="230" spans="1:7" x14ac:dyDescent="0.35">
      <c r="A230" s="13" t="s">
        <v>1312</v>
      </c>
      <c r="B230" s="41" t="s">
        <v>1313</v>
      </c>
      <c r="C230" s="41" t="s">
        <v>1305</v>
      </c>
      <c r="D230" s="15">
        <v>4024</v>
      </c>
      <c r="E230" s="16">
        <v>36.01</v>
      </c>
      <c r="F230" s="17">
        <v>1.1000000000000001E-3</v>
      </c>
      <c r="G230" s="17"/>
    </row>
    <row r="231" spans="1:7" x14ac:dyDescent="0.35">
      <c r="A231" s="13" t="s">
        <v>2305</v>
      </c>
      <c r="B231" s="41" t="s">
        <v>2306</v>
      </c>
      <c r="C231" s="41" t="s">
        <v>1398</v>
      </c>
      <c r="D231" s="15">
        <v>13862</v>
      </c>
      <c r="E231" s="16">
        <v>35.83</v>
      </c>
      <c r="F231" s="17">
        <v>1.1000000000000001E-3</v>
      </c>
      <c r="G231" s="17"/>
    </row>
    <row r="232" spans="1:7" x14ac:dyDescent="0.35">
      <c r="A232" s="13" t="s">
        <v>1806</v>
      </c>
      <c r="B232" s="41" t="s">
        <v>1807</v>
      </c>
      <c r="C232" s="41" t="s">
        <v>1333</v>
      </c>
      <c r="D232" s="15">
        <v>4949</v>
      </c>
      <c r="E232" s="16">
        <v>35.630000000000003</v>
      </c>
      <c r="F232" s="17">
        <v>1.1000000000000001E-3</v>
      </c>
      <c r="G232" s="17"/>
    </row>
    <row r="233" spans="1:7" x14ac:dyDescent="0.35">
      <c r="A233" s="13" t="s">
        <v>2307</v>
      </c>
      <c r="B233" s="41" t="s">
        <v>2308</v>
      </c>
      <c r="C233" s="41" t="s">
        <v>2309</v>
      </c>
      <c r="D233" s="15">
        <v>1747</v>
      </c>
      <c r="E233" s="16">
        <v>35.56</v>
      </c>
      <c r="F233" s="17">
        <v>1.1000000000000001E-3</v>
      </c>
      <c r="G233" s="17"/>
    </row>
    <row r="234" spans="1:7" x14ac:dyDescent="0.35">
      <c r="A234" s="13" t="s">
        <v>2310</v>
      </c>
      <c r="B234" s="41" t="s">
        <v>2311</v>
      </c>
      <c r="C234" s="41" t="s">
        <v>1387</v>
      </c>
      <c r="D234" s="15">
        <v>85039</v>
      </c>
      <c r="E234" s="16">
        <v>35.33</v>
      </c>
      <c r="F234" s="17">
        <v>1.1000000000000001E-3</v>
      </c>
      <c r="G234" s="17"/>
    </row>
    <row r="235" spans="1:7" x14ac:dyDescent="0.35">
      <c r="A235" s="13" t="s">
        <v>2312</v>
      </c>
      <c r="B235" s="41" t="s">
        <v>2313</v>
      </c>
      <c r="C235" s="41" t="s">
        <v>1211</v>
      </c>
      <c r="D235" s="15">
        <v>5571</v>
      </c>
      <c r="E235" s="16">
        <v>34.700000000000003</v>
      </c>
      <c r="F235" s="17">
        <v>1.1000000000000001E-3</v>
      </c>
      <c r="G235" s="17"/>
    </row>
    <row r="236" spans="1:7" x14ac:dyDescent="0.35">
      <c r="A236" s="13" t="s">
        <v>2085</v>
      </c>
      <c r="B236" s="41" t="s">
        <v>2086</v>
      </c>
      <c r="C236" s="41" t="s">
        <v>1305</v>
      </c>
      <c r="D236" s="15">
        <v>39820</v>
      </c>
      <c r="E236" s="16">
        <v>34.31</v>
      </c>
      <c r="F236" s="17">
        <v>1.1000000000000001E-3</v>
      </c>
      <c r="G236" s="17"/>
    </row>
    <row r="237" spans="1:7" x14ac:dyDescent="0.35">
      <c r="A237" s="13" t="s">
        <v>2228</v>
      </c>
      <c r="B237" s="41" t="s">
        <v>2229</v>
      </c>
      <c r="C237" s="41" t="s">
        <v>1333</v>
      </c>
      <c r="D237" s="15">
        <v>608</v>
      </c>
      <c r="E237" s="16">
        <v>33.92</v>
      </c>
      <c r="F237" s="17">
        <v>1.1000000000000001E-3</v>
      </c>
      <c r="G237" s="17"/>
    </row>
    <row r="238" spans="1:7" x14ac:dyDescent="0.35">
      <c r="A238" s="13" t="s">
        <v>1563</v>
      </c>
      <c r="B238" s="41" t="s">
        <v>1564</v>
      </c>
      <c r="C238" s="41" t="s">
        <v>1333</v>
      </c>
      <c r="D238" s="15">
        <v>1025</v>
      </c>
      <c r="E238" s="16">
        <v>31.79</v>
      </c>
      <c r="F238" s="17">
        <v>1E-3</v>
      </c>
      <c r="G238" s="17"/>
    </row>
    <row r="239" spans="1:7" x14ac:dyDescent="0.35">
      <c r="A239" s="13" t="s">
        <v>1445</v>
      </c>
      <c r="B239" s="41" t="s">
        <v>1446</v>
      </c>
      <c r="C239" s="41" t="s">
        <v>1324</v>
      </c>
      <c r="D239" s="15">
        <v>3263</v>
      </c>
      <c r="E239" s="16">
        <v>31.7</v>
      </c>
      <c r="F239" s="17">
        <v>1E-3</v>
      </c>
      <c r="G239" s="17"/>
    </row>
    <row r="240" spans="1:7" x14ac:dyDescent="0.35">
      <c r="A240" s="13" t="s">
        <v>1417</v>
      </c>
      <c r="B240" s="41" t="s">
        <v>1418</v>
      </c>
      <c r="C240" s="41" t="s">
        <v>1419</v>
      </c>
      <c r="D240" s="15">
        <v>5028</v>
      </c>
      <c r="E240" s="16">
        <v>31.6</v>
      </c>
      <c r="F240" s="17">
        <v>1E-3</v>
      </c>
      <c r="G240" s="17"/>
    </row>
    <row r="241" spans="1:7" x14ac:dyDescent="0.35">
      <c r="A241" s="13" t="s">
        <v>2314</v>
      </c>
      <c r="B241" s="41" t="s">
        <v>2315</v>
      </c>
      <c r="C241" s="41" t="s">
        <v>1355</v>
      </c>
      <c r="D241" s="15">
        <v>7392</v>
      </c>
      <c r="E241" s="16">
        <v>31.44</v>
      </c>
      <c r="F241" s="17">
        <v>1E-3</v>
      </c>
      <c r="G241" s="17"/>
    </row>
    <row r="242" spans="1:7" x14ac:dyDescent="0.35">
      <c r="A242" s="13" t="s">
        <v>2316</v>
      </c>
      <c r="B242" s="41" t="s">
        <v>2317</v>
      </c>
      <c r="C242" s="41" t="s">
        <v>1436</v>
      </c>
      <c r="D242" s="15">
        <v>94</v>
      </c>
      <c r="E242" s="16">
        <v>31.37</v>
      </c>
      <c r="F242" s="17">
        <v>1E-3</v>
      </c>
      <c r="G242" s="17"/>
    </row>
    <row r="243" spans="1:7" x14ac:dyDescent="0.35">
      <c r="A243" s="13" t="s">
        <v>1316</v>
      </c>
      <c r="B243" s="41" t="s">
        <v>1317</v>
      </c>
      <c r="C243" s="41" t="s">
        <v>1305</v>
      </c>
      <c r="D243" s="15">
        <v>3555</v>
      </c>
      <c r="E243" s="16">
        <v>30.3</v>
      </c>
      <c r="F243" s="17">
        <v>8.9999999999999998E-4</v>
      </c>
      <c r="G243" s="17"/>
    </row>
    <row r="244" spans="1:7" x14ac:dyDescent="0.35">
      <c r="A244" s="13" t="s">
        <v>1303</v>
      </c>
      <c r="B244" s="41" t="s">
        <v>1304</v>
      </c>
      <c r="C244" s="41" t="s">
        <v>1305</v>
      </c>
      <c r="D244" s="15">
        <v>6225</v>
      </c>
      <c r="E244" s="16">
        <v>28.62</v>
      </c>
      <c r="F244" s="17">
        <v>8.9999999999999998E-4</v>
      </c>
      <c r="G244" s="17"/>
    </row>
    <row r="245" spans="1:7" x14ac:dyDescent="0.35">
      <c r="A245" s="13" t="s">
        <v>2230</v>
      </c>
      <c r="B245" s="41" t="s">
        <v>2231</v>
      </c>
      <c r="C245" s="41" t="s">
        <v>1234</v>
      </c>
      <c r="D245" s="15">
        <v>2902</v>
      </c>
      <c r="E245" s="16">
        <v>25.69</v>
      </c>
      <c r="F245" s="17">
        <v>8.0000000000000004E-4</v>
      </c>
      <c r="G245" s="17"/>
    </row>
    <row r="246" spans="1:7" x14ac:dyDescent="0.35">
      <c r="A246" s="13" t="s">
        <v>2059</v>
      </c>
      <c r="B246" s="41" t="s">
        <v>2060</v>
      </c>
      <c r="C246" s="41" t="s">
        <v>1333</v>
      </c>
      <c r="D246" s="15">
        <v>1026</v>
      </c>
      <c r="E246" s="16">
        <v>25.52</v>
      </c>
      <c r="F246" s="17">
        <v>8.0000000000000004E-4</v>
      </c>
      <c r="G246" s="17"/>
    </row>
    <row r="247" spans="1:7" x14ac:dyDescent="0.35">
      <c r="A247" s="13" t="s">
        <v>2318</v>
      </c>
      <c r="B247" s="41" t="s">
        <v>2319</v>
      </c>
      <c r="C247" s="41" t="s">
        <v>1211</v>
      </c>
      <c r="D247" s="15">
        <v>20725</v>
      </c>
      <c r="E247" s="16">
        <v>24.89</v>
      </c>
      <c r="F247" s="17">
        <v>8.0000000000000004E-4</v>
      </c>
      <c r="G247" s="17"/>
    </row>
    <row r="248" spans="1:7" x14ac:dyDescent="0.35">
      <c r="A248" s="13" t="s">
        <v>2320</v>
      </c>
      <c r="B248" s="41" t="s">
        <v>2321</v>
      </c>
      <c r="C248" s="41" t="s">
        <v>1178</v>
      </c>
      <c r="D248" s="15">
        <v>24030</v>
      </c>
      <c r="E248" s="16">
        <v>23.93</v>
      </c>
      <c r="F248" s="17">
        <v>6.9999999999999999E-4</v>
      </c>
      <c r="G248" s="17"/>
    </row>
    <row r="249" spans="1:7" x14ac:dyDescent="0.35">
      <c r="A249" s="13" t="s">
        <v>1434</v>
      </c>
      <c r="B249" s="41" t="s">
        <v>1435</v>
      </c>
      <c r="C249" s="41" t="s">
        <v>1436</v>
      </c>
      <c r="D249" s="15">
        <v>881</v>
      </c>
      <c r="E249" s="16">
        <v>22.67</v>
      </c>
      <c r="F249" s="17">
        <v>6.9999999999999999E-4</v>
      </c>
      <c r="G249" s="17"/>
    </row>
    <row r="250" spans="1:7" x14ac:dyDescent="0.35">
      <c r="A250" s="13" t="s">
        <v>2322</v>
      </c>
      <c r="B250" s="41" t="s">
        <v>2323</v>
      </c>
      <c r="C250" s="41" t="s">
        <v>1178</v>
      </c>
      <c r="D250" s="15">
        <v>62592</v>
      </c>
      <c r="E250" s="16">
        <v>22.3</v>
      </c>
      <c r="F250" s="17">
        <v>6.9999999999999999E-4</v>
      </c>
      <c r="G250" s="17"/>
    </row>
    <row r="251" spans="1:7" x14ac:dyDescent="0.35">
      <c r="A251" s="13" t="s">
        <v>1830</v>
      </c>
      <c r="B251" s="41" t="s">
        <v>1831</v>
      </c>
      <c r="C251" s="41" t="s">
        <v>1305</v>
      </c>
      <c r="D251" s="15">
        <v>30662</v>
      </c>
      <c r="E251" s="16">
        <v>22.23</v>
      </c>
      <c r="F251" s="17">
        <v>6.9999999999999999E-4</v>
      </c>
      <c r="G251" s="17"/>
    </row>
    <row r="252" spans="1:7" x14ac:dyDescent="0.35">
      <c r="A252" s="13" t="s">
        <v>2324</v>
      </c>
      <c r="B252" s="41" t="s">
        <v>2325</v>
      </c>
      <c r="C252" s="41" t="s">
        <v>1350</v>
      </c>
      <c r="D252" s="15">
        <v>2670</v>
      </c>
      <c r="E252" s="16">
        <v>21.81</v>
      </c>
      <c r="F252" s="17">
        <v>6.9999999999999999E-4</v>
      </c>
      <c r="G252" s="17"/>
    </row>
    <row r="253" spans="1:7" x14ac:dyDescent="0.35">
      <c r="A253" s="13" t="s">
        <v>1457</v>
      </c>
      <c r="B253" s="41" t="s">
        <v>1458</v>
      </c>
      <c r="C253" s="41" t="s">
        <v>1185</v>
      </c>
      <c r="D253" s="15">
        <v>2575</v>
      </c>
      <c r="E253" s="16">
        <v>21.23</v>
      </c>
      <c r="F253" s="17">
        <v>6.9999999999999999E-4</v>
      </c>
      <c r="G253" s="17"/>
    </row>
    <row r="254" spans="1:7" x14ac:dyDescent="0.35">
      <c r="A254" s="13" t="s">
        <v>2326</v>
      </c>
      <c r="B254" s="41" t="s">
        <v>2327</v>
      </c>
      <c r="C254" s="41" t="s">
        <v>2300</v>
      </c>
      <c r="D254" s="15">
        <v>1851</v>
      </c>
      <c r="E254" s="16">
        <v>18.03</v>
      </c>
      <c r="F254" s="17">
        <v>5.9999999999999995E-4</v>
      </c>
      <c r="G254" s="17"/>
    </row>
    <row r="255" spans="1:7" x14ac:dyDescent="0.35">
      <c r="A255" s="13" t="s">
        <v>1912</v>
      </c>
      <c r="B255" s="41" t="s">
        <v>1913</v>
      </c>
      <c r="C255" s="41" t="s">
        <v>1185</v>
      </c>
      <c r="D255" s="15">
        <v>10317</v>
      </c>
      <c r="E255" s="16">
        <v>15.36</v>
      </c>
      <c r="F255" s="17">
        <v>5.0000000000000001E-4</v>
      </c>
      <c r="G255" s="17"/>
    </row>
    <row r="256" spans="1:7" x14ac:dyDescent="0.35">
      <c r="A256" s="13" t="s">
        <v>2328</v>
      </c>
      <c r="B256" s="41" t="s">
        <v>2329</v>
      </c>
      <c r="C256" s="41" t="s">
        <v>1178</v>
      </c>
      <c r="D256" s="15">
        <v>48775</v>
      </c>
      <c r="E256" s="16">
        <v>14.24</v>
      </c>
      <c r="F256" s="17">
        <v>4.0000000000000002E-4</v>
      </c>
      <c r="G256" s="17"/>
    </row>
    <row r="257" spans="1:7" x14ac:dyDescent="0.35">
      <c r="A257" s="13" t="s">
        <v>2330</v>
      </c>
      <c r="B257" s="41" t="s">
        <v>2331</v>
      </c>
      <c r="C257" s="41" t="s">
        <v>1211</v>
      </c>
      <c r="D257" s="15">
        <v>10862</v>
      </c>
      <c r="E257" s="16">
        <v>9.8699999999999992</v>
      </c>
      <c r="F257" s="17">
        <v>2.9999999999999997E-4</v>
      </c>
      <c r="G257" s="17"/>
    </row>
    <row r="258" spans="1:7" x14ac:dyDescent="0.35">
      <c r="A258" s="13" t="s">
        <v>1843</v>
      </c>
      <c r="B258" s="41" t="s">
        <v>1844</v>
      </c>
      <c r="C258" s="41" t="s">
        <v>1191</v>
      </c>
      <c r="D258" s="15">
        <v>10022</v>
      </c>
      <c r="E258" s="16">
        <v>3.63</v>
      </c>
      <c r="F258" s="17">
        <v>1E-4</v>
      </c>
      <c r="G258" s="17"/>
    </row>
    <row r="259" spans="1:7" x14ac:dyDescent="0.35">
      <c r="A259" s="14" t="s">
        <v>149</v>
      </c>
      <c r="B259" s="42"/>
      <c r="C259" s="42"/>
      <c r="D259" s="18"/>
      <c r="E259" s="19">
        <f>SUM(E8:E258)</f>
        <v>31948.470000000045</v>
      </c>
      <c r="F259" s="20">
        <f>SUM(F8:F258)</f>
        <v>1.0003999999999993</v>
      </c>
      <c r="G259" s="21"/>
    </row>
    <row r="260" spans="1:7" x14ac:dyDescent="0.35">
      <c r="A260" s="14"/>
      <c r="B260" s="42"/>
      <c r="C260" s="42"/>
      <c r="D260" s="18"/>
      <c r="E260" s="26"/>
      <c r="F260" s="21"/>
      <c r="G260" s="21"/>
    </row>
    <row r="261" spans="1:7" x14ac:dyDescent="0.35">
      <c r="A261" s="14"/>
      <c r="B261" s="42"/>
      <c r="C261" s="42"/>
      <c r="D261" s="18"/>
      <c r="E261" s="26"/>
      <c r="F261" s="21"/>
      <c r="G261" s="21"/>
    </row>
    <row r="262" spans="1:7" x14ac:dyDescent="0.35">
      <c r="A262" s="14"/>
      <c r="B262" s="42"/>
      <c r="C262" s="42"/>
      <c r="D262" s="18"/>
      <c r="E262" s="26"/>
      <c r="F262" s="21"/>
      <c r="G262" s="21"/>
    </row>
    <row r="263" spans="1:7" x14ac:dyDescent="0.35">
      <c r="A263" s="58" t="s">
        <v>147</v>
      </c>
      <c r="B263" s="42"/>
      <c r="C263" s="42"/>
      <c r="D263" s="18"/>
      <c r="E263" s="26"/>
      <c r="F263" s="21"/>
      <c r="G263" s="21"/>
    </row>
    <row r="264" spans="1:7" x14ac:dyDescent="0.35">
      <c r="A264" s="58" t="s">
        <v>1249</v>
      </c>
      <c r="B264" s="41"/>
      <c r="C264" s="41"/>
      <c r="D264" s="15"/>
      <c r="E264" s="16"/>
      <c r="F264" s="17"/>
      <c r="G264" s="17"/>
    </row>
    <row r="265" spans="1:7" x14ac:dyDescent="0.35">
      <c r="A265" s="58" t="s">
        <v>1250</v>
      </c>
      <c r="B265" s="41"/>
      <c r="C265" s="41"/>
      <c r="D265" s="15"/>
      <c r="E265" s="16"/>
      <c r="F265" s="17"/>
      <c r="G265" s="17"/>
    </row>
    <row r="266" spans="1:7" x14ac:dyDescent="0.35">
      <c r="A266" s="13" t="s">
        <v>1251</v>
      </c>
      <c r="B266" s="41" t="s">
        <v>1252</v>
      </c>
      <c r="C266" s="41" t="s">
        <v>1188</v>
      </c>
      <c r="D266" s="15">
        <v>10300</v>
      </c>
      <c r="E266" s="16">
        <v>1.05</v>
      </c>
      <c r="F266" s="17">
        <v>0</v>
      </c>
      <c r="G266" s="17">
        <v>6.3450000000000006E-2</v>
      </c>
    </row>
    <row r="267" spans="1:7" x14ac:dyDescent="0.35">
      <c r="A267" s="14" t="s">
        <v>149</v>
      </c>
      <c r="B267" s="42"/>
      <c r="C267" s="42"/>
      <c r="D267" s="18"/>
      <c r="E267" s="16">
        <v>1.05</v>
      </c>
      <c r="F267" s="17">
        <v>0</v>
      </c>
      <c r="G267" s="21"/>
    </row>
    <row r="268" spans="1:7" x14ac:dyDescent="0.35">
      <c r="A268" s="22" t="s">
        <v>160</v>
      </c>
      <c r="B268" s="43"/>
      <c r="C268" s="43"/>
      <c r="D268" s="23"/>
      <c r="E268" s="36">
        <f>E267+E259</f>
        <v>31949.520000000044</v>
      </c>
      <c r="F268" s="37">
        <f>F267+F259</f>
        <v>1.0003999999999993</v>
      </c>
      <c r="G268" s="21"/>
    </row>
    <row r="269" spans="1:7" x14ac:dyDescent="0.35">
      <c r="A269" s="13"/>
      <c r="B269" s="41"/>
      <c r="C269" s="41"/>
      <c r="D269" s="15"/>
      <c r="E269" s="16"/>
      <c r="F269" s="17"/>
      <c r="G269" s="17"/>
    </row>
    <row r="270" spans="1:7" x14ac:dyDescent="0.35">
      <c r="A270" s="13"/>
      <c r="B270" s="41"/>
      <c r="C270" s="41"/>
      <c r="D270" s="15"/>
      <c r="E270" s="16"/>
      <c r="F270" s="17"/>
      <c r="G270" s="17"/>
    </row>
    <row r="271" spans="1:7" x14ac:dyDescent="0.35">
      <c r="A271" s="14" t="s">
        <v>255</v>
      </c>
      <c r="B271" s="41"/>
      <c r="C271" s="41"/>
      <c r="D271" s="15"/>
      <c r="E271" s="16"/>
      <c r="F271" s="17"/>
      <c r="G271" s="17"/>
    </row>
    <row r="272" spans="1:7" x14ac:dyDescent="0.35">
      <c r="A272" s="13" t="s">
        <v>257</v>
      </c>
      <c r="B272" s="41"/>
      <c r="C272" s="41"/>
      <c r="D272" s="15"/>
      <c r="E272" s="16">
        <v>60.97</v>
      </c>
      <c r="F272" s="17">
        <v>1.9E-3</v>
      </c>
      <c r="G272" s="17">
        <v>5.1742000000000003E-2</v>
      </c>
    </row>
    <row r="273" spans="1:7" x14ac:dyDescent="0.35">
      <c r="A273" s="14" t="s">
        <v>149</v>
      </c>
      <c r="B273" s="42"/>
      <c r="C273" s="42"/>
      <c r="D273" s="18"/>
      <c r="E273" s="19">
        <v>60.97</v>
      </c>
      <c r="F273" s="20">
        <v>1.9E-3</v>
      </c>
      <c r="G273" s="21"/>
    </row>
    <row r="274" spans="1:7" x14ac:dyDescent="0.35">
      <c r="A274" s="13"/>
      <c r="B274" s="41"/>
      <c r="C274" s="41"/>
      <c r="D274" s="15"/>
      <c r="E274" s="16"/>
      <c r="F274" s="17"/>
      <c r="G274" s="17"/>
    </row>
    <row r="275" spans="1:7" x14ac:dyDescent="0.35">
      <c r="A275" s="22" t="s">
        <v>160</v>
      </c>
      <c r="B275" s="43"/>
      <c r="C275" s="43"/>
      <c r="D275" s="23"/>
      <c r="E275" s="36">
        <v>60.97</v>
      </c>
      <c r="F275" s="37">
        <v>1.9E-3</v>
      </c>
      <c r="G275" s="21"/>
    </row>
    <row r="276" spans="1:7" x14ac:dyDescent="0.35">
      <c r="A276" s="13" t="s">
        <v>258</v>
      </c>
      <c r="B276" s="41"/>
      <c r="C276" s="41"/>
      <c r="D276" s="15"/>
      <c r="E276" s="16">
        <v>1.7287199999999999E-2</v>
      </c>
      <c r="F276" s="17">
        <v>0</v>
      </c>
      <c r="G276" s="17"/>
    </row>
    <row r="277" spans="1:7" x14ac:dyDescent="0.35">
      <c r="A277" s="13" t="s">
        <v>259</v>
      </c>
      <c r="B277" s="41"/>
      <c r="C277" s="41"/>
      <c r="D277" s="15"/>
      <c r="E277" s="28">
        <v>-56.287287200000002</v>
      </c>
      <c r="F277" s="29">
        <v>-2.3E-3</v>
      </c>
      <c r="G277" s="17">
        <v>5.1742000000000003E-2</v>
      </c>
    </row>
    <row r="278" spans="1:7" x14ac:dyDescent="0.35">
      <c r="A278" s="38" t="s">
        <v>260</v>
      </c>
      <c r="B278" s="44"/>
      <c r="C278" s="44"/>
      <c r="D278" s="39"/>
      <c r="E278" s="24">
        <v>31954.22</v>
      </c>
      <c r="F278" s="25">
        <v>1</v>
      </c>
      <c r="G278" s="25"/>
    </row>
    <row r="283" spans="1:7" x14ac:dyDescent="0.35">
      <c r="A283" s="1" t="s">
        <v>263</v>
      </c>
    </row>
    <row r="284" spans="1:7" x14ac:dyDescent="0.35">
      <c r="A284" s="47" t="s">
        <v>264</v>
      </c>
      <c r="B284" s="3" t="s">
        <v>146</v>
      </c>
    </row>
    <row r="285" spans="1:7" x14ac:dyDescent="0.35">
      <c r="A285" t="s">
        <v>265</v>
      </c>
    </row>
    <row r="286" spans="1:7" x14ac:dyDescent="0.35">
      <c r="A286" t="s">
        <v>266</v>
      </c>
      <c r="B286" t="s">
        <v>267</v>
      </c>
      <c r="C286" t="s">
        <v>267</v>
      </c>
    </row>
    <row r="287" spans="1:7" x14ac:dyDescent="0.35">
      <c r="B287" s="49">
        <v>46022</v>
      </c>
      <c r="C287" s="49">
        <v>46052</v>
      </c>
    </row>
    <row r="288" spans="1:7" x14ac:dyDescent="0.35">
      <c r="A288" t="s">
        <v>272</v>
      </c>
      <c r="B288">
        <v>17.543399999999998</v>
      </c>
      <c r="C288">
        <v>16.977900000000002</v>
      </c>
    </row>
    <row r="289" spans="1:3" x14ac:dyDescent="0.35">
      <c r="A289" t="s">
        <v>273</v>
      </c>
      <c r="B289">
        <v>17.543500000000002</v>
      </c>
      <c r="C289">
        <v>16.977900000000002</v>
      </c>
    </row>
    <row r="290" spans="1:3" x14ac:dyDescent="0.35">
      <c r="A290" t="s">
        <v>708</v>
      </c>
      <c r="B290">
        <v>17.0793</v>
      </c>
      <c r="C290">
        <v>16.5199</v>
      </c>
    </row>
    <row r="291" spans="1:3" x14ac:dyDescent="0.35">
      <c r="A291" t="s">
        <v>709</v>
      </c>
      <c r="B291">
        <v>17.078600000000002</v>
      </c>
      <c r="C291">
        <v>16.519200000000001</v>
      </c>
    </row>
    <row r="293" spans="1:3" x14ac:dyDescent="0.35">
      <c r="A293" t="s">
        <v>283</v>
      </c>
      <c r="B293" s="3" t="s">
        <v>146</v>
      </c>
    </row>
    <row r="294" spans="1:3" x14ac:dyDescent="0.35">
      <c r="A294" t="s">
        <v>284</v>
      </c>
      <c r="B294" s="3" t="s">
        <v>146</v>
      </c>
    </row>
    <row r="295" spans="1:3" ht="29" customHeight="1" x14ac:dyDescent="0.35">
      <c r="A295" s="47" t="s">
        <v>285</v>
      </c>
      <c r="B295" s="3" t="s">
        <v>146</v>
      </c>
    </row>
    <row r="296" spans="1:3" ht="29" customHeight="1" x14ac:dyDescent="0.35">
      <c r="A296" s="47" t="s">
        <v>286</v>
      </c>
      <c r="B296" s="3" t="s">
        <v>146</v>
      </c>
    </row>
    <row r="297" spans="1:3" x14ac:dyDescent="0.35">
      <c r="A297" t="s">
        <v>1253</v>
      </c>
      <c r="B297" s="48">
        <v>0.21679999999999999</v>
      </c>
    </row>
    <row r="298" spans="1:3" ht="43.5" customHeight="1" x14ac:dyDescent="0.35">
      <c r="A298" s="47" t="s">
        <v>288</v>
      </c>
      <c r="B298" s="3" t="s">
        <v>146</v>
      </c>
    </row>
    <row r="299" spans="1:3" x14ac:dyDescent="0.35">
      <c r="B299" s="3"/>
    </row>
    <row r="300" spans="1:3" ht="29" customHeight="1" x14ac:dyDescent="0.35">
      <c r="A300" s="47" t="s">
        <v>289</v>
      </c>
      <c r="B300" s="3" t="s">
        <v>146</v>
      </c>
    </row>
    <row r="301" spans="1:3" ht="29" customHeight="1" x14ac:dyDescent="0.35">
      <c r="A301" s="47" t="s">
        <v>290</v>
      </c>
      <c r="B301" t="s">
        <v>146</v>
      </c>
    </row>
    <row r="302" spans="1:3" ht="29" customHeight="1" x14ac:dyDescent="0.35">
      <c r="A302" s="47" t="s">
        <v>291</v>
      </c>
      <c r="B302" s="3" t="s">
        <v>146</v>
      </c>
    </row>
    <row r="303" spans="1:3" ht="29" customHeight="1" x14ac:dyDescent="0.35">
      <c r="A303" s="47" t="s">
        <v>292</v>
      </c>
      <c r="B303" s="3" t="s">
        <v>146</v>
      </c>
    </row>
    <row r="305" spans="1:4" ht="70" customHeight="1" x14ac:dyDescent="0.35">
      <c r="A305" s="70" t="s">
        <v>303</v>
      </c>
      <c r="B305" s="70" t="s">
        <v>304</v>
      </c>
      <c r="C305" s="70" t="s">
        <v>4</v>
      </c>
      <c r="D305" s="70" t="s">
        <v>5</v>
      </c>
    </row>
    <row r="306" spans="1:4" ht="70" customHeight="1" x14ac:dyDescent="0.35">
      <c r="A306" s="70" t="s">
        <v>2336</v>
      </c>
      <c r="B306" s="70"/>
      <c r="C306" s="70" t="s">
        <v>69</v>
      </c>
      <c r="D30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99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2337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2338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1376</v>
      </c>
      <c r="B8" s="41" t="s">
        <v>1377</v>
      </c>
      <c r="C8" s="41" t="s">
        <v>1280</v>
      </c>
      <c r="D8" s="15">
        <v>263397</v>
      </c>
      <c r="E8" s="16">
        <v>7367.21</v>
      </c>
      <c r="F8" s="17">
        <v>5.3400000000000003E-2</v>
      </c>
      <c r="G8" s="17"/>
    </row>
    <row r="9" spans="1:7" x14ac:dyDescent="0.35">
      <c r="A9" s="13" t="s">
        <v>1512</v>
      </c>
      <c r="B9" s="41" t="s">
        <v>1513</v>
      </c>
      <c r="C9" s="41" t="s">
        <v>1188</v>
      </c>
      <c r="D9" s="15">
        <v>123784</v>
      </c>
      <c r="E9" s="16">
        <v>6850.21</v>
      </c>
      <c r="F9" s="17">
        <v>4.9599999999999998E-2</v>
      </c>
      <c r="G9" s="17"/>
    </row>
    <row r="10" spans="1:7" x14ac:dyDescent="0.35">
      <c r="A10" s="13" t="s">
        <v>1553</v>
      </c>
      <c r="B10" s="41" t="s">
        <v>1554</v>
      </c>
      <c r="C10" s="41" t="s">
        <v>1211</v>
      </c>
      <c r="D10" s="15">
        <v>177598</v>
      </c>
      <c r="E10" s="16">
        <v>6801.29</v>
      </c>
      <c r="F10" s="17">
        <v>4.9299999999999997E-2</v>
      </c>
      <c r="G10" s="17"/>
    </row>
    <row r="11" spans="1:7" x14ac:dyDescent="0.35">
      <c r="A11" s="13" t="s">
        <v>1426</v>
      </c>
      <c r="B11" s="41" t="s">
        <v>1427</v>
      </c>
      <c r="C11" s="41" t="s">
        <v>1178</v>
      </c>
      <c r="D11" s="15">
        <v>642230</v>
      </c>
      <c r="E11" s="16">
        <v>6308.95</v>
      </c>
      <c r="F11" s="17">
        <v>4.5699999999999998E-2</v>
      </c>
      <c r="G11" s="17"/>
    </row>
    <row r="12" spans="1:7" x14ac:dyDescent="0.35">
      <c r="A12" s="13" t="s">
        <v>1202</v>
      </c>
      <c r="B12" s="41" t="s">
        <v>1203</v>
      </c>
      <c r="C12" s="41" t="s">
        <v>1178</v>
      </c>
      <c r="D12" s="15">
        <v>2192401</v>
      </c>
      <c r="E12" s="16">
        <v>6308.63</v>
      </c>
      <c r="F12" s="17">
        <v>4.5699999999999998E-2</v>
      </c>
      <c r="G12" s="17"/>
    </row>
    <row r="13" spans="1:7" x14ac:dyDescent="0.35">
      <c r="A13" s="13" t="s">
        <v>2013</v>
      </c>
      <c r="B13" s="41" t="s">
        <v>2014</v>
      </c>
      <c r="C13" s="41" t="s">
        <v>1288</v>
      </c>
      <c r="D13" s="15">
        <v>126951</v>
      </c>
      <c r="E13" s="16">
        <v>5220.8599999999997</v>
      </c>
      <c r="F13" s="17">
        <v>3.78E-2</v>
      </c>
      <c r="G13" s="17"/>
    </row>
    <row r="14" spans="1:7" x14ac:dyDescent="0.35">
      <c r="A14" s="13" t="s">
        <v>1847</v>
      </c>
      <c r="B14" s="41" t="s">
        <v>1848</v>
      </c>
      <c r="C14" s="41" t="s">
        <v>1849</v>
      </c>
      <c r="D14" s="15">
        <v>2634897</v>
      </c>
      <c r="E14" s="16">
        <v>5182.58</v>
      </c>
      <c r="F14" s="17">
        <v>3.7499999999999999E-2</v>
      </c>
      <c r="G14" s="17"/>
    </row>
    <row r="15" spans="1:7" x14ac:dyDescent="0.35">
      <c r="A15" s="13" t="s">
        <v>1559</v>
      </c>
      <c r="B15" s="41" t="s">
        <v>1560</v>
      </c>
      <c r="C15" s="41" t="s">
        <v>1211</v>
      </c>
      <c r="D15" s="15">
        <v>1631325</v>
      </c>
      <c r="E15" s="16">
        <v>4671.3</v>
      </c>
      <c r="F15" s="17">
        <v>3.3799999999999997E-2</v>
      </c>
      <c r="G15" s="17"/>
    </row>
    <row r="16" spans="1:7" x14ac:dyDescent="0.35">
      <c r="A16" s="13" t="s">
        <v>1486</v>
      </c>
      <c r="B16" s="41" t="s">
        <v>1487</v>
      </c>
      <c r="C16" s="41" t="s">
        <v>1465</v>
      </c>
      <c r="D16" s="15">
        <v>387008</v>
      </c>
      <c r="E16" s="16">
        <v>4402.22</v>
      </c>
      <c r="F16" s="17">
        <v>3.1899999999999998E-2</v>
      </c>
      <c r="G16" s="17"/>
    </row>
    <row r="17" spans="1:7" x14ac:dyDescent="0.35">
      <c r="A17" s="13" t="s">
        <v>1225</v>
      </c>
      <c r="B17" s="41" t="s">
        <v>1226</v>
      </c>
      <c r="C17" s="41" t="s">
        <v>1185</v>
      </c>
      <c r="D17" s="15">
        <v>249901</v>
      </c>
      <c r="E17" s="16">
        <v>4032.4</v>
      </c>
      <c r="F17" s="17">
        <v>2.92E-2</v>
      </c>
      <c r="G17" s="17"/>
    </row>
    <row r="18" spans="1:7" x14ac:dyDescent="0.35">
      <c r="A18" s="13" t="s">
        <v>1361</v>
      </c>
      <c r="B18" s="41" t="s">
        <v>1362</v>
      </c>
      <c r="C18" s="41" t="s">
        <v>1229</v>
      </c>
      <c r="D18" s="15">
        <v>461553</v>
      </c>
      <c r="E18" s="16">
        <v>3930.12</v>
      </c>
      <c r="F18" s="17">
        <v>2.8500000000000001E-2</v>
      </c>
      <c r="G18" s="17"/>
    </row>
    <row r="19" spans="1:7" x14ac:dyDescent="0.35">
      <c r="A19" s="13" t="s">
        <v>1336</v>
      </c>
      <c r="B19" s="41" t="s">
        <v>1337</v>
      </c>
      <c r="C19" s="41" t="s">
        <v>1211</v>
      </c>
      <c r="D19" s="15">
        <v>1140136</v>
      </c>
      <c r="E19" s="16">
        <v>3874.18</v>
      </c>
      <c r="F19" s="17">
        <v>2.81E-2</v>
      </c>
      <c r="G19" s="17"/>
    </row>
    <row r="20" spans="1:7" x14ac:dyDescent="0.35">
      <c r="A20" s="13" t="s">
        <v>1443</v>
      </c>
      <c r="B20" s="41" t="s">
        <v>1444</v>
      </c>
      <c r="C20" s="41" t="s">
        <v>1178</v>
      </c>
      <c r="D20" s="15">
        <v>4535396</v>
      </c>
      <c r="E20" s="16">
        <v>3790.68</v>
      </c>
      <c r="F20" s="17">
        <v>2.75E-2</v>
      </c>
      <c r="G20" s="17"/>
    </row>
    <row r="21" spans="1:7" x14ac:dyDescent="0.35">
      <c r="A21" s="13" t="s">
        <v>1555</v>
      </c>
      <c r="B21" s="41" t="s">
        <v>1556</v>
      </c>
      <c r="C21" s="41" t="s">
        <v>1178</v>
      </c>
      <c r="D21" s="15">
        <v>407884</v>
      </c>
      <c r="E21" s="16">
        <v>3718.68</v>
      </c>
      <c r="F21" s="17">
        <v>2.69E-2</v>
      </c>
      <c r="G21" s="17"/>
    </row>
    <row r="22" spans="1:7" x14ac:dyDescent="0.35">
      <c r="A22" s="13" t="s">
        <v>1567</v>
      </c>
      <c r="B22" s="41" t="s">
        <v>1568</v>
      </c>
      <c r="C22" s="41" t="s">
        <v>1266</v>
      </c>
      <c r="D22" s="15">
        <v>1483291</v>
      </c>
      <c r="E22" s="16">
        <v>3522.82</v>
      </c>
      <c r="F22" s="17">
        <v>2.5499999999999998E-2</v>
      </c>
      <c r="G22" s="17"/>
    </row>
    <row r="23" spans="1:7" x14ac:dyDescent="0.35">
      <c r="A23" s="13" t="s">
        <v>1798</v>
      </c>
      <c r="B23" s="41" t="s">
        <v>1799</v>
      </c>
      <c r="C23" s="41" t="s">
        <v>1333</v>
      </c>
      <c r="D23" s="15">
        <v>106967</v>
      </c>
      <c r="E23" s="16">
        <v>3455.36</v>
      </c>
      <c r="F23" s="17">
        <v>2.5000000000000001E-2</v>
      </c>
      <c r="G23" s="17"/>
    </row>
    <row r="24" spans="1:7" x14ac:dyDescent="0.35">
      <c r="A24" s="13" t="s">
        <v>1348</v>
      </c>
      <c r="B24" s="41" t="s">
        <v>1349</v>
      </c>
      <c r="C24" s="41" t="s">
        <v>1350</v>
      </c>
      <c r="D24" s="15">
        <v>488894</v>
      </c>
      <c r="E24" s="16">
        <v>3441.57</v>
      </c>
      <c r="F24" s="17">
        <v>2.4899999999999999E-2</v>
      </c>
      <c r="G24" s="17"/>
    </row>
    <row r="25" spans="1:7" x14ac:dyDescent="0.35">
      <c r="A25" s="13" t="s">
        <v>1441</v>
      </c>
      <c r="B25" s="41" t="s">
        <v>1442</v>
      </c>
      <c r="C25" s="41" t="s">
        <v>1280</v>
      </c>
      <c r="D25" s="15">
        <v>132896</v>
      </c>
      <c r="E25" s="16">
        <v>3343.26</v>
      </c>
      <c r="F25" s="17">
        <v>2.4199999999999999E-2</v>
      </c>
      <c r="G25" s="17"/>
    </row>
    <row r="26" spans="1:7" x14ac:dyDescent="0.35">
      <c r="A26" s="13" t="s">
        <v>1415</v>
      </c>
      <c r="B26" s="41" t="s">
        <v>1416</v>
      </c>
      <c r="C26" s="41" t="s">
        <v>1398</v>
      </c>
      <c r="D26" s="15">
        <v>3288256</v>
      </c>
      <c r="E26" s="16">
        <v>3087.34</v>
      </c>
      <c r="F26" s="17">
        <v>2.24E-2</v>
      </c>
      <c r="G26" s="17"/>
    </row>
    <row r="27" spans="1:7" x14ac:dyDescent="0.35">
      <c r="A27" s="13" t="s">
        <v>1547</v>
      </c>
      <c r="B27" s="41" t="s">
        <v>1548</v>
      </c>
      <c r="C27" s="41" t="s">
        <v>1369</v>
      </c>
      <c r="D27" s="15">
        <v>49732</v>
      </c>
      <c r="E27" s="16">
        <v>3001.33</v>
      </c>
      <c r="F27" s="17">
        <v>2.1700000000000001E-2</v>
      </c>
      <c r="G27" s="17"/>
    </row>
    <row r="28" spans="1:7" x14ac:dyDescent="0.35">
      <c r="A28" s="13" t="s">
        <v>1929</v>
      </c>
      <c r="B28" s="41" t="s">
        <v>1930</v>
      </c>
      <c r="C28" s="41" t="s">
        <v>1211</v>
      </c>
      <c r="D28" s="15">
        <v>705429</v>
      </c>
      <c r="E28" s="16">
        <v>2649.24</v>
      </c>
      <c r="F28" s="17">
        <v>1.9199999999999998E-2</v>
      </c>
      <c r="G28" s="17"/>
    </row>
    <row r="29" spans="1:7" x14ac:dyDescent="0.35">
      <c r="A29" s="13" t="s">
        <v>1297</v>
      </c>
      <c r="B29" s="41" t="s">
        <v>1298</v>
      </c>
      <c r="C29" s="41" t="s">
        <v>1198</v>
      </c>
      <c r="D29" s="15">
        <v>583925</v>
      </c>
      <c r="E29" s="16">
        <v>2594.38</v>
      </c>
      <c r="F29" s="17">
        <v>1.8800000000000001E-2</v>
      </c>
      <c r="G29" s="17"/>
    </row>
    <row r="30" spans="1:7" x14ac:dyDescent="0.35">
      <c r="A30" s="13" t="s">
        <v>1281</v>
      </c>
      <c r="B30" s="41" t="s">
        <v>1282</v>
      </c>
      <c r="C30" s="41" t="s">
        <v>1234</v>
      </c>
      <c r="D30" s="15">
        <v>126132</v>
      </c>
      <c r="E30" s="16">
        <v>2542.69</v>
      </c>
      <c r="F30" s="17">
        <v>1.84E-2</v>
      </c>
      <c r="G30" s="17"/>
    </row>
    <row r="31" spans="1:7" x14ac:dyDescent="0.35">
      <c r="A31" s="13" t="s">
        <v>1531</v>
      </c>
      <c r="B31" s="41" t="s">
        <v>1532</v>
      </c>
      <c r="C31" s="41" t="s">
        <v>1369</v>
      </c>
      <c r="D31" s="15">
        <v>152701</v>
      </c>
      <c r="E31" s="16">
        <v>2525.37</v>
      </c>
      <c r="F31" s="17">
        <v>1.83E-2</v>
      </c>
      <c r="G31" s="17"/>
    </row>
    <row r="32" spans="1:7" x14ac:dyDescent="0.35">
      <c r="A32" s="13" t="s">
        <v>1925</v>
      </c>
      <c r="B32" s="41" t="s">
        <v>1926</v>
      </c>
      <c r="C32" s="41" t="s">
        <v>1419</v>
      </c>
      <c r="D32" s="15">
        <v>636611</v>
      </c>
      <c r="E32" s="16">
        <v>2453.8200000000002</v>
      </c>
      <c r="F32" s="17">
        <v>1.78E-2</v>
      </c>
      <c r="G32" s="17"/>
    </row>
    <row r="33" spans="1:7" x14ac:dyDescent="0.35">
      <c r="A33" s="13" t="s">
        <v>1291</v>
      </c>
      <c r="B33" s="41" t="s">
        <v>1292</v>
      </c>
      <c r="C33" s="41" t="s">
        <v>1206</v>
      </c>
      <c r="D33" s="15">
        <v>531312</v>
      </c>
      <c r="E33" s="16">
        <v>2268.6999999999998</v>
      </c>
      <c r="F33" s="17">
        <v>1.6400000000000001E-2</v>
      </c>
      <c r="G33" s="17"/>
    </row>
    <row r="34" spans="1:7" x14ac:dyDescent="0.35">
      <c r="A34" s="13" t="s">
        <v>1476</v>
      </c>
      <c r="B34" s="41" t="s">
        <v>1477</v>
      </c>
      <c r="C34" s="41" t="s">
        <v>1221</v>
      </c>
      <c r="D34" s="15">
        <v>80258</v>
      </c>
      <c r="E34" s="16">
        <v>2260.31</v>
      </c>
      <c r="F34" s="17">
        <v>1.6400000000000001E-2</v>
      </c>
      <c r="G34" s="17"/>
    </row>
    <row r="35" spans="1:7" x14ac:dyDescent="0.35">
      <c r="A35" s="13" t="s">
        <v>1506</v>
      </c>
      <c r="B35" s="41" t="s">
        <v>1507</v>
      </c>
      <c r="C35" s="41" t="s">
        <v>1234</v>
      </c>
      <c r="D35" s="15">
        <v>93223</v>
      </c>
      <c r="E35" s="16">
        <v>2006.9</v>
      </c>
      <c r="F35" s="17">
        <v>1.4500000000000001E-2</v>
      </c>
      <c r="G35" s="17"/>
    </row>
    <row r="36" spans="1:7" x14ac:dyDescent="0.35">
      <c r="A36" s="13" t="s">
        <v>1257</v>
      </c>
      <c r="B36" s="41" t="s">
        <v>1258</v>
      </c>
      <c r="C36" s="41" t="s">
        <v>1198</v>
      </c>
      <c r="D36" s="15">
        <v>17711416</v>
      </c>
      <c r="E36" s="16">
        <v>1978.37</v>
      </c>
      <c r="F36" s="17">
        <v>1.43E-2</v>
      </c>
      <c r="G36" s="17"/>
    </row>
    <row r="37" spans="1:7" x14ac:dyDescent="0.35">
      <c r="A37" s="13" t="s">
        <v>1286</v>
      </c>
      <c r="B37" s="41" t="s">
        <v>1287</v>
      </c>
      <c r="C37" s="41" t="s">
        <v>1288</v>
      </c>
      <c r="D37" s="15">
        <v>28019</v>
      </c>
      <c r="E37" s="16">
        <v>1965.11</v>
      </c>
      <c r="F37" s="17">
        <v>1.4200000000000001E-2</v>
      </c>
      <c r="G37" s="17"/>
    </row>
    <row r="38" spans="1:7" x14ac:dyDescent="0.35">
      <c r="A38" s="13" t="s">
        <v>1514</v>
      </c>
      <c r="B38" s="41" t="s">
        <v>1515</v>
      </c>
      <c r="C38" s="41" t="s">
        <v>1333</v>
      </c>
      <c r="D38" s="15">
        <v>9531</v>
      </c>
      <c r="E38" s="16">
        <v>1797.74</v>
      </c>
      <c r="F38" s="17">
        <v>1.2999999999999999E-2</v>
      </c>
      <c r="G38" s="17"/>
    </row>
    <row r="39" spans="1:7" x14ac:dyDescent="0.35">
      <c r="A39" s="13" t="s">
        <v>2242</v>
      </c>
      <c r="B39" s="41" t="s">
        <v>2243</v>
      </c>
      <c r="C39" s="41" t="s">
        <v>1382</v>
      </c>
      <c r="D39" s="15">
        <v>1331</v>
      </c>
      <c r="E39" s="16">
        <v>1759.12</v>
      </c>
      <c r="F39" s="17">
        <v>1.2699999999999999E-2</v>
      </c>
      <c r="G39" s="17"/>
    </row>
    <row r="40" spans="1:7" x14ac:dyDescent="0.35">
      <c r="A40" s="13" t="s">
        <v>1241</v>
      </c>
      <c r="B40" s="41" t="s">
        <v>1242</v>
      </c>
      <c r="C40" s="41" t="s">
        <v>1216</v>
      </c>
      <c r="D40" s="15">
        <v>222977</v>
      </c>
      <c r="E40" s="16">
        <v>1627.29</v>
      </c>
      <c r="F40" s="17">
        <v>1.18E-2</v>
      </c>
      <c r="G40" s="17"/>
    </row>
    <row r="41" spans="1:7" x14ac:dyDescent="0.35">
      <c r="A41" s="13" t="s">
        <v>1470</v>
      </c>
      <c r="B41" s="41" t="s">
        <v>1471</v>
      </c>
      <c r="C41" s="41" t="s">
        <v>1382</v>
      </c>
      <c r="D41" s="15">
        <v>131187</v>
      </c>
      <c r="E41" s="16">
        <v>1551.02</v>
      </c>
      <c r="F41" s="17">
        <v>1.12E-2</v>
      </c>
      <c r="G41" s="17"/>
    </row>
    <row r="42" spans="1:7" x14ac:dyDescent="0.35">
      <c r="A42" s="13" t="s">
        <v>1405</v>
      </c>
      <c r="B42" s="41" t="s">
        <v>1406</v>
      </c>
      <c r="C42" s="41" t="s">
        <v>1178</v>
      </c>
      <c r="D42" s="15">
        <v>908244</v>
      </c>
      <c r="E42" s="16">
        <v>1490.43</v>
      </c>
      <c r="F42" s="17">
        <v>1.0800000000000001E-2</v>
      </c>
      <c r="G42" s="17"/>
    </row>
    <row r="43" spans="1:7" x14ac:dyDescent="0.35">
      <c r="A43" s="13" t="s">
        <v>1921</v>
      </c>
      <c r="B43" s="41" t="s">
        <v>1922</v>
      </c>
      <c r="C43" s="41" t="s">
        <v>1350</v>
      </c>
      <c r="D43" s="15">
        <v>64930</v>
      </c>
      <c r="E43" s="16">
        <v>1482.09</v>
      </c>
      <c r="F43" s="17">
        <v>1.0699999999999999E-2</v>
      </c>
      <c r="G43" s="17"/>
    </row>
    <row r="44" spans="1:7" x14ac:dyDescent="0.35">
      <c r="A44" s="13" t="s">
        <v>1931</v>
      </c>
      <c r="B44" s="41" t="s">
        <v>1932</v>
      </c>
      <c r="C44" s="41" t="s">
        <v>1261</v>
      </c>
      <c r="D44" s="15">
        <v>179245</v>
      </c>
      <c r="E44" s="16">
        <v>1474.38</v>
      </c>
      <c r="F44" s="17">
        <v>1.0699999999999999E-2</v>
      </c>
      <c r="G44" s="17"/>
    </row>
    <row r="45" spans="1:7" x14ac:dyDescent="0.35">
      <c r="A45" s="13" t="s">
        <v>1923</v>
      </c>
      <c r="B45" s="41" t="s">
        <v>1924</v>
      </c>
      <c r="C45" s="41" t="s">
        <v>1224</v>
      </c>
      <c r="D45" s="15">
        <v>26001</v>
      </c>
      <c r="E45" s="16">
        <v>1436.17</v>
      </c>
      <c r="F45" s="17">
        <v>1.04E-2</v>
      </c>
      <c r="G45" s="17"/>
    </row>
    <row r="46" spans="1:7" x14ac:dyDescent="0.35">
      <c r="A46" s="13" t="s">
        <v>1356</v>
      </c>
      <c r="B46" s="41" t="s">
        <v>1357</v>
      </c>
      <c r="C46" s="41" t="s">
        <v>1288</v>
      </c>
      <c r="D46" s="15">
        <v>62995</v>
      </c>
      <c r="E46" s="16">
        <v>1288.69</v>
      </c>
      <c r="F46" s="17">
        <v>9.2999999999999992E-3</v>
      </c>
      <c r="G46" s="17"/>
    </row>
    <row r="47" spans="1:7" x14ac:dyDescent="0.35">
      <c r="A47" s="13" t="s">
        <v>1945</v>
      </c>
      <c r="B47" s="41" t="s">
        <v>1946</v>
      </c>
      <c r="C47" s="41" t="s">
        <v>1211</v>
      </c>
      <c r="D47" s="15">
        <v>23683</v>
      </c>
      <c r="E47" s="16">
        <v>1249.99</v>
      </c>
      <c r="F47" s="17">
        <v>9.1000000000000004E-3</v>
      </c>
      <c r="G47" s="17"/>
    </row>
    <row r="48" spans="1:7" x14ac:dyDescent="0.35">
      <c r="A48" s="13" t="s">
        <v>1466</v>
      </c>
      <c r="B48" s="41" t="s">
        <v>1467</v>
      </c>
      <c r="C48" s="41" t="s">
        <v>1234</v>
      </c>
      <c r="D48" s="15">
        <v>324884</v>
      </c>
      <c r="E48" s="16">
        <v>1191.67</v>
      </c>
      <c r="F48" s="17">
        <v>8.6E-3</v>
      </c>
      <c r="G48" s="17"/>
    </row>
    <row r="49" spans="1:7" x14ac:dyDescent="0.35">
      <c r="A49" s="13" t="s">
        <v>1247</v>
      </c>
      <c r="B49" s="41" t="s">
        <v>1248</v>
      </c>
      <c r="C49" s="41" t="s">
        <v>1211</v>
      </c>
      <c r="D49" s="15">
        <v>137597</v>
      </c>
      <c r="E49" s="16">
        <v>1036.8599999999999</v>
      </c>
      <c r="F49" s="17">
        <v>7.4999999999999997E-3</v>
      </c>
      <c r="G49" s="17"/>
    </row>
    <row r="50" spans="1:7" x14ac:dyDescent="0.35">
      <c r="A50" s="13" t="s">
        <v>1888</v>
      </c>
      <c r="B50" s="41" t="s">
        <v>1889</v>
      </c>
      <c r="C50" s="41" t="s">
        <v>1280</v>
      </c>
      <c r="D50" s="15">
        <v>107030</v>
      </c>
      <c r="E50" s="16">
        <v>939.83</v>
      </c>
      <c r="F50" s="17">
        <v>6.7999999999999996E-3</v>
      </c>
      <c r="G50" s="17"/>
    </row>
    <row r="51" spans="1:7" x14ac:dyDescent="0.35">
      <c r="A51" s="13" t="s">
        <v>2254</v>
      </c>
      <c r="B51" s="41" t="s">
        <v>2255</v>
      </c>
      <c r="C51" s="41" t="s">
        <v>1288</v>
      </c>
      <c r="D51" s="15">
        <v>21110</v>
      </c>
      <c r="E51" s="16">
        <v>842.08</v>
      </c>
      <c r="F51" s="17">
        <v>6.1000000000000004E-3</v>
      </c>
      <c r="G51" s="17"/>
    </row>
    <row r="52" spans="1:7" x14ac:dyDescent="0.35">
      <c r="A52" s="13" t="s">
        <v>1494</v>
      </c>
      <c r="B52" s="41" t="s">
        <v>1495</v>
      </c>
      <c r="C52" s="41" t="s">
        <v>1224</v>
      </c>
      <c r="D52" s="15">
        <v>31043</v>
      </c>
      <c r="E52" s="16">
        <v>641.19000000000005</v>
      </c>
      <c r="F52" s="17">
        <v>4.5999999999999999E-3</v>
      </c>
      <c r="G52" s="17"/>
    </row>
    <row r="53" spans="1:7" x14ac:dyDescent="0.35">
      <c r="A53" s="13" t="s">
        <v>2298</v>
      </c>
      <c r="B53" s="41" t="s">
        <v>2299</v>
      </c>
      <c r="C53" s="41" t="s">
        <v>2300</v>
      </c>
      <c r="D53" s="15">
        <v>1660</v>
      </c>
      <c r="E53" s="16">
        <v>570.87</v>
      </c>
      <c r="F53" s="17">
        <v>4.1000000000000003E-3</v>
      </c>
      <c r="G53" s="17"/>
    </row>
    <row r="54" spans="1:7" x14ac:dyDescent="0.35">
      <c r="A54" s="13" t="s">
        <v>2268</v>
      </c>
      <c r="B54" s="41" t="s">
        <v>2269</v>
      </c>
      <c r="C54" s="41" t="s">
        <v>1201</v>
      </c>
      <c r="D54" s="15">
        <v>118361</v>
      </c>
      <c r="E54" s="16">
        <v>547.89</v>
      </c>
      <c r="F54" s="17">
        <v>4.0000000000000001E-3</v>
      </c>
      <c r="G54" s="17"/>
    </row>
    <row r="55" spans="1:7" x14ac:dyDescent="0.35">
      <c r="A55" s="13" t="s">
        <v>1814</v>
      </c>
      <c r="B55" s="41" t="s">
        <v>1815</v>
      </c>
      <c r="C55" s="41" t="s">
        <v>1234</v>
      </c>
      <c r="D55" s="15">
        <v>1872</v>
      </c>
      <c r="E55" s="16">
        <v>516.02</v>
      </c>
      <c r="F55" s="17">
        <v>3.7000000000000002E-3</v>
      </c>
      <c r="G55" s="17"/>
    </row>
    <row r="56" spans="1:7" x14ac:dyDescent="0.35">
      <c r="A56" s="13" t="s">
        <v>2274</v>
      </c>
      <c r="B56" s="41" t="s">
        <v>2275</v>
      </c>
      <c r="C56" s="41" t="s">
        <v>1355</v>
      </c>
      <c r="D56" s="15">
        <v>287022</v>
      </c>
      <c r="E56" s="16">
        <v>510.58</v>
      </c>
      <c r="F56" s="17">
        <v>3.7000000000000002E-3</v>
      </c>
      <c r="G56" s="17"/>
    </row>
    <row r="57" spans="1:7" x14ac:dyDescent="0.35">
      <c r="A57" s="13" t="s">
        <v>1941</v>
      </c>
      <c r="B57" s="41" t="s">
        <v>1942</v>
      </c>
      <c r="C57" s="41" t="s">
        <v>1198</v>
      </c>
      <c r="D57" s="15">
        <v>33010</v>
      </c>
      <c r="E57" s="16">
        <v>509.94</v>
      </c>
      <c r="F57" s="17">
        <v>3.7000000000000002E-3</v>
      </c>
      <c r="G57" s="17"/>
    </row>
    <row r="58" spans="1:7" x14ac:dyDescent="0.35">
      <c r="A58" s="14" t="s">
        <v>149</v>
      </c>
      <c r="B58" s="42"/>
      <c r="C58" s="42"/>
      <c r="D58" s="18"/>
      <c r="E58" s="19">
        <v>138019.73000000001</v>
      </c>
      <c r="F58" s="20">
        <v>0.99939999999999996</v>
      </c>
      <c r="G58" s="21"/>
    </row>
    <row r="59" spans="1:7" x14ac:dyDescent="0.35">
      <c r="A59" s="14" t="s">
        <v>1914</v>
      </c>
      <c r="B59" s="41"/>
      <c r="C59" s="41"/>
      <c r="D59" s="15"/>
      <c r="E59" s="16"/>
      <c r="F59" s="17"/>
      <c r="G59" s="17"/>
    </row>
    <row r="60" spans="1:7" x14ac:dyDescent="0.35">
      <c r="A60" s="14" t="s">
        <v>149</v>
      </c>
      <c r="B60" s="41"/>
      <c r="C60" s="41"/>
      <c r="D60" s="15"/>
      <c r="E60" s="34" t="s">
        <v>146</v>
      </c>
      <c r="F60" s="35" t="s">
        <v>146</v>
      </c>
      <c r="G60" s="17"/>
    </row>
    <row r="61" spans="1:7" x14ac:dyDescent="0.35">
      <c r="A61" s="22" t="s">
        <v>160</v>
      </c>
      <c r="B61" s="43"/>
      <c r="C61" s="43"/>
      <c r="D61" s="23"/>
      <c r="E61" s="24">
        <v>138019.73000000001</v>
      </c>
      <c r="F61" s="25">
        <v>0.99939999999999996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3"/>
      <c r="B63" s="41"/>
      <c r="C63" s="41"/>
      <c r="D63" s="15"/>
      <c r="E63" s="16"/>
      <c r="F63" s="17"/>
      <c r="G63" s="17"/>
    </row>
    <row r="64" spans="1:7" x14ac:dyDescent="0.35">
      <c r="A64" s="14" t="s">
        <v>255</v>
      </c>
      <c r="B64" s="41"/>
      <c r="C64" s="41"/>
      <c r="D64" s="15"/>
      <c r="E64" s="16"/>
      <c r="F64" s="17"/>
      <c r="G64" s="17"/>
    </row>
    <row r="65" spans="1:7" x14ac:dyDescent="0.35">
      <c r="A65" s="13" t="s">
        <v>257</v>
      </c>
      <c r="B65" s="41"/>
      <c r="C65" s="41"/>
      <c r="D65" s="15"/>
      <c r="E65" s="16">
        <v>435.81</v>
      </c>
      <c r="F65" s="17">
        <v>3.2000000000000002E-3</v>
      </c>
      <c r="G65" s="17">
        <v>5.1742000000000003E-2</v>
      </c>
    </row>
    <row r="66" spans="1:7" x14ac:dyDescent="0.35">
      <c r="A66" s="14" t="s">
        <v>149</v>
      </c>
      <c r="B66" s="42"/>
      <c r="C66" s="42"/>
      <c r="D66" s="18"/>
      <c r="E66" s="19">
        <v>435.81</v>
      </c>
      <c r="F66" s="20">
        <v>3.2000000000000002E-3</v>
      </c>
      <c r="G66" s="21"/>
    </row>
    <row r="67" spans="1:7" x14ac:dyDescent="0.35">
      <c r="A67" s="13"/>
      <c r="B67" s="41"/>
      <c r="C67" s="41"/>
      <c r="D67" s="15"/>
      <c r="E67" s="16"/>
      <c r="F67" s="17"/>
      <c r="G67" s="17"/>
    </row>
    <row r="68" spans="1:7" x14ac:dyDescent="0.35">
      <c r="A68" s="22" t="s">
        <v>160</v>
      </c>
      <c r="B68" s="43"/>
      <c r="C68" s="43"/>
      <c r="D68" s="23"/>
      <c r="E68" s="36">
        <v>435.81</v>
      </c>
      <c r="F68" s="37">
        <v>3.2000000000000002E-3</v>
      </c>
      <c r="G68" s="21"/>
    </row>
    <row r="69" spans="1:7" x14ac:dyDescent="0.35">
      <c r="A69" s="13" t="s">
        <v>258</v>
      </c>
      <c r="B69" s="41"/>
      <c r="C69" s="41"/>
      <c r="D69" s="15"/>
      <c r="E69" s="16">
        <v>0.1235612</v>
      </c>
      <c r="F69" s="17">
        <v>0</v>
      </c>
      <c r="G69" s="17"/>
    </row>
    <row r="70" spans="1:7" x14ac:dyDescent="0.35">
      <c r="A70" s="13" t="s">
        <v>259</v>
      </c>
      <c r="B70" s="41"/>
      <c r="C70" s="41"/>
      <c r="D70" s="15"/>
      <c r="E70" s="28">
        <v>-385.33356120000002</v>
      </c>
      <c r="F70" s="29">
        <v>-2.5999999999999999E-3</v>
      </c>
      <c r="G70" s="17">
        <v>5.1741000000000002E-2</v>
      </c>
    </row>
    <row r="71" spans="1:7" x14ac:dyDescent="0.35">
      <c r="A71" s="38" t="s">
        <v>260</v>
      </c>
      <c r="B71" s="44"/>
      <c r="C71" s="44"/>
      <c r="D71" s="39"/>
      <c r="E71" s="24">
        <v>138070.32999999999</v>
      </c>
      <c r="F71" s="25">
        <v>1</v>
      </c>
      <c r="G71" s="25"/>
    </row>
    <row r="76" spans="1:7" x14ac:dyDescent="0.35">
      <c r="A76" s="1" t="s">
        <v>263</v>
      </c>
    </row>
    <row r="77" spans="1:7" x14ac:dyDescent="0.35">
      <c r="A77" s="47" t="s">
        <v>264</v>
      </c>
      <c r="B77" s="3" t="s">
        <v>146</v>
      </c>
    </row>
    <row r="78" spans="1:7" x14ac:dyDescent="0.35">
      <c r="A78" t="s">
        <v>265</v>
      </c>
    </row>
    <row r="79" spans="1:7" x14ac:dyDescent="0.35">
      <c r="A79" t="s">
        <v>266</v>
      </c>
      <c r="B79" t="s">
        <v>267</v>
      </c>
      <c r="C79" t="s">
        <v>267</v>
      </c>
    </row>
    <row r="80" spans="1:7" x14ac:dyDescent="0.35">
      <c r="B80" s="49">
        <v>46022</v>
      </c>
      <c r="C80" s="49">
        <v>46052</v>
      </c>
    </row>
    <row r="81" spans="1:3" x14ac:dyDescent="0.35">
      <c r="A81" t="s">
        <v>752</v>
      </c>
      <c r="B81">
        <v>18.234200000000001</v>
      </c>
      <c r="C81">
        <v>17.8185</v>
      </c>
    </row>
    <row r="82" spans="1:3" x14ac:dyDescent="0.35">
      <c r="A82" t="s">
        <v>273</v>
      </c>
      <c r="B82">
        <v>18.237200000000001</v>
      </c>
      <c r="C82">
        <v>17.821400000000001</v>
      </c>
    </row>
    <row r="83" spans="1:3" x14ac:dyDescent="0.35">
      <c r="A83" t="s">
        <v>753</v>
      </c>
      <c r="B83">
        <v>17.837800000000001</v>
      </c>
      <c r="C83">
        <v>17.421399999999998</v>
      </c>
    </row>
    <row r="84" spans="1:3" x14ac:dyDescent="0.35">
      <c r="A84" t="s">
        <v>709</v>
      </c>
      <c r="B84">
        <v>17.837800000000001</v>
      </c>
      <c r="C84">
        <v>17.421399999999998</v>
      </c>
    </row>
    <row r="86" spans="1:3" x14ac:dyDescent="0.35">
      <c r="A86" t="s">
        <v>283</v>
      </c>
      <c r="B86" s="3" t="s">
        <v>146</v>
      </c>
    </row>
    <row r="87" spans="1:3" x14ac:dyDescent="0.35">
      <c r="A87" t="s">
        <v>284</v>
      </c>
      <c r="B87" s="3" t="s">
        <v>146</v>
      </c>
    </row>
    <row r="88" spans="1:3" ht="29" customHeight="1" x14ac:dyDescent="0.35">
      <c r="A88" s="47" t="s">
        <v>285</v>
      </c>
      <c r="B88" s="3" t="s">
        <v>146</v>
      </c>
    </row>
    <row r="89" spans="1:3" ht="29" customHeight="1" x14ac:dyDescent="0.35">
      <c r="A89" s="47" t="s">
        <v>286</v>
      </c>
      <c r="B89" s="3" t="s">
        <v>146</v>
      </c>
    </row>
    <row r="90" spans="1:3" x14ac:dyDescent="0.35">
      <c r="A90" t="s">
        <v>1253</v>
      </c>
      <c r="B90" s="48">
        <v>1.1224000000000001</v>
      </c>
    </row>
    <row r="91" spans="1:3" ht="43.5" customHeight="1" x14ac:dyDescent="0.35">
      <c r="A91" s="47" t="s">
        <v>288</v>
      </c>
      <c r="B91" s="3" t="s">
        <v>146</v>
      </c>
    </row>
    <row r="92" spans="1:3" x14ac:dyDescent="0.35">
      <c r="B92" s="3"/>
    </row>
    <row r="93" spans="1:3" ht="29" customHeight="1" x14ac:dyDescent="0.35">
      <c r="A93" s="47" t="s">
        <v>289</v>
      </c>
      <c r="B93" s="3" t="s">
        <v>146</v>
      </c>
    </row>
    <row r="94" spans="1:3" ht="29" customHeight="1" x14ac:dyDescent="0.35">
      <c r="A94" s="47" t="s">
        <v>290</v>
      </c>
      <c r="B94" t="s">
        <v>146</v>
      </c>
    </row>
    <row r="95" spans="1:3" ht="29" customHeight="1" x14ac:dyDescent="0.35">
      <c r="A95" s="47" t="s">
        <v>291</v>
      </c>
      <c r="B95" s="3" t="s">
        <v>146</v>
      </c>
    </row>
    <row r="96" spans="1:3" ht="29" customHeight="1" x14ac:dyDescent="0.35">
      <c r="A96" s="47" t="s">
        <v>292</v>
      </c>
      <c r="B96" s="3" t="s">
        <v>146</v>
      </c>
    </row>
    <row r="98" spans="1:4" ht="70" customHeight="1" x14ac:dyDescent="0.35">
      <c r="A98" s="70" t="s">
        <v>303</v>
      </c>
      <c r="B98" s="70" t="s">
        <v>304</v>
      </c>
      <c r="C98" s="70" t="s">
        <v>4</v>
      </c>
      <c r="D98" s="70" t="s">
        <v>5</v>
      </c>
    </row>
    <row r="99" spans="1:4" ht="70" customHeight="1" x14ac:dyDescent="0.35">
      <c r="A99" s="70" t="s">
        <v>2339</v>
      </c>
      <c r="B99" s="70"/>
      <c r="C99" s="70" t="s">
        <v>85</v>
      </c>
      <c r="D9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J226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2340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2341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888250</v>
      </c>
      <c r="E8" s="16">
        <v>8254.06</v>
      </c>
      <c r="F8" s="17">
        <v>3.082E-2</v>
      </c>
      <c r="G8" s="17"/>
    </row>
    <row r="9" spans="1:7" x14ac:dyDescent="0.35">
      <c r="A9" s="13" t="s">
        <v>1257</v>
      </c>
      <c r="B9" s="41" t="s">
        <v>1258</v>
      </c>
      <c r="C9" s="41" t="s">
        <v>1198</v>
      </c>
      <c r="D9" s="15">
        <v>67257975</v>
      </c>
      <c r="E9" s="16">
        <v>7512.72</v>
      </c>
      <c r="F9" s="17">
        <v>2.8052000000000001E-2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380500</v>
      </c>
      <c r="E10" s="16">
        <v>5309.5</v>
      </c>
      <c r="F10" s="17">
        <v>1.9824999999999999E-2</v>
      </c>
      <c r="G10" s="17"/>
    </row>
    <row r="11" spans="1:7" x14ac:dyDescent="0.35">
      <c r="A11" s="13" t="s">
        <v>1196</v>
      </c>
      <c r="B11" s="41" t="s">
        <v>1197</v>
      </c>
      <c r="C11" s="41" t="s">
        <v>1198</v>
      </c>
      <c r="D11" s="15">
        <v>193325</v>
      </c>
      <c r="E11" s="16">
        <v>3805.99</v>
      </c>
      <c r="F11" s="17">
        <v>1.4211E-2</v>
      </c>
      <c r="G11" s="17"/>
    </row>
    <row r="12" spans="1:7" x14ac:dyDescent="0.35">
      <c r="A12" s="13" t="s">
        <v>1181</v>
      </c>
      <c r="B12" s="41" t="s">
        <v>1182</v>
      </c>
      <c r="C12" s="41" t="s">
        <v>1178</v>
      </c>
      <c r="D12" s="15">
        <v>240800</v>
      </c>
      <c r="E12" s="16">
        <v>3262.84</v>
      </c>
      <c r="F12" s="17">
        <v>1.2182999999999999E-2</v>
      </c>
      <c r="G12" s="17"/>
    </row>
    <row r="13" spans="1:7" x14ac:dyDescent="0.35">
      <c r="A13" s="13" t="s">
        <v>1243</v>
      </c>
      <c r="B13" s="41" t="s">
        <v>1244</v>
      </c>
      <c r="C13" s="41" t="s">
        <v>1224</v>
      </c>
      <c r="D13" s="15">
        <v>76500</v>
      </c>
      <c r="E13" s="16">
        <v>2156.54</v>
      </c>
      <c r="F13" s="17">
        <v>8.0520000000000001E-3</v>
      </c>
      <c r="G13" s="17"/>
    </row>
    <row r="14" spans="1:7" x14ac:dyDescent="0.35">
      <c r="A14" s="13" t="s">
        <v>1283</v>
      </c>
      <c r="B14" s="41" t="s">
        <v>1284</v>
      </c>
      <c r="C14" s="41" t="s">
        <v>1285</v>
      </c>
      <c r="D14" s="15">
        <v>34950</v>
      </c>
      <c r="E14" s="16">
        <v>1614.48</v>
      </c>
      <c r="F14" s="17">
        <v>6.0280000000000004E-3</v>
      </c>
      <c r="G14" s="17"/>
    </row>
    <row r="15" spans="1:7" x14ac:dyDescent="0.35">
      <c r="A15" s="13" t="s">
        <v>1289</v>
      </c>
      <c r="B15" s="41" t="s">
        <v>1290</v>
      </c>
      <c r="C15" s="41" t="s">
        <v>1285</v>
      </c>
      <c r="D15" s="15">
        <v>270750</v>
      </c>
      <c r="E15" s="16">
        <v>1215.67</v>
      </c>
      <c r="F15" s="17">
        <v>4.5389999999999996E-3</v>
      </c>
      <c r="G15" s="17"/>
    </row>
    <row r="16" spans="1:7" x14ac:dyDescent="0.35">
      <c r="A16" s="13" t="s">
        <v>1267</v>
      </c>
      <c r="B16" s="41" t="s">
        <v>1268</v>
      </c>
      <c r="C16" s="41" t="s">
        <v>1269</v>
      </c>
      <c r="D16" s="15">
        <v>177100</v>
      </c>
      <c r="E16" s="16">
        <v>1207.03</v>
      </c>
      <c r="F16" s="17">
        <v>4.5069999999999997E-3</v>
      </c>
      <c r="G16" s="17"/>
    </row>
    <row r="17" spans="1:7" x14ac:dyDescent="0.35">
      <c r="A17" s="13" t="s">
        <v>1264</v>
      </c>
      <c r="B17" s="41" t="s">
        <v>1265</v>
      </c>
      <c r="C17" s="41" t="s">
        <v>1266</v>
      </c>
      <c r="D17" s="15">
        <v>402550</v>
      </c>
      <c r="E17" s="16">
        <v>1101.3800000000001</v>
      </c>
      <c r="F17" s="17">
        <v>4.1120000000000002E-3</v>
      </c>
      <c r="G17" s="17"/>
    </row>
    <row r="18" spans="1:7" x14ac:dyDescent="0.35">
      <c r="A18" s="13" t="s">
        <v>1235</v>
      </c>
      <c r="B18" s="41" t="s">
        <v>1236</v>
      </c>
      <c r="C18" s="41" t="s">
        <v>1178</v>
      </c>
      <c r="D18" s="15">
        <v>260000</v>
      </c>
      <c r="E18" s="16">
        <v>1060.8</v>
      </c>
      <c r="F18" s="17">
        <v>3.9610000000000001E-3</v>
      </c>
      <c r="G18" s="17"/>
    </row>
    <row r="19" spans="1:7" x14ac:dyDescent="0.35">
      <c r="A19" s="13" t="s">
        <v>1295</v>
      </c>
      <c r="B19" s="41" t="s">
        <v>1296</v>
      </c>
      <c r="C19" s="41" t="s">
        <v>1188</v>
      </c>
      <c r="D19" s="15">
        <v>30200</v>
      </c>
      <c r="E19" s="16">
        <v>1036.4000000000001</v>
      </c>
      <c r="F19" s="17">
        <v>3.8700000000000002E-3</v>
      </c>
      <c r="G19" s="17"/>
    </row>
    <row r="20" spans="1:7" x14ac:dyDescent="0.35">
      <c r="A20" s="13" t="s">
        <v>1291</v>
      </c>
      <c r="B20" s="41" t="s">
        <v>1292</v>
      </c>
      <c r="C20" s="41" t="s">
        <v>1206</v>
      </c>
      <c r="D20" s="15">
        <v>226800</v>
      </c>
      <c r="E20" s="16">
        <v>968.44</v>
      </c>
      <c r="F20" s="17">
        <v>3.6159999999999999E-3</v>
      </c>
      <c r="G20" s="17"/>
    </row>
    <row r="21" spans="1:7" x14ac:dyDescent="0.35">
      <c r="A21" s="13" t="s">
        <v>1306</v>
      </c>
      <c r="B21" s="41" t="s">
        <v>1307</v>
      </c>
      <c r="C21" s="41" t="s">
        <v>1178</v>
      </c>
      <c r="D21" s="15">
        <v>4478400</v>
      </c>
      <c r="E21" s="16">
        <v>958.83</v>
      </c>
      <c r="F21" s="17">
        <v>3.5799999999999998E-3</v>
      </c>
      <c r="G21" s="17"/>
    </row>
    <row r="22" spans="1:7" x14ac:dyDescent="0.35">
      <c r="A22" s="13" t="s">
        <v>1925</v>
      </c>
      <c r="B22" s="41" t="s">
        <v>1926</v>
      </c>
      <c r="C22" s="41" t="s">
        <v>1419</v>
      </c>
      <c r="D22" s="15">
        <v>225000</v>
      </c>
      <c r="E22" s="16">
        <v>867.26</v>
      </c>
      <c r="F22" s="17">
        <v>3.238E-3</v>
      </c>
      <c r="G22" s="17"/>
    </row>
    <row r="23" spans="1:7" x14ac:dyDescent="0.35">
      <c r="A23" s="13" t="s">
        <v>1241</v>
      </c>
      <c r="B23" s="41" t="s">
        <v>1242</v>
      </c>
      <c r="C23" s="41" t="s">
        <v>1216</v>
      </c>
      <c r="D23" s="15">
        <v>118800</v>
      </c>
      <c r="E23" s="16">
        <v>867</v>
      </c>
      <c r="F23" s="17">
        <v>3.2369999999999999E-3</v>
      </c>
      <c r="G23" s="17"/>
    </row>
    <row r="24" spans="1:7" x14ac:dyDescent="0.35">
      <c r="A24" s="13" t="s">
        <v>1176</v>
      </c>
      <c r="B24" s="41" t="s">
        <v>1177</v>
      </c>
      <c r="C24" s="41" t="s">
        <v>1178</v>
      </c>
      <c r="D24" s="15">
        <v>78000</v>
      </c>
      <c r="E24" s="16">
        <v>840.18</v>
      </c>
      <c r="F24" s="17">
        <v>3.137E-3</v>
      </c>
      <c r="G24" s="17"/>
    </row>
    <row r="25" spans="1:7" x14ac:dyDescent="0.35">
      <c r="A25" s="13" t="s">
        <v>1308</v>
      </c>
      <c r="B25" s="41" t="s">
        <v>1309</v>
      </c>
      <c r="C25" s="41" t="s">
        <v>1211</v>
      </c>
      <c r="D25" s="15">
        <v>237350</v>
      </c>
      <c r="E25" s="16">
        <v>604.05999999999995</v>
      </c>
      <c r="F25" s="17">
        <v>2.2550000000000001E-3</v>
      </c>
      <c r="G25" s="17"/>
    </row>
    <row r="26" spans="1:7" x14ac:dyDescent="0.35">
      <c r="A26" s="13" t="s">
        <v>1222</v>
      </c>
      <c r="B26" s="41" t="s">
        <v>1223</v>
      </c>
      <c r="C26" s="41" t="s">
        <v>1224</v>
      </c>
      <c r="D26" s="15">
        <v>4550</v>
      </c>
      <c r="E26" s="16">
        <v>577.58000000000004</v>
      </c>
      <c r="F26" s="17">
        <v>2.1570000000000001E-3</v>
      </c>
      <c r="G26" s="17"/>
    </row>
    <row r="27" spans="1:7" x14ac:dyDescent="0.35">
      <c r="A27" s="13" t="s">
        <v>1273</v>
      </c>
      <c r="B27" s="41" t="s">
        <v>1274</v>
      </c>
      <c r="C27" s="41" t="s">
        <v>1275</v>
      </c>
      <c r="D27" s="15">
        <v>179200</v>
      </c>
      <c r="E27" s="16">
        <v>577.29</v>
      </c>
      <c r="F27" s="17">
        <v>2.1559999999999999E-3</v>
      </c>
      <c r="G27" s="17"/>
    </row>
    <row r="28" spans="1:7" x14ac:dyDescent="0.35">
      <c r="A28" s="13" t="s">
        <v>1293</v>
      </c>
      <c r="B28" s="41" t="s">
        <v>1294</v>
      </c>
      <c r="C28" s="41" t="s">
        <v>1234</v>
      </c>
      <c r="D28" s="15">
        <v>44000</v>
      </c>
      <c r="E28" s="16">
        <v>531.39</v>
      </c>
      <c r="F28" s="17">
        <v>1.9840000000000001E-3</v>
      </c>
      <c r="G28" s="17"/>
    </row>
    <row r="29" spans="1:7" x14ac:dyDescent="0.35">
      <c r="A29" s="13" t="s">
        <v>1314</v>
      </c>
      <c r="B29" s="41" t="s">
        <v>1315</v>
      </c>
      <c r="C29" s="41" t="s">
        <v>1211</v>
      </c>
      <c r="D29" s="15">
        <v>45375</v>
      </c>
      <c r="E29" s="16">
        <v>462.83</v>
      </c>
      <c r="F29" s="17">
        <v>1.7279999999999999E-3</v>
      </c>
      <c r="G29" s="17"/>
    </row>
    <row r="30" spans="1:7" x14ac:dyDescent="0.35">
      <c r="A30" s="13" t="s">
        <v>1212</v>
      </c>
      <c r="B30" s="41" t="s">
        <v>1213</v>
      </c>
      <c r="C30" s="41" t="s">
        <v>1188</v>
      </c>
      <c r="D30" s="15">
        <v>11550</v>
      </c>
      <c r="E30" s="16">
        <v>424.74</v>
      </c>
      <c r="F30" s="17">
        <v>1.586E-3</v>
      </c>
      <c r="G30" s="17"/>
    </row>
    <row r="31" spans="1:7" x14ac:dyDescent="0.35">
      <c r="A31" s="13" t="s">
        <v>1318</v>
      </c>
      <c r="B31" s="41" t="s">
        <v>1319</v>
      </c>
      <c r="C31" s="41" t="s">
        <v>1178</v>
      </c>
      <c r="D31" s="15">
        <v>136525</v>
      </c>
      <c r="E31" s="16">
        <v>407.87</v>
      </c>
      <c r="F31" s="17">
        <v>1.523E-3</v>
      </c>
      <c r="G31" s="17"/>
    </row>
    <row r="32" spans="1:7" x14ac:dyDescent="0.35">
      <c r="A32" s="13" t="s">
        <v>1310</v>
      </c>
      <c r="B32" s="41" t="s">
        <v>1311</v>
      </c>
      <c r="C32" s="41" t="s">
        <v>1261</v>
      </c>
      <c r="D32" s="15">
        <v>209000</v>
      </c>
      <c r="E32" s="16">
        <v>403.64</v>
      </c>
      <c r="F32" s="17">
        <v>1.5070000000000001E-3</v>
      </c>
      <c r="G32" s="17"/>
    </row>
    <row r="33" spans="1:7" x14ac:dyDescent="0.35">
      <c r="A33" s="13" t="s">
        <v>1259</v>
      </c>
      <c r="B33" s="41" t="s">
        <v>1260</v>
      </c>
      <c r="C33" s="41" t="s">
        <v>1261</v>
      </c>
      <c r="D33" s="15">
        <v>29025</v>
      </c>
      <c r="E33" s="16">
        <v>352.48</v>
      </c>
      <c r="F33" s="17">
        <v>1.3159999999999999E-3</v>
      </c>
      <c r="G33" s="17"/>
    </row>
    <row r="34" spans="1:7" x14ac:dyDescent="0.35">
      <c r="A34" s="13" t="s">
        <v>1262</v>
      </c>
      <c r="B34" s="41" t="s">
        <v>1263</v>
      </c>
      <c r="C34" s="41" t="s">
        <v>1178</v>
      </c>
      <c r="D34" s="15">
        <v>25625</v>
      </c>
      <c r="E34" s="16">
        <v>351.17</v>
      </c>
      <c r="F34" s="17">
        <v>1.3110000000000001E-3</v>
      </c>
      <c r="G34" s="17"/>
    </row>
    <row r="35" spans="1:7" x14ac:dyDescent="0.35">
      <c r="A35" s="13" t="s">
        <v>1463</v>
      </c>
      <c r="B35" s="41" t="s">
        <v>1464</v>
      </c>
      <c r="C35" s="41" t="s">
        <v>1465</v>
      </c>
      <c r="D35" s="15">
        <v>20300</v>
      </c>
      <c r="E35" s="16">
        <v>335.86</v>
      </c>
      <c r="F35" s="17">
        <v>1.2539999999999999E-3</v>
      </c>
      <c r="G35" s="17"/>
    </row>
    <row r="36" spans="1:7" x14ac:dyDescent="0.35">
      <c r="A36" s="13" t="s">
        <v>1281</v>
      </c>
      <c r="B36" s="41" t="s">
        <v>1282</v>
      </c>
      <c r="C36" s="41" t="s">
        <v>1234</v>
      </c>
      <c r="D36" s="15">
        <v>16125</v>
      </c>
      <c r="E36" s="16">
        <v>325.06</v>
      </c>
      <c r="F36" s="17">
        <v>1.214E-3</v>
      </c>
      <c r="G36" s="17"/>
    </row>
    <row r="37" spans="1:7" x14ac:dyDescent="0.35">
      <c r="A37" s="13" t="s">
        <v>1361</v>
      </c>
      <c r="B37" s="41" t="s">
        <v>1362</v>
      </c>
      <c r="C37" s="41" t="s">
        <v>1229</v>
      </c>
      <c r="D37" s="15">
        <v>37975</v>
      </c>
      <c r="E37" s="16">
        <v>323.36</v>
      </c>
      <c r="F37" s="17">
        <v>1.207E-3</v>
      </c>
      <c r="G37" s="17"/>
    </row>
    <row r="38" spans="1:7" x14ac:dyDescent="0.35">
      <c r="A38" s="13" t="s">
        <v>1312</v>
      </c>
      <c r="B38" s="41" t="s">
        <v>1313</v>
      </c>
      <c r="C38" s="41" t="s">
        <v>1305</v>
      </c>
      <c r="D38" s="15">
        <v>34425</v>
      </c>
      <c r="E38" s="16">
        <v>308.02999999999997</v>
      </c>
      <c r="F38" s="17">
        <v>1.15E-3</v>
      </c>
      <c r="G38" s="17"/>
    </row>
    <row r="39" spans="1:7" x14ac:dyDescent="0.35">
      <c r="A39" s="13" t="s">
        <v>1403</v>
      </c>
      <c r="B39" s="41" t="s">
        <v>1404</v>
      </c>
      <c r="C39" s="41" t="s">
        <v>1234</v>
      </c>
      <c r="D39" s="15">
        <v>4600</v>
      </c>
      <c r="E39" s="16">
        <v>278.35000000000002</v>
      </c>
      <c r="F39" s="17">
        <v>1.039E-3</v>
      </c>
      <c r="G39" s="17"/>
    </row>
    <row r="40" spans="1:7" x14ac:dyDescent="0.35">
      <c r="A40" s="13" t="s">
        <v>1413</v>
      </c>
      <c r="B40" s="41" t="s">
        <v>1414</v>
      </c>
      <c r="C40" s="41" t="s">
        <v>1178</v>
      </c>
      <c r="D40" s="15">
        <v>154800</v>
      </c>
      <c r="E40" s="16">
        <v>239.4</v>
      </c>
      <c r="F40" s="17">
        <v>8.9400000000000005E-4</v>
      </c>
      <c r="G40" s="17"/>
    </row>
    <row r="41" spans="1:7" x14ac:dyDescent="0.35">
      <c r="A41" s="13" t="s">
        <v>1504</v>
      </c>
      <c r="B41" s="41" t="s">
        <v>1505</v>
      </c>
      <c r="C41" s="41" t="s">
        <v>1382</v>
      </c>
      <c r="D41" s="15">
        <v>10000</v>
      </c>
      <c r="E41" s="16">
        <v>233.51</v>
      </c>
      <c r="F41" s="17">
        <v>8.7200000000000005E-4</v>
      </c>
      <c r="G41" s="17"/>
    </row>
    <row r="42" spans="1:7" x14ac:dyDescent="0.35">
      <c r="A42" s="13" t="s">
        <v>1299</v>
      </c>
      <c r="B42" s="41" t="s">
        <v>1300</v>
      </c>
      <c r="C42" s="41" t="s">
        <v>1301</v>
      </c>
      <c r="D42" s="15">
        <v>81000</v>
      </c>
      <c r="E42" s="16">
        <v>217.86</v>
      </c>
      <c r="F42" s="17">
        <v>8.1300000000000003E-4</v>
      </c>
      <c r="G42" s="17"/>
    </row>
    <row r="43" spans="1:7" x14ac:dyDescent="0.35">
      <c r="A43" s="13" t="s">
        <v>1545</v>
      </c>
      <c r="B43" s="41" t="s">
        <v>1546</v>
      </c>
      <c r="C43" s="41" t="s">
        <v>1436</v>
      </c>
      <c r="D43" s="15">
        <v>6100</v>
      </c>
      <c r="E43" s="16">
        <v>212</v>
      </c>
      <c r="F43" s="17">
        <v>7.9199999999999995E-4</v>
      </c>
      <c r="G43" s="17"/>
    </row>
    <row r="44" spans="1:7" x14ac:dyDescent="0.35">
      <c r="A44" s="13" t="s">
        <v>1449</v>
      </c>
      <c r="B44" s="41" t="s">
        <v>1450</v>
      </c>
      <c r="C44" s="41" t="s">
        <v>1229</v>
      </c>
      <c r="D44" s="15">
        <v>22050</v>
      </c>
      <c r="E44" s="16">
        <v>210.97</v>
      </c>
      <c r="F44" s="17">
        <v>7.8799999999999996E-4</v>
      </c>
      <c r="G44" s="17"/>
    </row>
    <row r="45" spans="1:7" x14ac:dyDescent="0.35">
      <c r="A45" s="13" t="s">
        <v>1453</v>
      </c>
      <c r="B45" s="41" t="s">
        <v>1454</v>
      </c>
      <c r="C45" s="41" t="s">
        <v>1324</v>
      </c>
      <c r="D45" s="15">
        <v>14400</v>
      </c>
      <c r="E45" s="16">
        <v>210.46</v>
      </c>
      <c r="F45" s="17">
        <v>7.8600000000000002E-4</v>
      </c>
      <c r="G45" s="17"/>
    </row>
    <row r="46" spans="1:7" x14ac:dyDescent="0.35">
      <c r="A46" s="13" t="s">
        <v>1376</v>
      </c>
      <c r="B46" s="41" t="s">
        <v>1377</v>
      </c>
      <c r="C46" s="41" t="s">
        <v>1280</v>
      </c>
      <c r="D46" s="15">
        <v>7500</v>
      </c>
      <c r="E46" s="16">
        <v>209.78</v>
      </c>
      <c r="F46" s="17">
        <v>7.8299999999999995E-4</v>
      </c>
      <c r="G46" s="17"/>
    </row>
    <row r="47" spans="1:7" x14ac:dyDescent="0.35">
      <c r="A47" s="13" t="s">
        <v>1219</v>
      </c>
      <c r="B47" s="41" t="s">
        <v>1220</v>
      </c>
      <c r="C47" s="41" t="s">
        <v>1221</v>
      </c>
      <c r="D47" s="15">
        <v>12500</v>
      </c>
      <c r="E47" s="16">
        <v>178.89</v>
      </c>
      <c r="F47" s="17">
        <v>6.6799999999999997E-4</v>
      </c>
      <c r="G47" s="17"/>
    </row>
    <row r="48" spans="1:7" x14ac:dyDescent="0.35">
      <c r="A48" s="13" t="s">
        <v>1561</v>
      </c>
      <c r="B48" s="41" t="s">
        <v>1562</v>
      </c>
      <c r="C48" s="41" t="s">
        <v>1409</v>
      </c>
      <c r="D48" s="15">
        <v>27500</v>
      </c>
      <c r="E48" s="16">
        <v>139.32</v>
      </c>
      <c r="F48" s="17">
        <v>5.1999999999999995E-4</v>
      </c>
      <c r="G48" s="17"/>
    </row>
    <row r="49" spans="1:7" x14ac:dyDescent="0.35">
      <c r="A49" s="13" t="s">
        <v>1214</v>
      </c>
      <c r="B49" s="41" t="s">
        <v>1215</v>
      </c>
      <c r="C49" s="41" t="s">
        <v>1216</v>
      </c>
      <c r="D49" s="15">
        <v>8250</v>
      </c>
      <c r="E49" s="16">
        <v>93.55</v>
      </c>
      <c r="F49" s="17">
        <v>3.4900000000000003E-4</v>
      </c>
      <c r="G49" s="17"/>
    </row>
    <row r="50" spans="1:7" x14ac:dyDescent="0.35">
      <c r="A50" s="13" t="s">
        <v>1374</v>
      </c>
      <c r="B50" s="41" t="s">
        <v>1375</v>
      </c>
      <c r="C50" s="41" t="s">
        <v>1178</v>
      </c>
      <c r="D50" s="15">
        <v>17550</v>
      </c>
      <c r="E50" s="16">
        <v>52.54</v>
      </c>
      <c r="F50" s="17">
        <v>1.9599999999999999E-4</v>
      </c>
      <c r="G50" s="17"/>
    </row>
    <row r="51" spans="1:7" x14ac:dyDescent="0.35">
      <c r="A51" s="13" t="s">
        <v>1396</v>
      </c>
      <c r="B51" s="41" t="s">
        <v>1397</v>
      </c>
      <c r="C51" s="41" t="s">
        <v>1398</v>
      </c>
      <c r="D51" s="15">
        <v>2375</v>
      </c>
      <c r="E51" s="16">
        <v>33.72</v>
      </c>
      <c r="F51" s="17">
        <v>1.26E-4</v>
      </c>
      <c r="G51" s="17"/>
    </row>
    <row r="52" spans="1:7" x14ac:dyDescent="0.35">
      <c r="A52" s="14" t="s">
        <v>149</v>
      </c>
      <c r="B52" s="42"/>
      <c r="C52" s="42"/>
      <c r="D52" s="18"/>
      <c r="E52" s="30">
        <f>SUM(E8:E51)</f>
        <v>50334.830000000009</v>
      </c>
      <c r="F52" s="31">
        <f>SUM(F8:F51)</f>
        <v>0.18794200000000011</v>
      </c>
      <c r="G52" s="21"/>
    </row>
    <row r="53" spans="1:7" x14ac:dyDescent="0.35">
      <c r="A53" s="22" t="s">
        <v>160</v>
      </c>
      <c r="B53" s="43"/>
      <c r="C53" s="43"/>
      <c r="D53" s="23"/>
      <c r="E53" s="24">
        <v>50334.830000000009</v>
      </c>
      <c r="F53" s="25">
        <v>0.18794200000000011</v>
      </c>
      <c r="G53" s="21"/>
    </row>
    <row r="54" spans="1:7" x14ac:dyDescent="0.35">
      <c r="A54" s="13"/>
      <c r="B54" s="41"/>
      <c r="C54" s="41"/>
      <c r="D54" s="15"/>
      <c r="E54" s="16"/>
      <c r="F54" s="17"/>
      <c r="G54" s="17"/>
    </row>
    <row r="55" spans="1:7" x14ac:dyDescent="0.35">
      <c r="A55" s="14" t="s">
        <v>1571</v>
      </c>
      <c r="B55" s="41"/>
      <c r="C55" s="41"/>
      <c r="D55" s="15"/>
      <c r="E55" s="16"/>
      <c r="F55" s="17"/>
      <c r="G55" s="17"/>
    </row>
    <row r="56" spans="1:7" x14ac:dyDescent="0.35">
      <c r="A56" s="14" t="s">
        <v>1572</v>
      </c>
      <c r="B56" s="41"/>
      <c r="C56" s="41"/>
      <c r="D56" s="15"/>
      <c r="E56" s="16"/>
      <c r="F56" s="17"/>
      <c r="G56" s="17"/>
    </row>
    <row r="57" spans="1:7" x14ac:dyDescent="0.35">
      <c r="A57" s="13" t="s">
        <v>1674</v>
      </c>
      <c r="B57" s="41"/>
      <c r="C57" s="41" t="s">
        <v>1398</v>
      </c>
      <c r="D57" s="27">
        <v>-2375</v>
      </c>
      <c r="E57" s="28">
        <v>-33.79</v>
      </c>
      <c r="F57" s="29">
        <v>-1.26E-4</v>
      </c>
      <c r="G57" s="17"/>
    </row>
    <row r="58" spans="1:7" x14ac:dyDescent="0.35">
      <c r="A58" s="13" t="s">
        <v>1686</v>
      </c>
      <c r="B58" s="41"/>
      <c r="C58" s="41" t="s">
        <v>1178</v>
      </c>
      <c r="D58" s="27">
        <v>-17550</v>
      </c>
      <c r="E58" s="28">
        <v>-52.73</v>
      </c>
      <c r="F58" s="29">
        <v>-1.9599999999999999E-4</v>
      </c>
      <c r="G58" s="17"/>
    </row>
    <row r="59" spans="1:7" x14ac:dyDescent="0.35">
      <c r="A59" s="13" t="s">
        <v>1656</v>
      </c>
      <c r="B59" s="41"/>
      <c r="C59" s="41" t="s">
        <v>1216</v>
      </c>
      <c r="D59" s="27">
        <v>-8250</v>
      </c>
      <c r="E59" s="28">
        <v>-94</v>
      </c>
      <c r="F59" s="29">
        <v>-3.5E-4</v>
      </c>
      <c r="G59" s="17"/>
    </row>
    <row r="60" spans="1:7" x14ac:dyDescent="0.35">
      <c r="A60" s="13" t="s">
        <v>1577</v>
      </c>
      <c r="B60" s="41"/>
      <c r="C60" s="41" t="s">
        <v>1409</v>
      </c>
      <c r="D60" s="27">
        <v>-27500</v>
      </c>
      <c r="E60" s="28">
        <v>-139.84</v>
      </c>
      <c r="F60" s="29">
        <v>-5.22E-4</v>
      </c>
      <c r="G60" s="17"/>
    </row>
    <row r="61" spans="1:7" x14ac:dyDescent="0.35">
      <c r="A61" s="13" t="s">
        <v>1618</v>
      </c>
      <c r="B61" s="41"/>
      <c r="C61" s="41" t="s">
        <v>1221</v>
      </c>
      <c r="D61" s="27">
        <v>-12500</v>
      </c>
      <c r="E61" s="28">
        <v>-179.16</v>
      </c>
      <c r="F61" s="29">
        <v>-6.6799999999999997E-4</v>
      </c>
      <c r="G61" s="17"/>
    </row>
    <row r="62" spans="1:7" x14ac:dyDescent="0.35">
      <c r="A62" s="13" t="s">
        <v>1684</v>
      </c>
      <c r="B62" s="41"/>
      <c r="C62" s="41" t="s">
        <v>1280</v>
      </c>
      <c r="D62" s="27">
        <v>-7500</v>
      </c>
      <c r="E62" s="28">
        <v>-209.89</v>
      </c>
      <c r="F62" s="29">
        <v>-7.8299999999999995E-4</v>
      </c>
      <c r="G62" s="17"/>
    </row>
    <row r="63" spans="1:7" x14ac:dyDescent="0.35">
      <c r="A63" s="13" t="s">
        <v>1640</v>
      </c>
      <c r="B63" s="41"/>
      <c r="C63" s="41" t="s">
        <v>1324</v>
      </c>
      <c r="D63" s="27">
        <v>-14400</v>
      </c>
      <c r="E63" s="28">
        <v>-210.84</v>
      </c>
      <c r="F63" s="29">
        <v>-7.8700000000000005E-4</v>
      </c>
      <c r="G63" s="17"/>
    </row>
    <row r="64" spans="1:7" x14ac:dyDescent="0.35">
      <c r="A64" s="13" t="s">
        <v>1643</v>
      </c>
      <c r="B64" s="41"/>
      <c r="C64" s="41" t="s">
        <v>1229</v>
      </c>
      <c r="D64" s="27">
        <v>-22050</v>
      </c>
      <c r="E64" s="28">
        <v>-212.03</v>
      </c>
      <c r="F64" s="29">
        <v>-7.9100000000000004E-4</v>
      </c>
      <c r="G64" s="17"/>
    </row>
    <row r="65" spans="1:7" x14ac:dyDescent="0.35">
      <c r="A65" s="13" t="s">
        <v>1585</v>
      </c>
      <c r="B65" s="41"/>
      <c r="C65" s="41" t="s">
        <v>1436</v>
      </c>
      <c r="D65" s="27">
        <v>-6100</v>
      </c>
      <c r="E65" s="28">
        <v>-212.63</v>
      </c>
      <c r="F65" s="29">
        <v>-7.9299999999999998E-4</v>
      </c>
      <c r="G65" s="17"/>
    </row>
    <row r="66" spans="1:7" x14ac:dyDescent="0.35">
      <c r="A66" s="13" t="s">
        <v>1724</v>
      </c>
      <c r="B66" s="41"/>
      <c r="C66" s="41" t="s">
        <v>1301</v>
      </c>
      <c r="D66" s="27">
        <v>-81000</v>
      </c>
      <c r="E66" s="28">
        <v>-217.36</v>
      </c>
      <c r="F66" s="29">
        <v>-8.1099999999999998E-4</v>
      </c>
      <c r="G66" s="17"/>
    </row>
    <row r="67" spans="1:7" x14ac:dyDescent="0.35">
      <c r="A67" s="13" t="s">
        <v>1610</v>
      </c>
      <c r="B67" s="41"/>
      <c r="C67" s="41" t="s">
        <v>1382</v>
      </c>
      <c r="D67" s="27">
        <v>-10000</v>
      </c>
      <c r="E67" s="28">
        <v>-233.76</v>
      </c>
      <c r="F67" s="29">
        <v>-8.7200000000000005E-4</v>
      </c>
      <c r="G67" s="17"/>
    </row>
    <row r="68" spans="1:7" x14ac:dyDescent="0.35">
      <c r="A68" s="13" t="s">
        <v>1665</v>
      </c>
      <c r="B68" s="41"/>
      <c r="C68" s="41" t="s">
        <v>1178</v>
      </c>
      <c r="D68" s="27">
        <v>-154800</v>
      </c>
      <c r="E68" s="28">
        <v>-240.11</v>
      </c>
      <c r="F68" s="29">
        <v>-8.9599999999999999E-4</v>
      </c>
      <c r="G68" s="17"/>
    </row>
    <row r="69" spans="1:7" x14ac:dyDescent="0.35">
      <c r="A69" s="13" t="s">
        <v>1670</v>
      </c>
      <c r="B69" s="41"/>
      <c r="C69" s="41" t="s">
        <v>1234</v>
      </c>
      <c r="D69" s="27">
        <v>-4600</v>
      </c>
      <c r="E69" s="28">
        <v>-279.08</v>
      </c>
      <c r="F69" s="29">
        <v>-1.042E-3</v>
      </c>
      <c r="G69" s="17"/>
    </row>
    <row r="70" spans="1:7" x14ac:dyDescent="0.35">
      <c r="A70" s="13" t="s">
        <v>1717</v>
      </c>
      <c r="B70" s="41"/>
      <c r="C70" s="41" t="s">
        <v>1305</v>
      </c>
      <c r="D70" s="27">
        <v>-34425</v>
      </c>
      <c r="E70" s="28">
        <v>-308.41000000000003</v>
      </c>
      <c r="F70" s="29">
        <v>-1.1509999999999999E-3</v>
      </c>
      <c r="G70" s="17"/>
    </row>
    <row r="71" spans="1:7" x14ac:dyDescent="0.35">
      <c r="A71" s="13" t="s">
        <v>1693</v>
      </c>
      <c r="B71" s="41"/>
      <c r="C71" s="41" t="s">
        <v>1229</v>
      </c>
      <c r="D71" s="27">
        <v>-37975</v>
      </c>
      <c r="E71" s="28">
        <v>-324.14</v>
      </c>
      <c r="F71" s="29">
        <v>-1.2099999999999999E-3</v>
      </c>
      <c r="G71" s="17"/>
    </row>
    <row r="72" spans="1:7" x14ac:dyDescent="0.35">
      <c r="A72" s="13" t="s">
        <v>1735</v>
      </c>
      <c r="B72" s="41"/>
      <c r="C72" s="41" t="s">
        <v>1234</v>
      </c>
      <c r="D72" s="27">
        <v>-16125</v>
      </c>
      <c r="E72" s="28">
        <v>-326.5</v>
      </c>
      <c r="F72" s="29">
        <v>-1.219E-3</v>
      </c>
      <c r="G72" s="17"/>
    </row>
    <row r="73" spans="1:7" x14ac:dyDescent="0.35">
      <c r="A73" s="13" t="s">
        <v>1633</v>
      </c>
      <c r="B73" s="41"/>
      <c r="C73" s="41" t="s">
        <v>1465</v>
      </c>
      <c r="D73" s="27">
        <v>-20300</v>
      </c>
      <c r="E73" s="28">
        <v>-336.53</v>
      </c>
      <c r="F73" s="29">
        <v>-1.256E-3</v>
      </c>
      <c r="G73" s="17"/>
    </row>
    <row r="74" spans="1:7" x14ac:dyDescent="0.35">
      <c r="A74" s="13" t="s">
        <v>1742</v>
      </c>
      <c r="B74" s="41"/>
      <c r="C74" s="41" t="s">
        <v>1178</v>
      </c>
      <c r="D74" s="27">
        <v>-25625</v>
      </c>
      <c r="E74" s="28">
        <v>-351.88</v>
      </c>
      <c r="F74" s="29">
        <v>-1.3129999999999999E-3</v>
      </c>
      <c r="G74" s="17"/>
    </row>
    <row r="75" spans="1:7" x14ac:dyDescent="0.35">
      <c r="A75" s="13" t="s">
        <v>1743</v>
      </c>
      <c r="B75" s="41"/>
      <c r="C75" s="41" t="s">
        <v>1261</v>
      </c>
      <c r="D75" s="27">
        <v>-29025</v>
      </c>
      <c r="E75" s="28">
        <v>-353.81</v>
      </c>
      <c r="F75" s="29">
        <v>-1.3209999999999999E-3</v>
      </c>
      <c r="G75" s="17"/>
    </row>
    <row r="76" spans="1:7" x14ac:dyDescent="0.35">
      <c r="A76" s="13" t="s">
        <v>1719</v>
      </c>
      <c r="B76" s="41"/>
      <c r="C76" s="41" t="s">
        <v>1261</v>
      </c>
      <c r="D76" s="27">
        <v>-209000</v>
      </c>
      <c r="E76" s="28">
        <v>-404.54</v>
      </c>
      <c r="F76" s="29">
        <v>-1.5100000000000001E-3</v>
      </c>
      <c r="G76" s="17"/>
    </row>
    <row r="77" spans="1:7" x14ac:dyDescent="0.35">
      <c r="A77" s="13" t="s">
        <v>1711</v>
      </c>
      <c r="B77" s="41"/>
      <c r="C77" s="41" t="s">
        <v>1178</v>
      </c>
      <c r="D77" s="27">
        <v>-136525</v>
      </c>
      <c r="E77" s="28">
        <v>-408.82</v>
      </c>
      <c r="F77" s="29">
        <v>-1.526E-3</v>
      </c>
      <c r="G77" s="17"/>
    </row>
    <row r="78" spans="1:7" x14ac:dyDescent="0.35">
      <c r="A78" s="13" t="s">
        <v>1660</v>
      </c>
      <c r="B78" s="41"/>
      <c r="C78" s="41" t="s">
        <v>1188</v>
      </c>
      <c r="D78" s="27">
        <v>-11550</v>
      </c>
      <c r="E78" s="28">
        <v>-426.47</v>
      </c>
      <c r="F78" s="29">
        <v>-1.5920000000000001E-3</v>
      </c>
      <c r="G78" s="17"/>
    </row>
    <row r="79" spans="1:7" x14ac:dyDescent="0.35">
      <c r="A79" s="13" t="s">
        <v>1715</v>
      </c>
      <c r="B79" s="41"/>
      <c r="C79" s="41" t="s">
        <v>1211</v>
      </c>
      <c r="D79" s="27">
        <v>-45375</v>
      </c>
      <c r="E79" s="28">
        <v>-463.57</v>
      </c>
      <c r="F79" s="29">
        <v>-1.73E-3</v>
      </c>
      <c r="G79" s="17"/>
    </row>
    <row r="80" spans="1:7" x14ac:dyDescent="0.35">
      <c r="A80" s="13" t="s">
        <v>1726</v>
      </c>
      <c r="B80" s="41"/>
      <c r="C80" s="41" t="s">
        <v>1234</v>
      </c>
      <c r="D80" s="27">
        <v>-44000</v>
      </c>
      <c r="E80" s="28">
        <v>-531.16999999999996</v>
      </c>
      <c r="F80" s="29">
        <v>-1.983E-3</v>
      </c>
      <c r="G80" s="17"/>
    </row>
    <row r="81" spans="1:7" x14ac:dyDescent="0.35">
      <c r="A81" s="13" t="s">
        <v>1668</v>
      </c>
      <c r="B81" s="41"/>
      <c r="C81" s="41" t="s">
        <v>1224</v>
      </c>
      <c r="D81" s="27">
        <v>-4550</v>
      </c>
      <c r="E81" s="28">
        <v>-578.99</v>
      </c>
      <c r="F81" s="29">
        <v>-2.1610000000000002E-3</v>
      </c>
      <c r="G81" s="17"/>
    </row>
    <row r="82" spans="1:7" x14ac:dyDescent="0.35">
      <c r="A82" s="13" t="s">
        <v>1738</v>
      </c>
      <c r="B82" s="41"/>
      <c r="C82" s="41" t="s">
        <v>1275</v>
      </c>
      <c r="D82" s="27">
        <v>-179200</v>
      </c>
      <c r="E82" s="28">
        <v>-580.34</v>
      </c>
      <c r="F82" s="29">
        <v>-2.166E-3</v>
      </c>
      <c r="G82" s="17"/>
    </row>
    <row r="83" spans="1:7" x14ac:dyDescent="0.35">
      <c r="A83" s="13" t="s">
        <v>1721</v>
      </c>
      <c r="B83" s="41"/>
      <c r="C83" s="41" t="s">
        <v>1211</v>
      </c>
      <c r="D83" s="27">
        <v>-237350</v>
      </c>
      <c r="E83" s="28">
        <v>-606.19000000000005</v>
      </c>
      <c r="F83" s="29">
        <v>-2.2629999999999998E-3</v>
      </c>
      <c r="G83" s="17"/>
    </row>
    <row r="84" spans="1:7" x14ac:dyDescent="0.35">
      <c r="A84" s="13" t="s">
        <v>1655</v>
      </c>
      <c r="B84" s="41"/>
      <c r="C84" s="41" t="s">
        <v>1178</v>
      </c>
      <c r="D84" s="27">
        <v>-78000</v>
      </c>
      <c r="E84" s="28">
        <v>-844.27</v>
      </c>
      <c r="F84" s="29">
        <v>-3.1519999999999999E-3</v>
      </c>
      <c r="G84" s="17"/>
    </row>
    <row r="85" spans="1:7" x14ac:dyDescent="0.35">
      <c r="A85" s="13" t="s">
        <v>2206</v>
      </c>
      <c r="B85" s="41"/>
      <c r="C85" s="41" t="s">
        <v>1419</v>
      </c>
      <c r="D85" s="27">
        <v>-225000</v>
      </c>
      <c r="E85" s="28">
        <v>-859.39</v>
      </c>
      <c r="F85" s="29">
        <v>-3.2079999999999999E-3</v>
      </c>
      <c r="G85" s="17"/>
    </row>
    <row r="86" spans="1:7" x14ac:dyDescent="0.35">
      <c r="A86" s="13" t="s">
        <v>1729</v>
      </c>
      <c r="B86" s="41"/>
      <c r="C86" s="41" t="s">
        <v>1216</v>
      </c>
      <c r="D86" s="27">
        <v>-118800</v>
      </c>
      <c r="E86" s="28">
        <v>-871.52</v>
      </c>
      <c r="F86" s="29">
        <v>-3.2539999999999999E-3</v>
      </c>
      <c r="G86" s="17"/>
    </row>
    <row r="87" spans="1:7" x14ac:dyDescent="0.35">
      <c r="A87" s="13" t="s">
        <v>1722</v>
      </c>
      <c r="B87" s="41"/>
      <c r="C87" s="41" t="s">
        <v>1178</v>
      </c>
      <c r="D87" s="27">
        <v>-4478400</v>
      </c>
      <c r="E87" s="28">
        <v>-961.96</v>
      </c>
      <c r="F87" s="29">
        <v>-3.591E-3</v>
      </c>
      <c r="G87" s="17"/>
    </row>
    <row r="88" spans="1:7" x14ac:dyDescent="0.35">
      <c r="A88" s="13" t="s">
        <v>1728</v>
      </c>
      <c r="B88" s="41"/>
      <c r="C88" s="41" t="s">
        <v>1206</v>
      </c>
      <c r="D88" s="27">
        <v>-226800</v>
      </c>
      <c r="E88" s="28">
        <v>-972.18</v>
      </c>
      <c r="F88" s="29">
        <v>-3.63E-3</v>
      </c>
      <c r="G88" s="17"/>
    </row>
    <row r="89" spans="1:7" x14ac:dyDescent="0.35">
      <c r="A89" s="13" t="s">
        <v>1727</v>
      </c>
      <c r="B89" s="41"/>
      <c r="C89" s="41" t="s">
        <v>1188</v>
      </c>
      <c r="D89" s="27">
        <v>-30200</v>
      </c>
      <c r="E89" s="28">
        <v>-1041.33</v>
      </c>
      <c r="F89" s="29">
        <v>-3.888E-3</v>
      </c>
      <c r="G89" s="17"/>
    </row>
    <row r="90" spans="1:7" x14ac:dyDescent="0.35">
      <c r="A90" s="13" t="s">
        <v>1720</v>
      </c>
      <c r="B90" s="41"/>
      <c r="C90" s="41" t="s">
        <v>1178</v>
      </c>
      <c r="D90" s="27">
        <v>-260000</v>
      </c>
      <c r="E90" s="28">
        <v>-1066</v>
      </c>
      <c r="F90" s="29">
        <v>-3.98E-3</v>
      </c>
      <c r="G90" s="17"/>
    </row>
    <row r="91" spans="1:7" x14ac:dyDescent="0.35">
      <c r="A91" s="13" t="s">
        <v>1741</v>
      </c>
      <c r="B91" s="41"/>
      <c r="C91" s="41" t="s">
        <v>1266</v>
      </c>
      <c r="D91" s="27">
        <v>-402550</v>
      </c>
      <c r="E91" s="28">
        <v>-1103.99</v>
      </c>
      <c r="F91" s="29">
        <v>-4.1219999999999998E-3</v>
      </c>
      <c r="G91" s="17"/>
    </row>
    <row r="92" spans="1:7" x14ac:dyDescent="0.35">
      <c r="A92" s="13" t="s">
        <v>1740</v>
      </c>
      <c r="B92" s="41"/>
      <c r="C92" s="41" t="s">
        <v>1269</v>
      </c>
      <c r="D92" s="27">
        <v>-177100</v>
      </c>
      <c r="E92" s="28">
        <v>-1212.25</v>
      </c>
      <c r="F92" s="29">
        <v>-4.5259999999999996E-3</v>
      </c>
      <c r="G92" s="17"/>
    </row>
    <row r="93" spans="1:7" x14ac:dyDescent="0.35">
      <c r="A93" s="13" t="s">
        <v>1730</v>
      </c>
      <c r="B93" s="41"/>
      <c r="C93" s="41" t="s">
        <v>1285</v>
      </c>
      <c r="D93" s="27">
        <v>-270750</v>
      </c>
      <c r="E93" s="28">
        <v>-1218.78</v>
      </c>
      <c r="F93" s="29">
        <v>-4.5500000000000002E-3</v>
      </c>
      <c r="G93" s="17"/>
    </row>
    <row r="94" spans="1:7" x14ac:dyDescent="0.35">
      <c r="A94" s="13" t="s">
        <v>1732</v>
      </c>
      <c r="B94" s="41"/>
      <c r="C94" s="41" t="s">
        <v>1285</v>
      </c>
      <c r="D94" s="27">
        <v>-34950</v>
      </c>
      <c r="E94" s="28">
        <v>-1616.65</v>
      </c>
      <c r="F94" s="29">
        <v>-6.0359999999999997E-3</v>
      </c>
      <c r="G94" s="17"/>
    </row>
    <row r="95" spans="1:7" x14ac:dyDescent="0.35">
      <c r="A95" s="13" t="s">
        <v>1718</v>
      </c>
      <c r="B95" s="41"/>
      <c r="C95" s="41" t="s">
        <v>1224</v>
      </c>
      <c r="D95" s="27">
        <v>-76500</v>
      </c>
      <c r="E95" s="28">
        <v>-2166.4</v>
      </c>
      <c r="F95" s="29">
        <v>-8.0890000000000007E-3</v>
      </c>
      <c r="G95" s="17"/>
    </row>
    <row r="96" spans="1:7" x14ac:dyDescent="0.35">
      <c r="A96" s="13" t="s">
        <v>1746</v>
      </c>
      <c r="B96" s="41"/>
      <c r="C96" s="41" t="s">
        <v>1178</v>
      </c>
      <c r="D96" s="27">
        <v>-240800</v>
      </c>
      <c r="E96" s="28">
        <v>-3278.97</v>
      </c>
      <c r="F96" s="29">
        <v>-1.2243E-2</v>
      </c>
      <c r="G96" s="17"/>
    </row>
    <row r="97" spans="1:7" x14ac:dyDescent="0.35">
      <c r="A97" s="13" t="s">
        <v>1734</v>
      </c>
      <c r="B97" s="41"/>
      <c r="C97" s="41" t="s">
        <v>1198</v>
      </c>
      <c r="D97" s="27">
        <v>-193325</v>
      </c>
      <c r="E97" s="28">
        <v>-3817.01</v>
      </c>
      <c r="F97" s="29">
        <v>-1.4252000000000001E-2</v>
      </c>
      <c r="G97" s="17"/>
    </row>
    <row r="98" spans="1:7" x14ac:dyDescent="0.35">
      <c r="A98" s="13" t="s">
        <v>1744</v>
      </c>
      <c r="B98" s="41"/>
      <c r="C98" s="41" t="s">
        <v>1206</v>
      </c>
      <c r="D98" s="27">
        <v>-380500</v>
      </c>
      <c r="E98" s="28">
        <v>-5325.1</v>
      </c>
      <c r="F98" s="29">
        <v>-1.9883000000000001E-2</v>
      </c>
      <c r="G98" s="17"/>
    </row>
    <row r="99" spans="1:7" x14ac:dyDescent="0.35">
      <c r="A99" s="13" t="s">
        <v>1745</v>
      </c>
      <c r="B99" s="41"/>
      <c r="C99" s="41" t="s">
        <v>1198</v>
      </c>
      <c r="D99" s="27">
        <v>-67257975</v>
      </c>
      <c r="E99" s="28">
        <v>-7539.62</v>
      </c>
      <c r="F99" s="29">
        <v>-2.8152E-2</v>
      </c>
      <c r="G99" s="17"/>
    </row>
    <row r="100" spans="1:7" x14ac:dyDescent="0.35">
      <c r="A100" s="13" t="s">
        <v>1747</v>
      </c>
      <c r="B100" s="41"/>
      <c r="C100" s="41" t="s">
        <v>1178</v>
      </c>
      <c r="D100" s="27">
        <v>-888250</v>
      </c>
      <c r="E100" s="28">
        <v>-8294.92</v>
      </c>
      <c r="F100" s="29">
        <v>-3.0972E-2</v>
      </c>
      <c r="G100" s="17"/>
    </row>
    <row r="101" spans="1:7" x14ac:dyDescent="0.35">
      <c r="A101" s="14" t="s">
        <v>149</v>
      </c>
      <c r="B101" s="42"/>
      <c r="C101" s="42"/>
      <c r="D101" s="18"/>
      <c r="E101" s="30">
        <v>-50506.92</v>
      </c>
      <c r="F101" s="31">
        <v>-0.18856600000000001</v>
      </c>
      <c r="G101" s="21"/>
    </row>
    <row r="102" spans="1:7" x14ac:dyDescent="0.35">
      <c r="A102" s="13"/>
      <c r="B102" s="41"/>
      <c r="C102" s="41"/>
      <c r="D102" s="15"/>
      <c r="E102" s="16"/>
      <c r="F102" s="17"/>
      <c r="G102" s="17"/>
    </row>
    <row r="103" spans="1:7" x14ac:dyDescent="0.35">
      <c r="A103" s="13"/>
      <c r="B103" s="41"/>
      <c r="C103" s="41"/>
      <c r="D103" s="15"/>
      <c r="E103" s="16"/>
      <c r="F103" s="17"/>
      <c r="G103" s="17"/>
    </row>
    <row r="104" spans="1:7" x14ac:dyDescent="0.35">
      <c r="A104" s="13"/>
      <c r="B104" s="41"/>
      <c r="C104" s="41"/>
      <c r="D104" s="15"/>
      <c r="E104" s="16"/>
      <c r="F104" s="17"/>
      <c r="G104" s="17"/>
    </row>
    <row r="105" spans="1:7" x14ac:dyDescent="0.35">
      <c r="A105" s="14" t="s">
        <v>2342</v>
      </c>
      <c r="B105" s="41"/>
      <c r="C105" s="41"/>
      <c r="D105" s="15"/>
      <c r="E105" s="16"/>
      <c r="F105" s="17"/>
      <c r="G105" s="17"/>
    </row>
    <row r="106" spans="1:7" x14ac:dyDescent="0.35">
      <c r="A106" s="13" t="s">
        <v>2343</v>
      </c>
      <c r="B106" s="41"/>
      <c r="C106" s="41"/>
      <c r="D106" s="27">
        <v>-10620</v>
      </c>
      <c r="E106" s="28">
        <v>-37715.230000000003</v>
      </c>
      <c r="F106" s="29">
        <v>-0.14082500000000001</v>
      </c>
      <c r="G106" s="17"/>
    </row>
    <row r="107" spans="1:7" x14ac:dyDescent="0.35">
      <c r="A107" s="13" t="s">
        <v>2344</v>
      </c>
      <c r="B107" s="41"/>
      <c r="C107" s="41"/>
      <c r="D107" s="27">
        <v>-3690</v>
      </c>
      <c r="E107" s="28">
        <v>-13876.32</v>
      </c>
      <c r="F107" s="29">
        <v>-5.1812999999999998E-2</v>
      </c>
      <c r="G107" s="17"/>
    </row>
    <row r="108" spans="1:7" x14ac:dyDescent="0.35">
      <c r="A108" s="13" t="s">
        <v>2345</v>
      </c>
      <c r="B108" s="41"/>
      <c r="C108" s="41"/>
      <c r="D108" s="27">
        <v>-5700</v>
      </c>
      <c r="E108" s="28">
        <v>-9703.34</v>
      </c>
      <c r="F108" s="29">
        <v>-3.6230999999999999E-2</v>
      </c>
      <c r="G108" s="17"/>
    </row>
    <row r="109" spans="1:7" x14ac:dyDescent="0.35">
      <c r="A109" s="13" t="s">
        <v>2346</v>
      </c>
      <c r="B109" s="41"/>
      <c r="C109" s="41"/>
      <c r="D109" s="27">
        <v>-4100</v>
      </c>
      <c r="E109" s="28">
        <v>-7146.05</v>
      </c>
      <c r="F109" s="29">
        <v>-2.6682999999999998E-2</v>
      </c>
      <c r="G109" s="17"/>
    </row>
    <row r="110" spans="1:7" x14ac:dyDescent="0.35">
      <c r="A110" s="13" t="s">
        <v>2347</v>
      </c>
      <c r="B110" s="41"/>
      <c r="C110" s="41"/>
      <c r="D110" s="27">
        <v>-3310</v>
      </c>
      <c r="E110" s="28">
        <v>-5383.72</v>
      </c>
      <c r="F110" s="29">
        <v>-2.0101999999999998E-2</v>
      </c>
      <c r="G110" s="17"/>
    </row>
    <row r="111" spans="1:7" x14ac:dyDescent="0.35">
      <c r="A111" s="13" t="s">
        <v>2348</v>
      </c>
      <c r="B111" s="41"/>
      <c r="C111" s="41"/>
      <c r="D111" s="27">
        <v>-3200</v>
      </c>
      <c r="E111" s="28">
        <v>-5152</v>
      </c>
      <c r="F111" s="29">
        <v>-1.9237000000000001E-2</v>
      </c>
      <c r="G111" s="17"/>
    </row>
    <row r="112" spans="1:7" x14ac:dyDescent="0.35">
      <c r="A112" s="14" t="s">
        <v>149</v>
      </c>
      <c r="B112" s="42"/>
      <c r="C112" s="42"/>
      <c r="D112" s="18"/>
      <c r="E112" s="30">
        <v>-78976.66</v>
      </c>
      <c r="F112" s="31">
        <v>-0.2949</v>
      </c>
      <c r="G112" s="21"/>
    </row>
    <row r="113" spans="1:7" x14ac:dyDescent="0.35">
      <c r="A113" s="13"/>
      <c r="B113" s="41"/>
      <c r="C113" s="41"/>
      <c r="D113" s="15"/>
      <c r="E113" s="16"/>
      <c r="F113" s="17"/>
      <c r="G113" s="17"/>
    </row>
    <row r="114" spans="1:7" x14ac:dyDescent="0.35">
      <c r="A114" s="13"/>
      <c r="B114" s="41"/>
      <c r="C114" s="41"/>
      <c r="D114" s="15"/>
      <c r="E114" s="16"/>
      <c r="F114" s="17"/>
      <c r="G114" s="17"/>
    </row>
    <row r="115" spans="1:7" x14ac:dyDescent="0.35">
      <c r="A115" s="13"/>
      <c r="B115" s="41"/>
      <c r="C115" s="41"/>
      <c r="D115" s="15"/>
      <c r="E115" s="16"/>
      <c r="F115" s="17"/>
      <c r="G115" s="17"/>
    </row>
    <row r="116" spans="1:7" x14ac:dyDescent="0.35">
      <c r="A116" s="22" t="s">
        <v>160</v>
      </c>
      <c r="B116" s="43"/>
      <c r="C116" s="43"/>
      <c r="D116" s="23"/>
      <c r="E116" s="32">
        <f>E112+E101</f>
        <v>-129483.58</v>
      </c>
      <c r="F116" s="33">
        <f>F112+F101</f>
        <v>-0.48346600000000001</v>
      </c>
      <c r="G116" s="21"/>
    </row>
    <row r="117" spans="1:7" x14ac:dyDescent="0.35">
      <c r="A117" s="13"/>
      <c r="B117" s="41"/>
      <c r="C117" s="41"/>
      <c r="D117" s="15"/>
      <c r="E117" s="16"/>
      <c r="F117" s="17"/>
      <c r="G117" s="17"/>
    </row>
    <row r="118" spans="1:7" x14ac:dyDescent="0.35">
      <c r="A118" s="14" t="s">
        <v>147</v>
      </c>
      <c r="B118" s="41"/>
      <c r="C118" s="41"/>
      <c r="D118" s="15"/>
      <c r="E118" s="16"/>
      <c r="F118" s="17"/>
      <c r="G118" s="17"/>
    </row>
    <row r="119" spans="1:7" x14ac:dyDescent="0.35">
      <c r="A119" s="14" t="s">
        <v>307</v>
      </c>
      <c r="B119" s="41"/>
      <c r="C119" s="41"/>
      <c r="D119" s="15"/>
      <c r="E119" s="16"/>
      <c r="F119" s="17"/>
      <c r="G119" s="17"/>
    </row>
    <row r="120" spans="1:7" x14ac:dyDescent="0.35">
      <c r="A120" s="13" t="s">
        <v>2349</v>
      </c>
      <c r="B120" s="41" t="s">
        <v>2350</v>
      </c>
      <c r="C120" s="41" t="s">
        <v>310</v>
      </c>
      <c r="D120" s="15">
        <v>10000000</v>
      </c>
      <c r="E120" s="16">
        <v>10090.56</v>
      </c>
      <c r="F120" s="17">
        <v>3.7677000000000002E-2</v>
      </c>
      <c r="G120" s="17">
        <v>7.2800000000000004E-2</v>
      </c>
    </row>
    <row r="121" spans="1:7" x14ac:dyDescent="0.35">
      <c r="A121" s="13" t="s">
        <v>2351</v>
      </c>
      <c r="B121" s="41" t="s">
        <v>2352</v>
      </c>
      <c r="C121" s="41" t="s">
        <v>310</v>
      </c>
      <c r="D121" s="15">
        <v>7500000</v>
      </c>
      <c r="E121" s="16">
        <v>7576.86</v>
      </c>
      <c r="F121" s="17">
        <v>2.8291E-2</v>
      </c>
      <c r="G121" s="17">
        <v>7.535E-2</v>
      </c>
    </row>
    <row r="122" spans="1:7" x14ac:dyDescent="0.35">
      <c r="A122" s="13" t="s">
        <v>2353</v>
      </c>
      <c r="B122" s="41" t="s">
        <v>2354</v>
      </c>
      <c r="C122" s="41" t="s">
        <v>317</v>
      </c>
      <c r="D122" s="15">
        <v>7500000</v>
      </c>
      <c r="E122" s="16">
        <v>7550.32</v>
      </c>
      <c r="F122" s="17">
        <v>2.8191999999999998E-2</v>
      </c>
      <c r="G122" s="17">
        <v>7.1642999999999998E-2</v>
      </c>
    </row>
    <row r="123" spans="1:7" x14ac:dyDescent="0.35">
      <c r="A123" s="13" t="s">
        <v>942</v>
      </c>
      <c r="B123" s="41" t="s">
        <v>943</v>
      </c>
      <c r="C123" s="41" t="s">
        <v>310</v>
      </c>
      <c r="D123" s="15">
        <v>7500000</v>
      </c>
      <c r="E123" s="16">
        <v>7467.2</v>
      </c>
      <c r="F123" s="17">
        <v>2.7882000000000001E-2</v>
      </c>
      <c r="G123" s="17">
        <v>7.4149999999999994E-2</v>
      </c>
    </row>
    <row r="124" spans="1:7" x14ac:dyDescent="0.35">
      <c r="A124" s="13" t="s">
        <v>2355</v>
      </c>
      <c r="B124" s="41" t="s">
        <v>2356</v>
      </c>
      <c r="C124" s="41" t="s">
        <v>317</v>
      </c>
      <c r="D124" s="15">
        <v>5000000</v>
      </c>
      <c r="E124" s="16">
        <v>5048.74</v>
      </c>
      <c r="F124" s="17">
        <v>1.8851E-2</v>
      </c>
      <c r="G124" s="17">
        <v>7.3849999999999999E-2</v>
      </c>
    </row>
    <row r="125" spans="1:7" x14ac:dyDescent="0.35">
      <c r="A125" s="13" t="s">
        <v>745</v>
      </c>
      <c r="B125" s="41" t="s">
        <v>746</v>
      </c>
      <c r="C125" s="41" t="s">
        <v>310</v>
      </c>
      <c r="D125" s="15">
        <v>5000000</v>
      </c>
      <c r="E125" s="16">
        <v>5021.5600000000004</v>
      </c>
      <c r="F125" s="17">
        <v>1.8749999999999999E-2</v>
      </c>
      <c r="G125" s="17">
        <v>7.3399000000000006E-2</v>
      </c>
    </row>
    <row r="126" spans="1:7" x14ac:dyDescent="0.35">
      <c r="A126" s="13" t="s">
        <v>2357</v>
      </c>
      <c r="B126" s="41" t="s">
        <v>2358</v>
      </c>
      <c r="C126" s="41" t="s">
        <v>310</v>
      </c>
      <c r="D126" s="15">
        <v>5000000</v>
      </c>
      <c r="E126" s="16">
        <v>4967.96</v>
      </c>
      <c r="F126" s="17">
        <v>1.8550000000000001E-2</v>
      </c>
      <c r="G126" s="17">
        <v>7.5590000000000004E-2</v>
      </c>
    </row>
    <row r="127" spans="1:7" x14ac:dyDescent="0.35">
      <c r="A127" s="13" t="s">
        <v>681</v>
      </c>
      <c r="B127" s="41" t="s">
        <v>682</v>
      </c>
      <c r="C127" s="41" t="s">
        <v>310</v>
      </c>
      <c r="D127" s="15">
        <v>5000000</v>
      </c>
      <c r="E127" s="16">
        <v>4967.91</v>
      </c>
      <c r="F127" s="17">
        <v>1.8550000000000001E-2</v>
      </c>
      <c r="G127" s="17">
        <v>7.7299999999999994E-2</v>
      </c>
    </row>
    <row r="128" spans="1:7" x14ac:dyDescent="0.35">
      <c r="A128" s="13" t="s">
        <v>1870</v>
      </c>
      <c r="B128" s="41" t="s">
        <v>1871</v>
      </c>
      <c r="C128" s="41" t="s">
        <v>310</v>
      </c>
      <c r="D128" s="15">
        <v>5000000</v>
      </c>
      <c r="E128" s="16">
        <v>4960.49</v>
      </c>
      <c r="F128" s="17">
        <v>1.8522E-2</v>
      </c>
      <c r="G128" s="17">
        <v>7.7049999999999993E-2</v>
      </c>
    </row>
    <row r="129" spans="1:7" x14ac:dyDescent="0.35">
      <c r="A129" s="13" t="s">
        <v>2359</v>
      </c>
      <c r="B129" s="41" t="s">
        <v>2360</v>
      </c>
      <c r="C129" s="41" t="s">
        <v>310</v>
      </c>
      <c r="D129" s="15">
        <v>4500000</v>
      </c>
      <c r="E129" s="16">
        <v>4458.95</v>
      </c>
      <c r="F129" s="17">
        <v>1.6649000000000001E-2</v>
      </c>
      <c r="G129" s="17">
        <v>7.9099000000000003E-2</v>
      </c>
    </row>
    <row r="130" spans="1:7" x14ac:dyDescent="0.35">
      <c r="A130" s="13" t="s">
        <v>2361</v>
      </c>
      <c r="B130" s="41" t="s">
        <v>2362</v>
      </c>
      <c r="C130" s="41" t="s">
        <v>310</v>
      </c>
      <c r="D130" s="15">
        <v>3500000</v>
      </c>
      <c r="E130" s="16">
        <v>3504.68</v>
      </c>
      <c r="F130" s="17">
        <v>1.3086E-2</v>
      </c>
      <c r="G130" s="17">
        <v>7.7297000000000005E-2</v>
      </c>
    </row>
    <row r="131" spans="1:7" x14ac:dyDescent="0.35">
      <c r="A131" s="13" t="s">
        <v>685</v>
      </c>
      <c r="B131" s="41" t="s">
        <v>686</v>
      </c>
      <c r="C131" s="41" t="s">
        <v>310</v>
      </c>
      <c r="D131" s="15">
        <v>3000000</v>
      </c>
      <c r="E131" s="16">
        <v>3020.55</v>
      </c>
      <c r="F131" s="17">
        <v>1.1278E-2</v>
      </c>
      <c r="G131" s="17">
        <v>7.2400000000000006E-2</v>
      </c>
    </row>
    <row r="132" spans="1:7" x14ac:dyDescent="0.35">
      <c r="A132" s="13" t="s">
        <v>764</v>
      </c>
      <c r="B132" s="41" t="s">
        <v>765</v>
      </c>
      <c r="C132" s="41" t="s">
        <v>317</v>
      </c>
      <c r="D132" s="15">
        <v>3000000</v>
      </c>
      <c r="E132" s="16">
        <v>3019.02</v>
      </c>
      <c r="F132" s="17">
        <v>1.1273E-2</v>
      </c>
      <c r="G132" s="17">
        <v>7.535E-2</v>
      </c>
    </row>
    <row r="133" spans="1:7" x14ac:dyDescent="0.35">
      <c r="A133" s="13" t="s">
        <v>2363</v>
      </c>
      <c r="B133" s="41" t="s">
        <v>2364</v>
      </c>
      <c r="C133" s="41" t="s">
        <v>310</v>
      </c>
      <c r="D133" s="15">
        <v>2500000</v>
      </c>
      <c r="E133" s="16">
        <v>2579.4299999999998</v>
      </c>
      <c r="F133" s="17">
        <v>9.6310000000000007E-3</v>
      </c>
      <c r="G133" s="17">
        <v>7.1724999999999997E-2</v>
      </c>
    </row>
    <row r="134" spans="1:7" x14ac:dyDescent="0.35">
      <c r="A134" s="13" t="s">
        <v>2365</v>
      </c>
      <c r="B134" s="41" t="s">
        <v>2366</v>
      </c>
      <c r="C134" s="41" t="s">
        <v>310</v>
      </c>
      <c r="D134" s="15">
        <v>2500000</v>
      </c>
      <c r="E134" s="16">
        <v>2526.65</v>
      </c>
      <c r="F134" s="17">
        <v>9.4339999999999997E-3</v>
      </c>
      <c r="G134" s="17">
        <v>7.5249999999999997E-2</v>
      </c>
    </row>
    <row r="135" spans="1:7" x14ac:dyDescent="0.35">
      <c r="A135" s="13" t="s">
        <v>1874</v>
      </c>
      <c r="B135" s="41" t="s">
        <v>1875</v>
      </c>
      <c r="C135" s="41" t="s">
        <v>317</v>
      </c>
      <c r="D135" s="15">
        <v>2500000</v>
      </c>
      <c r="E135" s="16">
        <v>2525.79</v>
      </c>
      <c r="F135" s="17">
        <v>9.4310000000000001E-3</v>
      </c>
      <c r="G135" s="17">
        <v>7.4149999999999994E-2</v>
      </c>
    </row>
    <row r="136" spans="1:7" x14ac:dyDescent="0.35">
      <c r="A136" s="13" t="s">
        <v>991</v>
      </c>
      <c r="B136" s="41" t="s">
        <v>992</v>
      </c>
      <c r="C136" s="41" t="s">
        <v>310</v>
      </c>
      <c r="D136" s="15">
        <v>2500000</v>
      </c>
      <c r="E136" s="16">
        <v>2515.59</v>
      </c>
      <c r="F136" s="17">
        <v>9.3930000000000003E-3</v>
      </c>
      <c r="G136" s="17">
        <v>7.2400000000000006E-2</v>
      </c>
    </row>
    <row r="137" spans="1:7" x14ac:dyDescent="0.35">
      <c r="A137" s="13" t="s">
        <v>343</v>
      </c>
      <c r="B137" s="41" t="s">
        <v>344</v>
      </c>
      <c r="C137" s="41" t="s">
        <v>310</v>
      </c>
      <c r="D137" s="15">
        <v>2500000</v>
      </c>
      <c r="E137" s="16">
        <v>2512.64</v>
      </c>
      <c r="F137" s="17">
        <v>9.3819999999999997E-3</v>
      </c>
      <c r="G137" s="17">
        <v>7.2938000000000003E-2</v>
      </c>
    </row>
    <row r="138" spans="1:7" x14ac:dyDescent="0.35">
      <c r="A138" s="13" t="s">
        <v>780</v>
      </c>
      <c r="B138" s="41" t="s">
        <v>781</v>
      </c>
      <c r="C138" s="41" t="s">
        <v>310</v>
      </c>
      <c r="D138" s="15">
        <v>2500000</v>
      </c>
      <c r="E138" s="16">
        <v>2502.59</v>
      </c>
      <c r="F138" s="17">
        <v>9.3439999999999999E-3</v>
      </c>
      <c r="G138" s="17">
        <v>7.535E-2</v>
      </c>
    </row>
    <row r="139" spans="1:7" x14ac:dyDescent="0.35">
      <c r="A139" s="13" t="s">
        <v>2367</v>
      </c>
      <c r="B139" s="41" t="s">
        <v>2368</v>
      </c>
      <c r="C139" s="41" t="s">
        <v>310</v>
      </c>
      <c r="D139" s="15">
        <v>2500000</v>
      </c>
      <c r="E139" s="16">
        <v>2486.1799999999998</v>
      </c>
      <c r="F139" s="17">
        <v>9.2829999999999996E-3</v>
      </c>
      <c r="G139" s="17">
        <v>7.2349999999999998E-2</v>
      </c>
    </row>
    <row r="140" spans="1:7" x14ac:dyDescent="0.35">
      <c r="A140" s="13" t="s">
        <v>2369</v>
      </c>
      <c r="B140" s="41" t="s">
        <v>2370</v>
      </c>
      <c r="C140" s="41" t="s">
        <v>310</v>
      </c>
      <c r="D140" s="15">
        <v>2500000</v>
      </c>
      <c r="E140" s="16">
        <v>2484.48</v>
      </c>
      <c r="F140" s="17">
        <v>9.2770000000000005E-3</v>
      </c>
      <c r="G140" s="17">
        <v>7.5753000000000001E-2</v>
      </c>
    </row>
    <row r="141" spans="1:7" x14ac:dyDescent="0.35">
      <c r="A141" s="13" t="s">
        <v>723</v>
      </c>
      <c r="B141" s="41" t="s">
        <v>724</v>
      </c>
      <c r="C141" s="41" t="s">
        <v>317</v>
      </c>
      <c r="D141" s="15">
        <v>1500000</v>
      </c>
      <c r="E141" s="16">
        <v>1515.54</v>
      </c>
      <c r="F141" s="17">
        <v>5.659E-3</v>
      </c>
      <c r="G141" s="17">
        <v>7.4649999999999994E-2</v>
      </c>
    </row>
    <row r="142" spans="1:7" x14ac:dyDescent="0.35">
      <c r="A142" s="13" t="s">
        <v>2371</v>
      </c>
      <c r="B142" s="41" t="s">
        <v>2372</v>
      </c>
      <c r="C142" s="41" t="s">
        <v>310</v>
      </c>
      <c r="D142" s="15">
        <v>500000</v>
      </c>
      <c r="E142" s="16">
        <v>500.66</v>
      </c>
      <c r="F142" s="17">
        <v>1.869E-3</v>
      </c>
      <c r="G142" s="17">
        <v>7.5744000000000006E-2</v>
      </c>
    </row>
    <row r="143" spans="1:7" x14ac:dyDescent="0.35">
      <c r="A143" s="13" t="s">
        <v>2373</v>
      </c>
      <c r="B143" s="41" t="s">
        <v>2374</v>
      </c>
      <c r="C143" s="41" t="s">
        <v>310</v>
      </c>
      <c r="D143" s="15">
        <v>500000</v>
      </c>
      <c r="E143" s="16">
        <v>500.46</v>
      </c>
      <c r="F143" s="17">
        <v>1.869E-3</v>
      </c>
      <c r="G143" s="17">
        <v>7.4249999999999997E-2</v>
      </c>
    </row>
    <row r="144" spans="1:7" x14ac:dyDescent="0.35">
      <c r="A144" s="13" t="s">
        <v>2375</v>
      </c>
      <c r="B144" s="41" t="s">
        <v>2376</v>
      </c>
      <c r="C144" s="41" t="s">
        <v>317</v>
      </c>
      <c r="D144" s="15">
        <v>500000</v>
      </c>
      <c r="E144" s="16">
        <v>500.07</v>
      </c>
      <c r="F144" s="17">
        <v>1.867E-3</v>
      </c>
      <c r="G144" s="17">
        <v>7.7812999999999993E-2</v>
      </c>
    </row>
    <row r="145" spans="1:7" x14ac:dyDescent="0.35">
      <c r="A145" s="13" t="s">
        <v>2377</v>
      </c>
      <c r="B145" s="41" t="s">
        <v>2378</v>
      </c>
      <c r="C145" s="41" t="s">
        <v>310</v>
      </c>
      <c r="D145" s="15">
        <v>500000</v>
      </c>
      <c r="E145" s="16">
        <v>496.01</v>
      </c>
      <c r="F145" s="17">
        <v>1.8519999999999999E-3</v>
      </c>
      <c r="G145" s="17">
        <v>7.5360999999999997E-2</v>
      </c>
    </row>
    <row r="146" spans="1:7" x14ac:dyDescent="0.35">
      <c r="A146" s="13" t="s">
        <v>782</v>
      </c>
      <c r="B146" s="41" t="s">
        <v>783</v>
      </c>
      <c r="C146" s="41" t="s">
        <v>310</v>
      </c>
      <c r="D146" s="15">
        <v>200000</v>
      </c>
      <c r="E146" s="16">
        <v>201.52</v>
      </c>
      <c r="F146" s="17">
        <v>7.5199999999999996E-4</v>
      </c>
      <c r="G146" s="17">
        <v>7.22E-2</v>
      </c>
    </row>
    <row r="147" spans="1:7" x14ac:dyDescent="0.35">
      <c r="A147" s="13" t="s">
        <v>725</v>
      </c>
      <c r="B147" s="41" t="s">
        <v>726</v>
      </c>
      <c r="C147" s="41" t="s">
        <v>310</v>
      </c>
      <c r="D147" s="15">
        <v>200000</v>
      </c>
      <c r="E147" s="16">
        <v>201.15</v>
      </c>
      <c r="F147" s="17">
        <v>7.5100000000000004E-4</v>
      </c>
      <c r="G147" s="17">
        <v>7.3849999999999999E-2</v>
      </c>
    </row>
    <row r="148" spans="1:7" x14ac:dyDescent="0.35">
      <c r="A148" s="14" t="s">
        <v>149</v>
      </c>
      <c r="B148" s="42"/>
      <c r="C148" s="42"/>
      <c r="D148" s="18"/>
      <c r="E148" s="19">
        <v>95703.56</v>
      </c>
      <c r="F148" s="20">
        <v>0.35733500000000001</v>
      </c>
      <c r="G148" s="21"/>
    </row>
    <row r="149" spans="1:7" x14ac:dyDescent="0.35">
      <c r="A149" s="13"/>
      <c r="B149" s="41"/>
      <c r="C149" s="41"/>
      <c r="D149" s="15"/>
      <c r="E149" s="16"/>
      <c r="F149" s="17"/>
      <c r="G149" s="17"/>
    </row>
    <row r="150" spans="1:7" x14ac:dyDescent="0.35">
      <c r="A150" s="14" t="s">
        <v>463</v>
      </c>
      <c r="B150" s="41"/>
      <c r="C150" s="41"/>
      <c r="D150" s="15"/>
      <c r="E150" s="16"/>
      <c r="F150" s="17"/>
      <c r="G150" s="17"/>
    </row>
    <row r="151" spans="1:7" x14ac:dyDescent="0.35">
      <c r="A151" s="13" t="s">
        <v>790</v>
      </c>
      <c r="B151" s="41" t="s">
        <v>791</v>
      </c>
      <c r="C151" s="41" t="s">
        <v>153</v>
      </c>
      <c r="D151" s="15">
        <v>6500000</v>
      </c>
      <c r="E151" s="16">
        <v>6642.94</v>
      </c>
      <c r="F151" s="17">
        <v>2.4804E-2</v>
      </c>
      <c r="G151" s="17">
        <v>5.7818000000000001E-2</v>
      </c>
    </row>
    <row r="152" spans="1:7" x14ac:dyDescent="0.35">
      <c r="A152" s="13" t="s">
        <v>666</v>
      </c>
      <c r="B152" s="41" t="s">
        <v>667</v>
      </c>
      <c r="C152" s="41" t="s">
        <v>153</v>
      </c>
      <c r="D152" s="15">
        <v>5000000</v>
      </c>
      <c r="E152" s="16">
        <v>5150.04</v>
      </c>
      <c r="F152" s="17">
        <v>1.9230000000000001E-2</v>
      </c>
      <c r="G152" s="17">
        <v>6.8290000000000003E-2</v>
      </c>
    </row>
    <row r="153" spans="1:7" x14ac:dyDescent="0.35">
      <c r="A153" s="13" t="s">
        <v>810</v>
      </c>
      <c r="B153" s="41" t="s">
        <v>811</v>
      </c>
      <c r="C153" s="41" t="s">
        <v>153</v>
      </c>
      <c r="D153" s="15">
        <v>4500000</v>
      </c>
      <c r="E153" s="16">
        <v>4612.63</v>
      </c>
      <c r="F153" s="17">
        <v>1.7222999999999999E-2</v>
      </c>
      <c r="G153" s="17">
        <v>5.9059E-2</v>
      </c>
    </row>
    <row r="154" spans="1:7" x14ac:dyDescent="0.35">
      <c r="A154" s="13" t="s">
        <v>618</v>
      </c>
      <c r="B154" s="41" t="s">
        <v>619</v>
      </c>
      <c r="C154" s="41" t="s">
        <v>153</v>
      </c>
      <c r="D154" s="15">
        <v>2500000</v>
      </c>
      <c r="E154" s="16">
        <v>2491.31</v>
      </c>
      <c r="F154" s="17">
        <v>9.3019999999999995E-3</v>
      </c>
      <c r="G154" s="17">
        <v>6.7199999999999996E-2</v>
      </c>
    </row>
    <row r="155" spans="1:7" x14ac:dyDescent="0.35">
      <c r="A155" s="13" t="s">
        <v>466</v>
      </c>
      <c r="B155" s="41" t="s">
        <v>467</v>
      </c>
      <c r="C155" s="41" t="s">
        <v>153</v>
      </c>
      <c r="D155" s="15">
        <v>100000</v>
      </c>
      <c r="E155" s="16">
        <v>103.01</v>
      </c>
      <c r="F155" s="17">
        <v>3.8499999999999998E-4</v>
      </c>
      <c r="G155" s="17">
        <v>6.1441999999999997E-2</v>
      </c>
    </row>
    <row r="156" spans="1:7" x14ac:dyDescent="0.35">
      <c r="A156" s="14" t="s">
        <v>149</v>
      </c>
      <c r="B156" s="42"/>
      <c r="C156" s="42"/>
      <c r="D156" s="18"/>
      <c r="E156" s="19">
        <v>18999.93</v>
      </c>
      <c r="F156" s="20">
        <v>7.0943000000000006E-2</v>
      </c>
      <c r="G156" s="21"/>
    </row>
    <row r="157" spans="1:7" x14ac:dyDescent="0.35">
      <c r="A157" s="13"/>
      <c r="B157" s="41"/>
      <c r="C157" s="41"/>
      <c r="D157" s="15"/>
      <c r="E157" s="16"/>
      <c r="F157" s="17"/>
      <c r="G157" s="17"/>
    </row>
    <row r="158" spans="1:7" x14ac:dyDescent="0.35">
      <c r="A158" s="14" t="s">
        <v>158</v>
      </c>
      <c r="B158" s="41"/>
      <c r="C158" s="41"/>
      <c r="D158" s="15"/>
      <c r="E158" s="16"/>
      <c r="F158" s="17"/>
      <c r="G158" s="17"/>
    </row>
    <row r="159" spans="1:7" x14ac:dyDescent="0.35">
      <c r="A159" s="14" t="s">
        <v>149</v>
      </c>
      <c r="B159" s="41"/>
      <c r="C159" s="41"/>
      <c r="D159" s="15"/>
      <c r="E159" s="34" t="s">
        <v>146</v>
      </c>
      <c r="F159" s="35" t="s">
        <v>146</v>
      </c>
      <c r="G159" s="17"/>
    </row>
    <row r="160" spans="1:7" x14ac:dyDescent="0.35">
      <c r="A160" s="13"/>
      <c r="B160" s="41"/>
      <c r="C160" s="41"/>
      <c r="D160" s="15"/>
      <c r="E160" s="16"/>
      <c r="F160" s="17"/>
      <c r="G160" s="17"/>
    </row>
    <row r="161" spans="1:7" x14ac:dyDescent="0.35">
      <c r="A161" s="14" t="s">
        <v>159</v>
      </c>
      <c r="B161" s="41"/>
      <c r="C161" s="41"/>
      <c r="D161" s="15"/>
      <c r="E161" s="16"/>
      <c r="F161" s="17"/>
      <c r="G161" s="17"/>
    </row>
    <row r="162" spans="1:7" x14ac:dyDescent="0.35">
      <c r="A162" s="14" t="s">
        <v>149</v>
      </c>
      <c r="B162" s="41"/>
      <c r="C162" s="41"/>
      <c r="D162" s="15"/>
      <c r="E162" s="34" t="s">
        <v>146</v>
      </c>
      <c r="F162" s="35" t="s">
        <v>146</v>
      </c>
      <c r="G162" s="17"/>
    </row>
    <row r="163" spans="1:7" x14ac:dyDescent="0.35">
      <c r="A163" s="13"/>
      <c r="B163" s="41"/>
      <c r="C163" s="41"/>
      <c r="D163" s="15"/>
      <c r="E163" s="16"/>
      <c r="F163" s="17"/>
      <c r="G163" s="17"/>
    </row>
    <row r="164" spans="1:7" x14ac:dyDescent="0.35">
      <c r="A164" s="22" t="s">
        <v>160</v>
      </c>
      <c r="B164" s="43"/>
      <c r="C164" s="43"/>
      <c r="D164" s="23"/>
      <c r="E164" s="36">
        <v>114703.49</v>
      </c>
      <c r="F164" s="37">
        <v>0.42829099999999998</v>
      </c>
      <c r="G164" s="21"/>
    </row>
    <row r="165" spans="1:7" x14ac:dyDescent="0.35">
      <c r="A165" s="13"/>
      <c r="B165" s="41"/>
      <c r="C165" s="41"/>
      <c r="D165" s="15"/>
      <c r="E165" s="16"/>
      <c r="F165" s="17"/>
      <c r="G165" s="17"/>
    </row>
    <row r="166" spans="1:7" x14ac:dyDescent="0.35">
      <c r="A166" s="14" t="s">
        <v>2379</v>
      </c>
      <c r="B166" s="42"/>
      <c r="C166" s="42"/>
      <c r="D166" s="18"/>
      <c r="E166" s="26"/>
      <c r="F166" s="21"/>
      <c r="G166" s="21"/>
    </row>
    <row r="167" spans="1:7" x14ac:dyDescent="0.35">
      <c r="A167" s="14" t="s">
        <v>2380</v>
      </c>
      <c r="B167" s="42"/>
      <c r="C167" s="42"/>
      <c r="D167" s="18"/>
      <c r="E167" s="26"/>
      <c r="F167" s="21"/>
      <c r="G167" s="21"/>
    </row>
    <row r="168" spans="1:7" x14ac:dyDescent="0.35">
      <c r="A168" s="13" t="s">
        <v>2381</v>
      </c>
      <c r="B168" s="41" t="s">
        <v>2382</v>
      </c>
      <c r="C168" s="41"/>
      <c r="D168" s="15">
        <v>16310</v>
      </c>
      <c r="E168" s="16">
        <v>26811.8459</v>
      </c>
      <c r="F168" s="17">
        <f>E168/E188</f>
        <v>0.10011278211070039</v>
      </c>
      <c r="G168" s="17"/>
    </row>
    <row r="169" spans="1:7" x14ac:dyDescent="0.35">
      <c r="A169" s="14" t="s">
        <v>2383</v>
      </c>
      <c r="B169" s="42"/>
      <c r="C169" s="42"/>
      <c r="D169" s="18"/>
      <c r="E169" s="26"/>
      <c r="F169" s="21"/>
      <c r="G169" s="21"/>
    </row>
    <row r="170" spans="1:7" x14ac:dyDescent="0.35">
      <c r="A170" s="13" t="s">
        <v>2384</v>
      </c>
      <c r="B170" s="41" t="s">
        <v>2385</v>
      </c>
      <c r="C170" s="41"/>
      <c r="D170" s="63">
        <v>14310</v>
      </c>
      <c r="E170" s="16">
        <v>47694.085200000001</v>
      </c>
      <c r="F170" s="17">
        <f>E170/E188</f>
        <v>0.1780849993471274</v>
      </c>
      <c r="G170" s="17"/>
    </row>
    <row r="171" spans="1:7" x14ac:dyDescent="0.35">
      <c r="A171" s="14" t="s">
        <v>149</v>
      </c>
      <c r="B171" s="42"/>
      <c r="C171" s="42"/>
      <c r="D171" s="18"/>
      <c r="E171" s="36">
        <v>74505.929999999993</v>
      </c>
      <c r="F171" s="37">
        <v>0.2782</v>
      </c>
      <c r="G171" s="17"/>
    </row>
    <row r="172" spans="1:7" x14ac:dyDescent="0.35">
      <c r="A172" s="22" t="s">
        <v>160</v>
      </c>
      <c r="B172" s="43"/>
      <c r="C172" s="43"/>
      <c r="D172" s="23"/>
      <c r="E172" s="36">
        <v>74505.929999999993</v>
      </c>
      <c r="F172" s="37">
        <v>0.2782</v>
      </c>
      <c r="G172" s="21"/>
    </row>
    <row r="173" spans="1:7" x14ac:dyDescent="0.35">
      <c r="A173" s="13"/>
      <c r="B173" s="41"/>
      <c r="C173" s="41"/>
      <c r="D173" s="15"/>
      <c r="E173" s="16"/>
      <c r="F173" s="17"/>
      <c r="G173" s="17"/>
    </row>
    <row r="174" spans="1:7" x14ac:dyDescent="0.35">
      <c r="A174" s="13"/>
      <c r="B174" s="41"/>
      <c r="C174" s="41"/>
      <c r="D174" s="15"/>
      <c r="E174" s="16"/>
      <c r="F174" s="17"/>
      <c r="G174" s="17"/>
    </row>
    <row r="175" spans="1:7" x14ac:dyDescent="0.35">
      <c r="A175" s="14" t="s">
        <v>884</v>
      </c>
      <c r="B175" s="41"/>
      <c r="C175" s="41"/>
      <c r="D175" s="15"/>
      <c r="E175" s="16"/>
      <c r="F175" s="17"/>
      <c r="G175" s="17"/>
    </row>
    <row r="176" spans="1:7" x14ac:dyDescent="0.35">
      <c r="A176" s="13" t="s">
        <v>1879</v>
      </c>
      <c r="B176" s="41" t="s">
        <v>1880</v>
      </c>
      <c r="C176" s="41"/>
      <c r="D176" s="15">
        <v>19035051.668000001</v>
      </c>
      <c r="E176" s="16">
        <v>2051.0500000000002</v>
      </c>
      <c r="F176" s="17">
        <v>7.6579999999999999E-3</v>
      </c>
      <c r="G176" s="17"/>
    </row>
    <row r="177" spans="1:10" x14ac:dyDescent="0.35">
      <c r="A177" s="13" t="s">
        <v>1792</v>
      </c>
      <c r="B177" s="41" t="s">
        <v>1793</v>
      </c>
      <c r="C177" s="41"/>
      <c r="D177" s="15">
        <v>17870600.256000001</v>
      </c>
      <c r="E177" s="16">
        <v>1957.19</v>
      </c>
      <c r="F177" s="17">
        <v>7.3080000000000003E-3</v>
      </c>
      <c r="G177" s="17"/>
    </row>
    <row r="178" spans="1:10" x14ac:dyDescent="0.35">
      <c r="A178" s="13"/>
      <c r="B178" s="41"/>
      <c r="C178" s="41"/>
      <c r="D178" s="15"/>
      <c r="E178" s="16"/>
      <c r="F178" s="17"/>
      <c r="G178" s="17"/>
    </row>
    <row r="179" spans="1:10" x14ac:dyDescent="0.35">
      <c r="A179" s="22" t="s">
        <v>160</v>
      </c>
      <c r="B179" s="43"/>
      <c r="C179" s="43"/>
      <c r="D179" s="23"/>
      <c r="E179" s="36">
        <v>4008.24</v>
      </c>
      <c r="F179" s="37">
        <v>1.4966E-2</v>
      </c>
      <c r="G179" s="21"/>
    </row>
    <row r="180" spans="1:10" x14ac:dyDescent="0.35">
      <c r="A180" s="13"/>
      <c r="B180" s="41"/>
      <c r="C180" s="41"/>
      <c r="D180" s="15"/>
      <c r="E180" s="16"/>
      <c r="F180" s="17"/>
      <c r="G180" s="17"/>
    </row>
    <row r="181" spans="1:10" x14ac:dyDescent="0.35">
      <c r="A181" s="14" t="s">
        <v>255</v>
      </c>
      <c r="B181" s="41"/>
      <c r="C181" s="41"/>
      <c r="D181" s="15"/>
      <c r="E181" s="16"/>
      <c r="F181" s="17"/>
      <c r="G181" s="17"/>
    </row>
    <row r="182" spans="1:10" x14ac:dyDescent="0.35">
      <c r="A182" s="13" t="s">
        <v>257</v>
      </c>
      <c r="B182" s="41"/>
      <c r="C182" s="41"/>
      <c r="D182" s="15"/>
      <c r="E182" s="16">
        <v>6893.07</v>
      </c>
      <c r="F182" s="17">
        <v>2.5738E-2</v>
      </c>
      <c r="G182" s="17">
        <v>5.1742000000000003E-2</v>
      </c>
    </row>
    <row r="183" spans="1:10" x14ac:dyDescent="0.35">
      <c r="A183" s="14" t="s">
        <v>149</v>
      </c>
      <c r="B183" s="42"/>
      <c r="C183" s="42"/>
      <c r="D183" s="18"/>
      <c r="E183" s="19">
        <v>6893.07</v>
      </c>
      <c r="F183" s="20">
        <v>2.5738E-2</v>
      </c>
      <c r="G183" s="21"/>
    </row>
    <row r="184" spans="1:10" x14ac:dyDescent="0.35">
      <c r="A184" s="13"/>
      <c r="B184" s="41"/>
      <c r="C184" s="41"/>
      <c r="D184" s="15"/>
      <c r="E184" s="16"/>
      <c r="F184" s="17"/>
      <c r="G184" s="17"/>
    </row>
    <row r="185" spans="1:10" x14ac:dyDescent="0.35">
      <c r="A185" s="22" t="s">
        <v>160</v>
      </c>
      <c r="B185" s="43"/>
      <c r="C185" s="43"/>
      <c r="D185" s="23"/>
      <c r="E185" s="36">
        <v>6893.07</v>
      </c>
      <c r="F185" s="37">
        <v>2.5738E-2</v>
      </c>
      <c r="G185" s="21"/>
    </row>
    <row r="186" spans="1:10" x14ac:dyDescent="0.35">
      <c r="A186" s="13" t="s">
        <v>258</v>
      </c>
      <c r="B186" s="41"/>
      <c r="C186" s="41"/>
      <c r="D186" s="15"/>
      <c r="E186" s="16">
        <v>3778.9412244</v>
      </c>
      <c r="F186" s="17">
        <f>E186/E188</f>
        <v>1.4110192965397454E-2</v>
      </c>
      <c r="G186" s="17"/>
      <c r="J186" s="69"/>
    </row>
    <row r="187" spans="1:10" x14ac:dyDescent="0.35">
      <c r="A187" s="13" t="s">
        <v>259</v>
      </c>
      <c r="B187" s="41"/>
      <c r="C187" s="41"/>
      <c r="D187" s="15"/>
      <c r="E187" s="16">
        <v>13591.908775599981</v>
      </c>
      <c r="F187" s="17">
        <f>E187/E188</f>
        <v>5.0750843742547298E-2</v>
      </c>
      <c r="G187" s="17">
        <v>5.1742000000000003E-2</v>
      </c>
    </row>
    <row r="188" spans="1:10" x14ac:dyDescent="0.35">
      <c r="A188" s="38" t="s">
        <v>260</v>
      </c>
      <c r="B188" s="44"/>
      <c r="C188" s="44"/>
      <c r="D188" s="39"/>
      <c r="E188" s="24">
        <v>267816.40999999997</v>
      </c>
      <c r="F188" s="25">
        <v>1</v>
      </c>
      <c r="G188" s="25"/>
    </row>
    <row r="190" spans="1:10" x14ac:dyDescent="0.35">
      <c r="A190" s="1" t="s">
        <v>1794</v>
      </c>
      <c r="E190" s="65"/>
      <c r="F190" s="2"/>
    </row>
    <row r="191" spans="1:10" x14ac:dyDescent="0.35">
      <c r="A191" s="1" t="s">
        <v>262</v>
      </c>
      <c r="E191" s="64"/>
    </row>
    <row r="192" spans="1:10" x14ac:dyDescent="0.35">
      <c r="E192" s="64"/>
    </row>
    <row r="193" spans="1:5" x14ac:dyDescent="0.35">
      <c r="A193" s="1" t="s">
        <v>263</v>
      </c>
      <c r="E193" s="64"/>
    </row>
    <row r="194" spans="1:5" ht="29" customHeight="1" x14ac:dyDescent="0.35">
      <c r="A194" s="47" t="s">
        <v>264</v>
      </c>
      <c r="B194" s="3" t="s">
        <v>146</v>
      </c>
    </row>
    <row r="195" spans="1:5" x14ac:dyDescent="0.35">
      <c r="A195" t="s">
        <v>265</v>
      </c>
    </row>
    <row r="196" spans="1:5" x14ac:dyDescent="0.35">
      <c r="A196" t="s">
        <v>266</v>
      </c>
      <c r="B196" t="s">
        <v>267</v>
      </c>
      <c r="C196" t="s">
        <v>267</v>
      </c>
    </row>
    <row r="197" spans="1:5" x14ac:dyDescent="0.35">
      <c r="B197" s="66">
        <v>46022</v>
      </c>
      <c r="C197" s="66">
        <v>45687</v>
      </c>
    </row>
    <row r="198" spans="1:5" x14ac:dyDescent="0.35">
      <c r="A198" t="s">
        <v>752</v>
      </c>
      <c r="B198">
        <v>12.047800000000001</v>
      </c>
      <c r="C198">
        <v>11.979799999999999</v>
      </c>
    </row>
    <row r="199" spans="1:5" x14ac:dyDescent="0.35">
      <c r="A199" t="s">
        <v>273</v>
      </c>
      <c r="B199">
        <v>12.047800000000001</v>
      </c>
      <c r="C199">
        <v>11.979799999999999</v>
      </c>
    </row>
    <row r="200" spans="1:5" x14ac:dyDescent="0.35">
      <c r="A200" t="s">
        <v>753</v>
      </c>
      <c r="B200">
        <v>11.950799999999999</v>
      </c>
      <c r="C200">
        <v>11.879899999999999</v>
      </c>
    </row>
    <row r="201" spans="1:5" x14ac:dyDescent="0.35">
      <c r="A201" t="s">
        <v>709</v>
      </c>
      <c r="B201">
        <v>11.950799999999999</v>
      </c>
      <c r="C201">
        <v>11.879899999999999</v>
      </c>
    </row>
    <row r="202" spans="1:5" x14ac:dyDescent="0.35">
      <c r="A202" t="s">
        <v>284</v>
      </c>
      <c r="B202" s="3" t="s">
        <v>146</v>
      </c>
    </row>
    <row r="203" spans="1:5" ht="58" customHeight="1" x14ac:dyDescent="0.35">
      <c r="A203" s="47" t="s">
        <v>285</v>
      </c>
      <c r="B203" s="3" t="s">
        <v>146</v>
      </c>
    </row>
    <row r="204" spans="1:5" ht="43.5" customHeight="1" x14ac:dyDescent="0.35">
      <c r="A204" s="47" t="s">
        <v>286</v>
      </c>
      <c r="B204" s="3" t="s">
        <v>146</v>
      </c>
    </row>
    <row r="205" spans="1:5" x14ac:dyDescent="0.35">
      <c r="A205" t="s">
        <v>287</v>
      </c>
      <c r="B205" s="48">
        <f>B221</f>
        <v>2.0960865741197101</v>
      </c>
    </row>
    <row r="206" spans="1:5" x14ac:dyDescent="0.35">
      <c r="A206" t="s">
        <v>1253</v>
      </c>
      <c r="B206" s="48">
        <v>5.6227</v>
      </c>
    </row>
    <row r="207" spans="1:5" ht="72.5" customHeight="1" x14ac:dyDescent="0.35">
      <c r="A207" s="47" t="s">
        <v>288</v>
      </c>
      <c r="B207" s="3">
        <v>0</v>
      </c>
    </row>
    <row r="208" spans="1:5" x14ac:dyDescent="0.35">
      <c r="B208" s="3"/>
    </row>
    <row r="209" spans="1:2" ht="58" customHeight="1" x14ac:dyDescent="0.35">
      <c r="A209" s="47" t="s">
        <v>289</v>
      </c>
      <c r="B209" s="3" t="s">
        <v>146</v>
      </c>
    </row>
    <row r="210" spans="1:2" ht="58" customHeight="1" x14ac:dyDescent="0.35">
      <c r="A210" s="47" t="s">
        <v>290</v>
      </c>
      <c r="B210" t="s">
        <v>146</v>
      </c>
    </row>
    <row r="211" spans="1:2" ht="43.5" customHeight="1" x14ac:dyDescent="0.35">
      <c r="A211" s="47" t="s">
        <v>291</v>
      </c>
      <c r="B211" s="3" t="s">
        <v>146</v>
      </c>
    </row>
    <row r="212" spans="1:2" ht="43.5" customHeight="1" x14ac:dyDescent="0.35">
      <c r="A212" s="47" t="s">
        <v>292</v>
      </c>
      <c r="B212" s="3" t="s">
        <v>146</v>
      </c>
    </row>
    <row r="214" spans="1:2" x14ac:dyDescent="0.35">
      <c r="A214" t="s">
        <v>293</v>
      </c>
    </row>
    <row r="215" spans="1:2" x14ac:dyDescent="0.35">
      <c r="A215" s="51" t="s">
        <v>295</v>
      </c>
      <c r="B215" s="51" t="s">
        <v>2386</v>
      </c>
    </row>
    <row r="216" spans="1:2" x14ac:dyDescent="0.35">
      <c r="A216" s="51" t="s">
        <v>297</v>
      </c>
      <c r="B216" s="51" t="s">
        <v>2387</v>
      </c>
    </row>
    <row r="217" spans="1:2" x14ac:dyDescent="0.35">
      <c r="A217" s="51"/>
      <c r="B217" s="51"/>
    </row>
    <row r="218" spans="1:2" x14ac:dyDescent="0.35">
      <c r="A218" s="51" t="s">
        <v>299</v>
      </c>
      <c r="B218" s="52">
        <v>7.1441637661196404</v>
      </c>
    </row>
    <row r="219" spans="1:2" x14ac:dyDescent="0.35">
      <c r="A219" s="51"/>
      <c r="B219" s="51"/>
    </row>
    <row r="220" spans="1:2" x14ac:dyDescent="0.35">
      <c r="A220" s="51" t="s">
        <v>300</v>
      </c>
      <c r="B220" s="53">
        <v>1.8897999999999999</v>
      </c>
    </row>
    <row r="221" spans="1:2" x14ac:dyDescent="0.35">
      <c r="A221" s="51" t="s">
        <v>301</v>
      </c>
      <c r="B221" s="53">
        <v>2.0960865741197101</v>
      </c>
    </row>
    <row r="222" spans="1:2" x14ac:dyDescent="0.35">
      <c r="A222" s="51"/>
      <c r="B222" s="51"/>
    </row>
    <row r="223" spans="1:2" x14ac:dyDescent="0.35">
      <c r="A223" s="51" t="s">
        <v>302</v>
      </c>
      <c r="B223" s="54">
        <v>46053</v>
      </c>
    </row>
    <row r="225" spans="1:4" ht="70" customHeight="1" x14ac:dyDescent="0.35">
      <c r="A225" s="70" t="s">
        <v>303</v>
      </c>
      <c r="B225" s="70" t="s">
        <v>304</v>
      </c>
      <c r="C225" s="70" t="s">
        <v>4</v>
      </c>
      <c r="D225" s="70" t="s">
        <v>5</v>
      </c>
    </row>
    <row r="226" spans="1:4" ht="70" customHeight="1" x14ac:dyDescent="0.35">
      <c r="A226" s="70" t="s">
        <v>2386</v>
      </c>
      <c r="B226" s="70"/>
      <c r="C226" s="70" t="s">
        <v>87</v>
      </c>
      <c r="D22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G161"/>
  <sheetViews>
    <sheetView showGridLines="0" workbookViewId="0">
      <pane ySplit="4" topLeftCell="A100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2388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2389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1576607</v>
      </c>
      <c r="E8" s="16">
        <v>14650.62</v>
      </c>
      <c r="F8" s="17">
        <v>4.6800000000000001E-2</v>
      </c>
      <c r="G8" s="17"/>
    </row>
    <row r="9" spans="1:7" x14ac:dyDescent="0.35">
      <c r="A9" s="13" t="s">
        <v>1278</v>
      </c>
      <c r="B9" s="41" t="s">
        <v>1279</v>
      </c>
      <c r="C9" s="41" t="s">
        <v>1280</v>
      </c>
      <c r="D9" s="15">
        <v>324415</v>
      </c>
      <c r="E9" s="16">
        <v>8201.2099999999991</v>
      </c>
      <c r="F9" s="17">
        <v>2.6200000000000001E-2</v>
      </c>
      <c r="G9" s="17"/>
    </row>
    <row r="10" spans="1:7" x14ac:dyDescent="0.35">
      <c r="A10" s="13" t="s">
        <v>1181</v>
      </c>
      <c r="B10" s="41" t="s">
        <v>1182</v>
      </c>
      <c r="C10" s="41" t="s">
        <v>1178</v>
      </c>
      <c r="D10" s="15">
        <v>571660</v>
      </c>
      <c r="E10" s="16">
        <v>7745.99</v>
      </c>
      <c r="F10" s="17">
        <v>2.4799999999999999E-2</v>
      </c>
      <c r="G10" s="17"/>
    </row>
    <row r="11" spans="1:7" x14ac:dyDescent="0.35">
      <c r="A11" s="13" t="s">
        <v>1351</v>
      </c>
      <c r="B11" s="41" t="s">
        <v>1352</v>
      </c>
      <c r="C11" s="41" t="s">
        <v>1305</v>
      </c>
      <c r="D11" s="15">
        <v>2173158</v>
      </c>
      <c r="E11" s="16">
        <v>7736.44</v>
      </c>
      <c r="F11" s="17">
        <v>2.47E-2</v>
      </c>
      <c r="G11" s="17"/>
    </row>
    <row r="12" spans="1:7" x14ac:dyDescent="0.35">
      <c r="A12" s="13" t="s">
        <v>1385</v>
      </c>
      <c r="B12" s="41" t="s">
        <v>1386</v>
      </c>
      <c r="C12" s="41" t="s">
        <v>1387</v>
      </c>
      <c r="D12" s="15">
        <v>180067</v>
      </c>
      <c r="E12" s="16">
        <v>7080.77</v>
      </c>
      <c r="F12" s="17">
        <v>2.2599999999999999E-2</v>
      </c>
      <c r="G12" s="17"/>
    </row>
    <row r="13" spans="1:7" x14ac:dyDescent="0.35">
      <c r="A13" s="13" t="s">
        <v>1935</v>
      </c>
      <c r="B13" s="41" t="s">
        <v>1936</v>
      </c>
      <c r="C13" s="41" t="s">
        <v>1221</v>
      </c>
      <c r="D13" s="15">
        <v>110229</v>
      </c>
      <c r="E13" s="16">
        <v>6722.87</v>
      </c>
      <c r="F13" s="17">
        <v>2.1499999999999998E-2</v>
      </c>
      <c r="G13" s="17"/>
    </row>
    <row r="14" spans="1:7" x14ac:dyDescent="0.35">
      <c r="A14" s="13" t="s">
        <v>1943</v>
      </c>
      <c r="B14" s="41" t="s">
        <v>1944</v>
      </c>
      <c r="C14" s="41" t="s">
        <v>1360</v>
      </c>
      <c r="D14" s="15">
        <v>218974</v>
      </c>
      <c r="E14" s="16">
        <v>6192.8</v>
      </c>
      <c r="F14" s="17">
        <v>1.9800000000000002E-2</v>
      </c>
      <c r="G14" s="17"/>
    </row>
    <row r="15" spans="1:7" x14ac:dyDescent="0.35">
      <c r="A15" s="13" t="s">
        <v>1367</v>
      </c>
      <c r="B15" s="41" t="s">
        <v>1368</v>
      </c>
      <c r="C15" s="41" t="s">
        <v>1369</v>
      </c>
      <c r="D15" s="15">
        <v>369196</v>
      </c>
      <c r="E15" s="16">
        <v>6058.51</v>
      </c>
      <c r="F15" s="17">
        <v>1.9400000000000001E-2</v>
      </c>
      <c r="G15" s="17"/>
    </row>
    <row r="16" spans="1:7" x14ac:dyDescent="0.35">
      <c r="A16" s="13" t="s">
        <v>1204</v>
      </c>
      <c r="B16" s="41" t="s">
        <v>1205</v>
      </c>
      <c r="C16" s="41" t="s">
        <v>1206</v>
      </c>
      <c r="D16" s="15">
        <v>428053</v>
      </c>
      <c r="E16" s="16">
        <v>5973.05</v>
      </c>
      <c r="F16" s="17">
        <v>1.9099999999999999E-2</v>
      </c>
      <c r="G16" s="17"/>
    </row>
    <row r="17" spans="1:7" x14ac:dyDescent="0.35">
      <c r="A17" s="13" t="s">
        <v>1939</v>
      </c>
      <c r="B17" s="41" t="s">
        <v>1940</v>
      </c>
      <c r="C17" s="41" t="s">
        <v>1178</v>
      </c>
      <c r="D17" s="15">
        <v>1953273</v>
      </c>
      <c r="E17" s="16">
        <v>5887.16</v>
      </c>
      <c r="F17" s="17">
        <v>1.8800000000000001E-2</v>
      </c>
      <c r="G17" s="17"/>
    </row>
    <row r="18" spans="1:7" x14ac:dyDescent="0.35">
      <c r="A18" s="13" t="s">
        <v>1310</v>
      </c>
      <c r="B18" s="41" t="s">
        <v>1311</v>
      </c>
      <c r="C18" s="41" t="s">
        <v>1261</v>
      </c>
      <c r="D18" s="15">
        <v>2995570</v>
      </c>
      <c r="E18" s="16">
        <v>5785.34</v>
      </c>
      <c r="F18" s="17">
        <v>1.8499999999999999E-2</v>
      </c>
      <c r="G18" s="17"/>
    </row>
    <row r="19" spans="1:7" x14ac:dyDescent="0.35">
      <c r="A19" s="13" t="s">
        <v>1982</v>
      </c>
      <c r="B19" s="41" t="s">
        <v>1983</v>
      </c>
      <c r="C19" s="41" t="s">
        <v>1191</v>
      </c>
      <c r="D19" s="15">
        <v>833170</v>
      </c>
      <c r="E19" s="16">
        <v>5481.01</v>
      </c>
      <c r="F19" s="17">
        <v>1.7500000000000002E-2</v>
      </c>
      <c r="G19" s="17"/>
    </row>
    <row r="20" spans="1:7" x14ac:dyDescent="0.35">
      <c r="A20" s="13" t="s">
        <v>1314</v>
      </c>
      <c r="B20" s="41" t="s">
        <v>1315</v>
      </c>
      <c r="C20" s="41" t="s">
        <v>1211</v>
      </c>
      <c r="D20" s="15">
        <v>515748</v>
      </c>
      <c r="E20" s="16">
        <v>5260.63</v>
      </c>
      <c r="F20" s="17">
        <v>1.6799999999999999E-2</v>
      </c>
      <c r="G20" s="17"/>
    </row>
    <row r="21" spans="1:7" x14ac:dyDescent="0.35">
      <c r="A21" s="13" t="s">
        <v>1176</v>
      </c>
      <c r="B21" s="41" t="s">
        <v>1177</v>
      </c>
      <c r="C21" s="41" t="s">
        <v>1178</v>
      </c>
      <c r="D21" s="15">
        <v>469614</v>
      </c>
      <c r="E21" s="16">
        <v>5058.45</v>
      </c>
      <c r="F21" s="17">
        <v>1.6199999999999999E-2</v>
      </c>
      <c r="G21" s="17"/>
    </row>
    <row r="22" spans="1:7" x14ac:dyDescent="0.35">
      <c r="A22" s="13" t="s">
        <v>1196</v>
      </c>
      <c r="B22" s="41" t="s">
        <v>1197</v>
      </c>
      <c r="C22" s="41" t="s">
        <v>1198</v>
      </c>
      <c r="D22" s="15">
        <v>251398</v>
      </c>
      <c r="E22" s="16">
        <v>4949.2700000000004</v>
      </c>
      <c r="F22" s="17">
        <v>1.5800000000000002E-2</v>
      </c>
      <c r="G22" s="17"/>
    </row>
    <row r="23" spans="1:7" x14ac:dyDescent="0.35">
      <c r="A23" s="13" t="s">
        <v>2175</v>
      </c>
      <c r="B23" s="41" t="s">
        <v>2176</v>
      </c>
      <c r="C23" s="41" t="s">
        <v>1382</v>
      </c>
      <c r="D23" s="15">
        <v>124745</v>
      </c>
      <c r="E23" s="16">
        <v>4692.66</v>
      </c>
      <c r="F23" s="17">
        <v>1.4999999999999999E-2</v>
      </c>
      <c r="G23" s="17"/>
    </row>
    <row r="24" spans="1:7" x14ac:dyDescent="0.35">
      <c r="A24" s="13" t="s">
        <v>1295</v>
      </c>
      <c r="B24" s="41" t="s">
        <v>1296</v>
      </c>
      <c r="C24" s="41" t="s">
        <v>1188</v>
      </c>
      <c r="D24" s="15">
        <v>134544</v>
      </c>
      <c r="E24" s="16">
        <v>4617.28</v>
      </c>
      <c r="F24" s="17">
        <v>1.4800000000000001E-2</v>
      </c>
      <c r="G24" s="17"/>
    </row>
    <row r="25" spans="1:7" x14ac:dyDescent="0.35">
      <c r="A25" s="13" t="s">
        <v>2022</v>
      </c>
      <c r="B25" s="41" t="s">
        <v>2023</v>
      </c>
      <c r="C25" s="41" t="s">
        <v>1178</v>
      </c>
      <c r="D25" s="15">
        <v>1461100</v>
      </c>
      <c r="E25" s="16">
        <v>4408.87</v>
      </c>
      <c r="F25" s="17">
        <v>1.41E-2</v>
      </c>
      <c r="G25" s="17"/>
    </row>
    <row r="26" spans="1:7" x14ac:dyDescent="0.35">
      <c r="A26" s="13" t="s">
        <v>1531</v>
      </c>
      <c r="B26" s="41" t="s">
        <v>1532</v>
      </c>
      <c r="C26" s="41" t="s">
        <v>1369</v>
      </c>
      <c r="D26" s="15">
        <v>260703</v>
      </c>
      <c r="E26" s="16">
        <v>4311.51</v>
      </c>
      <c r="F26" s="17">
        <v>1.38E-2</v>
      </c>
      <c r="G26" s="17"/>
    </row>
    <row r="27" spans="1:7" x14ac:dyDescent="0.35">
      <c r="A27" s="13" t="s">
        <v>1810</v>
      </c>
      <c r="B27" s="41" t="s">
        <v>1811</v>
      </c>
      <c r="C27" s="41" t="s">
        <v>1382</v>
      </c>
      <c r="D27" s="15">
        <v>55439</v>
      </c>
      <c r="E27" s="16">
        <v>4056.47</v>
      </c>
      <c r="F27" s="17">
        <v>1.2999999999999999E-2</v>
      </c>
      <c r="G27" s="17"/>
    </row>
    <row r="28" spans="1:7" x14ac:dyDescent="0.35">
      <c r="A28" s="13" t="s">
        <v>2390</v>
      </c>
      <c r="B28" s="41" t="s">
        <v>2391</v>
      </c>
      <c r="C28" s="41" t="s">
        <v>1412</v>
      </c>
      <c r="D28" s="15">
        <v>454440</v>
      </c>
      <c r="E28" s="16">
        <v>3959.08</v>
      </c>
      <c r="F28" s="17">
        <v>1.2699999999999999E-2</v>
      </c>
      <c r="G28" s="17"/>
    </row>
    <row r="29" spans="1:7" x14ac:dyDescent="0.35">
      <c r="A29" s="13" t="s">
        <v>1199</v>
      </c>
      <c r="B29" s="41" t="s">
        <v>1200</v>
      </c>
      <c r="C29" s="41" t="s">
        <v>1201</v>
      </c>
      <c r="D29" s="15">
        <v>99175</v>
      </c>
      <c r="E29" s="16">
        <v>3944.59</v>
      </c>
      <c r="F29" s="17">
        <v>1.26E-2</v>
      </c>
      <c r="G29" s="17"/>
    </row>
    <row r="30" spans="1:7" x14ac:dyDescent="0.35">
      <c r="A30" s="13" t="s">
        <v>1555</v>
      </c>
      <c r="B30" s="41" t="s">
        <v>1556</v>
      </c>
      <c r="C30" s="41" t="s">
        <v>1178</v>
      </c>
      <c r="D30" s="15">
        <v>423456</v>
      </c>
      <c r="E30" s="16">
        <v>3860.65</v>
      </c>
      <c r="F30" s="17">
        <v>1.23E-2</v>
      </c>
      <c r="G30" s="17"/>
    </row>
    <row r="31" spans="1:7" x14ac:dyDescent="0.35">
      <c r="A31" s="13" t="s">
        <v>1937</v>
      </c>
      <c r="B31" s="41" t="s">
        <v>1938</v>
      </c>
      <c r="C31" s="41" t="s">
        <v>1301</v>
      </c>
      <c r="D31" s="15">
        <v>753549</v>
      </c>
      <c r="E31" s="16">
        <v>3843.48</v>
      </c>
      <c r="F31" s="17">
        <v>1.23E-2</v>
      </c>
      <c r="G31" s="17"/>
    </row>
    <row r="32" spans="1:7" x14ac:dyDescent="0.35">
      <c r="A32" s="13" t="s">
        <v>1209</v>
      </c>
      <c r="B32" s="41" t="s">
        <v>1210</v>
      </c>
      <c r="C32" s="41" t="s">
        <v>1211</v>
      </c>
      <c r="D32" s="15">
        <v>403416</v>
      </c>
      <c r="E32" s="16">
        <v>3751.16</v>
      </c>
      <c r="F32" s="17">
        <v>1.2E-2</v>
      </c>
      <c r="G32" s="17"/>
    </row>
    <row r="33" spans="1:7" x14ac:dyDescent="0.35">
      <c r="A33" s="13" t="s">
        <v>2051</v>
      </c>
      <c r="B33" s="41" t="s">
        <v>2052</v>
      </c>
      <c r="C33" s="41" t="s">
        <v>1229</v>
      </c>
      <c r="D33" s="15">
        <v>597216</v>
      </c>
      <c r="E33" s="16">
        <v>3605.69</v>
      </c>
      <c r="F33" s="17">
        <v>1.15E-2</v>
      </c>
      <c r="G33" s="17"/>
    </row>
    <row r="34" spans="1:7" x14ac:dyDescent="0.35">
      <c r="A34" s="13" t="s">
        <v>1202</v>
      </c>
      <c r="B34" s="41" t="s">
        <v>1203</v>
      </c>
      <c r="C34" s="41" t="s">
        <v>1178</v>
      </c>
      <c r="D34" s="15">
        <v>1214957</v>
      </c>
      <c r="E34" s="16">
        <v>3496.04</v>
      </c>
      <c r="F34" s="17">
        <v>1.12E-2</v>
      </c>
      <c r="G34" s="17"/>
    </row>
    <row r="35" spans="1:7" x14ac:dyDescent="0.35">
      <c r="A35" s="13" t="s">
        <v>1338</v>
      </c>
      <c r="B35" s="41" t="s">
        <v>1339</v>
      </c>
      <c r="C35" s="41" t="s">
        <v>1221</v>
      </c>
      <c r="D35" s="15">
        <v>25889</v>
      </c>
      <c r="E35" s="16">
        <v>3489.84</v>
      </c>
      <c r="F35" s="17">
        <v>1.12E-2</v>
      </c>
      <c r="G35" s="17"/>
    </row>
    <row r="36" spans="1:7" x14ac:dyDescent="0.35">
      <c r="A36" s="13" t="s">
        <v>2047</v>
      </c>
      <c r="B36" s="41" t="s">
        <v>2048</v>
      </c>
      <c r="C36" s="41" t="s">
        <v>1211</v>
      </c>
      <c r="D36" s="15">
        <v>287434</v>
      </c>
      <c r="E36" s="16">
        <v>3387.98</v>
      </c>
      <c r="F36" s="17">
        <v>1.0800000000000001E-2</v>
      </c>
      <c r="G36" s="17"/>
    </row>
    <row r="37" spans="1:7" x14ac:dyDescent="0.35">
      <c r="A37" s="13" t="s">
        <v>1403</v>
      </c>
      <c r="B37" s="41" t="s">
        <v>1404</v>
      </c>
      <c r="C37" s="41" t="s">
        <v>1234</v>
      </c>
      <c r="D37" s="15">
        <v>55707</v>
      </c>
      <c r="E37" s="16">
        <v>3370.83</v>
      </c>
      <c r="F37" s="17">
        <v>1.0800000000000001E-2</v>
      </c>
      <c r="G37" s="17"/>
    </row>
    <row r="38" spans="1:7" x14ac:dyDescent="0.35">
      <c r="A38" s="13" t="s">
        <v>1289</v>
      </c>
      <c r="B38" s="41" t="s">
        <v>1290</v>
      </c>
      <c r="C38" s="41" t="s">
        <v>1285</v>
      </c>
      <c r="D38" s="15">
        <v>741813</v>
      </c>
      <c r="E38" s="16">
        <v>3330.74</v>
      </c>
      <c r="F38" s="17">
        <v>1.0699999999999999E-2</v>
      </c>
      <c r="G38" s="17"/>
    </row>
    <row r="39" spans="1:7" x14ac:dyDescent="0.35">
      <c r="A39" s="13" t="s">
        <v>1235</v>
      </c>
      <c r="B39" s="41" t="s">
        <v>1236</v>
      </c>
      <c r="C39" s="41" t="s">
        <v>1178</v>
      </c>
      <c r="D39" s="15">
        <v>806935</v>
      </c>
      <c r="E39" s="16">
        <v>3292.29</v>
      </c>
      <c r="F39" s="17">
        <v>1.0500000000000001E-2</v>
      </c>
      <c r="G39" s="17"/>
    </row>
    <row r="40" spans="1:7" x14ac:dyDescent="0.35">
      <c r="A40" s="13" t="s">
        <v>1892</v>
      </c>
      <c r="B40" s="41" t="s">
        <v>1893</v>
      </c>
      <c r="C40" s="41" t="s">
        <v>1280</v>
      </c>
      <c r="D40" s="15">
        <v>321560</v>
      </c>
      <c r="E40" s="16">
        <v>3260.62</v>
      </c>
      <c r="F40" s="17">
        <v>1.04E-2</v>
      </c>
      <c r="G40" s="17"/>
    </row>
    <row r="41" spans="1:7" x14ac:dyDescent="0.35">
      <c r="A41" s="13" t="s">
        <v>2030</v>
      </c>
      <c r="B41" s="41" t="s">
        <v>2031</v>
      </c>
      <c r="C41" s="41" t="s">
        <v>1838</v>
      </c>
      <c r="D41" s="15">
        <v>1010778</v>
      </c>
      <c r="E41" s="16">
        <v>3232.97</v>
      </c>
      <c r="F41" s="17">
        <v>1.03E-2</v>
      </c>
      <c r="G41" s="17"/>
    </row>
    <row r="42" spans="1:7" x14ac:dyDescent="0.35">
      <c r="A42" s="13" t="s">
        <v>1547</v>
      </c>
      <c r="B42" s="41" t="s">
        <v>1548</v>
      </c>
      <c r="C42" s="41" t="s">
        <v>1369</v>
      </c>
      <c r="D42" s="15">
        <v>53354</v>
      </c>
      <c r="E42" s="16">
        <v>3219.91</v>
      </c>
      <c r="F42" s="17">
        <v>1.03E-2</v>
      </c>
      <c r="G42" s="17"/>
    </row>
    <row r="43" spans="1:7" x14ac:dyDescent="0.35">
      <c r="A43" s="13" t="s">
        <v>1270</v>
      </c>
      <c r="B43" s="41" t="s">
        <v>1271</v>
      </c>
      <c r="C43" s="41" t="s">
        <v>1272</v>
      </c>
      <c r="D43" s="15">
        <v>3916042</v>
      </c>
      <c r="E43" s="16">
        <v>3180.22</v>
      </c>
      <c r="F43" s="17">
        <v>1.0200000000000001E-2</v>
      </c>
      <c r="G43" s="17"/>
    </row>
    <row r="44" spans="1:7" x14ac:dyDescent="0.35">
      <c r="A44" s="13" t="s">
        <v>1945</v>
      </c>
      <c r="B44" s="41" t="s">
        <v>1946</v>
      </c>
      <c r="C44" s="41" t="s">
        <v>1211</v>
      </c>
      <c r="D44" s="15">
        <v>60092</v>
      </c>
      <c r="E44" s="16">
        <v>3171.66</v>
      </c>
      <c r="F44" s="17">
        <v>1.01E-2</v>
      </c>
      <c r="G44" s="17"/>
    </row>
    <row r="45" spans="1:7" x14ac:dyDescent="0.35">
      <c r="A45" s="13" t="s">
        <v>1533</v>
      </c>
      <c r="B45" s="41" t="s">
        <v>1534</v>
      </c>
      <c r="C45" s="41" t="s">
        <v>1369</v>
      </c>
      <c r="D45" s="15">
        <v>52796</v>
      </c>
      <c r="E45" s="16">
        <v>3154.3</v>
      </c>
      <c r="F45" s="17">
        <v>1.01E-2</v>
      </c>
      <c r="G45" s="17"/>
    </row>
    <row r="46" spans="1:7" x14ac:dyDescent="0.35">
      <c r="A46" s="13" t="s">
        <v>1283</v>
      </c>
      <c r="B46" s="41" t="s">
        <v>1284</v>
      </c>
      <c r="C46" s="41" t="s">
        <v>1285</v>
      </c>
      <c r="D46" s="15">
        <v>68089</v>
      </c>
      <c r="E46" s="16">
        <v>3145.3</v>
      </c>
      <c r="F46" s="17">
        <v>1.01E-2</v>
      </c>
      <c r="G46" s="17"/>
    </row>
    <row r="47" spans="1:7" x14ac:dyDescent="0.35">
      <c r="A47" s="13" t="s">
        <v>1262</v>
      </c>
      <c r="B47" s="41" t="s">
        <v>1263</v>
      </c>
      <c r="C47" s="41" t="s">
        <v>1178</v>
      </c>
      <c r="D47" s="15">
        <v>225032</v>
      </c>
      <c r="E47" s="16">
        <v>3083.84</v>
      </c>
      <c r="F47" s="17">
        <v>9.9000000000000008E-3</v>
      </c>
      <c r="G47" s="17"/>
    </row>
    <row r="48" spans="1:7" x14ac:dyDescent="0.35">
      <c r="A48" s="13" t="s">
        <v>1186</v>
      </c>
      <c r="B48" s="41" t="s">
        <v>1187</v>
      </c>
      <c r="C48" s="41" t="s">
        <v>1188</v>
      </c>
      <c r="D48" s="15">
        <v>20353</v>
      </c>
      <c r="E48" s="16">
        <v>2971.33</v>
      </c>
      <c r="F48" s="17">
        <v>9.4999999999999998E-3</v>
      </c>
      <c r="G48" s="17"/>
    </row>
    <row r="49" spans="1:7" x14ac:dyDescent="0.35">
      <c r="A49" s="13" t="s">
        <v>2024</v>
      </c>
      <c r="B49" s="41" t="s">
        <v>2025</v>
      </c>
      <c r="C49" s="41" t="s">
        <v>1211</v>
      </c>
      <c r="D49" s="15">
        <v>223718</v>
      </c>
      <c r="E49" s="16">
        <v>2967.62</v>
      </c>
      <c r="F49" s="17">
        <v>9.4999999999999998E-3</v>
      </c>
      <c r="G49" s="17"/>
    </row>
    <row r="50" spans="1:7" x14ac:dyDescent="0.35">
      <c r="A50" s="13" t="s">
        <v>1472</v>
      </c>
      <c r="B50" s="41" t="s">
        <v>1473</v>
      </c>
      <c r="C50" s="41" t="s">
        <v>1419</v>
      </c>
      <c r="D50" s="15">
        <v>303470</v>
      </c>
      <c r="E50" s="16">
        <v>2921.2</v>
      </c>
      <c r="F50" s="17">
        <v>9.2999999999999992E-3</v>
      </c>
      <c r="G50" s="17"/>
    </row>
    <row r="51" spans="1:7" x14ac:dyDescent="0.35">
      <c r="A51" s="13" t="s">
        <v>1993</v>
      </c>
      <c r="B51" s="41" t="s">
        <v>1994</v>
      </c>
      <c r="C51" s="41" t="s">
        <v>1288</v>
      </c>
      <c r="D51" s="15">
        <v>72496</v>
      </c>
      <c r="E51" s="16">
        <v>2915.14</v>
      </c>
      <c r="F51" s="17">
        <v>9.2999999999999992E-3</v>
      </c>
      <c r="G51" s="17"/>
    </row>
    <row r="52" spans="1:7" x14ac:dyDescent="0.35">
      <c r="A52" s="13" t="s">
        <v>2045</v>
      </c>
      <c r="B52" s="41" t="s">
        <v>2046</v>
      </c>
      <c r="C52" s="41" t="s">
        <v>1350</v>
      </c>
      <c r="D52" s="15">
        <v>692818</v>
      </c>
      <c r="E52" s="16">
        <v>2838.13</v>
      </c>
      <c r="F52" s="17">
        <v>9.1000000000000004E-3</v>
      </c>
      <c r="G52" s="17"/>
    </row>
    <row r="53" spans="1:7" x14ac:dyDescent="0.35">
      <c r="A53" s="13" t="s">
        <v>1394</v>
      </c>
      <c r="B53" s="41" t="s">
        <v>1395</v>
      </c>
      <c r="C53" s="41" t="s">
        <v>1369</v>
      </c>
      <c r="D53" s="15">
        <v>156681</v>
      </c>
      <c r="E53" s="16">
        <v>2731.11</v>
      </c>
      <c r="F53" s="17">
        <v>8.6999999999999994E-3</v>
      </c>
      <c r="G53" s="17"/>
    </row>
    <row r="54" spans="1:7" x14ac:dyDescent="0.35">
      <c r="A54" s="13" t="s">
        <v>1241</v>
      </c>
      <c r="B54" s="41" t="s">
        <v>1242</v>
      </c>
      <c r="C54" s="41" t="s">
        <v>1216</v>
      </c>
      <c r="D54" s="15">
        <v>373603</v>
      </c>
      <c r="E54" s="16">
        <v>2726.55</v>
      </c>
      <c r="F54" s="17">
        <v>8.6999999999999994E-3</v>
      </c>
      <c r="G54" s="17"/>
    </row>
    <row r="55" spans="1:7" x14ac:dyDescent="0.35">
      <c r="A55" s="13" t="s">
        <v>1506</v>
      </c>
      <c r="B55" s="41" t="s">
        <v>1507</v>
      </c>
      <c r="C55" s="41" t="s">
        <v>1234</v>
      </c>
      <c r="D55" s="15">
        <v>119113</v>
      </c>
      <c r="E55" s="16">
        <v>2564.2600000000002</v>
      </c>
      <c r="F55" s="17">
        <v>8.2000000000000007E-3</v>
      </c>
      <c r="G55" s="17"/>
    </row>
    <row r="56" spans="1:7" x14ac:dyDescent="0.35">
      <c r="A56" s="13" t="s">
        <v>1225</v>
      </c>
      <c r="B56" s="41" t="s">
        <v>1226</v>
      </c>
      <c r="C56" s="41" t="s">
        <v>1185</v>
      </c>
      <c r="D56" s="15">
        <v>157885</v>
      </c>
      <c r="E56" s="16">
        <v>2547.63</v>
      </c>
      <c r="F56" s="17">
        <v>8.0999999999999996E-3</v>
      </c>
      <c r="G56" s="17"/>
    </row>
    <row r="57" spans="1:7" x14ac:dyDescent="0.35">
      <c r="A57" s="13" t="s">
        <v>1376</v>
      </c>
      <c r="B57" s="41" t="s">
        <v>1377</v>
      </c>
      <c r="C57" s="41" t="s">
        <v>1280</v>
      </c>
      <c r="D57" s="15">
        <v>89716</v>
      </c>
      <c r="E57" s="16">
        <v>2509.36</v>
      </c>
      <c r="F57" s="17">
        <v>8.0000000000000002E-3</v>
      </c>
      <c r="G57" s="17"/>
    </row>
    <row r="58" spans="1:7" x14ac:dyDescent="0.35">
      <c r="A58" s="13" t="s">
        <v>1361</v>
      </c>
      <c r="B58" s="41" t="s">
        <v>1362</v>
      </c>
      <c r="C58" s="41" t="s">
        <v>1229</v>
      </c>
      <c r="D58" s="15">
        <v>293414</v>
      </c>
      <c r="E58" s="16">
        <v>2498.42</v>
      </c>
      <c r="F58" s="17">
        <v>8.0000000000000002E-3</v>
      </c>
      <c r="G58" s="17"/>
    </row>
    <row r="59" spans="1:7" x14ac:dyDescent="0.35">
      <c r="A59" s="13" t="s">
        <v>1291</v>
      </c>
      <c r="B59" s="41" t="s">
        <v>1292</v>
      </c>
      <c r="C59" s="41" t="s">
        <v>1206</v>
      </c>
      <c r="D59" s="15">
        <v>568278</v>
      </c>
      <c r="E59" s="16">
        <v>2426.5500000000002</v>
      </c>
      <c r="F59" s="17">
        <v>7.7999999999999996E-3</v>
      </c>
      <c r="G59" s="17"/>
    </row>
    <row r="60" spans="1:7" x14ac:dyDescent="0.35">
      <c r="A60" s="13" t="s">
        <v>1222</v>
      </c>
      <c r="B60" s="41" t="s">
        <v>1223</v>
      </c>
      <c r="C60" s="41" t="s">
        <v>1224</v>
      </c>
      <c r="D60" s="15">
        <v>18638</v>
      </c>
      <c r="E60" s="16">
        <v>2365.91</v>
      </c>
      <c r="F60" s="17">
        <v>7.6E-3</v>
      </c>
      <c r="G60" s="17"/>
    </row>
    <row r="61" spans="1:7" x14ac:dyDescent="0.35">
      <c r="A61" s="13" t="s">
        <v>1553</v>
      </c>
      <c r="B61" s="41" t="s">
        <v>1554</v>
      </c>
      <c r="C61" s="41" t="s">
        <v>1211</v>
      </c>
      <c r="D61" s="15">
        <v>61519</v>
      </c>
      <c r="E61" s="16">
        <v>2355.9299999999998</v>
      </c>
      <c r="F61" s="17">
        <v>7.4999999999999997E-3</v>
      </c>
      <c r="G61" s="17"/>
    </row>
    <row r="62" spans="1:7" x14ac:dyDescent="0.35">
      <c r="A62" s="13" t="s">
        <v>1212</v>
      </c>
      <c r="B62" s="41" t="s">
        <v>1213</v>
      </c>
      <c r="C62" s="41" t="s">
        <v>1188</v>
      </c>
      <c r="D62" s="15">
        <v>63704</v>
      </c>
      <c r="E62" s="16">
        <v>2342.65</v>
      </c>
      <c r="F62" s="17">
        <v>7.4999999999999997E-3</v>
      </c>
      <c r="G62" s="17"/>
    </row>
    <row r="63" spans="1:7" x14ac:dyDescent="0.35">
      <c r="A63" s="13" t="s">
        <v>2081</v>
      </c>
      <c r="B63" s="41" t="s">
        <v>2082</v>
      </c>
      <c r="C63" s="41" t="s">
        <v>1333</v>
      </c>
      <c r="D63" s="15">
        <v>453746</v>
      </c>
      <c r="E63" s="16">
        <v>2279.85</v>
      </c>
      <c r="F63" s="17">
        <v>7.3000000000000001E-3</v>
      </c>
      <c r="G63" s="17"/>
    </row>
    <row r="64" spans="1:7" x14ac:dyDescent="0.35">
      <c r="A64" s="13" t="s">
        <v>1847</v>
      </c>
      <c r="B64" s="41" t="s">
        <v>1848</v>
      </c>
      <c r="C64" s="41" t="s">
        <v>1849</v>
      </c>
      <c r="D64" s="15">
        <v>1127674</v>
      </c>
      <c r="E64" s="16">
        <v>2218.02</v>
      </c>
      <c r="F64" s="17">
        <v>7.1000000000000004E-3</v>
      </c>
      <c r="G64" s="17"/>
    </row>
    <row r="65" spans="1:7" x14ac:dyDescent="0.35">
      <c r="A65" s="13" t="s">
        <v>2392</v>
      </c>
      <c r="B65" s="41" t="s">
        <v>2393</v>
      </c>
      <c r="C65" s="41" t="s">
        <v>1229</v>
      </c>
      <c r="D65" s="15">
        <v>191266</v>
      </c>
      <c r="E65" s="16">
        <v>2176.8000000000002</v>
      </c>
      <c r="F65" s="17">
        <v>7.0000000000000001E-3</v>
      </c>
      <c r="G65" s="17"/>
    </row>
    <row r="66" spans="1:7" x14ac:dyDescent="0.35">
      <c r="A66" s="13" t="s">
        <v>1498</v>
      </c>
      <c r="B66" s="41" t="s">
        <v>1499</v>
      </c>
      <c r="C66" s="41" t="s">
        <v>1333</v>
      </c>
      <c r="D66" s="15">
        <v>360786</v>
      </c>
      <c r="E66" s="16">
        <v>2107.17</v>
      </c>
      <c r="F66" s="17">
        <v>6.7000000000000002E-3</v>
      </c>
      <c r="G66" s="17"/>
    </row>
    <row r="67" spans="1:7" x14ac:dyDescent="0.35">
      <c r="A67" s="13" t="s">
        <v>1441</v>
      </c>
      <c r="B67" s="41" t="s">
        <v>1442</v>
      </c>
      <c r="C67" s="41" t="s">
        <v>1280</v>
      </c>
      <c r="D67" s="15">
        <v>83654</v>
      </c>
      <c r="E67" s="16">
        <v>2104.48</v>
      </c>
      <c r="F67" s="17">
        <v>6.7000000000000002E-3</v>
      </c>
      <c r="G67" s="17"/>
    </row>
    <row r="68" spans="1:7" x14ac:dyDescent="0.35">
      <c r="A68" s="13" t="s">
        <v>1970</v>
      </c>
      <c r="B68" s="41" t="s">
        <v>1971</v>
      </c>
      <c r="C68" s="41" t="s">
        <v>1201</v>
      </c>
      <c r="D68" s="15">
        <v>143692</v>
      </c>
      <c r="E68" s="16">
        <v>2101.64</v>
      </c>
      <c r="F68" s="17">
        <v>6.7000000000000002E-3</v>
      </c>
      <c r="G68" s="17"/>
    </row>
    <row r="69" spans="1:7" x14ac:dyDescent="0.35">
      <c r="A69" s="13" t="s">
        <v>1502</v>
      </c>
      <c r="B69" s="41" t="s">
        <v>1503</v>
      </c>
      <c r="C69" s="41" t="s">
        <v>1369</v>
      </c>
      <c r="D69" s="15">
        <v>122158</v>
      </c>
      <c r="E69" s="16">
        <v>2071.31</v>
      </c>
      <c r="F69" s="17">
        <v>6.6E-3</v>
      </c>
      <c r="G69" s="17"/>
    </row>
    <row r="70" spans="1:7" x14ac:dyDescent="0.35">
      <c r="A70" s="13" t="s">
        <v>1378</v>
      </c>
      <c r="B70" s="41" t="s">
        <v>1379</v>
      </c>
      <c r="C70" s="41" t="s">
        <v>1211</v>
      </c>
      <c r="D70" s="15">
        <v>248364</v>
      </c>
      <c r="E70" s="16">
        <v>2042.55</v>
      </c>
      <c r="F70" s="17">
        <v>6.4999999999999997E-3</v>
      </c>
      <c r="G70" s="17"/>
    </row>
    <row r="71" spans="1:7" x14ac:dyDescent="0.35">
      <c r="A71" s="13" t="s">
        <v>1933</v>
      </c>
      <c r="B71" s="41" t="s">
        <v>1934</v>
      </c>
      <c r="C71" s="41" t="s">
        <v>1382</v>
      </c>
      <c r="D71" s="15">
        <v>83521</v>
      </c>
      <c r="E71" s="16">
        <v>2026.89</v>
      </c>
      <c r="F71" s="17">
        <v>6.4999999999999997E-3</v>
      </c>
      <c r="G71" s="17"/>
    </row>
    <row r="72" spans="1:7" x14ac:dyDescent="0.35">
      <c r="A72" s="13" t="s">
        <v>1410</v>
      </c>
      <c r="B72" s="41" t="s">
        <v>1411</v>
      </c>
      <c r="C72" s="41" t="s">
        <v>1412</v>
      </c>
      <c r="D72" s="15">
        <v>299738</v>
      </c>
      <c r="E72" s="16">
        <v>2020.68</v>
      </c>
      <c r="F72" s="17">
        <v>6.4999999999999997E-3</v>
      </c>
      <c r="G72" s="17"/>
    </row>
    <row r="73" spans="1:7" x14ac:dyDescent="0.35">
      <c r="A73" s="13" t="s">
        <v>1468</v>
      </c>
      <c r="B73" s="41" t="s">
        <v>1469</v>
      </c>
      <c r="C73" s="41" t="s">
        <v>1324</v>
      </c>
      <c r="D73" s="15">
        <v>118968</v>
      </c>
      <c r="E73" s="16">
        <v>1987.6</v>
      </c>
      <c r="F73" s="17">
        <v>6.4000000000000003E-3</v>
      </c>
      <c r="G73" s="17"/>
    </row>
    <row r="74" spans="1:7" x14ac:dyDescent="0.35">
      <c r="A74" s="13" t="s">
        <v>1488</v>
      </c>
      <c r="B74" s="41" t="s">
        <v>1489</v>
      </c>
      <c r="C74" s="41" t="s">
        <v>1275</v>
      </c>
      <c r="D74" s="15">
        <v>83499</v>
      </c>
      <c r="E74" s="16">
        <v>1981.43</v>
      </c>
      <c r="F74" s="17">
        <v>6.3E-3</v>
      </c>
      <c r="G74" s="17"/>
    </row>
    <row r="75" spans="1:7" x14ac:dyDescent="0.35">
      <c r="A75" s="13" t="s">
        <v>2026</v>
      </c>
      <c r="B75" s="41" t="s">
        <v>2027</v>
      </c>
      <c r="C75" s="41" t="s">
        <v>1234</v>
      </c>
      <c r="D75" s="15">
        <v>126975</v>
      </c>
      <c r="E75" s="16">
        <v>1867.55</v>
      </c>
      <c r="F75" s="17">
        <v>6.0000000000000001E-3</v>
      </c>
      <c r="G75" s="17"/>
    </row>
    <row r="76" spans="1:7" x14ac:dyDescent="0.35">
      <c r="A76" s="13" t="s">
        <v>1449</v>
      </c>
      <c r="B76" s="41" t="s">
        <v>1450</v>
      </c>
      <c r="C76" s="41" t="s">
        <v>1229</v>
      </c>
      <c r="D76" s="15">
        <v>192448</v>
      </c>
      <c r="E76" s="16">
        <v>1841.34</v>
      </c>
      <c r="F76" s="17">
        <v>5.8999999999999999E-3</v>
      </c>
      <c r="G76" s="17"/>
    </row>
    <row r="77" spans="1:7" x14ac:dyDescent="0.35">
      <c r="A77" s="13" t="s">
        <v>1972</v>
      </c>
      <c r="B77" s="41" t="s">
        <v>1973</v>
      </c>
      <c r="C77" s="41" t="s">
        <v>1201</v>
      </c>
      <c r="D77" s="15">
        <v>226127</v>
      </c>
      <c r="E77" s="16">
        <v>1817.61</v>
      </c>
      <c r="F77" s="17">
        <v>5.7999999999999996E-3</v>
      </c>
      <c r="G77" s="17"/>
    </row>
    <row r="78" spans="1:7" x14ac:dyDescent="0.35">
      <c r="A78" s="13" t="s">
        <v>2394</v>
      </c>
      <c r="B78" s="41" t="s">
        <v>2395</v>
      </c>
      <c r="C78" s="41" t="s">
        <v>1178</v>
      </c>
      <c r="D78" s="15">
        <v>2716797</v>
      </c>
      <c r="E78" s="16">
        <v>1775.97</v>
      </c>
      <c r="F78" s="17">
        <v>5.7000000000000002E-3</v>
      </c>
      <c r="G78" s="17"/>
    </row>
    <row r="79" spans="1:7" x14ac:dyDescent="0.35">
      <c r="A79" s="13" t="s">
        <v>1919</v>
      </c>
      <c r="B79" s="41" t="s">
        <v>1920</v>
      </c>
      <c r="C79" s="41" t="s">
        <v>1178</v>
      </c>
      <c r="D79" s="15">
        <v>1190992</v>
      </c>
      <c r="E79" s="16">
        <v>1755.76</v>
      </c>
      <c r="F79" s="17">
        <v>5.5999999999999999E-3</v>
      </c>
      <c r="G79" s="17"/>
    </row>
    <row r="80" spans="1:7" x14ac:dyDescent="0.35">
      <c r="A80" s="13" t="s">
        <v>1447</v>
      </c>
      <c r="B80" s="41" t="s">
        <v>1448</v>
      </c>
      <c r="C80" s="41" t="s">
        <v>1285</v>
      </c>
      <c r="D80" s="15">
        <v>107156</v>
      </c>
      <c r="E80" s="16">
        <v>1648.27</v>
      </c>
      <c r="F80" s="17">
        <v>5.3E-3</v>
      </c>
      <c r="G80" s="17"/>
    </row>
    <row r="81" spans="1:7" x14ac:dyDescent="0.35">
      <c r="A81" s="13" t="s">
        <v>1798</v>
      </c>
      <c r="B81" s="41" t="s">
        <v>1799</v>
      </c>
      <c r="C81" s="41" t="s">
        <v>1333</v>
      </c>
      <c r="D81" s="15">
        <v>50202</v>
      </c>
      <c r="E81" s="16">
        <v>1621.68</v>
      </c>
      <c r="F81" s="17">
        <v>5.1999999999999998E-3</v>
      </c>
      <c r="G81" s="17"/>
    </row>
    <row r="82" spans="1:7" x14ac:dyDescent="0.35">
      <c r="A82" s="13" t="s">
        <v>2028</v>
      </c>
      <c r="B82" s="41" t="s">
        <v>2029</v>
      </c>
      <c r="C82" s="41" t="s">
        <v>1849</v>
      </c>
      <c r="D82" s="15">
        <v>346936</v>
      </c>
      <c r="E82" s="16">
        <v>1590.7</v>
      </c>
      <c r="F82" s="17">
        <v>5.1000000000000004E-3</v>
      </c>
      <c r="G82" s="17"/>
    </row>
    <row r="83" spans="1:7" x14ac:dyDescent="0.35">
      <c r="A83" s="13" t="s">
        <v>2396</v>
      </c>
      <c r="B83" s="41" t="s">
        <v>2397</v>
      </c>
      <c r="C83" s="41" t="s">
        <v>1211</v>
      </c>
      <c r="D83" s="15">
        <v>464352</v>
      </c>
      <c r="E83" s="16">
        <v>1588.55</v>
      </c>
      <c r="F83" s="17">
        <v>5.1000000000000004E-3</v>
      </c>
      <c r="G83" s="17"/>
    </row>
    <row r="84" spans="1:7" x14ac:dyDescent="0.35">
      <c r="A84" s="13" t="s">
        <v>2090</v>
      </c>
      <c r="B84" s="41" t="s">
        <v>2091</v>
      </c>
      <c r="C84" s="41" t="s">
        <v>1234</v>
      </c>
      <c r="D84" s="15">
        <v>56722</v>
      </c>
      <c r="E84" s="16">
        <v>1577.95</v>
      </c>
      <c r="F84" s="17">
        <v>5.0000000000000001E-3</v>
      </c>
      <c r="G84" s="17"/>
    </row>
    <row r="85" spans="1:7" x14ac:dyDescent="0.35">
      <c r="A85" s="13" t="s">
        <v>1463</v>
      </c>
      <c r="B85" s="41" t="s">
        <v>1464</v>
      </c>
      <c r="C85" s="41" t="s">
        <v>1465</v>
      </c>
      <c r="D85" s="15">
        <v>94102</v>
      </c>
      <c r="E85" s="16">
        <v>1556.92</v>
      </c>
      <c r="F85" s="17">
        <v>5.0000000000000001E-3</v>
      </c>
      <c r="G85" s="17"/>
    </row>
    <row r="86" spans="1:7" x14ac:dyDescent="0.35">
      <c r="A86" s="13" t="s">
        <v>1264</v>
      </c>
      <c r="B86" s="41" t="s">
        <v>1265</v>
      </c>
      <c r="C86" s="41" t="s">
        <v>1266</v>
      </c>
      <c r="D86" s="15">
        <v>560499</v>
      </c>
      <c r="E86" s="16">
        <v>1533.53</v>
      </c>
      <c r="F86" s="17">
        <v>4.8999999999999998E-3</v>
      </c>
      <c r="G86" s="17"/>
    </row>
    <row r="87" spans="1:7" x14ac:dyDescent="0.35">
      <c r="A87" s="13" t="s">
        <v>1816</v>
      </c>
      <c r="B87" s="41" t="s">
        <v>1817</v>
      </c>
      <c r="C87" s="41" t="s">
        <v>1188</v>
      </c>
      <c r="D87" s="15">
        <v>242017</v>
      </c>
      <c r="E87" s="16">
        <v>1503.53</v>
      </c>
      <c r="F87" s="17">
        <v>4.7999999999999996E-3</v>
      </c>
      <c r="G87" s="17"/>
    </row>
    <row r="88" spans="1:7" x14ac:dyDescent="0.35">
      <c r="A88" s="13" t="s">
        <v>1496</v>
      </c>
      <c r="B88" s="41" t="s">
        <v>1497</v>
      </c>
      <c r="C88" s="41" t="s">
        <v>1211</v>
      </c>
      <c r="D88" s="15">
        <v>91971</v>
      </c>
      <c r="E88" s="16">
        <v>1500.6</v>
      </c>
      <c r="F88" s="17">
        <v>4.7999999999999996E-3</v>
      </c>
      <c r="G88" s="17"/>
    </row>
    <row r="89" spans="1:7" x14ac:dyDescent="0.35">
      <c r="A89" s="13" t="s">
        <v>1820</v>
      </c>
      <c r="B89" s="41" t="s">
        <v>1821</v>
      </c>
      <c r="C89" s="41" t="s">
        <v>1324</v>
      </c>
      <c r="D89" s="15">
        <v>198670</v>
      </c>
      <c r="E89" s="16">
        <v>1494.5</v>
      </c>
      <c r="F89" s="17">
        <v>4.7999999999999996E-3</v>
      </c>
      <c r="G89" s="17"/>
    </row>
    <row r="90" spans="1:7" x14ac:dyDescent="0.35">
      <c r="A90" s="13" t="s">
        <v>1390</v>
      </c>
      <c r="B90" s="41" t="s">
        <v>1391</v>
      </c>
      <c r="C90" s="41" t="s">
        <v>1324</v>
      </c>
      <c r="D90" s="15">
        <v>92703</v>
      </c>
      <c r="E90" s="16">
        <v>1461.74</v>
      </c>
      <c r="F90" s="17">
        <v>4.7000000000000002E-3</v>
      </c>
      <c r="G90" s="17"/>
    </row>
    <row r="91" spans="1:7" x14ac:dyDescent="0.35">
      <c r="A91" s="13" t="s">
        <v>2398</v>
      </c>
      <c r="B91" s="41" t="s">
        <v>2399</v>
      </c>
      <c r="C91" s="41" t="s">
        <v>1288</v>
      </c>
      <c r="D91" s="15">
        <v>105431</v>
      </c>
      <c r="E91" s="16">
        <v>1448.31</v>
      </c>
      <c r="F91" s="17">
        <v>4.5999999999999999E-3</v>
      </c>
      <c r="G91" s="17"/>
    </row>
    <row r="92" spans="1:7" x14ac:dyDescent="0.35">
      <c r="A92" s="13" t="s">
        <v>1822</v>
      </c>
      <c r="B92" s="41" t="s">
        <v>1823</v>
      </c>
      <c r="C92" s="41" t="s">
        <v>1266</v>
      </c>
      <c r="D92" s="15">
        <v>1144052</v>
      </c>
      <c r="E92" s="16">
        <v>1440.93</v>
      </c>
      <c r="F92" s="17">
        <v>4.5999999999999999E-3</v>
      </c>
      <c r="G92" s="17"/>
    </row>
    <row r="93" spans="1:7" x14ac:dyDescent="0.35">
      <c r="A93" s="13" t="s">
        <v>2092</v>
      </c>
      <c r="B93" s="41" t="s">
        <v>2093</v>
      </c>
      <c r="C93" s="41" t="s">
        <v>1234</v>
      </c>
      <c r="D93" s="15">
        <v>76488</v>
      </c>
      <c r="E93" s="16">
        <v>1429.94</v>
      </c>
      <c r="F93" s="17">
        <v>4.5999999999999999E-3</v>
      </c>
      <c r="G93" s="17"/>
    </row>
    <row r="94" spans="1:7" x14ac:dyDescent="0.35">
      <c r="A94" s="13" t="s">
        <v>2280</v>
      </c>
      <c r="B94" s="41" t="s">
        <v>2281</v>
      </c>
      <c r="C94" s="41" t="s">
        <v>1849</v>
      </c>
      <c r="D94" s="15">
        <v>41837</v>
      </c>
      <c r="E94" s="16">
        <v>1414.43</v>
      </c>
      <c r="F94" s="17">
        <v>4.4999999999999997E-3</v>
      </c>
      <c r="G94" s="17"/>
    </row>
    <row r="95" spans="1:7" x14ac:dyDescent="0.35">
      <c r="A95" s="13" t="s">
        <v>1237</v>
      </c>
      <c r="B95" s="41" t="s">
        <v>1238</v>
      </c>
      <c r="C95" s="41" t="s">
        <v>1234</v>
      </c>
      <c r="D95" s="15">
        <v>85385</v>
      </c>
      <c r="E95" s="16">
        <v>1362.15</v>
      </c>
      <c r="F95" s="17">
        <v>4.4000000000000003E-3</v>
      </c>
      <c r="G95" s="17"/>
    </row>
    <row r="96" spans="1:7" x14ac:dyDescent="0.35">
      <c r="A96" s="13" t="s">
        <v>1217</v>
      </c>
      <c r="B96" s="41" t="s">
        <v>1218</v>
      </c>
      <c r="C96" s="41" t="s">
        <v>1201</v>
      </c>
      <c r="D96" s="15">
        <v>55591</v>
      </c>
      <c r="E96" s="16">
        <v>1349.92</v>
      </c>
      <c r="F96" s="17">
        <v>4.3E-3</v>
      </c>
      <c r="G96" s="17"/>
    </row>
    <row r="97" spans="1:7" x14ac:dyDescent="0.35">
      <c r="A97" s="13" t="s">
        <v>1541</v>
      </c>
      <c r="B97" s="41" t="s">
        <v>1542</v>
      </c>
      <c r="C97" s="41" t="s">
        <v>1280</v>
      </c>
      <c r="D97" s="15">
        <v>97583</v>
      </c>
      <c r="E97" s="16">
        <v>1288.29</v>
      </c>
      <c r="F97" s="17">
        <v>4.1000000000000003E-3</v>
      </c>
      <c r="G97" s="17"/>
    </row>
    <row r="98" spans="1:7" x14ac:dyDescent="0.35">
      <c r="A98" s="13" t="s">
        <v>1960</v>
      </c>
      <c r="B98" s="41" t="s">
        <v>1961</v>
      </c>
      <c r="C98" s="41" t="s">
        <v>1412</v>
      </c>
      <c r="D98" s="15">
        <v>88622</v>
      </c>
      <c r="E98" s="16">
        <v>1233.8</v>
      </c>
      <c r="F98" s="17">
        <v>3.8999999999999998E-3</v>
      </c>
      <c r="G98" s="17"/>
    </row>
    <row r="99" spans="1:7" x14ac:dyDescent="0.35">
      <c r="A99" s="13" t="s">
        <v>2057</v>
      </c>
      <c r="B99" s="41" t="s">
        <v>2058</v>
      </c>
      <c r="C99" s="41" t="s">
        <v>1234</v>
      </c>
      <c r="D99" s="15">
        <v>151977</v>
      </c>
      <c r="E99" s="16">
        <v>1190.28</v>
      </c>
      <c r="F99" s="17">
        <v>3.8E-3</v>
      </c>
      <c r="G99" s="17"/>
    </row>
    <row r="100" spans="1:7" x14ac:dyDescent="0.35">
      <c r="A100" s="13" t="s">
        <v>1991</v>
      </c>
      <c r="B100" s="41" t="s">
        <v>1992</v>
      </c>
      <c r="C100" s="41" t="s">
        <v>1855</v>
      </c>
      <c r="D100" s="15">
        <v>134700</v>
      </c>
      <c r="E100" s="16">
        <v>1171.28</v>
      </c>
      <c r="F100" s="17">
        <v>3.7000000000000002E-3</v>
      </c>
      <c r="G100" s="17"/>
    </row>
    <row r="101" spans="1:7" x14ac:dyDescent="0.35">
      <c r="A101" s="13" t="s">
        <v>2037</v>
      </c>
      <c r="B101" s="41" t="s">
        <v>2038</v>
      </c>
      <c r="C101" s="41" t="s">
        <v>1526</v>
      </c>
      <c r="D101" s="15">
        <v>37230</v>
      </c>
      <c r="E101" s="16">
        <v>1170.77</v>
      </c>
      <c r="F101" s="17">
        <v>3.7000000000000002E-3</v>
      </c>
      <c r="G101" s="17"/>
    </row>
    <row r="102" spans="1:7" x14ac:dyDescent="0.35">
      <c r="A102" s="13" t="s">
        <v>1952</v>
      </c>
      <c r="B102" s="41" t="s">
        <v>1953</v>
      </c>
      <c r="C102" s="41" t="s">
        <v>1266</v>
      </c>
      <c r="D102" s="15">
        <v>332079</v>
      </c>
      <c r="E102" s="16">
        <v>1028.6099999999999</v>
      </c>
      <c r="F102" s="17">
        <v>3.3E-3</v>
      </c>
      <c r="G102" s="17"/>
    </row>
    <row r="103" spans="1:7" x14ac:dyDescent="0.35">
      <c r="A103" s="13" t="s">
        <v>1194</v>
      </c>
      <c r="B103" s="41" t="s">
        <v>1195</v>
      </c>
      <c r="C103" s="41" t="s">
        <v>1188</v>
      </c>
      <c r="D103" s="15">
        <v>14199</v>
      </c>
      <c r="E103" s="16">
        <v>1011.32</v>
      </c>
      <c r="F103" s="17">
        <v>3.2000000000000002E-3</v>
      </c>
      <c r="G103" s="17"/>
    </row>
    <row r="104" spans="1:7" x14ac:dyDescent="0.35">
      <c r="A104" s="13" t="s">
        <v>2075</v>
      </c>
      <c r="B104" s="41" t="s">
        <v>2076</v>
      </c>
      <c r="C104" s="41" t="s">
        <v>1234</v>
      </c>
      <c r="D104" s="15">
        <v>46775</v>
      </c>
      <c r="E104" s="16">
        <v>993.5</v>
      </c>
      <c r="F104" s="17">
        <v>3.2000000000000002E-3</v>
      </c>
      <c r="G104" s="17"/>
    </row>
    <row r="105" spans="1:7" x14ac:dyDescent="0.35">
      <c r="A105" s="13" t="s">
        <v>2169</v>
      </c>
      <c r="B105" s="41" t="s">
        <v>2170</v>
      </c>
      <c r="C105" s="41" t="s">
        <v>1211</v>
      </c>
      <c r="D105" s="15">
        <v>192993</v>
      </c>
      <c r="E105" s="16">
        <v>948.17</v>
      </c>
      <c r="F105" s="17">
        <v>3.0000000000000001E-3</v>
      </c>
      <c r="G105" s="17"/>
    </row>
    <row r="106" spans="1:7" x14ac:dyDescent="0.35">
      <c r="A106" s="13" t="s">
        <v>1426</v>
      </c>
      <c r="B106" s="41" t="s">
        <v>1427</v>
      </c>
      <c r="C106" s="41" t="s">
        <v>1178</v>
      </c>
      <c r="D106" s="15">
        <v>95765</v>
      </c>
      <c r="E106" s="16">
        <v>940.75</v>
      </c>
      <c r="F106" s="17">
        <v>3.0000000000000001E-3</v>
      </c>
      <c r="G106" s="17"/>
    </row>
    <row r="107" spans="1:7" x14ac:dyDescent="0.35">
      <c r="A107" s="13" t="s">
        <v>1443</v>
      </c>
      <c r="B107" s="41" t="s">
        <v>1444</v>
      </c>
      <c r="C107" s="41" t="s">
        <v>1178</v>
      </c>
      <c r="D107" s="15">
        <v>1112466</v>
      </c>
      <c r="E107" s="16">
        <v>929.8</v>
      </c>
      <c r="F107" s="17">
        <v>3.0000000000000001E-3</v>
      </c>
      <c r="G107" s="17"/>
    </row>
    <row r="108" spans="1:7" x14ac:dyDescent="0.35">
      <c r="A108" s="13" t="s">
        <v>1192</v>
      </c>
      <c r="B108" s="41" t="s">
        <v>1193</v>
      </c>
      <c r="C108" s="41" t="s">
        <v>1191</v>
      </c>
      <c r="D108" s="15">
        <v>15668</v>
      </c>
      <c r="E108" s="16">
        <v>918.22</v>
      </c>
      <c r="F108" s="17">
        <v>2.8999999999999998E-3</v>
      </c>
      <c r="G108" s="17"/>
    </row>
    <row r="109" spans="1:7" x14ac:dyDescent="0.35">
      <c r="A109" s="13" t="s">
        <v>1929</v>
      </c>
      <c r="B109" s="41" t="s">
        <v>1930</v>
      </c>
      <c r="C109" s="41" t="s">
        <v>1211</v>
      </c>
      <c r="D109" s="15">
        <v>236323</v>
      </c>
      <c r="E109" s="16">
        <v>887.51</v>
      </c>
      <c r="F109" s="17">
        <v>2.8E-3</v>
      </c>
      <c r="G109" s="17"/>
    </row>
    <row r="110" spans="1:7" x14ac:dyDescent="0.35">
      <c r="A110" s="13" t="s">
        <v>1559</v>
      </c>
      <c r="B110" s="41" t="s">
        <v>1560</v>
      </c>
      <c r="C110" s="41" t="s">
        <v>1211</v>
      </c>
      <c r="D110" s="15">
        <v>301434</v>
      </c>
      <c r="E110" s="16">
        <v>863.16</v>
      </c>
      <c r="F110" s="17">
        <v>2.8E-3</v>
      </c>
      <c r="G110" s="17"/>
    </row>
    <row r="111" spans="1:7" x14ac:dyDescent="0.35">
      <c r="A111" s="13" t="s">
        <v>2061</v>
      </c>
      <c r="B111" s="41" t="s">
        <v>2062</v>
      </c>
      <c r="C111" s="41" t="s">
        <v>1465</v>
      </c>
      <c r="D111" s="15">
        <v>316709</v>
      </c>
      <c r="E111" s="16">
        <v>722.44</v>
      </c>
      <c r="F111" s="17">
        <v>2.3E-3</v>
      </c>
      <c r="G111" s="17"/>
    </row>
    <row r="112" spans="1:7" x14ac:dyDescent="0.35">
      <c r="A112" s="13" t="s">
        <v>1545</v>
      </c>
      <c r="B112" s="41" t="s">
        <v>1546</v>
      </c>
      <c r="C112" s="41" t="s">
        <v>1436</v>
      </c>
      <c r="D112" s="15">
        <v>7756</v>
      </c>
      <c r="E112" s="16">
        <v>269.55</v>
      </c>
      <c r="F112" s="17">
        <v>8.9999999999999998E-4</v>
      </c>
      <c r="G112" s="17"/>
    </row>
    <row r="113" spans="1:7" x14ac:dyDescent="0.35">
      <c r="A113" s="13" t="s">
        <v>1484</v>
      </c>
      <c r="B113" s="41" t="s">
        <v>1485</v>
      </c>
      <c r="C113" s="41" t="s">
        <v>1201</v>
      </c>
      <c r="D113" s="15">
        <v>2556</v>
      </c>
      <c r="E113" s="16">
        <v>267</v>
      </c>
      <c r="F113" s="17">
        <v>8.9999999999999998E-4</v>
      </c>
      <c r="G113" s="17"/>
    </row>
    <row r="114" spans="1:7" x14ac:dyDescent="0.35">
      <c r="A114" s="13" t="s">
        <v>1843</v>
      </c>
      <c r="B114" s="41" t="s">
        <v>1844</v>
      </c>
      <c r="C114" s="41" t="s">
        <v>1191</v>
      </c>
      <c r="D114" s="15">
        <v>83499</v>
      </c>
      <c r="E114" s="16">
        <v>30.21</v>
      </c>
      <c r="F114" s="17">
        <v>1E-4</v>
      </c>
      <c r="G114" s="17"/>
    </row>
    <row r="115" spans="1:7" x14ac:dyDescent="0.35">
      <c r="A115" s="14" t="s">
        <v>149</v>
      </c>
      <c r="B115" s="42"/>
      <c r="C115" s="42"/>
      <c r="D115" s="18"/>
      <c r="E115" s="19">
        <f>SUM(E8:E114)</f>
        <v>308898.84999999998</v>
      </c>
      <c r="F115" s="20">
        <f>SUM(F8:F114)</f>
        <v>0.98760000000000003</v>
      </c>
      <c r="G115" s="21"/>
    </row>
    <row r="116" spans="1:7" x14ac:dyDescent="0.35">
      <c r="A116" s="14"/>
      <c r="B116" s="42"/>
      <c r="C116" s="42"/>
      <c r="D116" s="18"/>
      <c r="E116" s="26"/>
      <c r="F116" s="21"/>
      <c r="G116" s="21"/>
    </row>
    <row r="117" spans="1:7" x14ac:dyDescent="0.35">
      <c r="A117" s="14"/>
      <c r="B117" s="42"/>
      <c r="C117" s="42"/>
      <c r="D117" s="18"/>
      <c r="E117" s="26"/>
      <c r="F117" s="21"/>
      <c r="G117" s="21"/>
    </row>
    <row r="118" spans="1:7" x14ac:dyDescent="0.35">
      <c r="A118" s="58" t="s">
        <v>147</v>
      </c>
      <c r="B118" s="42"/>
      <c r="C118" s="42"/>
      <c r="D118" s="18"/>
      <c r="E118" s="26"/>
      <c r="F118" s="21"/>
      <c r="G118" s="21"/>
    </row>
    <row r="119" spans="1:7" x14ac:dyDescent="0.35">
      <c r="A119" s="58" t="s">
        <v>1249</v>
      </c>
      <c r="B119" s="41"/>
      <c r="C119" s="41"/>
      <c r="D119" s="15"/>
      <c r="E119" s="16"/>
      <c r="F119" s="17"/>
      <c r="G119" s="17"/>
    </row>
    <row r="120" spans="1:7" x14ac:dyDescent="0.35">
      <c r="A120" s="58" t="s">
        <v>1250</v>
      </c>
      <c r="B120" s="41"/>
      <c r="C120" s="41"/>
      <c r="D120" s="15"/>
      <c r="E120" s="16"/>
      <c r="F120" s="17"/>
      <c r="G120" s="17"/>
    </row>
    <row r="121" spans="1:7" x14ac:dyDescent="0.35">
      <c r="A121" s="13" t="s">
        <v>1251</v>
      </c>
      <c r="B121" s="41" t="s">
        <v>1252</v>
      </c>
      <c r="C121" s="41" t="s">
        <v>1188</v>
      </c>
      <c r="D121" s="15">
        <v>396980</v>
      </c>
      <c r="E121" s="16">
        <v>40.58</v>
      </c>
      <c r="F121" s="17">
        <v>1E-4</v>
      </c>
      <c r="G121" s="17">
        <v>6.3450000000000006E-2</v>
      </c>
    </row>
    <row r="122" spans="1:7" x14ac:dyDescent="0.35">
      <c r="A122" s="14" t="s">
        <v>149</v>
      </c>
      <c r="B122" s="42"/>
      <c r="C122" s="42"/>
      <c r="D122" s="18"/>
      <c r="E122" s="16">
        <v>40.58</v>
      </c>
      <c r="F122" s="17">
        <v>1E-4</v>
      </c>
      <c r="G122" s="21"/>
    </row>
    <row r="123" spans="1:7" x14ac:dyDescent="0.35">
      <c r="A123" s="22" t="s">
        <v>160</v>
      </c>
      <c r="B123" s="43"/>
      <c r="C123" s="43"/>
      <c r="D123" s="23"/>
      <c r="E123" s="36">
        <f>E122+E115</f>
        <v>308939.43</v>
      </c>
      <c r="F123" s="37">
        <f>F122+F115</f>
        <v>0.98770000000000002</v>
      </c>
      <c r="G123" s="21"/>
    </row>
    <row r="124" spans="1:7" x14ac:dyDescent="0.35">
      <c r="A124" s="13"/>
      <c r="B124" s="41"/>
      <c r="C124" s="41"/>
      <c r="D124" s="15"/>
      <c r="E124" s="16"/>
      <c r="F124" s="17"/>
      <c r="G124" s="17"/>
    </row>
    <row r="125" spans="1:7" x14ac:dyDescent="0.35">
      <c r="A125" s="13"/>
      <c r="B125" s="41"/>
      <c r="C125" s="41"/>
      <c r="D125" s="15"/>
      <c r="E125" s="16"/>
      <c r="F125" s="17"/>
      <c r="G125" s="17"/>
    </row>
    <row r="126" spans="1:7" x14ac:dyDescent="0.35">
      <c r="A126" s="14" t="s">
        <v>255</v>
      </c>
      <c r="B126" s="41"/>
      <c r="C126" s="41"/>
      <c r="D126" s="15"/>
      <c r="E126" s="16"/>
      <c r="F126" s="17"/>
      <c r="G126" s="17"/>
    </row>
    <row r="127" spans="1:7" x14ac:dyDescent="0.35">
      <c r="A127" s="13" t="s">
        <v>257</v>
      </c>
      <c r="B127" s="41"/>
      <c r="C127" s="41"/>
      <c r="D127" s="15"/>
      <c r="E127" s="16">
        <v>4916.91</v>
      </c>
      <c r="F127" s="17">
        <v>1.5699999999999999E-2</v>
      </c>
      <c r="G127" s="17">
        <v>5.1742000000000003E-2</v>
      </c>
    </row>
    <row r="128" spans="1:7" x14ac:dyDescent="0.35">
      <c r="A128" s="14" t="s">
        <v>149</v>
      </c>
      <c r="B128" s="42"/>
      <c r="C128" s="42"/>
      <c r="D128" s="18"/>
      <c r="E128" s="19">
        <v>4916.91</v>
      </c>
      <c r="F128" s="20">
        <v>1.5699999999999999E-2</v>
      </c>
      <c r="G128" s="21"/>
    </row>
    <row r="129" spans="1:7" x14ac:dyDescent="0.35">
      <c r="A129" s="13"/>
      <c r="B129" s="41"/>
      <c r="C129" s="41"/>
      <c r="D129" s="15"/>
      <c r="E129" s="16"/>
      <c r="F129" s="17"/>
      <c r="G129" s="17"/>
    </row>
    <row r="130" spans="1:7" x14ac:dyDescent="0.35">
      <c r="A130" s="22" t="s">
        <v>160</v>
      </c>
      <c r="B130" s="43"/>
      <c r="C130" s="43"/>
      <c r="D130" s="23"/>
      <c r="E130" s="36">
        <v>4916.91</v>
      </c>
      <c r="F130" s="37">
        <v>1.5699999999999999E-2</v>
      </c>
      <c r="G130" s="21"/>
    </row>
    <row r="131" spans="1:7" x14ac:dyDescent="0.35">
      <c r="A131" s="13" t="s">
        <v>258</v>
      </c>
      <c r="B131" s="41"/>
      <c r="C131" s="41"/>
      <c r="D131" s="15"/>
      <c r="E131" s="16">
        <v>1.3940313</v>
      </c>
      <c r="F131" s="17">
        <v>3.9999999999999998E-6</v>
      </c>
      <c r="G131" s="17"/>
    </row>
    <row r="132" spans="1:7" x14ac:dyDescent="0.35">
      <c r="A132" s="13" t="s">
        <v>259</v>
      </c>
      <c r="B132" s="41"/>
      <c r="C132" s="41"/>
      <c r="D132" s="15"/>
      <c r="E132" s="28">
        <v>-1117.9440313</v>
      </c>
      <c r="F132" s="29">
        <v>-3.4039999999999999E-3</v>
      </c>
      <c r="G132" s="17">
        <v>5.1741000000000002E-2</v>
      </c>
    </row>
    <row r="133" spans="1:7" x14ac:dyDescent="0.35">
      <c r="A133" s="38" t="s">
        <v>260</v>
      </c>
      <c r="B133" s="44"/>
      <c r="C133" s="44"/>
      <c r="D133" s="39"/>
      <c r="E133" s="24">
        <v>312739.78999999998</v>
      </c>
      <c r="F133" s="25">
        <v>1</v>
      </c>
      <c r="G133" s="25"/>
    </row>
    <row r="138" spans="1:7" x14ac:dyDescent="0.35">
      <c r="A138" s="1" t="s">
        <v>263</v>
      </c>
    </row>
    <row r="139" spans="1:7" x14ac:dyDescent="0.35">
      <c r="A139" s="47" t="s">
        <v>264</v>
      </c>
      <c r="B139" s="3" t="s">
        <v>146</v>
      </c>
    </row>
    <row r="140" spans="1:7" x14ac:dyDescent="0.35">
      <c r="A140" t="s">
        <v>265</v>
      </c>
    </row>
    <row r="141" spans="1:7" x14ac:dyDescent="0.35">
      <c r="A141" t="s">
        <v>266</v>
      </c>
      <c r="B141" t="s">
        <v>267</v>
      </c>
      <c r="C141" t="s">
        <v>267</v>
      </c>
    </row>
    <row r="142" spans="1:7" x14ac:dyDescent="0.35">
      <c r="B142" s="49">
        <v>46022</v>
      </c>
      <c r="C142" s="49">
        <v>46052</v>
      </c>
    </row>
    <row r="143" spans="1:7" x14ac:dyDescent="0.35">
      <c r="A143" t="s">
        <v>752</v>
      </c>
      <c r="B143">
        <v>15.907</v>
      </c>
      <c r="C143">
        <v>15.6408</v>
      </c>
    </row>
    <row r="144" spans="1:7" x14ac:dyDescent="0.35">
      <c r="A144" t="s">
        <v>273</v>
      </c>
      <c r="B144">
        <v>15.907</v>
      </c>
      <c r="C144">
        <v>15.6408</v>
      </c>
    </row>
    <row r="145" spans="1:4" x14ac:dyDescent="0.35">
      <c r="A145" t="s">
        <v>753</v>
      </c>
      <c r="B145">
        <v>15.367000000000001</v>
      </c>
      <c r="C145">
        <v>15.0914</v>
      </c>
    </row>
    <row r="146" spans="1:4" x14ac:dyDescent="0.35">
      <c r="A146" t="s">
        <v>709</v>
      </c>
      <c r="B146">
        <v>15.367000000000001</v>
      </c>
      <c r="C146">
        <v>15.0914</v>
      </c>
    </row>
    <row r="148" spans="1:4" x14ac:dyDescent="0.35">
      <c r="A148" t="s">
        <v>283</v>
      </c>
      <c r="B148" s="3" t="s">
        <v>146</v>
      </c>
    </row>
    <row r="149" spans="1:4" x14ac:dyDescent="0.35">
      <c r="A149" t="s">
        <v>284</v>
      </c>
      <c r="B149" s="3" t="s">
        <v>146</v>
      </c>
    </row>
    <row r="150" spans="1:4" ht="29" customHeight="1" x14ac:dyDescent="0.35">
      <c r="A150" s="47" t="s">
        <v>285</v>
      </c>
      <c r="B150" s="3" t="s">
        <v>146</v>
      </c>
    </row>
    <row r="151" spans="1:4" ht="29" customHeight="1" x14ac:dyDescent="0.35">
      <c r="A151" s="47" t="s">
        <v>286</v>
      </c>
      <c r="B151" s="3" t="s">
        <v>146</v>
      </c>
    </row>
    <row r="152" spans="1:4" x14ac:dyDescent="0.35">
      <c r="A152" t="s">
        <v>1253</v>
      </c>
      <c r="B152" s="48">
        <v>0.39900000000000002</v>
      </c>
    </row>
    <row r="153" spans="1:4" ht="43.5" customHeight="1" x14ac:dyDescent="0.35">
      <c r="A153" s="47" t="s">
        <v>288</v>
      </c>
      <c r="B153" s="3" t="s">
        <v>146</v>
      </c>
    </row>
    <row r="154" spans="1:4" x14ac:dyDescent="0.35">
      <c r="B154" s="3"/>
    </row>
    <row r="155" spans="1:4" ht="29" customHeight="1" x14ac:dyDescent="0.35">
      <c r="A155" s="47" t="s">
        <v>289</v>
      </c>
      <c r="B155" s="3" t="s">
        <v>146</v>
      </c>
    </row>
    <row r="156" spans="1:4" ht="29" customHeight="1" x14ac:dyDescent="0.35">
      <c r="A156" s="47" t="s">
        <v>290</v>
      </c>
      <c r="B156" t="s">
        <v>146</v>
      </c>
    </row>
    <row r="157" spans="1:4" ht="29" customHeight="1" x14ac:dyDescent="0.35">
      <c r="A157" s="47" t="s">
        <v>291</v>
      </c>
      <c r="B157" s="3" t="s">
        <v>146</v>
      </c>
    </row>
    <row r="158" spans="1:4" ht="29" customHeight="1" x14ac:dyDescent="0.35">
      <c r="A158" s="47" t="s">
        <v>292</v>
      </c>
      <c r="B158" s="3" t="s">
        <v>146</v>
      </c>
    </row>
    <row r="160" spans="1:4" ht="70" customHeight="1" x14ac:dyDescent="0.35">
      <c r="A160" s="70" t="s">
        <v>303</v>
      </c>
      <c r="B160" s="70" t="s">
        <v>304</v>
      </c>
      <c r="C160" s="70" t="s">
        <v>4</v>
      </c>
      <c r="D160" s="70" t="s">
        <v>5</v>
      </c>
    </row>
    <row r="161" spans="1:4" ht="70" customHeight="1" x14ac:dyDescent="0.35">
      <c r="A161" s="70" t="s">
        <v>2400</v>
      </c>
      <c r="B161" s="70"/>
      <c r="C161" s="70" t="s">
        <v>2401</v>
      </c>
      <c r="D161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G90"/>
  <sheetViews>
    <sheetView showGridLines="0" workbookViewId="0">
      <pane ySplit="4" topLeftCell="A50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5.542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2402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2403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1289</v>
      </c>
      <c r="B8" s="41" t="s">
        <v>1290</v>
      </c>
      <c r="C8" s="41" t="s">
        <v>1285</v>
      </c>
      <c r="D8" s="15">
        <v>39415</v>
      </c>
      <c r="E8" s="16">
        <v>176.97</v>
      </c>
      <c r="F8" s="17">
        <v>5.6899999999999999E-2</v>
      </c>
      <c r="G8" s="17"/>
    </row>
    <row r="9" spans="1:7" x14ac:dyDescent="0.35">
      <c r="A9" s="13" t="s">
        <v>1376</v>
      </c>
      <c r="B9" s="41" t="s">
        <v>1377</v>
      </c>
      <c r="C9" s="41" t="s">
        <v>1280</v>
      </c>
      <c r="D9" s="15">
        <v>5929</v>
      </c>
      <c r="E9" s="16">
        <v>165.83</v>
      </c>
      <c r="F9" s="17">
        <v>5.33E-2</v>
      </c>
      <c r="G9" s="17"/>
    </row>
    <row r="10" spans="1:7" x14ac:dyDescent="0.35">
      <c r="A10" s="13" t="s">
        <v>1278</v>
      </c>
      <c r="B10" s="41" t="s">
        <v>1279</v>
      </c>
      <c r="C10" s="41" t="s">
        <v>1280</v>
      </c>
      <c r="D10" s="15">
        <v>6553</v>
      </c>
      <c r="E10" s="16">
        <v>165.66</v>
      </c>
      <c r="F10" s="17">
        <v>5.3199999999999997E-2</v>
      </c>
      <c r="G10" s="17"/>
    </row>
    <row r="11" spans="1:7" x14ac:dyDescent="0.35">
      <c r="A11" s="13" t="s">
        <v>1189</v>
      </c>
      <c r="B11" s="41" t="s">
        <v>1190</v>
      </c>
      <c r="C11" s="41" t="s">
        <v>1191</v>
      </c>
      <c r="D11" s="15">
        <v>12341</v>
      </c>
      <c r="E11" s="16">
        <v>164.43</v>
      </c>
      <c r="F11" s="17">
        <v>5.28E-2</v>
      </c>
      <c r="G11" s="17"/>
    </row>
    <row r="12" spans="1:7" x14ac:dyDescent="0.35">
      <c r="A12" s="13" t="s">
        <v>1512</v>
      </c>
      <c r="B12" s="41" t="s">
        <v>1513</v>
      </c>
      <c r="C12" s="41" t="s">
        <v>1188</v>
      </c>
      <c r="D12" s="15">
        <v>2786</v>
      </c>
      <c r="E12" s="16">
        <v>154.18</v>
      </c>
      <c r="F12" s="17">
        <v>4.9500000000000002E-2</v>
      </c>
      <c r="G12" s="17"/>
    </row>
    <row r="13" spans="1:7" x14ac:dyDescent="0.35">
      <c r="A13" s="13" t="s">
        <v>1194</v>
      </c>
      <c r="B13" s="41" t="s">
        <v>1195</v>
      </c>
      <c r="C13" s="41" t="s">
        <v>1188</v>
      </c>
      <c r="D13" s="15">
        <v>2144</v>
      </c>
      <c r="E13" s="16">
        <v>152.71</v>
      </c>
      <c r="F13" s="17">
        <v>4.9099999999999998E-2</v>
      </c>
      <c r="G13" s="17"/>
    </row>
    <row r="14" spans="1:7" x14ac:dyDescent="0.35">
      <c r="A14" s="13" t="s">
        <v>1209</v>
      </c>
      <c r="B14" s="41" t="s">
        <v>1210</v>
      </c>
      <c r="C14" s="41" t="s">
        <v>1211</v>
      </c>
      <c r="D14" s="15">
        <v>15705</v>
      </c>
      <c r="E14" s="16">
        <v>146.03</v>
      </c>
      <c r="F14" s="17">
        <v>4.6899999999999997E-2</v>
      </c>
      <c r="G14" s="17"/>
    </row>
    <row r="15" spans="1:7" x14ac:dyDescent="0.35">
      <c r="A15" s="13" t="s">
        <v>1217</v>
      </c>
      <c r="B15" s="41" t="s">
        <v>1218</v>
      </c>
      <c r="C15" s="41" t="s">
        <v>1201</v>
      </c>
      <c r="D15" s="15">
        <v>5717</v>
      </c>
      <c r="E15" s="16">
        <v>138.83000000000001</v>
      </c>
      <c r="F15" s="17">
        <v>4.4600000000000001E-2</v>
      </c>
      <c r="G15" s="17"/>
    </row>
    <row r="16" spans="1:7" x14ac:dyDescent="0.35">
      <c r="A16" s="13" t="s">
        <v>1186</v>
      </c>
      <c r="B16" s="41" t="s">
        <v>1187</v>
      </c>
      <c r="C16" s="41" t="s">
        <v>1188</v>
      </c>
      <c r="D16" s="15">
        <v>946</v>
      </c>
      <c r="E16" s="16">
        <v>138.11000000000001</v>
      </c>
      <c r="F16" s="17">
        <v>4.4400000000000002E-2</v>
      </c>
      <c r="G16" s="17"/>
    </row>
    <row r="17" spans="1:7" x14ac:dyDescent="0.35">
      <c r="A17" s="13" t="s">
        <v>1192</v>
      </c>
      <c r="B17" s="41" t="s">
        <v>1193</v>
      </c>
      <c r="C17" s="41" t="s">
        <v>1191</v>
      </c>
      <c r="D17" s="15">
        <v>2244</v>
      </c>
      <c r="E17" s="16">
        <v>131.51</v>
      </c>
      <c r="F17" s="17">
        <v>4.2299999999999997E-2</v>
      </c>
      <c r="G17" s="17"/>
    </row>
    <row r="18" spans="1:7" x14ac:dyDescent="0.35">
      <c r="A18" s="13" t="s">
        <v>1553</v>
      </c>
      <c r="B18" s="41" t="s">
        <v>1554</v>
      </c>
      <c r="C18" s="41" t="s">
        <v>1211</v>
      </c>
      <c r="D18" s="15">
        <v>3239</v>
      </c>
      <c r="E18" s="16">
        <v>124.04</v>
      </c>
      <c r="F18" s="17">
        <v>3.9899999999999998E-2</v>
      </c>
      <c r="G18" s="17"/>
    </row>
    <row r="19" spans="1:7" x14ac:dyDescent="0.35">
      <c r="A19" s="13" t="s">
        <v>2013</v>
      </c>
      <c r="B19" s="41" t="s">
        <v>2014</v>
      </c>
      <c r="C19" s="41" t="s">
        <v>1288</v>
      </c>
      <c r="D19" s="15">
        <v>2919</v>
      </c>
      <c r="E19" s="16">
        <v>120.04</v>
      </c>
      <c r="F19" s="17">
        <v>3.8600000000000002E-2</v>
      </c>
      <c r="G19" s="17"/>
    </row>
    <row r="20" spans="1:7" x14ac:dyDescent="0.35">
      <c r="A20" s="13" t="s">
        <v>1919</v>
      </c>
      <c r="B20" s="41" t="s">
        <v>1920</v>
      </c>
      <c r="C20" s="41" t="s">
        <v>1178</v>
      </c>
      <c r="D20" s="15">
        <v>73714</v>
      </c>
      <c r="E20" s="16">
        <v>108.67</v>
      </c>
      <c r="F20" s="17">
        <v>3.49E-2</v>
      </c>
      <c r="G20" s="17"/>
    </row>
    <row r="21" spans="1:7" x14ac:dyDescent="0.35">
      <c r="A21" s="13" t="s">
        <v>1441</v>
      </c>
      <c r="B21" s="41" t="s">
        <v>1442</v>
      </c>
      <c r="C21" s="41" t="s">
        <v>1280</v>
      </c>
      <c r="D21" s="15">
        <v>3845</v>
      </c>
      <c r="E21" s="16">
        <v>96.73</v>
      </c>
      <c r="F21" s="17">
        <v>3.1099999999999999E-2</v>
      </c>
      <c r="G21" s="17"/>
    </row>
    <row r="22" spans="1:7" x14ac:dyDescent="0.35">
      <c r="A22" s="13" t="s">
        <v>1547</v>
      </c>
      <c r="B22" s="41" t="s">
        <v>1548</v>
      </c>
      <c r="C22" s="41" t="s">
        <v>1369</v>
      </c>
      <c r="D22" s="15">
        <v>1541</v>
      </c>
      <c r="E22" s="16">
        <v>93</v>
      </c>
      <c r="F22" s="17">
        <v>2.9899999999999999E-2</v>
      </c>
      <c r="G22" s="17"/>
    </row>
    <row r="23" spans="1:7" x14ac:dyDescent="0.35">
      <c r="A23" s="13" t="s">
        <v>1533</v>
      </c>
      <c r="B23" s="41" t="s">
        <v>1534</v>
      </c>
      <c r="C23" s="41" t="s">
        <v>1369</v>
      </c>
      <c r="D23" s="15">
        <v>1360</v>
      </c>
      <c r="E23" s="16">
        <v>81.25</v>
      </c>
      <c r="F23" s="17">
        <v>2.6100000000000002E-2</v>
      </c>
      <c r="G23" s="17"/>
    </row>
    <row r="24" spans="1:7" x14ac:dyDescent="0.35">
      <c r="A24" s="13" t="s">
        <v>1798</v>
      </c>
      <c r="B24" s="41" t="s">
        <v>1799</v>
      </c>
      <c r="C24" s="41" t="s">
        <v>1333</v>
      </c>
      <c r="D24" s="15">
        <v>2433</v>
      </c>
      <c r="E24" s="16">
        <v>78.59</v>
      </c>
      <c r="F24" s="17">
        <v>2.53E-2</v>
      </c>
      <c r="G24" s="17"/>
    </row>
    <row r="25" spans="1:7" x14ac:dyDescent="0.35">
      <c r="A25" s="13" t="s">
        <v>1925</v>
      </c>
      <c r="B25" s="41" t="s">
        <v>1926</v>
      </c>
      <c r="C25" s="41" t="s">
        <v>1419</v>
      </c>
      <c r="D25" s="15">
        <v>17016</v>
      </c>
      <c r="E25" s="16">
        <v>65.59</v>
      </c>
      <c r="F25" s="17">
        <v>2.1100000000000001E-2</v>
      </c>
      <c r="G25" s="17"/>
    </row>
    <row r="26" spans="1:7" x14ac:dyDescent="0.35">
      <c r="A26" s="13" t="s">
        <v>1484</v>
      </c>
      <c r="B26" s="41" t="s">
        <v>1485</v>
      </c>
      <c r="C26" s="41" t="s">
        <v>1201</v>
      </c>
      <c r="D26" s="15">
        <v>627</v>
      </c>
      <c r="E26" s="16">
        <v>65.5</v>
      </c>
      <c r="F26" s="17">
        <v>2.1000000000000001E-2</v>
      </c>
      <c r="G26" s="17"/>
    </row>
    <row r="27" spans="1:7" x14ac:dyDescent="0.35">
      <c r="A27" s="13" t="s">
        <v>1241</v>
      </c>
      <c r="B27" s="41" t="s">
        <v>1242</v>
      </c>
      <c r="C27" s="41" t="s">
        <v>1216</v>
      </c>
      <c r="D27" s="15">
        <v>8456</v>
      </c>
      <c r="E27" s="16">
        <v>61.71</v>
      </c>
      <c r="F27" s="17">
        <v>1.9800000000000002E-2</v>
      </c>
      <c r="G27" s="17"/>
    </row>
    <row r="28" spans="1:7" x14ac:dyDescent="0.35">
      <c r="A28" s="13" t="s">
        <v>2404</v>
      </c>
      <c r="B28" s="41" t="s">
        <v>2405</v>
      </c>
      <c r="C28" s="41" t="s">
        <v>1419</v>
      </c>
      <c r="D28" s="15">
        <v>6353</v>
      </c>
      <c r="E28" s="16">
        <v>43.58</v>
      </c>
      <c r="F28" s="17">
        <v>1.4E-2</v>
      </c>
      <c r="G28" s="17"/>
    </row>
    <row r="29" spans="1:7" x14ac:dyDescent="0.35">
      <c r="A29" s="13" t="s">
        <v>1541</v>
      </c>
      <c r="B29" s="41" t="s">
        <v>1542</v>
      </c>
      <c r="C29" s="41" t="s">
        <v>1280</v>
      </c>
      <c r="D29" s="15">
        <v>3194</v>
      </c>
      <c r="E29" s="16">
        <v>42.17</v>
      </c>
      <c r="F29" s="17">
        <v>1.35E-2</v>
      </c>
      <c r="G29" s="17"/>
    </row>
    <row r="30" spans="1:7" x14ac:dyDescent="0.35">
      <c r="A30" s="13" t="s">
        <v>1896</v>
      </c>
      <c r="B30" s="41" t="s">
        <v>1897</v>
      </c>
      <c r="C30" s="41" t="s">
        <v>1280</v>
      </c>
      <c r="D30" s="15">
        <v>1447</v>
      </c>
      <c r="E30" s="16">
        <v>41.75</v>
      </c>
      <c r="F30" s="17">
        <v>1.34E-2</v>
      </c>
      <c r="G30" s="17"/>
    </row>
    <row r="31" spans="1:7" x14ac:dyDescent="0.35">
      <c r="A31" s="13" t="s">
        <v>1338</v>
      </c>
      <c r="B31" s="41" t="s">
        <v>1339</v>
      </c>
      <c r="C31" s="41" t="s">
        <v>1221</v>
      </c>
      <c r="D31" s="15">
        <v>297</v>
      </c>
      <c r="E31" s="16">
        <v>40.04</v>
      </c>
      <c r="F31" s="17">
        <v>1.29E-2</v>
      </c>
      <c r="G31" s="17"/>
    </row>
    <row r="32" spans="1:7" x14ac:dyDescent="0.35">
      <c r="A32" s="13" t="s">
        <v>1826</v>
      </c>
      <c r="B32" s="41" t="s">
        <v>1827</v>
      </c>
      <c r="C32" s="41" t="s">
        <v>1280</v>
      </c>
      <c r="D32" s="15">
        <v>3485</v>
      </c>
      <c r="E32" s="16">
        <v>39.53</v>
      </c>
      <c r="F32" s="17">
        <v>1.2699999999999999E-2</v>
      </c>
      <c r="G32" s="17"/>
    </row>
    <row r="33" spans="1:7" x14ac:dyDescent="0.35">
      <c r="A33" s="13" t="s">
        <v>1921</v>
      </c>
      <c r="B33" s="41" t="s">
        <v>1922</v>
      </c>
      <c r="C33" s="41" t="s">
        <v>1350</v>
      </c>
      <c r="D33" s="15">
        <v>1721</v>
      </c>
      <c r="E33" s="16">
        <v>39.28</v>
      </c>
      <c r="F33" s="17">
        <v>1.26E-2</v>
      </c>
      <c r="G33" s="17"/>
    </row>
    <row r="34" spans="1:7" x14ac:dyDescent="0.35">
      <c r="A34" s="13" t="s">
        <v>1388</v>
      </c>
      <c r="B34" s="41" t="s">
        <v>1389</v>
      </c>
      <c r="C34" s="41" t="s">
        <v>1211</v>
      </c>
      <c r="D34" s="15">
        <v>12783</v>
      </c>
      <c r="E34" s="16">
        <v>36.39</v>
      </c>
      <c r="F34" s="17">
        <v>1.17E-2</v>
      </c>
      <c r="G34" s="17"/>
    </row>
    <row r="35" spans="1:7" x14ac:dyDescent="0.35">
      <c r="A35" s="13" t="s">
        <v>1535</v>
      </c>
      <c r="B35" s="41" t="s">
        <v>1536</v>
      </c>
      <c r="C35" s="41" t="s">
        <v>1280</v>
      </c>
      <c r="D35" s="15">
        <v>4664</v>
      </c>
      <c r="E35" s="16">
        <v>32.42</v>
      </c>
      <c r="F35" s="17">
        <v>1.04E-2</v>
      </c>
      <c r="G35" s="17"/>
    </row>
    <row r="36" spans="1:7" x14ac:dyDescent="0.35">
      <c r="A36" s="13" t="s">
        <v>2406</v>
      </c>
      <c r="B36" s="41" t="s">
        <v>2407</v>
      </c>
      <c r="C36" s="41" t="s">
        <v>1188</v>
      </c>
      <c r="D36" s="15">
        <v>152</v>
      </c>
      <c r="E36" s="16">
        <v>29.18</v>
      </c>
      <c r="F36" s="17">
        <v>9.4000000000000004E-3</v>
      </c>
      <c r="G36" s="17"/>
    </row>
    <row r="37" spans="1:7" x14ac:dyDescent="0.35">
      <c r="A37" s="13" t="s">
        <v>1888</v>
      </c>
      <c r="B37" s="41" t="s">
        <v>1889</v>
      </c>
      <c r="C37" s="41" t="s">
        <v>1280</v>
      </c>
      <c r="D37" s="15">
        <v>3183</v>
      </c>
      <c r="E37" s="16">
        <v>27.95</v>
      </c>
      <c r="F37" s="17">
        <v>8.9999999999999993E-3</v>
      </c>
      <c r="G37" s="17"/>
    </row>
    <row r="38" spans="1:7" x14ac:dyDescent="0.35">
      <c r="A38" s="13" t="s">
        <v>1989</v>
      </c>
      <c r="B38" s="41" t="s">
        <v>1990</v>
      </c>
      <c r="C38" s="41" t="s">
        <v>1382</v>
      </c>
      <c r="D38" s="15">
        <v>55471</v>
      </c>
      <c r="E38" s="16">
        <v>23.94</v>
      </c>
      <c r="F38" s="17">
        <v>7.7000000000000002E-3</v>
      </c>
      <c r="G38" s="17"/>
    </row>
    <row r="39" spans="1:7" x14ac:dyDescent="0.35">
      <c r="A39" s="13" t="s">
        <v>1890</v>
      </c>
      <c r="B39" s="41" t="s">
        <v>1891</v>
      </c>
      <c r="C39" s="41" t="s">
        <v>1280</v>
      </c>
      <c r="D39" s="15">
        <v>939</v>
      </c>
      <c r="E39" s="16">
        <v>23.86</v>
      </c>
      <c r="F39" s="17">
        <v>7.7000000000000002E-3</v>
      </c>
      <c r="G39" s="17"/>
    </row>
    <row r="40" spans="1:7" x14ac:dyDescent="0.35">
      <c r="A40" s="13" t="s">
        <v>2408</v>
      </c>
      <c r="B40" s="41" t="s">
        <v>2409</v>
      </c>
      <c r="C40" s="41" t="s">
        <v>1229</v>
      </c>
      <c r="D40" s="15">
        <v>1333</v>
      </c>
      <c r="E40" s="16">
        <v>23.57</v>
      </c>
      <c r="F40" s="17">
        <v>7.6E-3</v>
      </c>
      <c r="G40" s="17"/>
    </row>
    <row r="41" spans="1:7" x14ac:dyDescent="0.35">
      <c r="A41" s="13" t="s">
        <v>2410</v>
      </c>
      <c r="B41" s="41" t="s">
        <v>2411</v>
      </c>
      <c r="C41" s="41" t="s">
        <v>1838</v>
      </c>
      <c r="D41" s="15">
        <v>453</v>
      </c>
      <c r="E41" s="16">
        <v>21.07</v>
      </c>
      <c r="F41" s="17">
        <v>6.7999999999999996E-3</v>
      </c>
      <c r="G41" s="17"/>
    </row>
    <row r="42" spans="1:7" x14ac:dyDescent="0.35">
      <c r="A42" s="13" t="s">
        <v>2412</v>
      </c>
      <c r="B42" s="41" t="s">
        <v>2413</v>
      </c>
      <c r="C42" s="41" t="s">
        <v>1288</v>
      </c>
      <c r="D42" s="15">
        <v>2450</v>
      </c>
      <c r="E42" s="16">
        <v>19.2</v>
      </c>
      <c r="F42" s="17">
        <v>6.1999999999999998E-3</v>
      </c>
      <c r="G42" s="17"/>
    </row>
    <row r="43" spans="1:7" x14ac:dyDescent="0.35">
      <c r="A43" s="13" t="s">
        <v>2106</v>
      </c>
      <c r="B43" s="41" t="s">
        <v>2107</v>
      </c>
      <c r="C43" s="41" t="s">
        <v>1229</v>
      </c>
      <c r="D43" s="15">
        <v>1353</v>
      </c>
      <c r="E43" s="16">
        <v>19.07</v>
      </c>
      <c r="F43" s="17">
        <v>6.1000000000000004E-3</v>
      </c>
      <c r="G43" s="17"/>
    </row>
    <row r="44" spans="1:7" x14ac:dyDescent="0.35">
      <c r="A44" s="13" t="s">
        <v>1898</v>
      </c>
      <c r="B44" s="41" t="s">
        <v>1899</v>
      </c>
      <c r="C44" s="41" t="s">
        <v>1280</v>
      </c>
      <c r="D44" s="15">
        <v>2217</v>
      </c>
      <c r="E44" s="16">
        <v>16.71</v>
      </c>
      <c r="F44" s="17">
        <v>5.4000000000000003E-3</v>
      </c>
      <c r="G44" s="17"/>
    </row>
    <row r="45" spans="1:7" x14ac:dyDescent="0.35">
      <c r="A45" s="13" t="s">
        <v>2414</v>
      </c>
      <c r="B45" s="41" t="s">
        <v>2415</v>
      </c>
      <c r="C45" s="41" t="s">
        <v>1285</v>
      </c>
      <c r="D45" s="15">
        <v>574</v>
      </c>
      <c r="E45" s="16">
        <v>15.87</v>
      </c>
      <c r="F45" s="17">
        <v>5.1000000000000004E-3</v>
      </c>
      <c r="G45" s="17"/>
    </row>
    <row r="46" spans="1:7" x14ac:dyDescent="0.35">
      <c r="A46" s="13" t="s">
        <v>2416</v>
      </c>
      <c r="B46" s="41" t="s">
        <v>2417</v>
      </c>
      <c r="C46" s="41" t="s">
        <v>1206</v>
      </c>
      <c r="D46" s="15">
        <v>8283</v>
      </c>
      <c r="E46" s="16">
        <v>15.25</v>
      </c>
      <c r="F46" s="17">
        <v>4.8999999999999998E-3</v>
      </c>
      <c r="G46" s="17"/>
    </row>
    <row r="47" spans="1:7" x14ac:dyDescent="0.35">
      <c r="A47" s="13" t="s">
        <v>2418</v>
      </c>
      <c r="B47" s="41" t="s">
        <v>2419</v>
      </c>
      <c r="C47" s="41" t="s">
        <v>1288</v>
      </c>
      <c r="D47" s="15">
        <v>3519</v>
      </c>
      <c r="E47" s="16">
        <v>14.4</v>
      </c>
      <c r="F47" s="17">
        <v>4.5999999999999999E-3</v>
      </c>
      <c r="G47" s="17"/>
    </row>
    <row r="48" spans="1:7" x14ac:dyDescent="0.35">
      <c r="A48" s="13" t="s">
        <v>2073</v>
      </c>
      <c r="B48" s="41" t="s">
        <v>2074</v>
      </c>
      <c r="C48" s="41" t="s">
        <v>1211</v>
      </c>
      <c r="D48" s="15">
        <v>1439</v>
      </c>
      <c r="E48" s="16">
        <v>13.42</v>
      </c>
      <c r="F48" s="17">
        <v>4.3E-3</v>
      </c>
      <c r="G48" s="17"/>
    </row>
    <row r="49" spans="1:7" x14ac:dyDescent="0.35">
      <c r="A49" s="13" t="s">
        <v>2420</v>
      </c>
      <c r="B49" s="41" t="s">
        <v>2421</v>
      </c>
      <c r="C49" s="41" t="s">
        <v>1526</v>
      </c>
      <c r="D49" s="15">
        <v>844</v>
      </c>
      <c r="E49" s="16">
        <v>13.06</v>
      </c>
      <c r="F49" s="17">
        <v>4.1999999999999997E-3</v>
      </c>
      <c r="G49" s="17"/>
    </row>
    <row r="50" spans="1:7" x14ac:dyDescent="0.35">
      <c r="A50" s="13" t="s">
        <v>2422</v>
      </c>
      <c r="B50" s="41" t="s">
        <v>2423</v>
      </c>
      <c r="C50" s="41" t="s">
        <v>1369</v>
      </c>
      <c r="D50" s="15">
        <v>1424</v>
      </c>
      <c r="E50" s="16">
        <v>13.01</v>
      </c>
      <c r="F50" s="17">
        <v>4.1999999999999997E-3</v>
      </c>
      <c r="G50" s="17"/>
    </row>
    <row r="51" spans="1:7" x14ac:dyDescent="0.35">
      <c r="A51" s="13" t="s">
        <v>2424</v>
      </c>
      <c r="B51" s="41" t="s">
        <v>2425</v>
      </c>
      <c r="C51" s="41" t="s">
        <v>1409</v>
      </c>
      <c r="D51" s="15">
        <v>138</v>
      </c>
      <c r="E51" s="16">
        <v>12.14</v>
      </c>
      <c r="F51" s="17">
        <v>3.8999999999999998E-3</v>
      </c>
      <c r="G51" s="17"/>
    </row>
    <row r="52" spans="1:7" x14ac:dyDescent="0.35">
      <c r="A52" s="13" t="s">
        <v>2307</v>
      </c>
      <c r="B52" s="41" t="s">
        <v>2308</v>
      </c>
      <c r="C52" s="41" t="s">
        <v>2309</v>
      </c>
      <c r="D52" s="15">
        <v>589</v>
      </c>
      <c r="E52" s="16">
        <v>11.99</v>
      </c>
      <c r="F52" s="17">
        <v>3.8999999999999998E-3</v>
      </c>
      <c r="G52" s="17"/>
    </row>
    <row r="53" spans="1:7" x14ac:dyDescent="0.35">
      <c r="A53" s="13" t="s">
        <v>2426</v>
      </c>
      <c r="B53" s="41" t="s">
        <v>2427</v>
      </c>
      <c r="C53" s="41" t="s">
        <v>1234</v>
      </c>
      <c r="D53" s="15">
        <v>137</v>
      </c>
      <c r="E53" s="16">
        <v>11.71</v>
      </c>
      <c r="F53" s="17">
        <v>3.8E-3</v>
      </c>
      <c r="G53" s="17"/>
    </row>
    <row r="54" spans="1:7" x14ac:dyDescent="0.35">
      <c r="A54" s="13" t="s">
        <v>2428</v>
      </c>
      <c r="B54" s="41" t="s">
        <v>2429</v>
      </c>
      <c r="C54" s="41" t="s">
        <v>1288</v>
      </c>
      <c r="D54" s="15">
        <v>4572</v>
      </c>
      <c r="E54" s="16">
        <v>11.36</v>
      </c>
      <c r="F54" s="17">
        <v>3.7000000000000002E-3</v>
      </c>
      <c r="G54" s="17"/>
    </row>
    <row r="55" spans="1:7" x14ac:dyDescent="0.35">
      <c r="A55" s="13" t="s">
        <v>1958</v>
      </c>
      <c r="B55" s="41" t="s">
        <v>1959</v>
      </c>
      <c r="C55" s="41" t="s">
        <v>1266</v>
      </c>
      <c r="D55" s="15">
        <v>502</v>
      </c>
      <c r="E55" s="16">
        <v>11.05</v>
      </c>
      <c r="F55" s="17">
        <v>3.5999999999999999E-3</v>
      </c>
      <c r="G55" s="17"/>
    </row>
    <row r="56" spans="1:7" x14ac:dyDescent="0.35">
      <c r="A56" s="13" t="s">
        <v>2430</v>
      </c>
      <c r="B56" s="41" t="s">
        <v>2431</v>
      </c>
      <c r="C56" s="41" t="s">
        <v>1272</v>
      </c>
      <c r="D56" s="15">
        <v>1817</v>
      </c>
      <c r="E56" s="16">
        <v>10.5</v>
      </c>
      <c r="F56" s="17">
        <v>3.3999999999999998E-3</v>
      </c>
      <c r="G56" s="17"/>
    </row>
    <row r="57" spans="1:7" x14ac:dyDescent="0.35">
      <c r="A57" s="13" t="s">
        <v>2432</v>
      </c>
      <c r="B57" s="41" t="s">
        <v>2433</v>
      </c>
      <c r="C57" s="41" t="s">
        <v>1355</v>
      </c>
      <c r="D57" s="15">
        <v>757</v>
      </c>
      <c r="E57" s="16">
        <v>7.97</v>
      </c>
      <c r="F57" s="17">
        <v>2.5999999999999999E-3</v>
      </c>
      <c r="G57" s="17"/>
    </row>
    <row r="58" spans="1:7" x14ac:dyDescent="0.35">
      <c r="A58" s="14" t="s">
        <v>149</v>
      </c>
      <c r="B58" s="42"/>
      <c r="C58" s="42"/>
      <c r="D58" s="18"/>
      <c r="E58" s="19">
        <v>3110.82</v>
      </c>
      <c r="F58" s="20">
        <v>1</v>
      </c>
      <c r="G58" s="21"/>
    </row>
    <row r="59" spans="1:7" x14ac:dyDescent="0.35">
      <c r="A59" s="14" t="s">
        <v>1914</v>
      </c>
      <c r="B59" s="41"/>
      <c r="C59" s="41"/>
      <c r="D59" s="15"/>
      <c r="E59" s="16"/>
      <c r="F59" s="17"/>
      <c r="G59" s="17"/>
    </row>
    <row r="60" spans="1:7" x14ac:dyDescent="0.35">
      <c r="A60" s="14" t="s">
        <v>149</v>
      </c>
      <c r="B60" s="41"/>
      <c r="C60" s="41"/>
      <c r="D60" s="15"/>
      <c r="E60" s="34" t="s">
        <v>146</v>
      </c>
      <c r="F60" s="35" t="s">
        <v>146</v>
      </c>
      <c r="G60" s="17"/>
    </row>
    <row r="61" spans="1:7" x14ac:dyDescent="0.35">
      <c r="A61" s="22" t="s">
        <v>160</v>
      </c>
      <c r="B61" s="43"/>
      <c r="C61" s="43"/>
      <c r="D61" s="23"/>
      <c r="E61" s="24">
        <v>3110.82</v>
      </c>
      <c r="F61" s="25">
        <v>1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3" t="s">
        <v>258</v>
      </c>
      <c r="B63" s="41"/>
      <c r="C63" s="41"/>
      <c r="D63" s="15"/>
      <c r="E63" s="16">
        <v>0</v>
      </c>
      <c r="F63" s="17">
        <v>0</v>
      </c>
      <c r="G63" s="17"/>
    </row>
    <row r="64" spans="1:7" x14ac:dyDescent="0.35">
      <c r="A64" s="13" t="s">
        <v>259</v>
      </c>
      <c r="B64" s="41"/>
      <c r="C64" s="41"/>
      <c r="D64" s="15"/>
      <c r="E64" s="16">
        <v>1.49</v>
      </c>
      <c r="F64" s="17">
        <v>0</v>
      </c>
      <c r="G64" s="17"/>
    </row>
    <row r="65" spans="1:7" x14ac:dyDescent="0.35">
      <c r="A65" s="38" t="s">
        <v>260</v>
      </c>
      <c r="B65" s="44"/>
      <c r="C65" s="44"/>
      <c r="D65" s="39"/>
      <c r="E65" s="24">
        <v>3112.31</v>
      </c>
      <c r="F65" s="25">
        <v>1</v>
      </c>
      <c r="G65" s="25"/>
    </row>
    <row r="70" spans="1:7" x14ac:dyDescent="0.35">
      <c r="A70" s="1" t="s">
        <v>263</v>
      </c>
    </row>
    <row r="71" spans="1:7" x14ac:dyDescent="0.35">
      <c r="A71" s="47" t="s">
        <v>264</v>
      </c>
      <c r="B71" s="3" t="s">
        <v>146</v>
      </c>
    </row>
    <row r="72" spans="1:7" x14ac:dyDescent="0.35">
      <c r="A72" t="s">
        <v>265</v>
      </c>
    </row>
    <row r="73" spans="1:7" x14ac:dyDescent="0.35">
      <c r="A73" t="s">
        <v>2434</v>
      </c>
      <c r="B73" t="s">
        <v>267</v>
      </c>
      <c r="C73" t="s">
        <v>267</v>
      </c>
    </row>
    <row r="74" spans="1:7" x14ac:dyDescent="0.35">
      <c r="B74" s="49">
        <v>46022</v>
      </c>
      <c r="C74" s="49">
        <v>46052</v>
      </c>
    </row>
    <row r="75" spans="1:7" x14ac:dyDescent="0.35">
      <c r="A75" t="s">
        <v>753</v>
      </c>
      <c r="B75">
        <v>41.277500000000003</v>
      </c>
      <c r="C75">
        <v>40.591700000000003</v>
      </c>
    </row>
    <row r="77" spans="1:7" x14ac:dyDescent="0.35">
      <c r="A77" t="s">
        <v>283</v>
      </c>
      <c r="B77" s="3" t="s">
        <v>146</v>
      </c>
    </row>
    <row r="78" spans="1:7" x14ac:dyDescent="0.35">
      <c r="A78" t="s">
        <v>284</v>
      </c>
      <c r="B78" s="3" t="s">
        <v>146</v>
      </c>
    </row>
    <row r="79" spans="1:7" ht="29" customHeight="1" x14ac:dyDescent="0.35">
      <c r="A79" s="47" t="s">
        <v>285</v>
      </c>
      <c r="B79" s="3" t="s">
        <v>146</v>
      </c>
    </row>
    <row r="80" spans="1:7" ht="29" customHeight="1" x14ac:dyDescent="0.35">
      <c r="A80" s="47" t="s">
        <v>286</v>
      </c>
      <c r="B80" s="3" t="s">
        <v>146</v>
      </c>
    </row>
    <row r="81" spans="1:4" x14ac:dyDescent="0.35">
      <c r="A81" t="s">
        <v>1253</v>
      </c>
      <c r="B81" s="48">
        <v>1.6926000000000001</v>
      </c>
    </row>
    <row r="82" spans="1:4" ht="43.5" customHeight="1" x14ac:dyDescent="0.35">
      <c r="A82" s="47" t="s">
        <v>288</v>
      </c>
      <c r="B82" s="3" t="s">
        <v>146</v>
      </c>
    </row>
    <row r="83" spans="1:4" x14ac:dyDescent="0.35">
      <c r="B83" s="3"/>
    </row>
    <row r="84" spans="1:4" ht="29" customHeight="1" x14ac:dyDescent="0.35">
      <c r="A84" s="47" t="s">
        <v>289</v>
      </c>
      <c r="B84" s="3" t="s">
        <v>146</v>
      </c>
    </row>
    <row r="85" spans="1:4" ht="29" customHeight="1" x14ac:dyDescent="0.35">
      <c r="A85" s="47" t="s">
        <v>290</v>
      </c>
      <c r="B85" t="s">
        <v>146</v>
      </c>
    </row>
    <row r="86" spans="1:4" ht="29" customHeight="1" x14ac:dyDescent="0.35">
      <c r="A86" s="47" t="s">
        <v>291</v>
      </c>
      <c r="B86" s="3" t="s">
        <v>146</v>
      </c>
    </row>
    <row r="87" spans="1:4" ht="29" customHeight="1" x14ac:dyDescent="0.35">
      <c r="A87" s="47" t="s">
        <v>292</v>
      </c>
      <c r="B87" s="3" t="s">
        <v>146</v>
      </c>
    </row>
    <row r="89" spans="1:4" ht="70" customHeight="1" x14ac:dyDescent="0.35">
      <c r="A89" s="70" t="s">
        <v>303</v>
      </c>
      <c r="B89" s="70" t="s">
        <v>304</v>
      </c>
      <c r="C89" s="70" t="s">
        <v>4</v>
      </c>
      <c r="D89" s="70" t="s">
        <v>5</v>
      </c>
    </row>
    <row r="90" spans="1:4" ht="70" customHeight="1" x14ac:dyDescent="0.35">
      <c r="A90" s="70" t="s">
        <v>2435</v>
      </c>
      <c r="B90" s="70"/>
      <c r="C90" s="70" t="s">
        <v>91</v>
      </c>
      <c r="D90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G99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2436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2437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1289</v>
      </c>
      <c r="B8" s="41" t="s">
        <v>1290</v>
      </c>
      <c r="C8" s="41" t="s">
        <v>1285</v>
      </c>
      <c r="D8" s="15">
        <v>610183</v>
      </c>
      <c r="E8" s="16">
        <v>2739.72</v>
      </c>
      <c r="F8" s="17">
        <v>5.6899999999999999E-2</v>
      </c>
      <c r="G8" s="17"/>
    </row>
    <row r="9" spans="1:7" x14ac:dyDescent="0.35">
      <c r="A9" s="13" t="s">
        <v>1376</v>
      </c>
      <c r="B9" s="41" t="s">
        <v>1377</v>
      </c>
      <c r="C9" s="41" t="s">
        <v>1280</v>
      </c>
      <c r="D9" s="15">
        <v>91765</v>
      </c>
      <c r="E9" s="16">
        <v>2566.67</v>
      </c>
      <c r="F9" s="17">
        <v>5.33E-2</v>
      </c>
      <c r="G9" s="17"/>
    </row>
    <row r="10" spans="1:7" x14ac:dyDescent="0.35">
      <c r="A10" s="13" t="s">
        <v>1278</v>
      </c>
      <c r="B10" s="41" t="s">
        <v>1279</v>
      </c>
      <c r="C10" s="41" t="s">
        <v>1280</v>
      </c>
      <c r="D10" s="15">
        <v>101413</v>
      </c>
      <c r="E10" s="16">
        <v>2563.7199999999998</v>
      </c>
      <c r="F10" s="17">
        <v>5.33E-2</v>
      </c>
      <c r="G10" s="17"/>
    </row>
    <row r="11" spans="1:7" x14ac:dyDescent="0.35">
      <c r="A11" s="13" t="s">
        <v>1189</v>
      </c>
      <c r="B11" s="41" t="s">
        <v>1190</v>
      </c>
      <c r="C11" s="41" t="s">
        <v>1191</v>
      </c>
      <c r="D11" s="15">
        <v>191030</v>
      </c>
      <c r="E11" s="16">
        <v>2545.2800000000002</v>
      </c>
      <c r="F11" s="17">
        <v>5.2900000000000003E-2</v>
      </c>
      <c r="G11" s="17"/>
    </row>
    <row r="12" spans="1:7" x14ac:dyDescent="0.35">
      <c r="A12" s="13" t="s">
        <v>1512</v>
      </c>
      <c r="B12" s="41" t="s">
        <v>1513</v>
      </c>
      <c r="C12" s="41" t="s">
        <v>1188</v>
      </c>
      <c r="D12" s="15">
        <v>43123</v>
      </c>
      <c r="E12" s="16">
        <v>2386.4299999999998</v>
      </c>
      <c r="F12" s="17">
        <v>4.9599999999999998E-2</v>
      </c>
      <c r="G12" s="17"/>
    </row>
    <row r="13" spans="1:7" x14ac:dyDescent="0.35">
      <c r="A13" s="13" t="s">
        <v>1194</v>
      </c>
      <c r="B13" s="41" t="s">
        <v>1195</v>
      </c>
      <c r="C13" s="41" t="s">
        <v>1188</v>
      </c>
      <c r="D13" s="15">
        <v>33192</v>
      </c>
      <c r="E13" s="16">
        <v>2364.1</v>
      </c>
      <c r="F13" s="17">
        <v>4.9099999999999998E-2</v>
      </c>
      <c r="G13" s="17"/>
    </row>
    <row r="14" spans="1:7" x14ac:dyDescent="0.35">
      <c r="A14" s="13" t="s">
        <v>1209</v>
      </c>
      <c r="B14" s="41" t="s">
        <v>1210</v>
      </c>
      <c r="C14" s="41" t="s">
        <v>1211</v>
      </c>
      <c r="D14" s="15">
        <v>243099</v>
      </c>
      <c r="E14" s="16">
        <v>2260.46</v>
      </c>
      <c r="F14" s="17">
        <v>4.7E-2</v>
      </c>
      <c r="G14" s="17"/>
    </row>
    <row r="15" spans="1:7" x14ac:dyDescent="0.35">
      <c r="A15" s="13" t="s">
        <v>1217</v>
      </c>
      <c r="B15" s="41" t="s">
        <v>1218</v>
      </c>
      <c r="C15" s="41" t="s">
        <v>1201</v>
      </c>
      <c r="D15" s="15">
        <v>88530</v>
      </c>
      <c r="E15" s="16">
        <v>2149.77</v>
      </c>
      <c r="F15" s="17">
        <v>4.4699999999999997E-2</v>
      </c>
      <c r="G15" s="17"/>
    </row>
    <row r="16" spans="1:7" x14ac:dyDescent="0.35">
      <c r="A16" s="13" t="s">
        <v>1186</v>
      </c>
      <c r="B16" s="41" t="s">
        <v>1187</v>
      </c>
      <c r="C16" s="41" t="s">
        <v>1188</v>
      </c>
      <c r="D16" s="15">
        <v>14650</v>
      </c>
      <c r="E16" s="16">
        <v>2138.75</v>
      </c>
      <c r="F16" s="17">
        <v>4.4400000000000002E-2</v>
      </c>
      <c r="G16" s="17"/>
    </row>
    <row r="17" spans="1:7" x14ac:dyDescent="0.35">
      <c r="A17" s="13" t="s">
        <v>1192</v>
      </c>
      <c r="B17" s="41" t="s">
        <v>1193</v>
      </c>
      <c r="C17" s="41" t="s">
        <v>1191</v>
      </c>
      <c r="D17" s="15">
        <v>34723</v>
      </c>
      <c r="E17" s="16">
        <v>2034.94</v>
      </c>
      <c r="F17" s="17">
        <v>4.2299999999999997E-2</v>
      </c>
      <c r="G17" s="17"/>
    </row>
    <row r="18" spans="1:7" x14ac:dyDescent="0.35">
      <c r="A18" s="13" t="s">
        <v>1553</v>
      </c>
      <c r="B18" s="41" t="s">
        <v>1554</v>
      </c>
      <c r="C18" s="41" t="s">
        <v>1211</v>
      </c>
      <c r="D18" s="15">
        <v>50142</v>
      </c>
      <c r="E18" s="16">
        <v>1920.24</v>
      </c>
      <c r="F18" s="17">
        <v>3.9899999999999998E-2</v>
      </c>
      <c r="G18" s="17"/>
    </row>
    <row r="19" spans="1:7" x14ac:dyDescent="0.35">
      <c r="A19" s="13" t="s">
        <v>2013</v>
      </c>
      <c r="B19" s="41" t="s">
        <v>2014</v>
      </c>
      <c r="C19" s="41" t="s">
        <v>1288</v>
      </c>
      <c r="D19" s="15">
        <v>45203</v>
      </c>
      <c r="E19" s="16">
        <v>1858.97</v>
      </c>
      <c r="F19" s="17">
        <v>3.8600000000000002E-2</v>
      </c>
      <c r="G19" s="17"/>
    </row>
    <row r="20" spans="1:7" x14ac:dyDescent="0.35">
      <c r="A20" s="13" t="s">
        <v>1919</v>
      </c>
      <c r="B20" s="41" t="s">
        <v>1920</v>
      </c>
      <c r="C20" s="41" t="s">
        <v>1178</v>
      </c>
      <c r="D20" s="15">
        <v>1141388</v>
      </c>
      <c r="E20" s="16">
        <v>1682.63</v>
      </c>
      <c r="F20" s="17">
        <v>3.5000000000000003E-2</v>
      </c>
      <c r="G20" s="17"/>
    </row>
    <row r="21" spans="1:7" x14ac:dyDescent="0.35">
      <c r="A21" s="13" t="s">
        <v>1441</v>
      </c>
      <c r="B21" s="41" t="s">
        <v>1442</v>
      </c>
      <c r="C21" s="41" t="s">
        <v>1280</v>
      </c>
      <c r="D21" s="15">
        <v>59516</v>
      </c>
      <c r="E21" s="16">
        <v>1497.24</v>
      </c>
      <c r="F21" s="17">
        <v>3.1099999999999999E-2</v>
      </c>
      <c r="G21" s="17"/>
    </row>
    <row r="22" spans="1:7" x14ac:dyDescent="0.35">
      <c r="A22" s="13" t="s">
        <v>1547</v>
      </c>
      <c r="B22" s="41" t="s">
        <v>1548</v>
      </c>
      <c r="C22" s="41" t="s">
        <v>1369</v>
      </c>
      <c r="D22" s="15">
        <v>23860</v>
      </c>
      <c r="E22" s="16">
        <v>1439.95</v>
      </c>
      <c r="F22" s="17">
        <v>2.9899999999999999E-2</v>
      </c>
      <c r="G22" s="17"/>
    </row>
    <row r="23" spans="1:7" x14ac:dyDescent="0.35">
      <c r="A23" s="13" t="s">
        <v>1533</v>
      </c>
      <c r="B23" s="41" t="s">
        <v>1534</v>
      </c>
      <c r="C23" s="41" t="s">
        <v>1369</v>
      </c>
      <c r="D23" s="15">
        <v>21045</v>
      </c>
      <c r="E23" s="16">
        <v>1257.33</v>
      </c>
      <c r="F23" s="17">
        <v>2.6100000000000002E-2</v>
      </c>
      <c r="G23" s="17"/>
    </row>
    <row r="24" spans="1:7" x14ac:dyDescent="0.35">
      <c r="A24" s="13" t="s">
        <v>1798</v>
      </c>
      <c r="B24" s="41" t="s">
        <v>1799</v>
      </c>
      <c r="C24" s="41" t="s">
        <v>1333</v>
      </c>
      <c r="D24" s="15">
        <v>37652</v>
      </c>
      <c r="E24" s="16">
        <v>1216.27</v>
      </c>
      <c r="F24" s="17">
        <v>2.53E-2</v>
      </c>
      <c r="G24" s="17"/>
    </row>
    <row r="25" spans="1:7" x14ac:dyDescent="0.35">
      <c r="A25" s="13" t="s">
        <v>1925</v>
      </c>
      <c r="B25" s="41" t="s">
        <v>1926</v>
      </c>
      <c r="C25" s="41" t="s">
        <v>1419</v>
      </c>
      <c r="D25" s="15">
        <v>263330</v>
      </c>
      <c r="E25" s="16">
        <v>1015.01</v>
      </c>
      <c r="F25" s="17">
        <v>2.1100000000000001E-2</v>
      </c>
      <c r="G25" s="17"/>
    </row>
    <row r="26" spans="1:7" x14ac:dyDescent="0.35">
      <c r="A26" s="13" t="s">
        <v>1484</v>
      </c>
      <c r="B26" s="41" t="s">
        <v>1485</v>
      </c>
      <c r="C26" s="41" t="s">
        <v>1201</v>
      </c>
      <c r="D26" s="15">
        <v>9699</v>
      </c>
      <c r="E26" s="16">
        <v>1013.16</v>
      </c>
      <c r="F26" s="17">
        <v>2.1000000000000001E-2</v>
      </c>
      <c r="G26" s="17"/>
    </row>
    <row r="27" spans="1:7" x14ac:dyDescent="0.35">
      <c r="A27" s="13" t="s">
        <v>1241</v>
      </c>
      <c r="B27" s="41" t="s">
        <v>1242</v>
      </c>
      <c r="C27" s="41" t="s">
        <v>1216</v>
      </c>
      <c r="D27" s="15">
        <v>130926</v>
      </c>
      <c r="E27" s="16">
        <v>955.5</v>
      </c>
      <c r="F27" s="17">
        <v>1.9800000000000002E-2</v>
      </c>
      <c r="G27" s="17"/>
    </row>
    <row r="28" spans="1:7" x14ac:dyDescent="0.35">
      <c r="A28" s="13" t="s">
        <v>2404</v>
      </c>
      <c r="B28" s="41" t="s">
        <v>2405</v>
      </c>
      <c r="C28" s="41" t="s">
        <v>1419</v>
      </c>
      <c r="D28" s="15">
        <v>97843</v>
      </c>
      <c r="E28" s="16">
        <v>671.11</v>
      </c>
      <c r="F28" s="17">
        <v>1.3899999999999999E-2</v>
      </c>
      <c r="G28" s="17"/>
    </row>
    <row r="29" spans="1:7" x14ac:dyDescent="0.35">
      <c r="A29" s="13" t="s">
        <v>1541</v>
      </c>
      <c r="B29" s="41" t="s">
        <v>1542</v>
      </c>
      <c r="C29" s="41" t="s">
        <v>1280</v>
      </c>
      <c r="D29" s="15">
        <v>49426</v>
      </c>
      <c r="E29" s="16">
        <v>652.52</v>
      </c>
      <c r="F29" s="17">
        <v>1.3599999999999999E-2</v>
      </c>
      <c r="G29" s="17"/>
    </row>
    <row r="30" spans="1:7" x14ac:dyDescent="0.35">
      <c r="A30" s="13" t="s">
        <v>1896</v>
      </c>
      <c r="B30" s="41" t="s">
        <v>1897</v>
      </c>
      <c r="C30" s="41" t="s">
        <v>1280</v>
      </c>
      <c r="D30" s="15">
        <v>22409</v>
      </c>
      <c r="E30" s="16">
        <v>646.59</v>
      </c>
      <c r="F30" s="17">
        <v>1.34E-2</v>
      </c>
      <c r="G30" s="17"/>
    </row>
    <row r="31" spans="1:7" x14ac:dyDescent="0.35">
      <c r="A31" s="13" t="s">
        <v>1338</v>
      </c>
      <c r="B31" s="41" t="s">
        <v>1339</v>
      </c>
      <c r="C31" s="41" t="s">
        <v>1221</v>
      </c>
      <c r="D31" s="15">
        <v>4596</v>
      </c>
      <c r="E31" s="16">
        <v>619.54</v>
      </c>
      <c r="F31" s="17">
        <v>1.29E-2</v>
      </c>
      <c r="G31" s="17"/>
    </row>
    <row r="32" spans="1:7" x14ac:dyDescent="0.35">
      <c r="A32" s="13" t="s">
        <v>1826</v>
      </c>
      <c r="B32" s="41" t="s">
        <v>1827</v>
      </c>
      <c r="C32" s="41" t="s">
        <v>1280</v>
      </c>
      <c r="D32" s="15">
        <v>53937</v>
      </c>
      <c r="E32" s="16">
        <v>611.80999999999995</v>
      </c>
      <c r="F32" s="17">
        <v>1.2699999999999999E-2</v>
      </c>
      <c r="G32" s="17"/>
    </row>
    <row r="33" spans="1:7" x14ac:dyDescent="0.35">
      <c r="A33" s="13" t="s">
        <v>1921</v>
      </c>
      <c r="B33" s="41" t="s">
        <v>1922</v>
      </c>
      <c r="C33" s="41" t="s">
        <v>1350</v>
      </c>
      <c r="D33" s="15">
        <v>26656</v>
      </c>
      <c r="E33" s="16">
        <v>608.45000000000005</v>
      </c>
      <c r="F33" s="17">
        <v>1.26E-2</v>
      </c>
      <c r="G33" s="17"/>
    </row>
    <row r="34" spans="1:7" x14ac:dyDescent="0.35">
      <c r="A34" s="13" t="s">
        <v>1388</v>
      </c>
      <c r="B34" s="41" t="s">
        <v>1389</v>
      </c>
      <c r="C34" s="41" t="s">
        <v>1211</v>
      </c>
      <c r="D34" s="15">
        <v>197879</v>
      </c>
      <c r="E34" s="16">
        <v>563.26</v>
      </c>
      <c r="F34" s="17">
        <v>1.17E-2</v>
      </c>
      <c r="G34" s="17"/>
    </row>
    <row r="35" spans="1:7" x14ac:dyDescent="0.35">
      <c r="A35" s="13" t="s">
        <v>1535</v>
      </c>
      <c r="B35" s="41" t="s">
        <v>1536</v>
      </c>
      <c r="C35" s="41" t="s">
        <v>1280</v>
      </c>
      <c r="D35" s="15">
        <v>72196</v>
      </c>
      <c r="E35" s="16">
        <v>501.8</v>
      </c>
      <c r="F35" s="17">
        <v>1.04E-2</v>
      </c>
      <c r="G35" s="17"/>
    </row>
    <row r="36" spans="1:7" x14ac:dyDescent="0.35">
      <c r="A36" s="13" t="s">
        <v>2406</v>
      </c>
      <c r="B36" s="41" t="s">
        <v>2407</v>
      </c>
      <c r="C36" s="41" t="s">
        <v>1188</v>
      </c>
      <c r="D36" s="15">
        <v>2335</v>
      </c>
      <c r="E36" s="16">
        <v>448.2</v>
      </c>
      <c r="F36" s="17">
        <v>9.2999999999999992E-3</v>
      </c>
      <c r="G36" s="17"/>
    </row>
    <row r="37" spans="1:7" x14ac:dyDescent="0.35">
      <c r="A37" s="13" t="s">
        <v>1888</v>
      </c>
      <c r="B37" s="41" t="s">
        <v>1889</v>
      </c>
      <c r="C37" s="41" t="s">
        <v>1280</v>
      </c>
      <c r="D37" s="15">
        <v>49249</v>
      </c>
      <c r="E37" s="16">
        <v>432.46</v>
      </c>
      <c r="F37" s="17">
        <v>8.9999999999999993E-3</v>
      </c>
      <c r="G37" s="17"/>
    </row>
    <row r="38" spans="1:7" x14ac:dyDescent="0.35">
      <c r="A38" s="13" t="s">
        <v>1989</v>
      </c>
      <c r="B38" s="41" t="s">
        <v>1990</v>
      </c>
      <c r="C38" s="41" t="s">
        <v>1382</v>
      </c>
      <c r="D38" s="15">
        <v>858811</v>
      </c>
      <c r="E38" s="16">
        <v>370.66</v>
      </c>
      <c r="F38" s="17">
        <v>7.7000000000000002E-3</v>
      </c>
      <c r="G38" s="17"/>
    </row>
    <row r="39" spans="1:7" x14ac:dyDescent="0.35">
      <c r="A39" s="13" t="s">
        <v>1890</v>
      </c>
      <c r="B39" s="41" t="s">
        <v>1891</v>
      </c>
      <c r="C39" s="41" t="s">
        <v>1280</v>
      </c>
      <c r="D39" s="15">
        <v>14539</v>
      </c>
      <c r="E39" s="16">
        <v>369.42</v>
      </c>
      <c r="F39" s="17">
        <v>7.7000000000000002E-3</v>
      </c>
      <c r="G39" s="17"/>
    </row>
    <row r="40" spans="1:7" x14ac:dyDescent="0.35">
      <c r="A40" s="13" t="s">
        <v>2408</v>
      </c>
      <c r="B40" s="41" t="s">
        <v>2409</v>
      </c>
      <c r="C40" s="41" t="s">
        <v>1229</v>
      </c>
      <c r="D40" s="15">
        <v>20620</v>
      </c>
      <c r="E40" s="16">
        <v>364.54</v>
      </c>
      <c r="F40" s="17">
        <v>7.6E-3</v>
      </c>
      <c r="G40" s="17"/>
    </row>
    <row r="41" spans="1:7" x14ac:dyDescent="0.35">
      <c r="A41" s="13" t="s">
        <v>2410</v>
      </c>
      <c r="B41" s="41" t="s">
        <v>2411</v>
      </c>
      <c r="C41" s="41" t="s">
        <v>1838</v>
      </c>
      <c r="D41" s="15">
        <v>7008</v>
      </c>
      <c r="E41" s="16">
        <v>325.95999999999998</v>
      </c>
      <c r="F41" s="17">
        <v>6.7999999999999996E-3</v>
      </c>
      <c r="G41" s="17"/>
    </row>
    <row r="42" spans="1:7" x14ac:dyDescent="0.35">
      <c r="A42" s="13" t="s">
        <v>2412</v>
      </c>
      <c r="B42" s="41" t="s">
        <v>2413</v>
      </c>
      <c r="C42" s="41" t="s">
        <v>1288</v>
      </c>
      <c r="D42" s="15">
        <v>37916</v>
      </c>
      <c r="E42" s="16">
        <v>297.11</v>
      </c>
      <c r="F42" s="17">
        <v>6.1999999999999998E-3</v>
      </c>
      <c r="G42" s="17"/>
    </row>
    <row r="43" spans="1:7" x14ac:dyDescent="0.35">
      <c r="A43" s="13" t="s">
        <v>2106</v>
      </c>
      <c r="B43" s="41" t="s">
        <v>2107</v>
      </c>
      <c r="C43" s="41" t="s">
        <v>1229</v>
      </c>
      <c r="D43" s="15">
        <v>20926</v>
      </c>
      <c r="E43" s="16">
        <v>294.95</v>
      </c>
      <c r="F43" s="17">
        <v>6.1000000000000004E-3</v>
      </c>
      <c r="G43" s="17"/>
    </row>
    <row r="44" spans="1:7" x14ac:dyDescent="0.35">
      <c r="A44" s="13" t="s">
        <v>1898</v>
      </c>
      <c r="B44" s="41" t="s">
        <v>1899</v>
      </c>
      <c r="C44" s="41" t="s">
        <v>1280</v>
      </c>
      <c r="D44" s="15">
        <v>34309</v>
      </c>
      <c r="E44" s="16">
        <v>258.54000000000002</v>
      </c>
      <c r="F44" s="17">
        <v>5.4000000000000003E-3</v>
      </c>
      <c r="G44" s="17"/>
    </row>
    <row r="45" spans="1:7" x14ac:dyDescent="0.35">
      <c r="A45" s="13" t="s">
        <v>2414</v>
      </c>
      <c r="B45" s="41" t="s">
        <v>2415</v>
      </c>
      <c r="C45" s="41" t="s">
        <v>1285</v>
      </c>
      <c r="D45" s="15">
        <v>8883</v>
      </c>
      <c r="E45" s="16">
        <v>245.54</v>
      </c>
      <c r="F45" s="17">
        <v>5.1000000000000004E-3</v>
      </c>
      <c r="G45" s="17"/>
    </row>
    <row r="46" spans="1:7" x14ac:dyDescent="0.35">
      <c r="A46" s="13" t="s">
        <v>2416</v>
      </c>
      <c r="B46" s="41" t="s">
        <v>2417</v>
      </c>
      <c r="C46" s="41" t="s">
        <v>1206</v>
      </c>
      <c r="D46" s="15">
        <v>128226</v>
      </c>
      <c r="E46" s="16">
        <v>236.13</v>
      </c>
      <c r="F46" s="17">
        <v>4.8999999999999998E-3</v>
      </c>
      <c r="G46" s="17"/>
    </row>
    <row r="47" spans="1:7" x14ac:dyDescent="0.35">
      <c r="A47" s="13" t="s">
        <v>2418</v>
      </c>
      <c r="B47" s="41" t="s">
        <v>2419</v>
      </c>
      <c r="C47" s="41" t="s">
        <v>1288</v>
      </c>
      <c r="D47" s="15">
        <v>54466</v>
      </c>
      <c r="E47" s="16">
        <v>222.9</v>
      </c>
      <c r="F47" s="17">
        <v>4.5999999999999999E-3</v>
      </c>
      <c r="G47" s="17"/>
    </row>
    <row r="48" spans="1:7" x14ac:dyDescent="0.35">
      <c r="A48" s="13" t="s">
        <v>2073</v>
      </c>
      <c r="B48" s="41" t="s">
        <v>2074</v>
      </c>
      <c r="C48" s="41" t="s">
        <v>1211</v>
      </c>
      <c r="D48" s="15">
        <v>22289</v>
      </c>
      <c r="E48" s="16">
        <v>207.83</v>
      </c>
      <c r="F48" s="17">
        <v>4.3E-3</v>
      </c>
      <c r="G48" s="17"/>
    </row>
    <row r="49" spans="1:7" x14ac:dyDescent="0.35">
      <c r="A49" s="13" t="s">
        <v>2420</v>
      </c>
      <c r="B49" s="41" t="s">
        <v>2421</v>
      </c>
      <c r="C49" s="41" t="s">
        <v>1526</v>
      </c>
      <c r="D49" s="15">
        <v>13078</v>
      </c>
      <c r="E49" s="16">
        <v>202.34</v>
      </c>
      <c r="F49" s="17">
        <v>4.1999999999999997E-3</v>
      </c>
      <c r="G49" s="17"/>
    </row>
    <row r="50" spans="1:7" x14ac:dyDescent="0.35">
      <c r="A50" s="13" t="s">
        <v>2422</v>
      </c>
      <c r="B50" s="41" t="s">
        <v>2423</v>
      </c>
      <c r="C50" s="41" t="s">
        <v>1369</v>
      </c>
      <c r="D50" s="15">
        <v>22054</v>
      </c>
      <c r="E50" s="16">
        <v>201.51</v>
      </c>
      <c r="F50" s="17">
        <v>4.1999999999999997E-3</v>
      </c>
      <c r="G50" s="17"/>
    </row>
    <row r="51" spans="1:7" x14ac:dyDescent="0.35">
      <c r="A51" s="13" t="s">
        <v>2424</v>
      </c>
      <c r="B51" s="41" t="s">
        <v>2425</v>
      </c>
      <c r="C51" s="41" t="s">
        <v>1409</v>
      </c>
      <c r="D51" s="15">
        <v>2127</v>
      </c>
      <c r="E51" s="16">
        <v>187.17</v>
      </c>
      <c r="F51" s="17">
        <v>3.8999999999999998E-3</v>
      </c>
      <c r="G51" s="17"/>
    </row>
    <row r="52" spans="1:7" x14ac:dyDescent="0.35">
      <c r="A52" s="13" t="s">
        <v>2307</v>
      </c>
      <c r="B52" s="41" t="s">
        <v>2308</v>
      </c>
      <c r="C52" s="41" t="s">
        <v>2309</v>
      </c>
      <c r="D52" s="15">
        <v>9123</v>
      </c>
      <c r="E52" s="16">
        <v>185.7</v>
      </c>
      <c r="F52" s="17">
        <v>3.8999999999999998E-3</v>
      </c>
      <c r="G52" s="17"/>
    </row>
    <row r="53" spans="1:7" x14ac:dyDescent="0.35">
      <c r="A53" s="13" t="s">
        <v>2426</v>
      </c>
      <c r="B53" s="41" t="s">
        <v>2427</v>
      </c>
      <c r="C53" s="41" t="s">
        <v>1234</v>
      </c>
      <c r="D53" s="15">
        <v>2103</v>
      </c>
      <c r="E53" s="16">
        <v>179.81</v>
      </c>
      <c r="F53" s="17">
        <v>3.7000000000000002E-3</v>
      </c>
      <c r="G53" s="17"/>
    </row>
    <row r="54" spans="1:7" x14ac:dyDescent="0.35">
      <c r="A54" s="13" t="s">
        <v>2428</v>
      </c>
      <c r="B54" s="41" t="s">
        <v>2429</v>
      </c>
      <c r="C54" s="41" t="s">
        <v>1288</v>
      </c>
      <c r="D54" s="15">
        <v>70773</v>
      </c>
      <c r="E54" s="16">
        <v>175.87</v>
      </c>
      <c r="F54" s="17">
        <v>3.7000000000000002E-3</v>
      </c>
      <c r="G54" s="17"/>
    </row>
    <row r="55" spans="1:7" x14ac:dyDescent="0.35">
      <c r="A55" s="13" t="s">
        <v>1958</v>
      </c>
      <c r="B55" s="41" t="s">
        <v>1959</v>
      </c>
      <c r="C55" s="41" t="s">
        <v>1266</v>
      </c>
      <c r="D55" s="15">
        <v>7777</v>
      </c>
      <c r="E55" s="16">
        <v>171.24</v>
      </c>
      <c r="F55" s="17">
        <v>3.5999999999999999E-3</v>
      </c>
      <c r="G55" s="17"/>
    </row>
    <row r="56" spans="1:7" x14ac:dyDescent="0.35">
      <c r="A56" s="13" t="s">
        <v>2430</v>
      </c>
      <c r="B56" s="41" t="s">
        <v>2431</v>
      </c>
      <c r="C56" s="41" t="s">
        <v>1272</v>
      </c>
      <c r="D56" s="15">
        <v>28112</v>
      </c>
      <c r="E56" s="16">
        <v>162.41999999999999</v>
      </c>
      <c r="F56" s="17">
        <v>3.3999999999999998E-3</v>
      </c>
      <c r="G56" s="17"/>
    </row>
    <row r="57" spans="1:7" x14ac:dyDescent="0.35">
      <c r="A57" s="13" t="s">
        <v>2432</v>
      </c>
      <c r="B57" s="41" t="s">
        <v>2433</v>
      </c>
      <c r="C57" s="41" t="s">
        <v>1355</v>
      </c>
      <c r="D57" s="15">
        <v>11703</v>
      </c>
      <c r="E57" s="16">
        <v>123.21</v>
      </c>
      <c r="F57" s="17">
        <v>2.5999999999999999E-3</v>
      </c>
      <c r="G57" s="17"/>
    </row>
    <row r="58" spans="1:7" x14ac:dyDescent="0.35">
      <c r="A58" s="14" t="s">
        <v>149</v>
      </c>
      <c r="B58" s="42"/>
      <c r="C58" s="42"/>
      <c r="D58" s="18"/>
      <c r="E58" s="19">
        <v>48144.73</v>
      </c>
      <c r="F58" s="20">
        <v>1.0004</v>
      </c>
      <c r="G58" s="21"/>
    </row>
    <row r="59" spans="1:7" x14ac:dyDescent="0.35">
      <c r="A59" s="14" t="s">
        <v>1914</v>
      </c>
      <c r="B59" s="41"/>
      <c r="C59" s="41"/>
      <c r="D59" s="15"/>
      <c r="E59" s="16"/>
      <c r="F59" s="17"/>
      <c r="G59" s="17"/>
    </row>
    <row r="60" spans="1:7" x14ac:dyDescent="0.35">
      <c r="A60" s="14" t="s">
        <v>149</v>
      </c>
      <c r="B60" s="41"/>
      <c r="C60" s="41"/>
      <c r="D60" s="15"/>
      <c r="E60" s="34" t="s">
        <v>146</v>
      </c>
      <c r="F60" s="35" t="s">
        <v>146</v>
      </c>
      <c r="G60" s="17"/>
    </row>
    <row r="61" spans="1:7" x14ac:dyDescent="0.35">
      <c r="A61" s="22" t="s">
        <v>160</v>
      </c>
      <c r="B61" s="43"/>
      <c r="C61" s="43"/>
      <c r="D61" s="23"/>
      <c r="E61" s="24">
        <v>48144.73</v>
      </c>
      <c r="F61" s="25">
        <v>1.0004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3"/>
      <c r="B63" s="41"/>
      <c r="C63" s="41"/>
      <c r="D63" s="15"/>
      <c r="E63" s="16"/>
      <c r="F63" s="17"/>
      <c r="G63" s="17"/>
    </row>
    <row r="64" spans="1:7" x14ac:dyDescent="0.35">
      <c r="A64" s="14" t="s">
        <v>255</v>
      </c>
      <c r="B64" s="41"/>
      <c r="C64" s="41"/>
      <c r="D64" s="15"/>
      <c r="E64" s="16"/>
      <c r="F64" s="17"/>
      <c r="G64" s="17"/>
    </row>
    <row r="65" spans="1:7" x14ac:dyDescent="0.35">
      <c r="A65" s="13" t="s">
        <v>257</v>
      </c>
      <c r="B65" s="41"/>
      <c r="C65" s="41"/>
      <c r="D65" s="15"/>
      <c r="E65" s="16">
        <v>175.93</v>
      </c>
      <c r="F65" s="17">
        <v>3.7000000000000002E-3</v>
      </c>
      <c r="G65" s="17">
        <v>5.1742000000000003E-2</v>
      </c>
    </row>
    <row r="66" spans="1:7" x14ac:dyDescent="0.35">
      <c r="A66" s="14" t="s">
        <v>149</v>
      </c>
      <c r="B66" s="42"/>
      <c r="C66" s="42"/>
      <c r="D66" s="18"/>
      <c r="E66" s="19">
        <v>175.93</v>
      </c>
      <c r="F66" s="20">
        <v>3.7000000000000002E-3</v>
      </c>
      <c r="G66" s="21"/>
    </row>
    <row r="67" spans="1:7" x14ac:dyDescent="0.35">
      <c r="A67" s="13"/>
      <c r="B67" s="41"/>
      <c r="C67" s="41"/>
      <c r="D67" s="15"/>
      <c r="E67" s="16"/>
      <c r="F67" s="17"/>
      <c r="G67" s="17"/>
    </row>
    <row r="68" spans="1:7" x14ac:dyDescent="0.35">
      <c r="A68" s="22" t="s">
        <v>160</v>
      </c>
      <c r="B68" s="43"/>
      <c r="C68" s="43"/>
      <c r="D68" s="23"/>
      <c r="E68" s="36">
        <v>175.93</v>
      </c>
      <c r="F68" s="37">
        <v>3.7000000000000002E-3</v>
      </c>
      <c r="G68" s="21"/>
    </row>
    <row r="69" spans="1:7" x14ac:dyDescent="0.35">
      <c r="A69" s="13" t="s">
        <v>258</v>
      </c>
      <c r="B69" s="41"/>
      <c r="C69" s="41"/>
      <c r="D69" s="15"/>
      <c r="E69" s="16">
        <v>4.9877900000000003E-2</v>
      </c>
      <c r="F69" s="17">
        <v>9.9999999999999995E-7</v>
      </c>
      <c r="G69" s="17"/>
    </row>
    <row r="70" spans="1:7" x14ac:dyDescent="0.35">
      <c r="A70" s="13" t="s">
        <v>259</v>
      </c>
      <c r="B70" s="41"/>
      <c r="C70" s="41"/>
      <c r="D70" s="15"/>
      <c r="E70" s="28">
        <v>-181.41987789999999</v>
      </c>
      <c r="F70" s="29">
        <v>-4.1009999999999996E-3</v>
      </c>
      <c r="G70" s="17">
        <v>5.1741000000000002E-2</v>
      </c>
    </row>
    <row r="71" spans="1:7" x14ac:dyDescent="0.35">
      <c r="A71" s="38" t="s">
        <v>260</v>
      </c>
      <c r="B71" s="44"/>
      <c r="C71" s="44"/>
      <c r="D71" s="39"/>
      <c r="E71" s="24">
        <v>48139.29</v>
      </c>
      <c r="F71" s="25">
        <v>1</v>
      </c>
      <c r="G71" s="25"/>
    </row>
    <row r="76" spans="1:7" x14ac:dyDescent="0.35">
      <c r="A76" s="1" t="s">
        <v>263</v>
      </c>
    </row>
    <row r="77" spans="1:7" x14ac:dyDescent="0.35">
      <c r="A77" s="47" t="s">
        <v>264</v>
      </c>
      <c r="B77" s="3" t="s">
        <v>146</v>
      </c>
    </row>
    <row r="78" spans="1:7" x14ac:dyDescent="0.35">
      <c r="A78" t="s">
        <v>265</v>
      </c>
    </row>
    <row r="79" spans="1:7" x14ac:dyDescent="0.35">
      <c r="A79" t="s">
        <v>266</v>
      </c>
      <c r="B79" t="s">
        <v>267</v>
      </c>
      <c r="C79" t="s">
        <v>267</v>
      </c>
    </row>
    <row r="80" spans="1:7" x14ac:dyDescent="0.35">
      <c r="B80" s="49">
        <v>46022</v>
      </c>
      <c r="C80" s="49">
        <v>46052</v>
      </c>
    </row>
    <row r="81" spans="1:3" x14ac:dyDescent="0.35">
      <c r="A81" t="s">
        <v>752</v>
      </c>
      <c r="B81">
        <v>9.0336999999999996</v>
      </c>
      <c r="C81">
        <v>8.8839000000000006</v>
      </c>
    </row>
    <row r="82" spans="1:3" x14ac:dyDescent="0.35">
      <c r="A82" t="s">
        <v>273</v>
      </c>
      <c r="B82">
        <v>9.0336999999999996</v>
      </c>
      <c r="C82">
        <v>8.8839000000000006</v>
      </c>
    </row>
    <row r="83" spans="1:3" x14ac:dyDescent="0.35">
      <c r="A83" t="s">
        <v>753</v>
      </c>
      <c r="B83">
        <v>8.9626999999999999</v>
      </c>
      <c r="C83">
        <v>8.8092000000000006</v>
      </c>
    </row>
    <row r="84" spans="1:3" x14ac:dyDescent="0.35">
      <c r="A84" t="s">
        <v>709</v>
      </c>
      <c r="B84">
        <v>8.9626999999999999</v>
      </c>
      <c r="C84">
        <v>8.8092000000000006</v>
      </c>
    </row>
    <row r="86" spans="1:3" x14ac:dyDescent="0.35">
      <c r="A86" t="s">
        <v>283</v>
      </c>
      <c r="B86" s="3" t="s">
        <v>146</v>
      </c>
    </row>
    <row r="87" spans="1:3" x14ac:dyDescent="0.35">
      <c r="A87" t="s">
        <v>284</v>
      </c>
      <c r="B87" s="3" t="s">
        <v>146</v>
      </c>
    </row>
    <row r="88" spans="1:3" ht="29" customHeight="1" x14ac:dyDescent="0.35">
      <c r="A88" s="47" t="s">
        <v>285</v>
      </c>
      <c r="B88" s="3" t="s">
        <v>146</v>
      </c>
    </row>
    <row r="89" spans="1:3" ht="29" customHeight="1" x14ac:dyDescent="0.35">
      <c r="A89" s="47" t="s">
        <v>286</v>
      </c>
      <c r="B89" s="3" t="s">
        <v>146</v>
      </c>
    </row>
    <row r="90" spans="1:3" x14ac:dyDescent="0.35">
      <c r="A90" t="s">
        <v>1253</v>
      </c>
      <c r="B90" s="48">
        <v>1.1851</v>
      </c>
    </row>
    <row r="91" spans="1:3" ht="43.5" customHeight="1" x14ac:dyDescent="0.35">
      <c r="A91" s="47" t="s">
        <v>288</v>
      </c>
      <c r="B91" s="3" t="s">
        <v>146</v>
      </c>
    </row>
    <row r="92" spans="1:3" x14ac:dyDescent="0.35">
      <c r="B92" s="3"/>
    </row>
    <row r="93" spans="1:3" ht="29" customHeight="1" x14ac:dyDescent="0.35">
      <c r="A93" s="47" t="s">
        <v>289</v>
      </c>
      <c r="B93" s="3" t="s">
        <v>146</v>
      </c>
    </row>
    <row r="94" spans="1:3" ht="29" customHeight="1" x14ac:dyDescent="0.35">
      <c r="A94" s="47" t="s">
        <v>290</v>
      </c>
      <c r="B94" t="s">
        <v>146</v>
      </c>
    </row>
    <row r="95" spans="1:3" ht="29" customHeight="1" x14ac:dyDescent="0.35">
      <c r="A95" s="47" t="s">
        <v>291</v>
      </c>
      <c r="B95" s="3" t="s">
        <v>146</v>
      </c>
    </row>
    <row r="96" spans="1:3" ht="29" customHeight="1" x14ac:dyDescent="0.35">
      <c r="A96" s="47" t="s">
        <v>292</v>
      </c>
      <c r="B96" s="3" t="s">
        <v>146</v>
      </c>
    </row>
    <row r="98" spans="1:4" ht="70" customHeight="1" x14ac:dyDescent="0.35">
      <c r="A98" s="70" t="s">
        <v>303</v>
      </c>
      <c r="B98" s="70" t="s">
        <v>304</v>
      </c>
      <c r="C98" s="70" t="s">
        <v>4</v>
      </c>
      <c r="D98" s="70" t="s">
        <v>5</v>
      </c>
    </row>
    <row r="99" spans="1:4" ht="70" customHeight="1" x14ac:dyDescent="0.35">
      <c r="A99" s="70" t="s">
        <v>2438</v>
      </c>
      <c r="B99" s="70"/>
      <c r="C99" s="70" t="s">
        <v>91</v>
      </c>
      <c r="D9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G124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2439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2440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1970</v>
      </c>
      <c r="B8" s="41" t="s">
        <v>1971</v>
      </c>
      <c r="C8" s="41" t="s">
        <v>1201</v>
      </c>
      <c r="D8" s="15">
        <v>360000</v>
      </c>
      <c r="E8" s="16">
        <v>5265.36</v>
      </c>
      <c r="F8" s="17">
        <v>6.0499999999999998E-2</v>
      </c>
      <c r="G8" s="17"/>
    </row>
    <row r="9" spans="1:7" x14ac:dyDescent="0.35">
      <c r="A9" s="13" t="s">
        <v>1816</v>
      </c>
      <c r="B9" s="41" t="s">
        <v>1817</v>
      </c>
      <c r="C9" s="41" t="s">
        <v>1188</v>
      </c>
      <c r="D9" s="15">
        <v>734875</v>
      </c>
      <c r="E9" s="16">
        <v>4565.41</v>
      </c>
      <c r="F9" s="17">
        <v>5.2400000000000002E-2</v>
      </c>
      <c r="G9" s="17"/>
    </row>
    <row r="10" spans="1:7" x14ac:dyDescent="0.35">
      <c r="A10" s="13" t="s">
        <v>1828</v>
      </c>
      <c r="B10" s="41" t="s">
        <v>1829</v>
      </c>
      <c r="C10" s="41" t="s">
        <v>1280</v>
      </c>
      <c r="D10" s="15">
        <v>130000</v>
      </c>
      <c r="E10" s="16">
        <v>3864.38</v>
      </c>
      <c r="F10" s="17">
        <v>4.4400000000000002E-2</v>
      </c>
      <c r="G10" s="17"/>
    </row>
    <row r="11" spans="1:7" x14ac:dyDescent="0.35">
      <c r="A11" s="13" t="s">
        <v>2396</v>
      </c>
      <c r="B11" s="41" t="s">
        <v>2397</v>
      </c>
      <c r="C11" s="41" t="s">
        <v>1211</v>
      </c>
      <c r="D11" s="15">
        <v>1000000</v>
      </c>
      <c r="E11" s="16">
        <v>3421</v>
      </c>
      <c r="F11" s="17">
        <v>3.9300000000000002E-2</v>
      </c>
      <c r="G11" s="17"/>
    </row>
    <row r="12" spans="1:7" x14ac:dyDescent="0.35">
      <c r="A12" s="13" t="s">
        <v>1822</v>
      </c>
      <c r="B12" s="41" t="s">
        <v>1823</v>
      </c>
      <c r="C12" s="41" t="s">
        <v>1266</v>
      </c>
      <c r="D12" s="15">
        <v>2400000</v>
      </c>
      <c r="E12" s="16">
        <v>3022.8</v>
      </c>
      <c r="F12" s="17">
        <v>3.4700000000000002E-2</v>
      </c>
      <c r="G12" s="17"/>
    </row>
    <row r="13" spans="1:7" x14ac:dyDescent="0.35">
      <c r="A13" s="13" t="s">
        <v>2441</v>
      </c>
      <c r="B13" s="41" t="s">
        <v>2442</v>
      </c>
      <c r="C13" s="41" t="s">
        <v>1280</v>
      </c>
      <c r="D13" s="15">
        <v>1186157</v>
      </c>
      <c r="E13" s="16">
        <v>2971.92</v>
      </c>
      <c r="F13" s="17">
        <v>3.4099999999999998E-2</v>
      </c>
      <c r="G13" s="17"/>
    </row>
    <row r="14" spans="1:7" x14ac:dyDescent="0.35">
      <c r="A14" s="13" t="s">
        <v>2288</v>
      </c>
      <c r="B14" s="41" t="s">
        <v>2289</v>
      </c>
      <c r="C14" s="41" t="s">
        <v>1369</v>
      </c>
      <c r="D14" s="15">
        <v>420000</v>
      </c>
      <c r="E14" s="16">
        <v>2929.71</v>
      </c>
      <c r="F14" s="17">
        <v>3.3599999999999998E-2</v>
      </c>
      <c r="G14" s="17"/>
    </row>
    <row r="15" spans="1:7" x14ac:dyDescent="0.35">
      <c r="A15" s="13" t="s">
        <v>2063</v>
      </c>
      <c r="B15" s="41" t="s">
        <v>2064</v>
      </c>
      <c r="C15" s="41" t="s">
        <v>1211</v>
      </c>
      <c r="D15" s="15">
        <v>400001</v>
      </c>
      <c r="E15" s="16">
        <v>2829.61</v>
      </c>
      <c r="F15" s="17">
        <v>3.2500000000000001E-2</v>
      </c>
      <c r="G15" s="17"/>
    </row>
    <row r="16" spans="1:7" x14ac:dyDescent="0.35">
      <c r="A16" s="13" t="s">
        <v>2443</v>
      </c>
      <c r="B16" s="41" t="s">
        <v>2444</v>
      </c>
      <c r="C16" s="41" t="s">
        <v>1229</v>
      </c>
      <c r="D16" s="15">
        <v>650000</v>
      </c>
      <c r="E16" s="16">
        <v>2812.88</v>
      </c>
      <c r="F16" s="17">
        <v>3.2300000000000002E-2</v>
      </c>
      <c r="G16" s="17"/>
    </row>
    <row r="17" spans="1:7" x14ac:dyDescent="0.35">
      <c r="A17" s="13" t="s">
        <v>2445</v>
      </c>
      <c r="B17" s="41" t="s">
        <v>2446</v>
      </c>
      <c r="C17" s="41" t="s">
        <v>1234</v>
      </c>
      <c r="D17" s="15">
        <v>300000</v>
      </c>
      <c r="E17" s="16">
        <v>2505.4499999999998</v>
      </c>
      <c r="F17" s="17">
        <v>2.8799999999999999E-2</v>
      </c>
      <c r="G17" s="17"/>
    </row>
    <row r="18" spans="1:7" x14ac:dyDescent="0.35">
      <c r="A18" s="13" t="s">
        <v>2447</v>
      </c>
      <c r="B18" s="41" t="s">
        <v>2448</v>
      </c>
      <c r="C18" s="41" t="s">
        <v>1382</v>
      </c>
      <c r="D18" s="15">
        <v>1325000</v>
      </c>
      <c r="E18" s="16">
        <v>2263.7600000000002</v>
      </c>
      <c r="F18" s="17">
        <v>2.5999999999999999E-2</v>
      </c>
      <c r="G18" s="17"/>
    </row>
    <row r="19" spans="1:7" x14ac:dyDescent="0.35">
      <c r="A19" s="13" t="s">
        <v>2188</v>
      </c>
      <c r="B19" s="41" t="s">
        <v>2189</v>
      </c>
      <c r="C19" s="41" t="s">
        <v>1436</v>
      </c>
      <c r="D19" s="15">
        <v>160000</v>
      </c>
      <c r="E19" s="16">
        <v>2211.1999999999998</v>
      </c>
      <c r="F19" s="17">
        <v>2.5399999999999999E-2</v>
      </c>
      <c r="G19" s="17"/>
    </row>
    <row r="20" spans="1:7" x14ac:dyDescent="0.35">
      <c r="A20" s="13" t="s">
        <v>2449</v>
      </c>
      <c r="B20" s="41" t="s">
        <v>2450</v>
      </c>
      <c r="C20" s="41" t="s">
        <v>1333</v>
      </c>
      <c r="D20" s="15">
        <v>1152024</v>
      </c>
      <c r="E20" s="16">
        <v>2208.08</v>
      </c>
      <c r="F20" s="17">
        <v>2.5399999999999999E-2</v>
      </c>
      <c r="G20" s="17"/>
    </row>
    <row r="21" spans="1:7" x14ac:dyDescent="0.35">
      <c r="A21" s="13" t="s">
        <v>2451</v>
      </c>
      <c r="B21" s="41" t="s">
        <v>2452</v>
      </c>
      <c r="C21" s="41" t="s">
        <v>1382</v>
      </c>
      <c r="D21" s="15">
        <v>378659</v>
      </c>
      <c r="E21" s="16">
        <v>1977.17</v>
      </c>
      <c r="F21" s="17">
        <v>2.2700000000000001E-2</v>
      </c>
      <c r="G21" s="17"/>
    </row>
    <row r="22" spans="1:7" x14ac:dyDescent="0.35">
      <c r="A22" s="13" t="s">
        <v>2453</v>
      </c>
      <c r="B22" s="41" t="s">
        <v>2454</v>
      </c>
      <c r="C22" s="41" t="s">
        <v>1234</v>
      </c>
      <c r="D22" s="15">
        <v>321142</v>
      </c>
      <c r="E22" s="16">
        <v>1924.6</v>
      </c>
      <c r="F22" s="17">
        <v>2.2100000000000002E-2</v>
      </c>
      <c r="G22" s="17"/>
    </row>
    <row r="23" spans="1:7" x14ac:dyDescent="0.35">
      <c r="A23" s="13" t="s">
        <v>2455</v>
      </c>
      <c r="B23" s="41" t="s">
        <v>2456</v>
      </c>
      <c r="C23" s="41" t="s">
        <v>1333</v>
      </c>
      <c r="D23" s="15">
        <v>250000</v>
      </c>
      <c r="E23" s="16">
        <v>1890.25</v>
      </c>
      <c r="F23" s="17">
        <v>2.1700000000000001E-2</v>
      </c>
      <c r="G23" s="17"/>
    </row>
    <row r="24" spans="1:7" x14ac:dyDescent="0.35">
      <c r="A24" s="13" t="s">
        <v>1997</v>
      </c>
      <c r="B24" s="41" t="s">
        <v>1998</v>
      </c>
      <c r="C24" s="41" t="s">
        <v>1999</v>
      </c>
      <c r="D24" s="15">
        <v>1540478</v>
      </c>
      <c r="E24" s="16">
        <v>1840.1</v>
      </c>
      <c r="F24" s="17">
        <v>2.1100000000000001E-2</v>
      </c>
      <c r="G24" s="17"/>
    </row>
    <row r="25" spans="1:7" x14ac:dyDescent="0.35">
      <c r="A25" s="13" t="s">
        <v>1834</v>
      </c>
      <c r="B25" s="41" t="s">
        <v>1835</v>
      </c>
      <c r="C25" s="41" t="s">
        <v>1224</v>
      </c>
      <c r="D25" s="15">
        <v>1600000</v>
      </c>
      <c r="E25" s="16">
        <v>1827.2</v>
      </c>
      <c r="F25" s="17">
        <v>2.1000000000000001E-2</v>
      </c>
      <c r="G25" s="17"/>
    </row>
    <row r="26" spans="1:7" x14ac:dyDescent="0.35">
      <c r="A26" s="13" t="s">
        <v>2457</v>
      </c>
      <c r="B26" s="41" t="s">
        <v>2458</v>
      </c>
      <c r="C26" s="41" t="s">
        <v>1280</v>
      </c>
      <c r="D26" s="15">
        <v>1026681</v>
      </c>
      <c r="E26" s="16">
        <v>1817.64</v>
      </c>
      <c r="F26" s="17">
        <v>2.0899999999999998E-2</v>
      </c>
      <c r="G26" s="17"/>
    </row>
    <row r="27" spans="1:7" x14ac:dyDescent="0.35">
      <c r="A27" s="13" t="s">
        <v>2061</v>
      </c>
      <c r="B27" s="41" t="s">
        <v>2062</v>
      </c>
      <c r="C27" s="41" t="s">
        <v>1465</v>
      </c>
      <c r="D27" s="15">
        <v>715681</v>
      </c>
      <c r="E27" s="16">
        <v>1632.54</v>
      </c>
      <c r="F27" s="17">
        <v>1.8700000000000001E-2</v>
      </c>
      <c r="G27" s="17"/>
    </row>
    <row r="28" spans="1:7" x14ac:dyDescent="0.35">
      <c r="A28" s="13" t="s">
        <v>1980</v>
      </c>
      <c r="B28" s="41" t="s">
        <v>1981</v>
      </c>
      <c r="C28" s="41" t="s">
        <v>1266</v>
      </c>
      <c r="D28" s="15">
        <v>344426</v>
      </c>
      <c r="E28" s="16">
        <v>1575.23</v>
      </c>
      <c r="F28" s="17">
        <v>1.8100000000000002E-2</v>
      </c>
      <c r="G28" s="17"/>
    </row>
    <row r="29" spans="1:7" x14ac:dyDescent="0.35">
      <c r="A29" s="13" t="s">
        <v>2459</v>
      </c>
      <c r="B29" s="41" t="s">
        <v>2460</v>
      </c>
      <c r="C29" s="41" t="s">
        <v>1526</v>
      </c>
      <c r="D29" s="15">
        <v>100000</v>
      </c>
      <c r="E29" s="16">
        <v>1551.9</v>
      </c>
      <c r="F29" s="17">
        <v>1.78E-2</v>
      </c>
      <c r="G29" s="17"/>
    </row>
    <row r="30" spans="1:7" x14ac:dyDescent="0.35">
      <c r="A30" s="13" t="s">
        <v>2461</v>
      </c>
      <c r="B30" s="41" t="s">
        <v>2462</v>
      </c>
      <c r="C30" s="41" t="s">
        <v>1234</v>
      </c>
      <c r="D30" s="15">
        <v>102772</v>
      </c>
      <c r="E30" s="16">
        <v>1520.2</v>
      </c>
      <c r="F30" s="17">
        <v>1.7500000000000002E-2</v>
      </c>
      <c r="G30" s="17"/>
    </row>
    <row r="31" spans="1:7" x14ac:dyDescent="0.35">
      <c r="A31" s="13" t="s">
        <v>2009</v>
      </c>
      <c r="B31" s="41" t="s">
        <v>2010</v>
      </c>
      <c r="C31" s="41" t="s">
        <v>1266</v>
      </c>
      <c r="D31" s="15">
        <v>1200000</v>
      </c>
      <c r="E31" s="16">
        <v>1491.36</v>
      </c>
      <c r="F31" s="17">
        <v>1.7100000000000001E-2</v>
      </c>
      <c r="G31" s="17"/>
    </row>
    <row r="32" spans="1:7" x14ac:dyDescent="0.35">
      <c r="A32" s="13" t="s">
        <v>2463</v>
      </c>
      <c r="B32" s="41" t="s">
        <v>2464</v>
      </c>
      <c r="C32" s="41" t="s">
        <v>1382</v>
      </c>
      <c r="D32" s="15">
        <v>276600</v>
      </c>
      <c r="E32" s="16">
        <v>1391.57</v>
      </c>
      <c r="F32" s="17">
        <v>1.6E-2</v>
      </c>
      <c r="G32" s="17"/>
    </row>
    <row r="33" spans="1:7" x14ac:dyDescent="0.35">
      <c r="A33" s="13" t="s">
        <v>2179</v>
      </c>
      <c r="B33" s="41" t="s">
        <v>2180</v>
      </c>
      <c r="C33" s="41" t="s">
        <v>1234</v>
      </c>
      <c r="D33" s="15">
        <v>220000</v>
      </c>
      <c r="E33" s="16">
        <v>1340.13</v>
      </c>
      <c r="F33" s="17">
        <v>1.54E-2</v>
      </c>
      <c r="G33" s="17"/>
    </row>
    <row r="34" spans="1:7" x14ac:dyDescent="0.35">
      <c r="A34" s="13" t="s">
        <v>2465</v>
      </c>
      <c r="B34" s="41" t="s">
        <v>2466</v>
      </c>
      <c r="C34" s="41" t="s">
        <v>1234</v>
      </c>
      <c r="D34" s="15">
        <v>187442</v>
      </c>
      <c r="E34" s="16">
        <v>1282.57</v>
      </c>
      <c r="F34" s="17">
        <v>1.47E-2</v>
      </c>
      <c r="G34" s="17"/>
    </row>
    <row r="35" spans="1:7" x14ac:dyDescent="0.35">
      <c r="A35" s="13" t="s">
        <v>2467</v>
      </c>
      <c r="B35" s="41" t="s">
        <v>2468</v>
      </c>
      <c r="C35" s="41" t="s">
        <v>1201</v>
      </c>
      <c r="D35" s="15">
        <v>95589</v>
      </c>
      <c r="E35" s="16">
        <v>1263.4000000000001</v>
      </c>
      <c r="F35" s="17">
        <v>1.4500000000000001E-2</v>
      </c>
      <c r="G35" s="17"/>
    </row>
    <row r="36" spans="1:7" x14ac:dyDescent="0.35">
      <c r="A36" s="13" t="s">
        <v>2469</v>
      </c>
      <c r="B36" s="41" t="s">
        <v>2470</v>
      </c>
      <c r="C36" s="41" t="s">
        <v>1369</v>
      </c>
      <c r="D36" s="15">
        <v>185697</v>
      </c>
      <c r="E36" s="16">
        <v>1165.3399999999999</v>
      </c>
      <c r="F36" s="17">
        <v>1.34E-2</v>
      </c>
      <c r="G36" s="17"/>
    </row>
    <row r="37" spans="1:7" x14ac:dyDescent="0.35">
      <c r="A37" s="13" t="s">
        <v>1836</v>
      </c>
      <c r="B37" s="41" t="s">
        <v>1837</v>
      </c>
      <c r="C37" s="41" t="s">
        <v>1838</v>
      </c>
      <c r="D37" s="15">
        <v>650000</v>
      </c>
      <c r="E37" s="16">
        <v>1145.69</v>
      </c>
      <c r="F37" s="17">
        <v>1.32E-2</v>
      </c>
      <c r="G37" s="17"/>
    </row>
    <row r="38" spans="1:7" x14ac:dyDescent="0.35">
      <c r="A38" s="13" t="s">
        <v>2471</v>
      </c>
      <c r="B38" s="41" t="s">
        <v>2472</v>
      </c>
      <c r="C38" s="41" t="s">
        <v>1266</v>
      </c>
      <c r="D38" s="15">
        <v>625315</v>
      </c>
      <c r="E38" s="16">
        <v>1088.99</v>
      </c>
      <c r="F38" s="17">
        <v>1.2500000000000001E-2</v>
      </c>
      <c r="G38" s="17"/>
    </row>
    <row r="39" spans="1:7" x14ac:dyDescent="0.35">
      <c r="A39" s="13" t="s">
        <v>1941</v>
      </c>
      <c r="B39" s="41" t="s">
        <v>1942</v>
      </c>
      <c r="C39" s="41" t="s">
        <v>1198</v>
      </c>
      <c r="D39" s="15">
        <v>70000</v>
      </c>
      <c r="E39" s="16">
        <v>1081.3599999999999</v>
      </c>
      <c r="F39" s="17">
        <v>1.24E-2</v>
      </c>
      <c r="G39" s="17"/>
    </row>
    <row r="40" spans="1:7" x14ac:dyDescent="0.35">
      <c r="A40" s="13" t="s">
        <v>2473</v>
      </c>
      <c r="B40" s="41" t="s">
        <v>2474</v>
      </c>
      <c r="C40" s="41" t="s">
        <v>1285</v>
      </c>
      <c r="D40" s="15">
        <v>122278</v>
      </c>
      <c r="E40" s="16">
        <v>1077.0899999999999</v>
      </c>
      <c r="F40" s="17">
        <v>1.24E-2</v>
      </c>
      <c r="G40" s="17"/>
    </row>
    <row r="41" spans="1:7" x14ac:dyDescent="0.35">
      <c r="A41" s="13" t="s">
        <v>2475</v>
      </c>
      <c r="B41" s="41" t="s">
        <v>2476</v>
      </c>
      <c r="C41" s="41" t="s">
        <v>1288</v>
      </c>
      <c r="D41" s="15">
        <v>270000</v>
      </c>
      <c r="E41" s="16">
        <v>1069.2</v>
      </c>
      <c r="F41" s="17">
        <v>1.23E-2</v>
      </c>
      <c r="G41" s="17"/>
    </row>
    <row r="42" spans="1:7" x14ac:dyDescent="0.35">
      <c r="A42" s="13" t="s">
        <v>2477</v>
      </c>
      <c r="B42" s="41" t="s">
        <v>2478</v>
      </c>
      <c r="C42" s="41" t="s">
        <v>1838</v>
      </c>
      <c r="D42" s="15">
        <v>185196</v>
      </c>
      <c r="E42" s="16">
        <v>1056.54</v>
      </c>
      <c r="F42" s="17">
        <v>1.21E-2</v>
      </c>
      <c r="G42" s="17"/>
    </row>
    <row r="43" spans="1:7" x14ac:dyDescent="0.35">
      <c r="A43" s="13" t="s">
        <v>2177</v>
      </c>
      <c r="B43" s="41" t="s">
        <v>2178</v>
      </c>
      <c r="C43" s="41" t="s">
        <v>1285</v>
      </c>
      <c r="D43" s="15">
        <v>750000</v>
      </c>
      <c r="E43" s="16">
        <v>1015.35</v>
      </c>
      <c r="F43" s="17">
        <v>1.17E-2</v>
      </c>
      <c r="G43" s="17"/>
    </row>
    <row r="44" spans="1:7" x14ac:dyDescent="0.35">
      <c r="A44" s="13" t="s">
        <v>2479</v>
      </c>
      <c r="B44" s="41" t="s">
        <v>2480</v>
      </c>
      <c r="C44" s="41" t="s">
        <v>1838</v>
      </c>
      <c r="D44" s="15">
        <v>209335</v>
      </c>
      <c r="E44" s="16">
        <v>968.59</v>
      </c>
      <c r="F44" s="17">
        <v>1.11E-2</v>
      </c>
      <c r="G44" s="17"/>
    </row>
    <row r="45" spans="1:7" x14ac:dyDescent="0.35">
      <c r="A45" s="13" t="s">
        <v>2132</v>
      </c>
      <c r="B45" s="41" t="s">
        <v>2133</v>
      </c>
      <c r="C45" s="41" t="s">
        <v>1382</v>
      </c>
      <c r="D45" s="15">
        <v>180000</v>
      </c>
      <c r="E45" s="16">
        <v>941.4</v>
      </c>
      <c r="F45" s="17">
        <v>1.0800000000000001E-2</v>
      </c>
      <c r="G45" s="17"/>
    </row>
    <row r="46" spans="1:7" x14ac:dyDescent="0.35">
      <c r="A46" s="13" t="s">
        <v>1841</v>
      </c>
      <c r="B46" s="41" t="s">
        <v>1842</v>
      </c>
      <c r="C46" s="41" t="s">
        <v>1191</v>
      </c>
      <c r="D46" s="15">
        <v>146319</v>
      </c>
      <c r="E46" s="16">
        <v>860.36</v>
      </c>
      <c r="F46" s="17">
        <v>9.9000000000000008E-3</v>
      </c>
      <c r="G46" s="17"/>
    </row>
    <row r="47" spans="1:7" x14ac:dyDescent="0.35">
      <c r="A47" s="13" t="s">
        <v>2481</v>
      </c>
      <c r="B47" s="41" t="s">
        <v>2482</v>
      </c>
      <c r="C47" s="41" t="s">
        <v>1216</v>
      </c>
      <c r="D47" s="15">
        <v>200000</v>
      </c>
      <c r="E47" s="16">
        <v>763.7</v>
      </c>
      <c r="F47" s="17">
        <v>8.8000000000000005E-3</v>
      </c>
      <c r="G47" s="17"/>
    </row>
    <row r="48" spans="1:7" x14ac:dyDescent="0.35">
      <c r="A48" s="13" t="s">
        <v>2483</v>
      </c>
      <c r="B48" s="41" t="s">
        <v>2484</v>
      </c>
      <c r="C48" s="41" t="s">
        <v>1201</v>
      </c>
      <c r="D48" s="15">
        <v>327240</v>
      </c>
      <c r="E48" s="16">
        <v>743</v>
      </c>
      <c r="F48" s="17">
        <v>8.5000000000000006E-3</v>
      </c>
      <c r="G48" s="17"/>
    </row>
    <row r="49" spans="1:7" x14ac:dyDescent="0.35">
      <c r="A49" s="13" t="s">
        <v>2173</v>
      </c>
      <c r="B49" s="41" t="s">
        <v>2174</v>
      </c>
      <c r="C49" s="41" t="s">
        <v>1345</v>
      </c>
      <c r="D49" s="15">
        <v>664480</v>
      </c>
      <c r="E49" s="16">
        <v>708.47</v>
      </c>
      <c r="F49" s="17">
        <v>8.0999999999999996E-3</v>
      </c>
      <c r="G49" s="17"/>
    </row>
    <row r="50" spans="1:7" x14ac:dyDescent="0.35">
      <c r="A50" s="13" t="s">
        <v>2485</v>
      </c>
      <c r="B50" s="41" t="s">
        <v>2486</v>
      </c>
      <c r="C50" s="41" t="s">
        <v>1849</v>
      </c>
      <c r="D50" s="15">
        <v>135416</v>
      </c>
      <c r="E50" s="16">
        <v>702.4</v>
      </c>
      <c r="F50" s="17">
        <v>8.0999999999999996E-3</v>
      </c>
      <c r="G50" s="17"/>
    </row>
    <row r="51" spans="1:7" x14ac:dyDescent="0.35">
      <c r="A51" s="13" t="s">
        <v>2160</v>
      </c>
      <c r="B51" s="41" t="s">
        <v>2161</v>
      </c>
      <c r="C51" s="41" t="s">
        <v>1201</v>
      </c>
      <c r="D51" s="15">
        <v>380098</v>
      </c>
      <c r="E51" s="16">
        <v>692.73</v>
      </c>
      <c r="F51" s="17">
        <v>8.0000000000000002E-3</v>
      </c>
      <c r="G51" s="17"/>
    </row>
    <row r="52" spans="1:7" x14ac:dyDescent="0.35">
      <c r="A52" s="13" t="s">
        <v>2487</v>
      </c>
      <c r="B52" s="41" t="s">
        <v>2488</v>
      </c>
      <c r="C52" s="41" t="s">
        <v>2489</v>
      </c>
      <c r="D52" s="15">
        <v>275000</v>
      </c>
      <c r="E52" s="16">
        <v>689.7</v>
      </c>
      <c r="F52" s="17">
        <v>7.9000000000000008E-3</v>
      </c>
      <c r="G52" s="17"/>
    </row>
    <row r="53" spans="1:7" x14ac:dyDescent="0.35">
      <c r="A53" s="13" t="s">
        <v>2198</v>
      </c>
      <c r="B53" s="41" t="s">
        <v>2199</v>
      </c>
      <c r="C53" s="41" t="s">
        <v>1221</v>
      </c>
      <c r="D53" s="15">
        <v>212165</v>
      </c>
      <c r="E53" s="16">
        <v>575.82000000000005</v>
      </c>
      <c r="F53" s="17">
        <v>6.6E-3</v>
      </c>
      <c r="G53" s="17"/>
    </row>
    <row r="54" spans="1:7" x14ac:dyDescent="0.35">
      <c r="A54" s="13" t="s">
        <v>2490</v>
      </c>
      <c r="B54" s="41" t="s">
        <v>2491</v>
      </c>
      <c r="C54" s="41" t="s">
        <v>1280</v>
      </c>
      <c r="D54" s="15">
        <v>276191</v>
      </c>
      <c r="E54" s="16">
        <v>488.58</v>
      </c>
      <c r="F54" s="17">
        <v>5.5999999999999999E-3</v>
      </c>
      <c r="G54" s="17"/>
    </row>
    <row r="55" spans="1:7" x14ac:dyDescent="0.35">
      <c r="A55" s="13" t="s">
        <v>2492</v>
      </c>
      <c r="B55" s="41" t="s">
        <v>2493</v>
      </c>
      <c r="C55" s="41" t="s">
        <v>1412</v>
      </c>
      <c r="D55" s="15">
        <v>799443</v>
      </c>
      <c r="E55" s="16">
        <v>486.38</v>
      </c>
      <c r="F55" s="17">
        <v>5.5999999999999999E-3</v>
      </c>
      <c r="G55" s="17"/>
    </row>
    <row r="56" spans="1:7" x14ac:dyDescent="0.35">
      <c r="A56" s="13" t="s">
        <v>2494</v>
      </c>
      <c r="B56" s="41" t="s">
        <v>2495</v>
      </c>
      <c r="C56" s="41" t="s">
        <v>1412</v>
      </c>
      <c r="D56" s="15">
        <v>96525</v>
      </c>
      <c r="E56" s="16">
        <v>406.37</v>
      </c>
      <c r="F56" s="17">
        <v>4.7000000000000002E-3</v>
      </c>
      <c r="G56" s="17"/>
    </row>
    <row r="57" spans="1:7" x14ac:dyDescent="0.35">
      <c r="A57" s="13" t="s">
        <v>1839</v>
      </c>
      <c r="B57" s="41" t="s">
        <v>1840</v>
      </c>
      <c r="C57" s="41" t="s">
        <v>1333</v>
      </c>
      <c r="D57" s="15">
        <v>190990</v>
      </c>
      <c r="E57" s="16">
        <v>389.66</v>
      </c>
      <c r="F57" s="17">
        <v>4.4999999999999997E-3</v>
      </c>
      <c r="G57" s="17"/>
    </row>
    <row r="58" spans="1:7" x14ac:dyDescent="0.35">
      <c r="A58" s="13" t="s">
        <v>1960</v>
      </c>
      <c r="B58" s="41" t="s">
        <v>1961</v>
      </c>
      <c r="C58" s="41" t="s">
        <v>1412</v>
      </c>
      <c r="D58" s="15">
        <v>25000</v>
      </c>
      <c r="E58" s="16">
        <v>348.05</v>
      </c>
      <c r="F58" s="17">
        <v>4.0000000000000001E-3</v>
      </c>
      <c r="G58" s="17"/>
    </row>
    <row r="59" spans="1:7" x14ac:dyDescent="0.35">
      <c r="A59" s="13" t="s">
        <v>2196</v>
      </c>
      <c r="B59" s="41" t="s">
        <v>2197</v>
      </c>
      <c r="C59" s="41" t="s">
        <v>1387</v>
      </c>
      <c r="D59" s="15">
        <v>251589</v>
      </c>
      <c r="E59" s="16">
        <v>267.31</v>
      </c>
      <c r="F59" s="17">
        <v>3.0999999999999999E-3</v>
      </c>
      <c r="G59" s="17"/>
    </row>
    <row r="60" spans="1:7" x14ac:dyDescent="0.35">
      <c r="A60" s="13" t="s">
        <v>2007</v>
      </c>
      <c r="B60" s="41" t="s">
        <v>2008</v>
      </c>
      <c r="C60" s="41" t="s">
        <v>1465</v>
      </c>
      <c r="D60" s="15">
        <v>84315</v>
      </c>
      <c r="E60" s="16">
        <v>210.11</v>
      </c>
      <c r="F60" s="17">
        <v>2.3999999999999998E-3</v>
      </c>
      <c r="G60" s="17"/>
    </row>
    <row r="61" spans="1:7" x14ac:dyDescent="0.35">
      <c r="A61" s="13" t="s">
        <v>2496</v>
      </c>
      <c r="B61" s="41" t="s">
        <v>2497</v>
      </c>
      <c r="C61" s="41" t="s">
        <v>1269</v>
      </c>
      <c r="D61" s="15">
        <v>46313</v>
      </c>
      <c r="E61" s="16">
        <v>190.28</v>
      </c>
      <c r="F61" s="17">
        <v>2.2000000000000001E-3</v>
      </c>
      <c r="G61" s="17"/>
    </row>
    <row r="62" spans="1:7" x14ac:dyDescent="0.35">
      <c r="A62" s="13" t="s">
        <v>2190</v>
      </c>
      <c r="B62" s="41" t="s">
        <v>2191</v>
      </c>
      <c r="C62" s="41" t="s">
        <v>1526</v>
      </c>
      <c r="D62" s="15">
        <v>24888</v>
      </c>
      <c r="E62" s="16">
        <v>91.26</v>
      </c>
      <c r="F62" s="17">
        <v>1E-3</v>
      </c>
      <c r="G62" s="17"/>
    </row>
    <row r="63" spans="1:7" x14ac:dyDescent="0.35">
      <c r="A63" s="13" t="s">
        <v>1952</v>
      </c>
      <c r="B63" s="41" t="s">
        <v>1953</v>
      </c>
      <c r="C63" s="41" t="s">
        <v>1266</v>
      </c>
      <c r="D63" s="15">
        <v>10000</v>
      </c>
      <c r="E63" s="16">
        <v>30.98</v>
      </c>
      <c r="F63" s="17">
        <v>4.0000000000000002E-4</v>
      </c>
      <c r="G63" s="17"/>
    </row>
    <row r="64" spans="1:7" x14ac:dyDescent="0.35">
      <c r="A64" s="13" t="s">
        <v>2498</v>
      </c>
      <c r="B64" s="41" t="s">
        <v>2499</v>
      </c>
      <c r="C64" s="41" t="s">
        <v>2070</v>
      </c>
      <c r="D64" s="15">
        <v>50771</v>
      </c>
      <c r="E64" s="16">
        <v>20.22</v>
      </c>
      <c r="F64" s="17">
        <v>2.0000000000000001E-4</v>
      </c>
      <c r="G64" s="17"/>
    </row>
    <row r="65" spans="1:7" x14ac:dyDescent="0.35">
      <c r="A65" s="14" t="s">
        <v>149</v>
      </c>
      <c r="B65" s="42"/>
      <c r="C65" s="42"/>
      <c r="D65" s="18"/>
      <c r="E65" s="19">
        <v>84472.35</v>
      </c>
      <c r="F65" s="20">
        <v>0.97019999999999995</v>
      </c>
      <c r="G65" s="21"/>
    </row>
    <row r="66" spans="1:7" x14ac:dyDescent="0.35">
      <c r="A66" s="14" t="s">
        <v>1914</v>
      </c>
      <c r="B66" s="41"/>
      <c r="C66" s="41"/>
      <c r="D66" s="15"/>
      <c r="E66" s="16"/>
      <c r="F66" s="17"/>
      <c r="G66" s="17"/>
    </row>
    <row r="67" spans="1:7" x14ac:dyDescent="0.35">
      <c r="A67" s="14" t="s">
        <v>149</v>
      </c>
      <c r="B67" s="41"/>
      <c r="C67" s="41"/>
      <c r="D67" s="15"/>
      <c r="E67" s="34" t="s">
        <v>146</v>
      </c>
      <c r="F67" s="35" t="s">
        <v>146</v>
      </c>
      <c r="G67" s="17"/>
    </row>
    <row r="68" spans="1:7" x14ac:dyDescent="0.35">
      <c r="A68" s="22" t="s">
        <v>160</v>
      </c>
      <c r="B68" s="43"/>
      <c r="C68" s="43"/>
      <c r="D68" s="23"/>
      <c r="E68" s="24">
        <v>84472.35</v>
      </c>
      <c r="F68" s="25">
        <v>0.97019999999999995</v>
      </c>
      <c r="G68" s="21"/>
    </row>
    <row r="69" spans="1:7" x14ac:dyDescent="0.35">
      <c r="A69" s="13"/>
      <c r="B69" s="41"/>
      <c r="C69" s="41"/>
      <c r="D69" s="15"/>
      <c r="E69" s="16"/>
      <c r="F69" s="17"/>
      <c r="G69" s="17"/>
    </row>
    <row r="70" spans="1:7" x14ac:dyDescent="0.35">
      <c r="A70" s="14" t="s">
        <v>1571</v>
      </c>
      <c r="B70" s="41"/>
      <c r="C70" s="41"/>
      <c r="D70" s="15"/>
      <c r="E70" s="16"/>
      <c r="F70" s="17"/>
      <c r="G70" s="17"/>
    </row>
    <row r="71" spans="1:7" x14ac:dyDescent="0.35">
      <c r="A71" s="14" t="s">
        <v>1572</v>
      </c>
      <c r="B71" s="41"/>
      <c r="C71" s="41"/>
      <c r="D71" s="15"/>
      <c r="E71" s="16"/>
      <c r="F71" s="17"/>
      <c r="G71" s="17"/>
    </row>
    <row r="72" spans="1:7" x14ac:dyDescent="0.35">
      <c r="A72" s="13" t="s">
        <v>1856</v>
      </c>
      <c r="B72" s="41"/>
      <c r="C72" s="41" t="s">
        <v>1857</v>
      </c>
      <c r="D72" s="15">
        <v>7930</v>
      </c>
      <c r="E72" s="16">
        <v>2015.52</v>
      </c>
      <c r="F72" s="17">
        <v>2.3146E-2</v>
      </c>
      <c r="G72" s="17"/>
    </row>
    <row r="73" spans="1:7" x14ac:dyDescent="0.35">
      <c r="A73" s="14" t="s">
        <v>149</v>
      </c>
      <c r="B73" s="42"/>
      <c r="C73" s="42"/>
      <c r="D73" s="18"/>
      <c r="E73" s="19">
        <v>2015.52</v>
      </c>
      <c r="F73" s="20">
        <v>2.3146E-2</v>
      </c>
      <c r="G73" s="21"/>
    </row>
    <row r="74" spans="1:7" x14ac:dyDescent="0.35">
      <c r="A74" s="13"/>
      <c r="B74" s="41"/>
      <c r="C74" s="41"/>
      <c r="D74" s="15"/>
      <c r="E74" s="16"/>
      <c r="F74" s="17"/>
      <c r="G74" s="17"/>
    </row>
    <row r="75" spans="1:7" x14ac:dyDescent="0.35">
      <c r="A75" s="13"/>
      <c r="B75" s="41"/>
      <c r="C75" s="41"/>
      <c r="D75" s="15"/>
      <c r="E75" s="16"/>
      <c r="F75" s="17"/>
      <c r="G75" s="17"/>
    </row>
    <row r="76" spans="1:7" x14ac:dyDescent="0.35">
      <c r="A76" s="13"/>
      <c r="B76" s="41"/>
      <c r="C76" s="41"/>
      <c r="D76" s="15"/>
      <c r="E76" s="16"/>
      <c r="F76" s="17"/>
      <c r="G76" s="17"/>
    </row>
    <row r="77" spans="1:7" x14ac:dyDescent="0.35">
      <c r="A77" s="22" t="s">
        <v>160</v>
      </c>
      <c r="B77" s="43"/>
      <c r="C77" s="43"/>
      <c r="D77" s="23"/>
      <c r="E77" s="36">
        <v>2015.52</v>
      </c>
      <c r="F77" s="37">
        <v>2.3146E-2</v>
      </c>
      <c r="G77" s="21"/>
    </row>
    <row r="78" spans="1:7" x14ac:dyDescent="0.35">
      <c r="A78" s="13"/>
      <c r="B78" s="41"/>
      <c r="C78" s="41"/>
      <c r="D78" s="15"/>
      <c r="E78" s="16"/>
      <c r="F78" s="17"/>
      <c r="G78" s="17"/>
    </row>
    <row r="79" spans="1:7" x14ac:dyDescent="0.35">
      <c r="A79" s="14" t="s">
        <v>161</v>
      </c>
      <c r="B79" s="41"/>
      <c r="C79" s="41"/>
      <c r="D79" s="15"/>
      <c r="E79" s="16"/>
      <c r="F79" s="17"/>
      <c r="G79" s="17"/>
    </row>
    <row r="80" spans="1:7" x14ac:dyDescent="0.35">
      <c r="A80" s="13"/>
      <c r="B80" s="41"/>
      <c r="C80" s="41"/>
      <c r="D80" s="15"/>
      <c r="E80" s="16"/>
      <c r="F80" s="17"/>
      <c r="G80" s="17"/>
    </row>
    <row r="81" spans="1:7" x14ac:dyDescent="0.35">
      <c r="A81" s="14" t="s">
        <v>162</v>
      </c>
      <c r="B81" s="41"/>
      <c r="C81" s="41"/>
      <c r="D81" s="15"/>
      <c r="E81" s="16"/>
      <c r="F81" s="17"/>
      <c r="G81" s="17"/>
    </row>
    <row r="82" spans="1:7" x14ac:dyDescent="0.35">
      <c r="A82" s="13" t="s">
        <v>925</v>
      </c>
      <c r="B82" s="41" t="s">
        <v>926</v>
      </c>
      <c r="C82" s="41" t="s">
        <v>153</v>
      </c>
      <c r="D82" s="15">
        <v>150000</v>
      </c>
      <c r="E82" s="16">
        <v>149.91999999999999</v>
      </c>
      <c r="F82" s="17">
        <v>1.6999999999999999E-3</v>
      </c>
      <c r="G82" s="17">
        <v>5.0763000000000003E-2</v>
      </c>
    </row>
    <row r="83" spans="1:7" x14ac:dyDescent="0.35">
      <c r="A83" s="13" t="s">
        <v>1947</v>
      </c>
      <c r="B83" s="41" t="s">
        <v>1948</v>
      </c>
      <c r="C83" s="41" t="s">
        <v>153</v>
      </c>
      <c r="D83" s="15">
        <v>150000</v>
      </c>
      <c r="E83" s="16">
        <v>148.68</v>
      </c>
      <c r="F83" s="17">
        <v>1.6999999999999999E-3</v>
      </c>
      <c r="G83" s="17">
        <v>5.4200999999999999E-2</v>
      </c>
    </row>
    <row r="84" spans="1:7" x14ac:dyDescent="0.35">
      <c r="A84" s="14" t="s">
        <v>149</v>
      </c>
      <c r="B84" s="42"/>
      <c r="C84" s="42"/>
      <c r="D84" s="18"/>
      <c r="E84" s="19">
        <v>298.60000000000002</v>
      </c>
      <c r="F84" s="20">
        <v>3.3999999999999998E-3</v>
      </c>
      <c r="G84" s="21"/>
    </row>
    <row r="85" spans="1:7" x14ac:dyDescent="0.35">
      <c r="A85" s="13"/>
      <c r="B85" s="41"/>
      <c r="C85" s="41"/>
      <c r="D85" s="15"/>
      <c r="E85" s="16"/>
      <c r="F85" s="17"/>
      <c r="G85" s="17"/>
    </row>
    <row r="86" spans="1:7" x14ac:dyDescent="0.35">
      <c r="A86" s="22" t="s">
        <v>160</v>
      </c>
      <c r="B86" s="43"/>
      <c r="C86" s="43"/>
      <c r="D86" s="23"/>
      <c r="E86" s="36">
        <v>298.60000000000002</v>
      </c>
      <c r="F86" s="37">
        <v>3.3999999999999998E-3</v>
      </c>
      <c r="G86" s="21"/>
    </row>
    <row r="87" spans="1:7" x14ac:dyDescent="0.35">
      <c r="A87" s="13"/>
      <c r="B87" s="41"/>
      <c r="C87" s="41"/>
      <c r="D87" s="15"/>
      <c r="E87" s="16"/>
      <c r="F87" s="17"/>
      <c r="G87" s="17"/>
    </row>
    <row r="88" spans="1:7" x14ac:dyDescent="0.35">
      <c r="A88" s="13"/>
      <c r="B88" s="41"/>
      <c r="C88" s="41"/>
      <c r="D88" s="15"/>
      <c r="E88" s="16"/>
      <c r="F88" s="17"/>
      <c r="G88" s="17"/>
    </row>
    <row r="89" spans="1:7" x14ac:dyDescent="0.35">
      <c r="A89" s="14" t="s">
        <v>255</v>
      </c>
      <c r="B89" s="41"/>
      <c r="C89" s="41"/>
      <c r="D89" s="15"/>
      <c r="E89" s="16"/>
      <c r="F89" s="17"/>
      <c r="G89" s="17"/>
    </row>
    <row r="90" spans="1:7" x14ac:dyDescent="0.35">
      <c r="A90" s="13" t="s">
        <v>257</v>
      </c>
      <c r="B90" s="41"/>
      <c r="C90" s="41"/>
      <c r="D90" s="15"/>
      <c r="E90" s="16">
        <v>2489.94</v>
      </c>
      <c r="F90" s="17">
        <v>2.86E-2</v>
      </c>
      <c r="G90" s="17">
        <v>5.1742000000000003E-2</v>
      </c>
    </row>
    <row r="91" spans="1:7" x14ac:dyDescent="0.35">
      <c r="A91" s="14" t="s">
        <v>149</v>
      </c>
      <c r="B91" s="42"/>
      <c r="C91" s="42"/>
      <c r="D91" s="18"/>
      <c r="E91" s="19">
        <v>2489.94</v>
      </c>
      <c r="F91" s="20">
        <v>2.86E-2</v>
      </c>
      <c r="G91" s="21"/>
    </row>
    <row r="92" spans="1:7" x14ac:dyDescent="0.35">
      <c r="A92" s="13"/>
      <c r="B92" s="41"/>
      <c r="C92" s="41"/>
      <c r="D92" s="15"/>
      <c r="E92" s="16"/>
      <c r="F92" s="17"/>
      <c r="G92" s="17"/>
    </row>
    <row r="93" spans="1:7" x14ac:dyDescent="0.35">
      <c r="A93" s="22" t="s">
        <v>160</v>
      </c>
      <c r="B93" s="43"/>
      <c r="C93" s="43"/>
      <c r="D93" s="23"/>
      <c r="E93" s="36">
        <v>2489.94</v>
      </c>
      <c r="F93" s="37">
        <v>2.86E-2</v>
      </c>
      <c r="G93" s="21"/>
    </row>
    <row r="94" spans="1:7" x14ac:dyDescent="0.35">
      <c r="A94" s="13" t="s">
        <v>258</v>
      </c>
      <c r="B94" s="41"/>
      <c r="C94" s="41"/>
      <c r="D94" s="15"/>
      <c r="E94" s="16">
        <v>0.70594259999999998</v>
      </c>
      <c r="F94" s="17">
        <v>7.9999999999999996E-6</v>
      </c>
      <c r="G94" s="17"/>
    </row>
    <row r="95" spans="1:7" x14ac:dyDescent="0.35">
      <c r="A95" s="13" t="s">
        <v>259</v>
      </c>
      <c r="B95" s="41"/>
      <c r="C95" s="41"/>
      <c r="D95" s="15"/>
      <c r="E95" s="28">
        <v>-183.6859426</v>
      </c>
      <c r="F95" s="29">
        <v>-2.2079999999999999E-3</v>
      </c>
      <c r="G95" s="17">
        <v>5.1741000000000002E-2</v>
      </c>
    </row>
    <row r="96" spans="1:7" x14ac:dyDescent="0.35">
      <c r="A96" s="38" t="s">
        <v>260</v>
      </c>
      <c r="B96" s="44"/>
      <c r="C96" s="44"/>
      <c r="D96" s="39"/>
      <c r="E96" s="24">
        <v>87077.91</v>
      </c>
      <c r="F96" s="25">
        <v>1</v>
      </c>
      <c r="G96" s="25"/>
    </row>
    <row r="98" spans="1:3" x14ac:dyDescent="0.35">
      <c r="A98" s="1" t="s">
        <v>1794</v>
      </c>
    </row>
    <row r="101" spans="1:3" x14ac:dyDescent="0.35">
      <c r="A101" s="1" t="s">
        <v>263</v>
      </c>
    </row>
    <row r="102" spans="1:3" x14ac:dyDescent="0.35">
      <c r="A102" s="47" t="s">
        <v>264</v>
      </c>
      <c r="B102" s="3" t="s">
        <v>146</v>
      </c>
    </row>
    <row r="103" spans="1:3" x14ac:dyDescent="0.35">
      <c r="A103" t="s">
        <v>265</v>
      </c>
    </row>
    <row r="104" spans="1:3" x14ac:dyDescent="0.35">
      <c r="A104" t="s">
        <v>266</v>
      </c>
      <c r="B104" t="s">
        <v>267</v>
      </c>
      <c r="C104" t="s">
        <v>267</v>
      </c>
    </row>
    <row r="105" spans="1:3" x14ac:dyDescent="0.35">
      <c r="B105" s="49">
        <v>46022</v>
      </c>
      <c r="C105" s="49">
        <v>46052</v>
      </c>
    </row>
    <row r="106" spans="1:3" x14ac:dyDescent="0.35">
      <c r="A106" t="s">
        <v>272</v>
      </c>
      <c r="B106">
        <v>29.120999999999999</v>
      </c>
      <c r="C106">
        <v>26.905999999999999</v>
      </c>
    </row>
    <row r="107" spans="1:3" x14ac:dyDescent="0.35">
      <c r="A107" t="s">
        <v>273</v>
      </c>
      <c r="B107">
        <v>29.121099999999998</v>
      </c>
      <c r="C107">
        <v>26.906099999999999</v>
      </c>
    </row>
    <row r="108" spans="1:3" x14ac:dyDescent="0.35">
      <c r="A108" t="s">
        <v>708</v>
      </c>
      <c r="B108">
        <v>27.042000000000002</v>
      </c>
      <c r="C108">
        <v>24.959</v>
      </c>
    </row>
    <row r="109" spans="1:3" x14ac:dyDescent="0.35">
      <c r="A109" t="s">
        <v>709</v>
      </c>
      <c r="B109">
        <v>27.040600000000001</v>
      </c>
      <c r="C109">
        <v>24.957699999999999</v>
      </c>
    </row>
    <row r="111" spans="1:3" x14ac:dyDescent="0.35">
      <c r="A111" t="s">
        <v>283</v>
      </c>
      <c r="B111" s="3" t="s">
        <v>146</v>
      </c>
    </row>
    <row r="112" spans="1:3" x14ac:dyDescent="0.35">
      <c r="A112" t="s">
        <v>284</v>
      </c>
      <c r="B112" s="3" t="s">
        <v>146</v>
      </c>
    </row>
    <row r="113" spans="1:4" ht="29" customHeight="1" x14ac:dyDescent="0.35">
      <c r="A113" s="47" t="s">
        <v>285</v>
      </c>
      <c r="B113" s="3" t="s">
        <v>146</v>
      </c>
    </row>
    <row r="114" spans="1:4" ht="29" customHeight="1" x14ac:dyDescent="0.35">
      <c r="A114" s="47" t="s">
        <v>286</v>
      </c>
      <c r="B114" s="3" t="s">
        <v>146</v>
      </c>
    </row>
    <row r="115" spans="1:4" x14ac:dyDescent="0.35">
      <c r="A115" t="s">
        <v>1253</v>
      </c>
      <c r="B115" s="48">
        <v>1.3358000000000001</v>
      </c>
    </row>
    <row r="116" spans="1:4" ht="43.5" customHeight="1" x14ac:dyDescent="0.35">
      <c r="A116" s="47" t="s">
        <v>288</v>
      </c>
      <c r="B116" s="3">
        <v>2015.52052</v>
      </c>
    </row>
    <row r="117" spans="1:4" x14ac:dyDescent="0.35">
      <c r="B117" s="3"/>
    </row>
    <row r="118" spans="1:4" ht="29" customHeight="1" x14ac:dyDescent="0.35">
      <c r="A118" s="47" t="s">
        <v>289</v>
      </c>
      <c r="B118" s="3" t="s">
        <v>146</v>
      </c>
    </row>
    <row r="119" spans="1:4" ht="29" customHeight="1" x14ac:dyDescent="0.35">
      <c r="A119" s="47" t="s">
        <v>290</v>
      </c>
      <c r="B119">
        <v>1961.53</v>
      </c>
    </row>
    <row r="120" spans="1:4" ht="29" customHeight="1" x14ac:dyDescent="0.35">
      <c r="A120" s="47" t="s">
        <v>291</v>
      </c>
      <c r="B120" s="3" t="s">
        <v>146</v>
      </c>
    </row>
    <row r="121" spans="1:4" ht="29" customHeight="1" x14ac:dyDescent="0.35">
      <c r="A121" s="47" t="s">
        <v>292</v>
      </c>
      <c r="B121" s="3" t="s">
        <v>146</v>
      </c>
    </row>
    <row r="123" spans="1:4" ht="70" customHeight="1" x14ac:dyDescent="0.35">
      <c r="A123" s="70" t="s">
        <v>303</v>
      </c>
      <c r="B123" s="70" t="s">
        <v>304</v>
      </c>
      <c r="C123" s="70" t="s">
        <v>4</v>
      </c>
      <c r="D123" s="70" t="s">
        <v>5</v>
      </c>
    </row>
    <row r="124" spans="1:4" ht="70" customHeight="1" x14ac:dyDescent="0.35">
      <c r="A124" s="70" t="s">
        <v>2500</v>
      </c>
      <c r="B124" s="70"/>
      <c r="C124" s="70" t="s">
        <v>94</v>
      </c>
      <c r="D124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G63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2501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2502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3"/>
      <c r="B7" s="41"/>
      <c r="C7" s="41"/>
      <c r="D7" s="15"/>
      <c r="E7" s="16"/>
      <c r="F7" s="17"/>
      <c r="G7" s="17"/>
    </row>
    <row r="8" spans="1:7" x14ac:dyDescent="0.35">
      <c r="A8" s="14" t="s">
        <v>884</v>
      </c>
      <c r="B8" s="41"/>
      <c r="C8" s="41"/>
      <c r="D8" s="15"/>
      <c r="E8" s="16"/>
      <c r="F8" s="17"/>
      <c r="G8" s="17"/>
    </row>
    <row r="9" spans="1:7" x14ac:dyDescent="0.35">
      <c r="A9" s="13" t="s">
        <v>2503</v>
      </c>
      <c r="B9" s="41" t="s">
        <v>2504</v>
      </c>
      <c r="C9" s="41"/>
      <c r="D9" s="15">
        <v>72033574.000200003</v>
      </c>
      <c r="E9" s="16">
        <v>11662.24</v>
      </c>
      <c r="F9" s="17">
        <v>0.27450000000000002</v>
      </c>
      <c r="G9" s="17"/>
    </row>
    <row r="10" spans="1:7" x14ac:dyDescent="0.35">
      <c r="A10" s="13" t="s">
        <v>2505</v>
      </c>
      <c r="B10" s="41" t="s">
        <v>2506</v>
      </c>
      <c r="C10" s="41"/>
      <c r="D10" s="15">
        <v>2664750</v>
      </c>
      <c r="E10" s="16">
        <v>4418.16</v>
      </c>
      <c r="F10" s="17">
        <v>0.104</v>
      </c>
      <c r="G10" s="17"/>
    </row>
    <row r="11" spans="1:7" x14ac:dyDescent="0.35">
      <c r="A11" s="13" t="s">
        <v>2507</v>
      </c>
      <c r="B11" s="41" t="s">
        <v>2508</v>
      </c>
      <c r="C11" s="41"/>
      <c r="D11" s="15">
        <v>1448612</v>
      </c>
      <c r="E11" s="16">
        <v>4303.97</v>
      </c>
      <c r="F11" s="17">
        <v>0.1013</v>
      </c>
      <c r="G11" s="17"/>
    </row>
    <row r="12" spans="1:7" x14ac:dyDescent="0.35">
      <c r="A12" s="13" t="s">
        <v>2509</v>
      </c>
      <c r="B12" s="41" t="s">
        <v>2510</v>
      </c>
      <c r="C12" s="41"/>
      <c r="D12" s="15">
        <v>1388686</v>
      </c>
      <c r="E12" s="16">
        <v>834.74</v>
      </c>
      <c r="F12" s="17">
        <v>1.9599999999999999E-2</v>
      </c>
      <c r="G12" s="17"/>
    </row>
    <row r="13" spans="1:7" x14ac:dyDescent="0.35">
      <c r="A13" s="14" t="s">
        <v>149</v>
      </c>
      <c r="B13" s="42"/>
      <c r="C13" s="42"/>
      <c r="D13" s="18"/>
      <c r="E13" s="36">
        <v>21219.11</v>
      </c>
      <c r="F13" s="37">
        <v>0.49940000000000001</v>
      </c>
      <c r="G13" s="21"/>
    </row>
    <row r="14" spans="1:7" x14ac:dyDescent="0.35">
      <c r="A14" s="13"/>
      <c r="B14" s="41"/>
      <c r="C14" s="41"/>
      <c r="D14" s="15"/>
      <c r="E14" s="16"/>
      <c r="F14" s="17"/>
      <c r="G14" s="17"/>
    </row>
    <row r="15" spans="1:7" x14ac:dyDescent="0.35">
      <c r="A15" s="22" t="s">
        <v>160</v>
      </c>
      <c r="B15" s="43"/>
      <c r="C15" s="43"/>
      <c r="D15" s="23"/>
      <c r="E15" s="36">
        <v>21219.11</v>
      </c>
      <c r="F15" s="37">
        <v>0.49940000000000001</v>
      </c>
      <c r="G15" s="21"/>
    </row>
    <row r="16" spans="1:7" x14ac:dyDescent="0.35">
      <c r="A16" s="13"/>
      <c r="B16" s="41"/>
      <c r="C16" s="41"/>
      <c r="D16" s="15"/>
      <c r="E16" s="16"/>
      <c r="F16" s="17"/>
      <c r="G16" s="17"/>
    </row>
    <row r="17" spans="1:7" x14ac:dyDescent="0.35">
      <c r="A17" s="14" t="s">
        <v>884</v>
      </c>
      <c r="B17" s="41"/>
      <c r="C17" s="41"/>
      <c r="D17" s="15"/>
      <c r="E17" s="16"/>
      <c r="F17" s="17"/>
      <c r="G17" s="17"/>
    </row>
    <row r="18" spans="1:7" x14ac:dyDescent="0.35">
      <c r="A18" s="13" t="s">
        <v>2223</v>
      </c>
      <c r="B18" s="41" t="s">
        <v>2224</v>
      </c>
      <c r="C18" s="41"/>
      <c r="D18" s="15">
        <v>17213108.749299999</v>
      </c>
      <c r="E18" s="16">
        <v>4510.9399999999996</v>
      </c>
      <c r="F18" s="17">
        <v>0.1062</v>
      </c>
      <c r="G18" s="17"/>
    </row>
    <row r="19" spans="1:7" x14ac:dyDescent="0.35">
      <c r="A19" s="13" t="s">
        <v>2511</v>
      </c>
      <c r="B19" s="41" t="s">
        <v>2512</v>
      </c>
      <c r="C19" s="41"/>
      <c r="D19" s="15">
        <v>23076688.863699999</v>
      </c>
      <c r="E19" s="16">
        <v>4067.5</v>
      </c>
      <c r="F19" s="17">
        <v>9.5699999999999993E-2</v>
      </c>
      <c r="G19" s="17"/>
    </row>
    <row r="20" spans="1:7" x14ac:dyDescent="0.35">
      <c r="A20" s="13" t="s">
        <v>2513</v>
      </c>
      <c r="B20" s="41" t="s">
        <v>2514</v>
      </c>
      <c r="C20" s="41"/>
      <c r="D20" s="15">
        <v>4104110.7099000001</v>
      </c>
      <c r="E20" s="16">
        <v>4031.47</v>
      </c>
      <c r="F20" s="17">
        <v>9.4899999999999998E-2</v>
      </c>
      <c r="G20" s="17"/>
    </row>
    <row r="21" spans="1:7" x14ac:dyDescent="0.35">
      <c r="A21" s="13" t="s">
        <v>2515</v>
      </c>
      <c r="B21" s="41" t="s">
        <v>2516</v>
      </c>
      <c r="C21" s="41"/>
      <c r="D21" s="15">
        <v>7290472.4948999994</v>
      </c>
      <c r="E21" s="16">
        <v>1961.53</v>
      </c>
      <c r="F21" s="17">
        <v>4.6199999999999998E-2</v>
      </c>
      <c r="G21" s="17"/>
    </row>
    <row r="22" spans="1:7" x14ac:dyDescent="0.35">
      <c r="A22" s="13" t="s">
        <v>2517</v>
      </c>
      <c r="B22" s="41" t="s">
        <v>2518</v>
      </c>
      <c r="C22" s="41"/>
      <c r="D22" s="15">
        <v>17668536.898200002</v>
      </c>
      <c r="E22" s="16">
        <v>1923.56</v>
      </c>
      <c r="F22" s="17">
        <v>4.53E-2</v>
      </c>
      <c r="G22" s="17"/>
    </row>
    <row r="23" spans="1:7" x14ac:dyDescent="0.35">
      <c r="A23" s="13" t="s">
        <v>2519</v>
      </c>
      <c r="B23" s="41" t="s">
        <v>2520</v>
      </c>
      <c r="C23" s="41"/>
      <c r="D23" s="15">
        <v>15344133.213300001</v>
      </c>
      <c r="E23" s="16">
        <v>1913.51</v>
      </c>
      <c r="F23" s="17">
        <v>4.4999999999999998E-2</v>
      </c>
      <c r="G23" s="17"/>
    </row>
    <row r="24" spans="1:7" x14ac:dyDescent="0.35">
      <c r="A24" s="13" t="s">
        <v>2521</v>
      </c>
      <c r="B24" s="41" t="s">
        <v>2522</v>
      </c>
      <c r="C24" s="41"/>
      <c r="D24" s="15">
        <v>1828828.6669999999</v>
      </c>
      <c r="E24" s="16">
        <v>1906.32</v>
      </c>
      <c r="F24" s="17">
        <v>4.4900000000000002E-2</v>
      </c>
      <c r="G24" s="17"/>
    </row>
    <row r="25" spans="1:7" x14ac:dyDescent="0.35">
      <c r="A25" s="13"/>
      <c r="B25" s="41"/>
      <c r="C25" s="41"/>
      <c r="D25" s="15"/>
      <c r="E25" s="16"/>
      <c r="F25" s="17"/>
      <c r="G25" s="17"/>
    </row>
    <row r="26" spans="1:7" x14ac:dyDescent="0.35">
      <c r="A26" s="22" t="s">
        <v>160</v>
      </c>
      <c r="B26" s="43"/>
      <c r="C26" s="43"/>
      <c r="D26" s="23"/>
      <c r="E26" s="36">
        <v>20314.830000000002</v>
      </c>
      <c r="F26" s="37">
        <v>0.47820000000000001</v>
      </c>
      <c r="G26" s="21"/>
    </row>
    <row r="27" spans="1:7" x14ac:dyDescent="0.35">
      <c r="A27" s="13"/>
      <c r="B27" s="41"/>
      <c r="C27" s="41"/>
      <c r="D27" s="15"/>
      <c r="E27" s="16"/>
      <c r="F27" s="17"/>
      <c r="G27" s="17"/>
    </row>
    <row r="28" spans="1:7" x14ac:dyDescent="0.35">
      <c r="A28" s="14" t="s">
        <v>255</v>
      </c>
      <c r="B28" s="41"/>
      <c r="C28" s="41"/>
      <c r="D28" s="15"/>
      <c r="E28" s="16"/>
      <c r="F28" s="17"/>
      <c r="G28" s="17"/>
    </row>
    <row r="29" spans="1:7" x14ac:dyDescent="0.35">
      <c r="A29" s="13" t="s">
        <v>257</v>
      </c>
      <c r="B29" s="41"/>
      <c r="C29" s="41"/>
      <c r="D29" s="15"/>
      <c r="E29" s="16">
        <v>912.61</v>
      </c>
      <c r="F29" s="17">
        <v>2.1499999999999998E-2</v>
      </c>
      <c r="G29" s="17">
        <v>5.1742000000000003E-2</v>
      </c>
    </row>
    <row r="30" spans="1:7" x14ac:dyDescent="0.35">
      <c r="A30" s="14" t="s">
        <v>149</v>
      </c>
      <c r="B30" s="42"/>
      <c r="C30" s="42"/>
      <c r="D30" s="18"/>
      <c r="E30" s="36">
        <v>912.61</v>
      </c>
      <c r="F30" s="37">
        <v>2.1499999999999998E-2</v>
      </c>
      <c r="G30" s="21"/>
    </row>
    <row r="31" spans="1:7" x14ac:dyDescent="0.35">
      <c r="A31" s="13"/>
      <c r="B31" s="41"/>
      <c r="C31" s="41"/>
      <c r="D31" s="15"/>
      <c r="E31" s="16"/>
      <c r="F31" s="17"/>
      <c r="G31" s="17"/>
    </row>
    <row r="32" spans="1:7" x14ac:dyDescent="0.35">
      <c r="A32" s="22" t="s">
        <v>160</v>
      </c>
      <c r="B32" s="43"/>
      <c r="C32" s="43"/>
      <c r="D32" s="23"/>
      <c r="E32" s="36">
        <v>912.61</v>
      </c>
      <c r="F32" s="37">
        <v>2.1499999999999998E-2</v>
      </c>
      <c r="G32" s="21"/>
    </row>
    <row r="33" spans="1:7" x14ac:dyDescent="0.35">
      <c r="A33" s="13" t="s">
        <v>258</v>
      </c>
      <c r="B33" s="41"/>
      <c r="C33" s="41"/>
      <c r="D33" s="15"/>
      <c r="E33" s="16">
        <v>0.25874170000000002</v>
      </c>
      <c r="F33" s="17">
        <v>6.0000000000000002E-6</v>
      </c>
      <c r="G33" s="17"/>
    </row>
    <row r="34" spans="1:7" x14ac:dyDescent="0.35">
      <c r="A34" s="13" t="s">
        <v>259</v>
      </c>
      <c r="B34" s="41"/>
      <c r="C34" s="41"/>
      <c r="D34" s="15"/>
      <c r="E34" s="16">
        <v>35.371258300000001</v>
      </c>
      <c r="F34" s="17">
        <v>8.9400000000000005E-4</v>
      </c>
      <c r="G34" s="17">
        <v>5.1742000000000003E-2</v>
      </c>
    </row>
    <row r="35" spans="1:7" x14ac:dyDescent="0.35">
      <c r="A35" s="38" t="s">
        <v>260</v>
      </c>
      <c r="B35" s="44"/>
      <c r="C35" s="44"/>
      <c r="D35" s="39"/>
      <c r="E35" s="24">
        <v>42482.18</v>
      </c>
      <c r="F35" s="25">
        <v>1</v>
      </c>
      <c r="G35" s="25"/>
    </row>
    <row r="40" spans="1:7" x14ac:dyDescent="0.35">
      <c r="A40" s="1" t="s">
        <v>263</v>
      </c>
    </row>
    <row r="41" spans="1:7" x14ac:dyDescent="0.35">
      <c r="A41" s="47" t="s">
        <v>264</v>
      </c>
      <c r="B41" s="3" t="s">
        <v>146</v>
      </c>
    </row>
    <row r="42" spans="1:7" x14ac:dyDescent="0.35">
      <c r="A42" t="s">
        <v>265</v>
      </c>
    </row>
    <row r="43" spans="1:7" x14ac:dyDescent="0.35">
      <c r="A43" t="s">
        <v>266</v>
      </c>
      <c r="B43" t="s">
        <v>267</v>
      </c>
      <c r="C43" t="s">
        <v>267</v>
      </c>
    </row>
    <row r="44" spans="1:7" x14ac:dyDescent="0.35">
      <c r="B44" s="49">
        <v>46022</v>
      </c>
      <c r="C44" s="49">
        <v>46052</v>
      </c>
    </row>
    <row r="45" spans="1:7" x14ac:dyDescent="0.35">
      <c r="A45" t="s">
        <v>752</v>
      </c>
      <c r="B45">
        <v>11.3124</v>
      </c>
      <c r="C45">
        <v>11.682399999999999</v>
      </c>
    </row>
    <row r="46" spans="1:7" x14ac:dyDescent="0.35">
      <c r="A46" t="s">
        <v>273</v>
      </c>
      <c r="B46">
        <v>11.3124</v>
      </c>
      <c r="C46">
        <v>11.682399999999999</v>
      </c>
    </row>
    <row r="47" spans="1:7" x14ac:dyDescent="0.35">
      <c r="A47" t="s">
        <v>753</v>
      </c>
      <c r="B47">
        <v>11.2615</v>
      </c>
      <c r="C47">
        <v>11.6172</v>
      </c>
    </row>
    <row r="48" spans="1:7" x14ac:dyDescent="0.35">
      <c r="A48" t="s">
        <v>709</v>
      </c>
      <c r="B48">
        <v>11.2615</v>
      </c>
      <c r="C48">
        <v>11.6172</v>
      </c>
    </row>
    <row r="50" spans="1:4" x14ac:dyDescent="0.35">
      <c r="A50" t="s">
        <v>283</v>
      </c>
      <c r="B50" s="3" t="s">
        <v>146</v>
      </c>
    </row>
    <row r="51" spans="1:4" x14ac:dyDescent="0.35">
      <c r="A51" t="s">
        <v>284</v>
      </c>
      <c r="B51" s="3" t="s">
        <v>146</v>
      </c>
    </row>
    <row r="52" spans="1:4" ht="29" customHeight="1" x14ac:dyDescent="0.35">
      <c r="A52" s="47" t="s">
        <v>285</v>
      </c>
      <c r="B52" s="3" t="s">
        <v>146</v>
      </c>
    </row>
    <row r="53" spans="1:4" ht="29" customHeight="1" x14ac:dyDescent="0.35">
      <c r="A53" s="47" t="s">
        <v>286</v>
      </c>
      <c r="B53" s="3" t="s">
        <v>146</v>
      </c>
    </row>
    <row r="54" spans="1:4" x14ac:dyDescent="0.35">
      <c r="A54" t="s">
        <v>1253</v>
      </c>
      <c r="B54" s="48">
        <v>7.6799999999999993E-2</v>
      </c>
    </row>
    <row r="55" spans="1:4" ht="43.5" customHeight="1" x14ac:dyDescent="0.35">
      <c r="A55" s="47" t="s">
        <v>887</v>
      </c>
      <c r="B55" s="3" t="s">
        <v>146</v>
      </c>
    </row>
    <row r="56" spans="1:4" x14ac:dyDescent="0.35">
      <c r="B56" s="3"/>
    </row>
    <row r="57" spans="1:4" ht="29" customHeight="1" x14ac:dyDescent="0.35">
      <c r="A57" s="47" t="s">
        <v>888</v>
      </c>
      <c r="B57" s="3" t="s">
        <v>146</v>
      </c>
    </row>
    <row r="58" spans="1:4" ht="29" customHeight="1" x14ac:dyDescent="0.35">
      <c r="A58" s="47" t="s">
        <v>889</v>
      </c>
      <c r="B58" t="s">
        <v>146</v>
      </c>
    </row>
    <row r="59" spans="1:4" ht="29" customHeight="1" x14ac:dyDescent="0.35">
      <c r="A59" s="47" t="s">
        <v>890</v>
      </c>
      <c r="B59" s="3" t="s">
        <v>146</v>
      </c>
    </row>
    <row r="60" spans="1:4" ht="29" customHeight="1" x14ac:dyDescent="0.35">
      <c r="A60" s="47" t="s">
        <v>891</v>
      </c>
      <c r="B60" s="3" t="s">
        <v>146</v>
      </c>
    </row>
    <row r="62" spans="1:4" ht="70" customHeight="1" x14ac:dyDescent="0.35">
      <c r="A62" s="70" t="s">
        <v>303</v>
      </c>
      <c r="B62" s="70" t="s">
        <v>304</v>
      </c>
      <c r="C62" s="70" t="s">
        <v>4</v>
      </c>
      <c r="D62" s="70" t="s">
        <v>5</v>
      </c>
    </row>
    <row r="63" spans="1:4" ht="70" customHeight="1" x14ac:dyDescent="0.35">
      <c r="A63" s="70" t="s">
        <v>2523</v>
      </c>
      <c r="B63" s="70"/>
      <c r="C63" s="70" t="s">
        <v>96</v>
      </c>
      <c r="D63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G96"/>
  <sheetViews>
    <sheetView showGridLines="0" workbookViewId="0">
      <pane ySplit="4" topLeftCell="A37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2524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2525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21979</v>
      </c>
      <c r="E8" s="16">
        <v>204.24</v>
      </c>
      <c r="F8" s="17">
        <v>0.12280000000000001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10263</v>
      </c>
      <c r="E9" s="16">
        <v>139.06</v>
      </c>
      <c r="F9" s="17">
        <v>8.3599999999999994E-2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9701</v>
      </c>
      <c r="E10" s="16">
        <v>135.37</v>
      </c>
      <c r="F10" s="17">
        <v>8.14E-2</v>
      </c>
      <c r="G10" s="17"/>
    </row>
    <row r="11" spans="1:7" x14ac:dyDescent="0.35">
      <c r="A11" s="13" t="s">
        <v>1367</v>
      </c>
      <c r="B11" s="41" t="s">
        <v>1368</v>
      </c>
      <c r="C11" s="41" t="s">
        <v>1369</v>
      </c>
      <c r="D11" s="15">
        <v>5031</v>
      </c>
      <c r="E11" s="16">
        <v>82.56</v>
      </c>
      <c r="F11" s="17">
        <v>4.9599999999999998E-2</v>
      </c>
      <c r="G11" s="17"/>
    </row>
    <row r="12" spans="1:7" x14ac:dyDescent="0.35">
      <c r="A12" s="13" t="s">
        <v>1196</v>
      </c>
      <c r="B12" s="41" t="s">
        <v>1197</v>
      </c>
      <c r="C12" s="41" t="s">
        <v>1198</v>
      </c>
      <c r="D12" s="15">
        <v>4003</v>
      </c>
      <c r="E12" s="16">
        <v>78.81</v>
      </c>
      <c r="F12" s="17">
        <v>4.7399999999999998E-2</v>
      </c>
      <c r="G12" s="17"/>
    </row>
    <row r="13" spans="1:7" x14ac:dyDescent="0.35">
      <c r="A13" s="13" t="s">
        <v>1385</v>
      </c>
      <c r="B13" s="41" t="s">
        <v>1386</v>
      </c>
      <c r="C13" s="41" t="s">
        <v>1387</v>
      </c>
      <c r="D13" s="15">
        <v>1687</v>
      </c>
      <c r="E13" s="16">
        <v>66.34</v>
      </c>
      <c r="F13" s="17">
        <v>3.9899999999999998E-2</v>
      </c>
      <c r="G13" s="17"/>
    </row>
    <row r="14" spans="1:7" x14ac:dyDescent="0.35">
      <c r="A14" s="13" t="s">
        <v>1176</v>
      </c>
      <c r="B14" s="41" t="s">
        <v>1177</v>
      </c>
      <c r="C14" s="41" t="s">
        <v>1178</v>
      </c>
      <c r="D14" s="15">
        <v>5961</v>
      </c>
      <c r="E14" s="16">
        <v>64.209999999999994</v>
      </c>
      <c r="F14" s="17">
        <v>3.8600000000000002E-2</v>
      </c>
      <c r="G14" s="17"/>
    </row>
    <row r="15" spans="1:7" x14ac:dyDescent="0.35">
      <c r="A15" s="13" t="s">
        <v>1262</v>
      </c>
      <c r="B15" s="41" t="s">
        <v>1263</v>
      </c>
      <c r="C15" s="41" t="s">
        <v>1178</v>
      </c>
      <c r="D15" s="15">
        <v>4118</v>
      </c>
      <c r="E15" s="16">
        <v>56.43</v>
      </c>
      <c r="F15" s="17">
        <v>3.39E-2</v>
      </c>
      <c r="G15" s="17"/>
    </row>
    <row r="16" spans="1:7" x14ac:dyDescent="0.35">
      <c r="A16" s="13" t="s">
        <v>1478</v>
      </c>
      <c r="B16" s="41" t="s">
        <v>1479</v>
      </c>
      <c r="C16" s="41" t="s">
        <v>1369</v>
      </c>
      <c r="D16" s="15">
        <v>1467</v>
      </c>
      <c r="E16" s="16">
        <v>45.83</v>
      </c>
      <c r="F16" s="17">
        <v>2.76E-2</v>
      </c>
      <c r="G16" s="17"/>
    </row>
    <row r="17" spans="1:7" x14ac:dyDescent="0.35">
      <c r="A17" s="13" t="s">
        <v>1273</v>
      </c>
      <c r="B17" s="41" t="s">
        <v>1274</v>
      </c>
      <c r="C17" s="41" t="s">
        <v>1275</v>
      </c>
      <c r="D17" s="15">
        <v>13847</v>
      </c>
      <c r="E17" s="16">
        <v>44.61</v>
      </c>
      <c r="F17" s="17">
        <v>2.6800000000000001E-2</v>
      </c>
      <c r="G17" s="17"/>
    </row>
    <row r="18" spans="1:7" x14ac:dyDescent="0.35">
      <c r="A18" s="13" t="s">
        <v>1295</v>
      </c>
      <c r="B18" s="41" t="s">
        <v>1296</v>
      </c>
      <c r="C18" s="41" t="s">
        <v>1188</v>
      </c>
      <c r="D18" s="15">
        <v>1283</v>
      </c>
      <c r="E18" s="16">
        <v>44.03</v>
      </c>
      <c r="F18" s="17">
        <v>2.6499999999999999E-2</v>
      </c>
      <c r="G18" s="17"/>
    </row>
    <row r="19" spans="1:7" x14ac:dyDescent="0.35">
      <c r="A19" s="13" t="s">
        <v>1235</v>
      </c>
      <c r="B19" s="41" t="s">
        <v>1236</v>
      </c>
      <c r="C19" s="41" t="s">
        <v>1178</v>
      </c>
      <c r="D19" s="15">
        <v>10565</v>
      </c>
      <c r="E19" s="16">
        <v>43.11</v>
      </c>
      <c r="F19" s="17">
        <v>2.5899999999999999E-2</v>
      </c>
      <c r="G19" s="17"/>
    </row>
    <row r="20" spans="1:7" x14ac:dyDescent="0.35">
      <c r="A20" s="13" t="s">
        <v>1209</v>
      </c>
      <c r="B20" s="41" t="s">
        <v>1210</v>
      </c>
      <c r="C20" s="41" t="s">
        <v>1211</v>
      </c>
      <c r="D20" s="15">
        <v>3815</v>
      </c>
      <c r="E20" s="16">
        <v>35.47</v>
      </c>
      <c r="F20" s="17">
        <v>2.1299999999999999E-2</v>
      </c>
      <c r="G20" s="17"/>
    </row>
    <row r="21" spans="1:7" x14ac:dyDescent="0.35">
      <c r="A21" s="13" t="s">
        <v>1488</v>
      </c>
      <c r="B21" s="41" t="s">
        <v>1489</v>
      </c>
      <c r="C21" s="41" t="s">
        <v>1275</v>
      </c>
      <c r="D21" s="15">
        <v>1275</v>
      </c>
      <c r="E21" s="16">
        <v>30.26</v>
      </c>
      <c r="F21" s="17">
        <v>1.8200000000000001E-2</v>
      </c>
      <c r="G21" s="17"/>
    </row>
    <row r="22" spans="1:7" x14ac:dyDescent="0.35">
      <c r="A22" s="13" t="s">
        <v>1264</v>
      </c>
      <c r="B22" s="41" t="s">
        <v>1265</v>
      </c>
      <c r="C22" s="41" t="s">
        <v>1266</v>
      </c>
      <c r="D22" s="15">
        <v>10319</v>
      </c>
      <c r="E22" s="16">
        <v>28.23</v>
      </c>
      <c r="F22" s="17">
        <v>1.7000000000000001E-2</v>
      </c>
      <c r="G22" s="17"/>
    </row>
    <row r="23" spans="1:7" x14ac:dyDescent="0.35">
      <c r="A23" s="13" t="s">
        <v>1186</v>
      </c>
      <c r="B23" s="41" t="s">
        <v>1187</v>
      </c>
      <c r="C23" s="41" t="s">
        <v>1188</v>
      </c>
      <c r="D23" s="15">
        <v>189</v>
      </c>
      <c r="E23" s="16">
        <v>27.59</v>
      </c>
      <c r="F23" s="17">
        <v>1.66E-2</v>
      </c>
      <c r="G23" s="17"/>
    </row>
    <row r="24" spans="1:7" x14ac:dyDescent="0.35">
      <c r="A24" s="13" t="s">
        <v>1502</v>
      </c>
      <c r="B24" s="41" t="s">
        <v>1503</v>
      </c>
      <c r="C24" s="41" t="s">
        <v>1369</v>
      </c>
      <c r="D24" s="15">
        <v>1516</v>
      </c>
      <c r="E24" s="16">
        <v>25.71</v>
      </c>
      <c r="F24" s="17">
        <v>1.55E-2</v>
      </c>
      <c r="G24" s="17"/>
    </row>
    <row r="25" spans="1:7" x14ac:dyDescent="0.35">
      <c r="A25" s="13" t="s">
        <v>1237</v>
      </c>
      <c r="B25" s="41" t="s">
        <v>1238</v>
      </c>
      <c r="C25" s="41" t="s">
        <v>1234</v>
      </c>
      <c r="D25" s="15">
        <v>1521</v>
      </c>
      <c r="E25" s="16">
        <v>24.26</v>
      </c>
      <c r="F25" s="17">
        <v>1.46E-2</v>
      </c>
      <c r="G25" s="17"/>
    </row>
    <row r="26" spans="1:7" x14ac:dyDescent="0.35">
      <c r="A26" s="13" t="s">
        <v>1351</v>
      </c>
      <c r="B26" s="41" t="s">
        <v>1352</v>
      </c>
      <c r="C26" s="41" t="s">
        <v>1305</v>
      </c>
      <c r="D26" s="15">
        <v>6812</v>
      </c>
      <c r="E26" s="16">
        <v>24.25</v>
      </c>
      <c r="F26" s="17">
        <v>1.46E-2</v>
      </c>
      <c r="G26" s="17"/>
    </row>
    <row r="27" spans="1:7" x14ac:dyDescent="0.35">
      <c r="A27" s="13" t="s">
        <v>1199</v>
      </c>
      <c r="B27" s="41" t="s">
        <v>1200</v>
      </c>
      <c r="C27" s="41" t="s">
        <v>1201</v>
      </c>
      <c r="D27" s="15">
        <v>593</v>
      </c>
      <c r="E27" s="16">
        <v>23.59</v>
      </c>
      <c r="F27" s="17">
        <v>1.4200000000000001E-2</v>
      </c>
      <c r="G27" s="17"/>
    </row>
    <row r="28" spans="1:7" x14ac:dyDescent="0.35">
      <c r="A28" s="13" t="s">
        <v>1289</v>
      </c>
      <c r="B28" s="41" t="s">
        <v>1290</v>
      </c>
      <c r="C28" s="41" t="s">
        <v>1285</v>
      </c>
      <c r="D28" s="15">
        <v>5147</v>
      </c>
      <c r="E28" s="16">
        <v>23.11</v>
      </c>
      <c r="F28" s="17">
        <v>1.3899999999999999E-2</v>
      </c>
      <c r="G28" s="17"/>
    </row>
    <row r="29" spans="1:7" x14ac:dyDescent="0.35">
      <c r="A29" s="13" t="s">
        <v>1310</v>
      </c>
      <c r="B29" s="41" t="s">
        <v>1311</v>
      </c>
      <c r="C29" s="41" t="s">
        <v>1261</v>
      </c>
      <c r="D29" s="15">
        <v>11876</v>
      </c>
      <c r="E29" s="16">
        <v>22.94</v>
      </c>
      <c r="F29" s="17">
        <v>1.38E-2</v>
      </c>
      <c r="G29" s="17"/>
    </row>
    <row r="30" spans="1:7" x14ac:dyDescent="0.35">
      <c r="A30" s="13" t="s">
        <v>1222</v>
      </c>
      <c r="B30" s="41" t="s">
        <v>1223</v>
      </c>
      <c r="C30" s="41" t="s">
        <v>1224</v>
      </c>
      <c r="D30" s="15">
        <v>170</v>
      </c>
      <c r="E30" s="16">
        <v>21.58</v>
      </c>
      <c r="F30" s="17">
        <v>1.2999999999999999E-2</v>
      </c>
      <c r="G30" s="17"/>
    </row>
    <row r="31" spans="1:7" x14ac:dyDescent="0.35">
      <c r="A31" s="13" t="s">
        <v>1314</v>
      </c>
      <c r="B31" s="41" t="s">
        <v>1315</v>
      </c>
      <c r="C31" s="41" t="s">
        <v>1211</v>
      </c>
      <c r="D31" s="15">
        <v>2012</v>
      </c>
      <c r="E31" s="16">
        <v>20.52</v>
      </c>
      <c r="F31" s="17">
        <v>1.23E-2</v>
      </c>
      <c r="G31" s="17"/>
    </row>
    <row r="32" spans="1:7" x14ac:dyDescent="0.35">
      <c r="A32" s="13" t="s">
        <v>1472</v>
      </c>
      <c r="B32" s="41" t="s">
        <v>1473</v>
      </c>
      <c r="C32" s="41" t="s">
        <v>1419</v>
      </c>
      <c r="D32" s="15">
        <v>2079</v>
      </c>
      <c r="E32" s="16">
        <v>20.010000000000002</v>
      </c>
      <c r="F32" s="17">
        <v>1.2E-2</v>
      </c>
      <c r="G32" s="17"/>
    </row>
    <row r="33" spans="1:7" x14ac:dyDescent="0.35">
      <c r="A33" s="13" t="s">
        <v>2005</v>
      </c>
      <c r="B33" s="41" t="s">
        <v>2006</v>
      </c>
      <c r="C33" s="41" t="s">
        <v>1305</v>
      </c>
      <c r="D33" s="15">
        <v>6508</v>
      </c>
      <c r="E33" s="16">
        <v>16.690000000000001</v>
      </c>
      <c r="F33" s="17">
        <v>0.01</v>
      </c>
      <c r="G33" s="17"/>
    </row>
    <row r="34" spans="1:7" x14ac:dyDescent="0.35">
      <c r="A34" s="13" t="s">
        <v>1259</v>
      </c>
      <c r="B34" s="41" t="s">
        <v>1260</v>
      </c>
      <c r="C34" s="41" t="s">
        <v>1261</v>
      </c>
      <c r="D34" s="15">
        <v>1350</v>
      </c>
      <c r="E34" s="16">
        <v>16.39</v>
      </c>
      <c r="F34" s="17">
        <v>9.9000000000000008E-3</v>
      </c>
      <c r="G34" s="17"/>
    </row>
    <row r="35" spans="1:7" x14ac:dyDescent="0.35">
      <c r="A35" s="13" t="s">
        <v>1230</v>
      </c>
      <c r="B35" s="41" t="s">
        <v>1231</v>
      </c>
      <c r="C35" s="41" t="s">
        <v>1211</v>
      </c>
      <c r="D35" s="15">
        <v>822</v>
      </c>
      <c r="E35" s="16">
        <v>16.05</v>
      </c>
      <c r="F35" s="17">
        <v>9.7000000000000003E-3</v>
      </c>
      <c r="G35" s="17"/>
    </row>
    <row r="36" spans="1:7" x14ac:dyDescent="0.35">
      <c r="A36" s="13" t="s">
        <v>1394</v>
      </c>
      <c r="B36" s="41" t="s">
        <v>1395</v>
      </c>
      <c r="C36" s="41" t="s">
        <v>1369</v>
      </c>
      <c r="D36" s="15">
        <v>912</v>
      </c>
      <c r="E36" s="16">
        <v>15.9</v>
      </c>
      <c r="F36" s="17">
        <v>9.5999999999999992E-3</v>
      </c>
      <c r="G36" s="17"/>
    </row>
    <row r="37" spans="1:7" x14ac:dyDescent="0.35">
      <c r="A37" s="13" t="s">
        <v>1217</v>
      </c>
      <c r="B37" s="41" t="s">
        <v>1218</v>
      </c>
      <c r="C37" s="41" t="s">
        <v>1201</v>
      </c>
      <c r="D37" s="15">
        <v>650</v>
      </c>
      <c r="E37" s="16">
        <v>15.78</v>
      </c>
      <c r="F37" s="17">
        <v>9.4999999999999998E-3</v>
      </c>
      <c r="G37" s="17"/>
    </row>
    <row r="38" spans="1:7" x14ac:dyDescent="0.35">
      <c r="A38" s="13" t="s">
        <v>1243</v>
      </c>
      <c r="B38" s="41" t="s">
        <v>1244</v>
      </c>
      <c r="C38" s="41" t="s">
        <v>1224</v>
      </c>
      <c r="D38" s="15">
        <v>549</v>
      </c>
      <c r="E38" s="16">
        <v>15.48</v>
      </c>
      <c r="F38" s="17">
        <v>9.2999999999999992E-3</v>
      </c>
      <c r="G38" s="17"/>
    </row>
    <row r="39" spans="1:7" x14ac:dyDescent="0.35">
      <c r="A39" s="13" t="s">
        <v>1508</v>
      </c>
      <c r="B39" s="41" t="s">
        <v>1509</v>
      </c>
      <c r="C39" s="41" t="s">
        <v>1188</v>
      </c>
      <c r="D39" s="15">
        <v>159</v>
      </c>
      <c r="E39" s="16">
        <v>15.26</v>
      </c>
      <c r="F39" s="17">
        <v>9.1999999999999998E-3</v>
      </c>
      <c r="G39" s="17"/>
    </row>
    <row r="40" spans="1:7" x14ac:dyDescent="0.35">
      <c r="A40" s="13" t="s">
        <v>1396</v>
      </c>
      <c r="B40" s="41" t="s">
        <v>1397</v>
      </c>
      <c r="C40" s="41" t="s">
        <v>1398</v>
      </c>
      <c r="D40" s="15">
        <v>1060</v>
      </c>
      <c r="E40" s="16">
        <v>15.05</v>
      </c>
      <c r="F40" s="17">
        <v>8.9999999999999993E-3</v>
      </c>
      <c r="G40" s="17"/>
    </row>
    <row r="41" spans="1:7" x14ac:dyDescent="0.35">
      <c r="A41" s="13" t="s">
        <v>1299</v>
      </c>
      <c r="B41" s="41" t="s">
        <v>1300</v>
      </c>
      <c r="C41" s="41" t="s">
        <v>1301</v>
      </c>
      <c r="D41" s="15">
        <v>5581</v>
      </c>
      <c r="E41" s="16">
        <v>15.01</v>
      </c>
      <c r="F41" s="17">
        <v>8.9999999999999993E-3</v>
      </c>
      <c r="G41" s="17"/>
    </row>
    <row r="42" spans="1:7" x14ac:dyDescent="0.35">
      <c r="A42" s="13" t="s">
        <v>1343</v>
      </c>
      <c r="B42" s="41" t="s">
        <v>1344</v>
      </c>
      <c r="C42" s="41" t="s">
        <v>1345</v>
      </c>
      <c r="D42" s="15">
        <v>325</v>
      </c>
      <c r="E42" s="16">
        <v>14.94</v>
      </c>
      <c r="F42" s="17">
        <v>8.9999999999999993E-3</v>
      </c>
      <c r="G42" s="17"/>
    </row>
    <row r="43" spans="1:7" x14ac:dyDescent="0.35">
      <c r="A43" s="13" t="s">
        <v>2068</v>
      </c>
      <c r="B43" s="41" t="s">
        <v>2069</v>
      </c>
      <c r="C43" s="41" t="s">
        <v>2070</v>
      </c>
      <c r="D43" s="15">
        <v>3262</v>
      </c>
      <c r="E43" s="16">
        <v>14.38</v>
      </c>
      <c r="F43" s="17">
        <v>8.6E-3</v>
      </c>
      <c r="G43" s="17"/>
    </row>
    <row r="44" spans="1:7" x14ac:dyDescent="0.35">
      <c r="A44" s="13" t="s">
        <v>1194</v>
      </c>
      <c r="B44" s="41" t="s">
        <v>1195</v>
      </c>
      <c r="C44" s="41" t="s">
        <v>1188</v>
      </c>
      <c r="D44" s="15">
        <v>198</v>
      </c>
      <c r="E44" s="16">
        <v>14.1</v>
      </c>
      <c r="F44" s="17">
        <v>8.5000000000000006E-3</v>
      </c>
      <c r="G44" s="17"/>
    </row>
    <row r="45" spans="1:7" x14ac:dyDescent="0.35">
      <c r="A45" s="13" t="s">
        <v>1189</v>
      </c>
      <c r="B45" s="41" t="s">
        <v>1190</v>
      </c>
      <c r="C45" s="41" t="s">
        <v>1191</v>
      </c>
      <c r="D45" s="15">
        <v>1030</v>
      </c>
      <c r="E45" s="16">
        <v>13.72</v>
      </c>
      <c r="F45" s="17">
        <v>8.3000000000000001E-3</v>
      </c>
      <c r="G45" s="17"/>
    </row>
    <row r="46" spans="1:7" x14ac:dyDescent="0.35">
      <c r="A46" s="13" t="s">
        <v>1183</v>
      </c>
      <c r="B46" s="41" t="s">
        <v>1184</v>
      </c>
      <c r="C46" s="41" t="s">
        <v>1185</v>
      </c>
      <c r="D46" s="15">
        <v>645</v>
      </c>
      <c r="E46" s="16">
        <v>12.89</v>
      </c>
      <c r="F46" s="17">
        <v>7.7999999999999996E-3</v>
      </c>
      <c r="G46" s="17"/>
    </row>
    <row r="47" spans="1:7" x14ac:dyDescent="0.35">
      <c r="A47" s="13" t="s">
        <v>1459</v>
      </c>
      <c r="B47" s="41" t="s">
        <v>1460</v>
      </c>
      <c r="C47" s="41" t="s">
        <v>1266</v>
      </c>
      <c r="D47" s="15">
        <v>319</v>
      </c>
      <c r="E47" s="16">
        <v>12.08</v>
      </c>
      <c r="F47" s="17">
        <v>7.3000000000000001E-3</v>
      </c>
      <c r="G47" s="17"/>
    </row>
    <row r="48" spans="1:7" x14ac:dyDescent="0.35">
      <c r="A48" s="13" t="s">
        <v>1308</v>
      </c>
      <c r="B48" s="41" t="s">
        <v>1309</v>
      </c>
      <c r="C48" s="41" t="s">
        <v>1211</v>
      </c>
      <c r="D48" s="15">
        <v>4710</v>
      </c>
      <c r="E48" s="16">
        <v>11.99</v>
      </c>
      <c r="F48" s="17">
        <v>7.1999999999999998E-3</v>
      </c>
      <c r="G48" s="17"/>
    </row>
    <row r="49" spans="1:7" x14ac:dyDescent="0.35">
      <c r="A49" s="13" t="s">
        <v>1207</v>
      </c>
      <c r="B49" s="41" t="s">
        <v>1208</v>
      </c>
      <c r="C49" s="41" t="s">
        <v>1185</v>
      </c>
      <c r="D49" s="15">
        <v>1544</v>
      </c>
      <c r="E49" s="16">
        <v>11.29</v>
      </c>
      <c r="F49" s="17">
        <v>6.7999999999999996E-3</v>
      </c>
      <c r="G49" s="17"/>
    </row>
    <row r="50" spans="1:7" x14ac:dyDescent="0.35">
      <c r="A50" s="13" t="s">
        <v>2183</v>
      </c>
      <c r="B50" s="41" t="s">
        <v>2184</v>
      </c>
      <c r="C50" s="41" t="s">
        <v>1234</v>
      </c>
      <c r="D50" s="15">
        <v>808</v>
      </c>
      <c r="E50" s="16">
        <v>10.7</v>
      </c>
      <c r="F50" s="17">
        <v>6.4000000000000003E-3</v>
      </c>
      <c r="G50" s="17"/>
    </row>
    <row r="51" spans="1:7" x14ac:dyDescent="0.35">
      <c r="A51" s="13" t="s">
        <v>1239</v>
      </c>
      <c r="B51" s="41" t="s">
        <v>1240</v>
      </c>
      <c r="C51" s="41" t="s">
        <v>1234</v>
      </c>
      <c r="D51" s="15">
        <v>876</v>
      </c>
      <c r="E51" s="16">
        <v>10.67</v>
      </c>
      <c r="F51" s="17">
        <v>6.4000000000000003E-3</v>
      </c>
      <c r="G51" s="17"/>
    </row>
    <row r="52" spans="1:7" x14ac:dyDescent="0.35">
      <c r="A52" s="13" t="s">
        <v>1214</v>
      </c>
      <c r="B52" s="41" t="s">
        <v>1215</v>
      </c>
      <c r="C52" s="41" t="s">
        <v>1216</v>
      </c>
      <c r="D52" s="15">
        <v>936</v>
      </c>
      <c r="E52" s="16">
        <v>10.61</v>
      </c>
      <c r="F52" s="17">
        <v>6.4000000000000003E-3</v>
      </c>
      <c r="G52" s="17"/>
    </row>
    <row r="53" spans="1:7" x14ac:dyDescent="0.35">
      <c r="A53" s="13" t="s">
        <v>1516</v>
      </c>
      <c r="B53" s="41" t="s">
        <v>1517</v>
      </c>
      <c r="C53" s="41" t="s">
        <v>1188</v>
      </c>
      <c r="D53" s="15">
        <v>3004</v>
      </c>
      <c r="E53" s="16">
        <v>10.52</v>
      </c>
      <c r="F53" s="17">
        <v>6.3E-3</v>
      </c>
      <c r="G53" s="17"/>
    </row>
    <row r="54" spans="1:7" x14ac:dyDescent="0.35">
      <c r="A54" s="13" t="s">
        <v>1227</v>
      </c>
      <c r="B54" s="41" t="s">
        <v>1228</v>
      </c>
      <c r="C54" s="41" t="s">
        <v>1229</v>
      </c>
      <c r="D54" s="15">
        <v>148</v>
      </c>
      <c r="E54" s="16">
        <v>10.3</v>
      </c>
      <c r="F54" s="17">
        <v>6.1999999999999998E-3</v>
      </c>
      <c r="G54" s="17"/>
    </row>
    <row r="55" spans="1:7" x14ac:dyDescent="0.35">
      <c r="A55" s="13" t="s">
        <v>1449</v>
      </c>
      <c r="B55" s="41" t="s">
        <v>1450</v>
      </c>
      <c r="C55" s="41" t="s">
        <v>1229</v>
      </c>
      <c r="D55" s="15">
        <v>1069</v>
      </c>
      <c r="E55" s="16">
        <v>10.23</v>
      </c>
      <c r="F55" s="17">
        <v>6.1000000000000004E-3</v>
      </c>
      <c r="G55" s="17"/>
    </row>
    <row r="56" spans="1:7" x14ac:dyDescent="0.35">
      <c r="A56" s="13" t="s">
        <v>2171</v>
      </c>
      <c r="B56" s="41" t="s">
        <v>2172</v>
      </c>
      <c r="C56" s="41" t="s">
        <v>1369</v>
      </c>
      <c r="D56" s="15">
        <v>4102</v>
      </c>
      <c r="E56" s="16">
        <v>9.7200000000000006</v>
      </c>
      <c r="F56" s="17">
        <v>5.7999999999999996E-3</v>
      </c>
      <c r="G56" s="17"/>
    </row>
    <row r="57" spans="1:7" x14ac:dyDescent="0.35">
      <c r="A57" s="13" t="s">
        <v>1340</v>
      </c>
      <c r="B57" s="41" t="s">
        <v>2187</v>
      </c>
      <c r="C57" s="41" t="s">
        <v>1342</v>
      </c>
      <c r="D57" s="15">
        <v>374</v>
      </c>
      <c r="E57" s="16">
        <v>7.56</v>
      </c>
      <c r="F57" s="17">
        <v>4.4999999999999997E-3</v>
      </c>
      <c r="G57" s="17"/>
    </row>
    <row r="58" spans="1:7" x14ac:dyDescent="0.35">
      <c r="A58" s="13" t="s">
        <v>1843</v>
      </c>
      <c r="B58" s="41" t="s">
        <v>1844</v>
      </c>
      <c r="C58" s="41" t="s">
        <v>1191</v>
      </c>
      <c r="D58" s="15">
        <v>1196</v>
      </c>
      <c r="E58" s="16">
        <v>0.43</v>
      </c>
      <c r="F58" s="17">
        <v>2.9999999999999997E-4</v>
      </c>
      <c r="G58" s="17"/>
    </row>
    <row r="59" spans="1:7" x14ac:dyDescent="0.35">
      <c r="A59" s="14" t="s">
        <v>149</v>
      </c>
      <c r="B59" s="42"/>
      <c r="C59" s="42"/>
      <c r="D59" s="18"/>
      <c r="E59" s="19">
        <f>SUM(E8:E58)</f>
        <v>1659.86</v>
      </c>
      <c r="F59" s="20">
        <f>SUM(F8:F58)</f>
        <v>0.99809999999999965</v>
      </c>
      <c r="G59" s="21"/>
    </row>
    <row r="60" spans="1:7" x14ac:dyDescent="0.35">
      <c r="A60" s="13"/>
      <c r="B60" s="41"/>
      <c r="C60" s="41"/>
      <c r="D60" s="15"/>
      <c r="E60" s="16"/>
      <c r="F60" s="17"/>
      <c r="G60" s="17"/>
    </row>
    <row r="61" spans="1:7" x14ac:dyDescent="0.35">
      <c r="A61" s="22" t="s">
        <v>160</v>
      </c>
      <c r="B61" s="43"/>
      <c r="C61" s="43"/>
      <c r="D61" s="23"/>
      <c r="E61" s="24">
        <v>1659.86</v>
      </c>
      <c r="F61" s="25">
        <v>0.99809999999999965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3"/>
      <c r="B63" s="41"/>
      <c r="C63" s="41"/>
      <c r="D63" s="15"/>
      <c r="E63" s="16"/>
      <c r="F63" s="17"/>
      <c r="G63" s="17"/>
    </row>
    <row r="64" spans="1:7" x14ac:dyDescent="0.35">
      <c r="A64" s="14" t="s">
        <v>255</v>
      </c>
      <c r="B64" s="41"/>
      <c r="C64" s="41"/>
      <c r="D64" s="15"/>
      <c r="E64" s="16"/>
      <c r="F64" s="17"/>
      <c r="G64" s="17"/>
    </row>
    <row r="65" spans="1:7" x14ac:dyDescent="0.35">
      <c r="A65" s="13" t="s">
        <v>257</v>
      </c>
      <c r="B65" s="41"/>
      <c r="C65" s="41"/>
      <c r="D65" s="15"/>
      <c r="E65" s="16">
        <v>2</v>
      </c>
      <c r="F65" s="17">
        <v>1.1999999999999999E-3</v>
      </c>
      <c r="G65" s="17">
        <v>5.1742000000000003E-2</v>
      </c>
    </row>
    <row r="66" spans="1:7" x14ac:dyDescent="0.35">
      <c r="A66" s="14" t="s">
        <v>149</v>
      </c>
      <c r="B66" s="42"/>
      <c r="C66" s="42"/>
      <c r="D66" s="18"/>
      <c r="E66" s="19">
        <v>2</v>
      </c>
      <c r="F66" s="20">
        <v>1.1999999999999999E-3</v>
      </c>
      <c r="G66" s="21"/>
    </row>
    <row r="67" spans="1:7" x14ac:dyDescent="0.35">
      <c r="A67" s="13"/>
      <c r="B67" s="41"/>
      <c r="C67" s="41"/>
      <c r="D67" s="15"/>
      <c r="E67" s="16"/>
      <c r="F67" s="17"/>
      <c r="G67" s="17"/>
    </row>
    <row r="68" spans="1:7" x14ac:dyDescent="0.35">
      <c r="A68" s="22" t="s">
        <v>160</v>
      </c>
      <c r="B68" s="43"/>
      <c r="C68" s="43"/>
      <c r="D68" s="23"/>
      <c r="E68" s="36">
        <v>2</v>
      </c>
      <c r="F68" s="37">
        <v>1.1999999999999999E-3</v>
      </c>
      <c r="G68" s="21"/>
    </row>
    <row r="69" spans="1:7" x14ac:dyDescent="0.35">
      <c r="A69" s="13" t="s">
        <v>258</v>
      </c>
      <c r="B69" s="41"/>
      <c r="C69" s="41"/>
      <c r="D69" s="15"/>
      <c r="E69" s="16">
        <v>5.6680000000000001E-4</v>
      </c>
      <c r="F69" s="17">
        <v>0</v>
      </c>
      <c r="G69" s="17"/>
    </row>
    <row r="70" spans="1:7" x14ac:dyDescent="0.35">
      <c r="A70" s="13" t="s">
        <v>259</v>
      </c>
      <c r="B70" s="41"/>
      <c r="C70" s="41"/>
      <c r="D70" s="15"/>
      <c r="E70" s="16">
        <v>1.3694332</v>
      </c>
      <c r="F70" s="17">
        <v>6.9999999999999999E-4</v>
      </c>
      <c r="G70" s="17">
        <v>5.1742000000000003E-2</v>
      </c>
    </row>
    <row r="71" spans="1:7" x14ac:dyDescent="0.35">
      <c r="A71" s="38" t="s">
        <v>260</v>
      </c>
      <c r="B71" s="44"/>
      <c r="C71" s="44"/>
      <c r="D71" s="39"/>
      <c r="E71" s="24">
        <v>1663.23</v>
      </c>
      <c r="F71" s="25">
        <v>1</v>
      </c>
      <c r="G71" s="25"/>
    </row>
    <row r="76" spans="1:7" x14ac:dyDescent="0.35">
      <c r="A76" s="1" t="s">
        <v>263</v>
      </c>
    </row>
    <row r="77" spans="1:7" x14ac:dyDescent="0.35">
      <c r="A77" s="47" t="s">
        <v>264</v>
      </c>
      <c r="B77" s="3" t="s">
        <v>146</v>
      </c>
    </row>
    <row r="78" spans="1:7" x14ac:dyDescent="0.35">
      <c r="A78" t="s">
        <v>265</v>
      </c>
    </row>
    <row r="79" spans="1:7" x14ac:dyDescent="0.35">
      <c r="A79" t="s">
        <v>2526</v>
      </c>
      <c r="B79" t="s">
        <v>267</v>
      </c>
      <c r="C79" t="s">
        <v>267</v>
      </c>
    </row>
    <row r="80" spans="1:7" x14ac:dyDescent="0.35">
      <c r="B80" s="49">
        <v>46022</v>
      </c>
      <c r="C80" s="49">
        <v>46052</v>
      </c>
    </row>
    <row r="81" spans="1:4" x14ac:dyDescent="0.35">
      <c r="A81" t="s">
        <v>753</v>
      </c>
      <c r="B81">
        <v>26.1069</v>
      </c>
      <c r="C81">
        <v>25.318000000000001</v>
      </c>
    </row>
    <row r="83" spans="1:4" x14ac:dyDescent="0.35">
      <c r="A83" t="s">
        <v>283</v>
      </c>
      <c r="B83" s="3" t="s">
        <v>146</v>
      </c>
    </row>
    <row r="84" spans="1:4" x14ac:dyDescent="0.35">
      <c r="A84" t="s">
        <v>284</v>
      </c>
      <c r="B84" s="3" t="s">
        <v>146</v>
      </c>
    </row>
    <row r="85" spans="1:4" ht="29" customHeight="1" x14ac:dyDescent="0.35">
      <c r="A85" s="47" t="s">
        <v>285</v>
      </c>
      <c r="B85" s="3" t="s">
        <v>146</v>
      </c>
    </row>
    <row r="86" spans="1:4" ht="29" customHeight="1" x14ac:dyDescent="0.35">
      <c r="A86" s="47" t="s">
        <v>286</v>
      </c>
      <c r="B86" s="3" t="s">
        <v>146</v>
      </c>
    </row>
    <row r="87" spans="1:4" x14ac:dyDescent="0.35">
      <c r="A87" t="s">
        <v>1253</v>
      </c>
      <c r="B87" s="48">
        <v>1.8E-3</v>
      </c>
    </row>
    <row r="88" spans="1:4" ht="43.5" customHeight="1" x14ac:dyDescent="0.35">
      <c r="A88" s="47" t="s">
        <v>288</v>
      </c>
      <c r="B88" s="3" t="s">
        <v>146</v>
      </c>
    </row>
    <row r="89" spans="1:4" x14ac:dyDescent="0.35">
      <c r="B89" s="3"/>
    </row>
    <row r="90" spans="1:4" ht="29" customHeight="1" x14ac:dyDescent="0.35">
      <c r="A90" s="47" t="s">
        <v>289</v>
      </c>
      <c r="B90" s="3" t="s">
        <v>146</v>
      </c>
    </row>
    <row r="91" spans="1:4" ht="29" customHeight="1" x14ac:dyDescent="0.35">
      <c r="A91" s="47" t="s">
        <v>290</v>
      </c>
      <c r="B91" t="s">
        <v>146</v>
      </c>
    </row>
    <row r="92" spans="1:4" ht="29" customHeight="1" x14ac:dyDescent="0.35">
      <c r="A92" s="47" t="s">
        <v>291</v>
      </c>
      <c r="B92" s="3" t="s">
        <v>146</v>
      </c>
    </row>
    <row r="93" spans="1:4" ht="29" customHeight="1" x14ac:dyDescent="0.35">
      <c r="A93" s="47" t="s">
        <v>292</v>
      </c>
      <c r="B93" s="3" t="s">
        <v>146</v>
      </c>
    </row>
    <row r="95" spans="1:4" ht="70" customHeight="1" x14ac:dyDescent="0.35">
      <c r="A95" s="70" t="s">
        <v>303</v>
      </c>
      <c r="B95" s="70" t="s">
        <v>304</v>
      </c>
      <c r="C95" s="70" t="s">
        <v>4</v>
      </c>
      <c r="D95" s="70" t="s">
        <v>5</v>
      </c>
    </row>
    <row r="96" spans="1:4" ht="70" customHeight="1" x14ac:dyDescent="0.35">
      <c r="A96" s="70" t="s">
        <v>2527</v>
      </c>
      <c r="B96" s="70"/>
      <c r="C96" s="70" t="s">
        <v>98</v>
      </c>
      <c r="D9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54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5.542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2528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2529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31642</v>
      </c>
      <c r="E8" s="16">
        <v>294.02999999999997</v>
      </c>
      <c r="F8" s="17">
        <v>0.21990000000000001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17906</v>
      </c>
      <c r="E9" s="16">
        <v>242.63</v>
      </c>
      <c r="F9" s="17">
        <v>0.18140000000000001</v>
      </c>
      <c r="G9" s="17"/>
    </row>
    <row r="10" spans="1:7" x14ac:dyDescent="0.35">
      <c r="A10" s="13" t="s">
        <v>1176</v>
      </c>
      <c r="B10" s="41" t="s">
        <v>1177</v>
      </c>
      <c r="C10" s="41" t="s">
        <v>1178</v>
      </c>
      <c r="D10" s="15">
        <v>12922</v>
      </c>
      <c r="E10" s="16">
        <v>139.19</v>
      </c>
      <c r="F10" s="17">
        <v>0.1041</v>
      </c>
      <c r="G10" s="17"/>
    </row>
    <row r="11" spans="1:7" x14ac:dyDescent="0.35">
      <c r="A11" s="13" t="s">
        <v>1262</v>
      </c>
      <c r="B11" s="41" t="s">
        <v>1263</v>
      </c>
      <c r="C11" s="41" t="s">
        <v>1178</v>
      </c>
      <c r="D11" s="15">
        <v>9795</v>
      </c>
      <c r="E11" s="16">
        <v>134.22999999999999</v>
      </c>
      <c r="F11" s="17">
        <v>0.1004</v>
      </c>
      <c r="G11" s="17"/>
    </row>
    <row r="12" spans="1:7" x14ac:dyDescent="0.35">
      <c r="A12" s="13" t="s">
        <v>1235</v>
      </c>
      <c r="B12" s="41" t="s">
        <v>1236</v>
      </c>
      <c r="C12" s="41" t="s">
        <v>1178</v>
      </c>
      <c r="D12" s="15">
        <v>28974</v>
      </c>
      <c r="E12" s="16">
        <v>118.21</v>
      </c>
      <c r="F12" s="17">
        <v>8.8400000000000006E-2</v>
      </c>
      <c r="G12" s="17"/>
    </row>
    <row r="13" spans="1:7" x14ac:dyDescent="0.35">
      <c r="A13" s="13" t="s">
        <v>1202</v>
      </c>
      <c r="B13" s="41" t="s">
        <v>1203</v>
      </c>
      <c r="C13" s="41" t="s">
        <v>1178</v>
      </c>
      <c r="D13" s="15">
        <v>23250</v>
      </c>
      <c r="E13" s="16">
        <v>66.900000000000006</v>
      </c>
      <c r="F13" s="17">
        <v>0.05</v>
      </c>
      <c r="G13" s="17"/>
    </row>
    <row r="14" spans="1:7" x14ac:dyDescent="0.35">
      <c r="A14" s="13" t="s">
        <v>1399</v>
      </c>
      <c r="B14" s="41" t="s">
        <v>1400</v>
      </c>
      <c r="C14" s="41" t="s">
        <v>1178</v>
      </c>
      <c r="D14" s="15">
        <v>6193</v>
      </c>
      <c r="E14" s="16">
        <v>55.5</v>
      </c>
      <c r="F14" s="17">
        <v>4.1500000000000002E-2</v>
      </c>
      <c r="G14" s="17"/>
    </row>
    <row r="15" spans="1:7" x14ac:dyDescent="0.35">
      <c r="A15" s="13" t="s">
        <v>1374</v>
      </c>
      <c r="B15" s="41" t="s">
        <v>1375</v>
      </c>
      <c r="C15" s="41" t="s">
        <v>1178</v>
      </c>
      <c r="D15" s="15">
        <v>17233</v>
      </c>
      <c r="E15" s="16">
        <v>51.6</v>
      </c>
      <c r="F15" s="17">
        <v>3.8600000000000002E-2</v>
      </c>
      <c r="G15" s="17"/>
    </row>
    <row r="16" spans="1:7" x14ac:dyDescent="0.35">
      <c r="A16" s="13" t="s">
        <v>1443</v>
      </c>
      <c r="B16" s="41" t="s">
        <v>1444</v>
      </c>
      <c r="C16" s="41" t="s">
        <v>1178</v>
      </c>
      <c r="D16" s="15">
        <v>60404</v>
      </c>
      <c r="E16" s="16">
        <v>50.49</v>
      </c>
      <c r="F16" s="17">
        <v>3.78E-2</v>
      </c>
      <c r="G16" s="17"/>
    </row>
    <row r="17" spans="1:7" x14ac:dyDescent="0.35">
      <c r="A17" s="13" t="s">
        <v>1426</v>
      </c>
      <c r="B17" s="41" t="s">
        <v>1427</v>
      </c>
      <c r="C17" s="41" t="s">
        <v>1178</v>
      </c>
      <c r="D17" s="15">
        <v>5115</v>
      </c>
      <c r="E17" s="16">
        <v>50.25</v>
      </c>
      <c r="F17" s="17">
        <v>3.7600000000000001E-2</v>
      </c>
      <c r="G17" s="17"/>
    </row>
    <row r="18" spans="1:7" x14ac:dyDescent="0.35">
      <c r="A18" s="13" t="s">
        <v>1919</v>
      </c>
      <c r="B18" s="41" t="s">
        <v>1920</v>
      </c>
      <c r="C18" s="41" t="s">
        <v>1178</v>
      </c>
      <c r="D18" s="15">
        <v>30320</v>
      </c>
      <c r="E18" s="16">
        <v>44.7</v>
      </c>
      <c r="F18" s="17">
        <v>3.3399999999999999E-2</v>
      </c>
      <c r="G18" s="17"/>
    </row>
    <row r="19" spans="1:7" x14ac:dyDescent="0.35">
      <c r="A19" s="13" t="s">
        <v>1327</v>
      </c>
      <c r="B19" s="41" t="s">
        <v>1328</v>
      </c>
      <c r="C19" s="41" t="s">
        <v>1178</v>
      </c>
      <c r="D19" s="15">
        <v>33705</v>
      </c>
      <c r="E19" s="16">
        <v>42.2</v>
      </c>
      <c r="F19" s="17">
        <v>3.1600000000000003E-2</v>
      </c>
      <c r="G19" s="17"/>
    </row>
    <row r="20" spans="1:7" x14ac:dyDescent="0.35">
      <c r="A20" s="13" t="s">
        <v>1306</v>
      </c>
      <c r="B20" s="41" t="s">
        <v>1307</v>
      </c>
      <c r="C20" s="41" t="s">
        <v>1178</v>
      </c>
      <c r="D20" s="15">
        <v>107728</v>
      </c>
      <c r="E20" s="16">
        <v>23.06</v>
      </c>
      <c r="F20" s="17">
        <v>1.72E-2</v>
      </c>
      <c r="G20" s="17"/>
    </row>
    <row r="21" spans="1:7" x14ac:dyDescent="0.35">
      <c r="A21" s="13" t="s">
        <v>1420</v>
      </c>
      <c r="B21" s="41" t="s">
        <v>1421</v>
      </c>
      <c r="C21" s="41" t="s">
        <v>1178</v>
      </c>
      <c r="D21" s="15">
        <v>12542</v>
      </c>
      <c r="E21" s="16">
        <v>22.67</v>
      </c>
      <c r="F21" s="17">
        <v>1.7000000000000001E-2</v>
      </c>
      <c r="G21" s="17"/>
    </row>
    <row r="22" spans="1:7" x14ac:dyDescent="0.35">
      <c r="A22" s="14" t="s">
        <v>149</v>
      </c>
      <c r="B22" s="42"/>
      <c r="C22" s="42"/>
      <c r="D22" s="18"/>
      <c r="E22" s="19">
        <v>1335.66</v>
      </c>
      <c r="F22" s="20">
        <v>0.99890000000000001</v>
      </c>
      <c r="G22" s="21"/>
    </row>
    <row r="23" spans="1:7" x14ac:dyDescent="0.35">
      <c r="A23" s="14" t="s">
        <v>1914</v>
      </c>
      <c r="B23" s="41"/>
      <c r="C23" s="41"/>
      <c r="D23" s="15"/>
      <c r="E23" s="16"/>
      <c r="F23" s="17"/>
      <c r="G23" s="17"/>
    </row>
    <row r="24" spans="1:7" x14ac:dyDescent="0.35">
      <c r="A24" s="14" t="s">
        <v>149</v>
      </c>
      <c r="B24" s="41"/>
      <c r="C24" s="41"/>
      <c r="D24" s="15"/>
      <c r="E24" s="34" t="s">
        <v>146</v>
      </c>
      <c r="F24" s="35" t="s">
        <v>146</v>
      </c>
      <c r="G24" s="17"/>
    </row>
    <row r="25" spans="1:7" x14ac:dyDescent="0.35">
      <c r="A25" s="22" t="s">
        <v>160</v>
      </c>
      <c r="B25" s="43"/>
      <c r="C25" s="43"/>
      <c r="D25" s="23"/>
      <c r="E25" s="24">
        <v>1335.66</v>
      </c>
      <c r="F25" s="25">
        <v>0.99890000000000001</v>
      </c>
      <c r="G25" s="21"/>
    </row>
    <row r="26" spans="1:7" x14ac:dyDescent="0.35">
      <c r="A26" s="13"/>
      <c r="B26" s="41"/>
      <c r="C26" s="41"/>
      <c r="D26" s="15"/>
      <c r="E26" s="16"/>
      <c r="F26" s="17"/>
      <c r="G26" s="17"/>
    </row>
    <row r="27" spans="1:7" x14ac:dyDescent="0.35">
      <c r="A27" s="13" t="s">
        <v>258</v>
      </c>
      <c r="B27" s="41"/>
      <c r="C27" s="41"/>
      <c r="D27" s="15"/>
      <c r="E27" s="16">
        <v>0</v>
      </c>
      <c r="F27" s="17">
        <v>0</v>
      </c>
      <c r="G27" s="17"/>
    </row>
    <row r="28" spans="1:7" x14ac:dyDescent="0.35">
      <c r="A28" s="13" t="s">
        <v>259</v>
      </c>
      <c r="B28" s="41"/>
      <c r="C28" s="41"/>
      <c r="D28" s="15"/>
      <c r="E28" s="16">
        <v>1.57</v>
      </c>
      <c r="F28" s="17">
        <v>1.1000000000000001E-3</v>
      </c>
      <c r="G28" s="17"/>
    </row>
    <row r="29" spans="1:7" x14ac:dyDescent="0.35">
      <c r="A29" s="38" t="s">
        <v>260</v>
      </c>
      <c r="B29" s="44"/>
      <c r="C29" s="44"/>
      <c r="D29" s="39"/>
      <c r="E29" s="24">
        <v>1337.23</v>
      </c>
      <c r="F29" s="25">
        <v>1</v>
      </c>
      <c r="G29" s="25"/>
    </row>
    <row r="34" spans="1:3" x14ac:dyDescent="0.35">
      <c r="A34" s="1" t="s">
        <v>263</v>
      </c>
    </row>
    <row r="35" spans="1:3" x14ac:dyDescent="0.35">
      <c r="A35" s="47" t="s">
        <v>264</v>
      </c>
      <c r="B35" s="3" t="s">
        <v>146</v>
      </c>
    </row>
    <row r="36" spans="1:3" x14ac:dyDescent="0.35">
      <c r="A36" t="s">
        <v>265</v>
      </c>
    </row>
    <row r="37" spans="1:3" x14ac:dyDescent="0.35">
      <c r="A37" t="s">
        <v>2530</v>
      </c>
      <c r="B37" t="s">
        <v>267</v>
      </c>
      <c r="C37" t="s">
        <v>267</v>
      </c>
    </row>
    <row r="38" spans="1:3" x14ac:dyDescent="0.35">
      <c r="B38" s="49">
        <v>46022</v>
      </c>
      <c r="C38" s="49">
        <v>46052</v>
      </c>
    </row>
    <row r="39" spans="1:3" x14ac:dyDescent="0.35">
      <c r="A39" t="s">
        <v>753</v>
      </c>
      <c r="B39">
        <v>59.919800000000002</v>
      </c>
      <c r="C39">
        <v>59.926699999999997</v>
      </c>
    </row>
    <row r="41" spans="1:3" x14ac:dyDescent="0.35">
      <c r="A41" t="s">
        <v>283</v>
      </c>
      <c r="B41" s="3" t="s">
        <v>146</v>
      </c>
    </row>
    <row r="42" spans="1:3" x14ac:dyDescent="0.35">
      <c r="A42" t="s">
        <v>284</v>
      </c>
      <c r="B42" s="3" t="s">
        <v>146</v>
      </c>
    </row>
    <row r="43" spans="1:3" ht="29" customHeight="1" x14ac:dyDescent="0.35">
      <c r="A43" s="47" t="s">
        <v>285</v>
      </c>
      <c r="B43" s="3" t="s">
        <v>146</v>
      </c>
    </row>
    <row r="44" spans="1:3" ht="29" customHeight="1" x14ac:dyDescent="0.35">
      <c r="A44" s="47" t="s">
        <v>286</v>
      </c>
      <c r="B44" s="3" t="s">
        <v>146</v>
      </c>
    </row>
    <row r="45" spans="1:3" x14ac:dyDescent="0.35">
      <c r="A45" t="s">
        <v>1253</v>
      </c>
      <c r="B45" s="48">
        <v>1.0643</v>
      </c>
    </row>
    <row r="46" spans="1:3" ht="43.5" customHeight="1" x14ac:dyDescent="0.35">
      <c r="A46" s="47" t="s">
        <v>288</v>
      </c>
      <c r="B46" s="3" t="s">
        <v>146</v>
      </c>
    </row>
    <row r="47" spans="1:3" x14ac:dyDescent="0.35">
      <c r="B47" s="3"/>
    </row>
    <row r="48" spans="1:3" ht="29" customHeight="1" x14ac:dyDescent="0.35">
      <c r="A48" s="47" t="s">
        <v>289</v>
      </c>
      <c r="B48" s="3" t="s">
        <v>146</v>
      </c>
    </row>
    <row r="49" spans="1:4" ht="29" customHeight="1" x14ac:dyDescent="0.35">
      <c r="A49" s="47" t="s">
        <v>290</v>
      </c>
      <c r="B49">
        <v>834.74</v>
      </c>
    </row>
    <row r="50" spans="1:4" ht="29" customHeight="1" x14ac:dyDescent="0.35">
      <c r="A50" s="47" t="s">
        <v>291</v>
      </c>
      <c r="B50" s="3" t="s">
        <v>146</v>
      </c>
    </row>
    <row r="51" spans="1:4" ht="29" customHeight="1" x14ac:dyDescent="0.35">
      <c r="A51" s="47" t="s">
        <v>292</v>
      </c>
      <c r="B51" s="3" t="s">
        <v>146</v>
      </c>
    </row>
    <row r="53" spans="1:4" ht="70" customHeight="1" x14ac:dyDescent="0.35">
      <c r="A53" s="70" t="s">
        <v>303</v>
      </c>
      <c r="B53" s="70" t="s">
        <v>304</v>
      </c>
      <c r="C53" s="70" t="s">
        <v>4</v>
      </c>
      <c r="D53" s="70" t="s">
        <v>5</v>
      </c>
    </row>
    <row r="54" spans="1:4" ht="70" customHeight="1" x14ac:dyDescent="0.35">
      <c r="A54" s="70" t="s">
        <v>2531</v>
      </c>
      <c r="B54" s="70"/>
      <c r="C54" s="70" t="s">
        <v>100</v>
      </c>
      <c r="D54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G104"/>
  <sheetViews>
    <sheetView showGridLines="0" workbookViewId="0">
      <pane ySplit="4" topLeftCell="A41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2532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2533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1267</v>
      </c>
      <c r="B8" s="41" t="s">
        <v>1268</v>
      </c>
      <c r="C8" s="41" t="s">
        <v>1269</v>
      </c>
      <c r="D8" s="15">
        <v>149724</v>
      </c>
      <c r="E8" s="16">
        <v>1020.44</v>
      </c>
      <c r="F8" s="17">
        <v>5.0999999999999997E-2</v>
      </c>
      <c r="G8" s="17"/>
    </row>
    <row r="9" spans="1:7" x14ac:dyDescent="0.35">
      <c r="A9" s="13" t="s">
        <v>1283</v>
      </c>
      <c r="B9" s="41" t="s">
        <v>1284</v>
      </c>
      <c r="C9" s="41" t="s">
        <v>1285</v>
      </c>
      <c r="D9" s="15">
        <v>16743</v>
      </c>
      <c r="E9" s="16">
        <v>773.43</v>
      </c>
      <c r="F9" s="17">
        <v>3.8600000000000002E-2</v>
      </c>
      <c r="G9" s="17"/>
    </row>
    <row r="10" spans="1:7" x14ac:dyDescent="0.35">
      <c r="A10" s="13" t="s">
        <v>1212</v>
      </c>
      <c r="B10" s="41" t="s">
        <v>1213</v>
      </c>
      <c r="C10" s="41" t="s">
        <v>1188</v>
      </c>
      <c r="D10" s="15">
        <v>20718</v>
      </c>
      <c r="E10" s="16">
        <v>761.88</v>
      </c>
      <c r="F10" s="17">
        <v>3.8100000000000002E-2</v>
      </c>
      <c r="G10" s="17"/>
    </row>
    <row r="11" spans="1:7" x14ac:dyDescent="0.35">
      <c r="A11" s="13" t="s">
        <v>1403</v>
      </c>
      <c r="B11" s="41" t="s">
        <v>1404</v>
      </c>
      <c r="C11" s="41" t="s">
        <v>1234</v>
      </c>
      <c r="D11" s="15">
        <v>11212</v>
      </c>
      <c r="E11" s="16">
        <v>678.44</v>
      </c>
      <c r="F11" s="17">
        <v>3.39E-2</v>
      </c>
      <c r="G11" s="17"/>
    </row>
    <row r="12" spans="1:7" x14ac:dyDescent="0.35">
      <c r="A12" s="13" t="s">
        <v>1543</v>
      </c>
      <c r="B12" s="41" t="s">
        <v>1544</v>
      </c>
      <c r="C12" s="41" t="s">
        <v>1206</v>
      </c>
      <c r="D12" s="15">
        <v>171040</v>
      </c>
      <c r="E12" s="16">
        <v>623.44000000000005</v>
      </c>
      <c r="F12" s="17">
        <v>3.1099999999999999E-2</v>
      </c>
      <c r="G12" s="17"/>
    </row>
    <row r="13" spans="1:7" x14ac:dyDescent="0.35">
      <c r="A13" s="13" t="s">
        <v>1192</v>
      </c>
      <c r="B13" s="41" t="s">
        <v>1193</v>
      </c>
      <c r="C13" s="41" t="s">
        <v>1191</v>
      </c>
      <c r="D13" s="15">
        <v>10407</v>
      </c>
      <c r="E13" s="16">
        <v>609.9</v>
      </c>
      <c r="F13" s="17">
        <v>3.0499999999999999E-2</v>
      </c>
      <c r="G13" s="17"/>
    </row>
    <row r="14" spans="1:7" x14ac:dyDescent="0.35">
      <c r="A14" s="13" t="s">
        <v>1496</v>
      </c>
      <c r="B14" s="41" t="s">
        <v>1497</v>
      </c>
      <c r="C14" s="41" t="s">
        <v>1211</v>
      </c>
      <c r="D14" s="15">
        <v>37320</v>
      </c>
      <c r="E14" s="16">
        <v>608.91</v>
      </c>
      <c r="F14" s="17">
        <v>3.04E-2</v>
      </c>
      <c r="G14" s="17"/>
    </row>
    <row r="15" spans="1:7" x14ac:dyDescent="0.35">
      <c r="A15" s="13" t="s">
        <v>1358</v>
      </c>
      <c r="B15" s="41" t="s">
        <v>1359</v>
      </c>
      <c r="C15" s="41" t="s">
        <v>1360</v>
      </c>
      <c r="D15" s="15">
        <v>120755</v>
      </c>
      <c r="E15" s="16">
        <v>569.05999999999995</v>
      </c>
      <c r="F15" s="17">
        <v>2.8400000000000002E-2</v>
      </c>
      <c r="G15" s="17"/>
    </row>
    <row r="16" spans="1:7" x14ac:dyDescent="0.35">
      <c r="A16" s="13" t="s">
        <v>1518</v>
      </c>
      <c r="B16" s="41" t="s">
        <v>1519</v>
      </c>
      <c r="C16" s="41" t="s">
        <v>1305</v>
      </c>
      <c r="D16" s="15">
        <v>148181</v>
      </c>
      <c r="E16" s="16">
        <v>542.79</v>
      </c>
      <c r="F16" s="17">
        <v>2.7099999999999999E-2</v>
      </c>
      <c r="G16" s="17"/>
    </row>
    <row r="17" spans="1:7" x14ac:dyDescent="0.35">
      <c r="A17" s="13" t="s">
        <v>1428</v>
      </c>
      <c r="B17" s="41" t="s">
        <v>1429</v>
      </c>
      <c r="C17" s="41" t="s">
        <v>1206</v>
      </c>
      <c r="D17" s="15">
        <v>329710</v>
      </c>
      <c r="E17" s="16">
        <v>538.22</v>
      </c>
      <c r="F17" s="17">
        <v>2.69E-2</v>
      </c>
      <c r="G17" s="17"/>
    </row>
    <row r="18" spans="1:7" x14ac:dyDescent="0.35">
      <c r="A18" s="13" t="s">
        <v>1410</v>
      </c>
      <c r="B18" s="41" t="s">
        <v>1411</v>
      </c>
      <c r="C18" s="41" t="s">
        <v>1412</v>
      </c>
      <c r="D18" s="15">
        <v>77503</v>
      </c>
      <c r="E18" s="16">
        <v>522.49</v>
      </c>
      <c r="F18" s="17">
        <v>2.6100000000000002E-2</v>
      </c>
      <c r="G18" s="17"/>
    </row>
    <row r="19" spans="1:7" x14ac:dyDescent="0.35">
      <c r="A19" s="13" t="s">
        <v>1374</v>
      </c>
      <c r="B19" s="41" t="s">
        <v>1375</v>
      </c>
      <c r="C19" s="41" t="s">
        <v>1178</v>
      </c>
      <c r="D19" s="15">
        <v>163707</v>
      </c>
      <c r="E19" s="16">
        <v>490.14</v>
      </c>
      <c r="F19" s="17">
        <v>2.4500000000000001E-2</v>
      </c>
      <c r="G19" s="17"/>
    </row>
    <row r="20" spans="1:7" x14ac:dyDescent="0.35">
      <c r="A20" s="13" t="s">
        <v>1533</v>
      </c>
      <c r="B20" s="41" t="s">
        <v>1534</v>
      </c>
      <c r="C20" s="41" t="s">
        <v>1369</v>
      </c>
      <c r="D20" s="15">
        <v>8183</v>
      </c>
      <c r="E20" s="16">
        <v>488.89</v>
      </c>
      <c r="F20" s="17">
        <v>2.4400000000000002E-2</v>
      </c>
      <c r="G20" s="17"/>
    </row>
    <row r="21" spans="1:7" x14ac:dyDescent="0.35">
      <c r="A21" s="13" t="s">
        <v>1325</v>
      </c>
      <c r="B21" s="41" t="s">
        <v>1326</v>
      </c>
      <c r="C21" s="41" t="s">
        <v>1211</v>
      </c>
      <c r="D21" s="15">
        <v>128489</v>
      </c>
      <c r="E21" s="16">
        <v>487.42</v>
      </c>
      <c r="F21" s="17">
        <v>2.4400000000000002E-2</v>
      </c>
      <c r="G21" s="17"/>
    </row>
    <row r="22" spans="1:7" x14ac:dyDescent="0.35">
      <c r="A22" s="13" t="s">
        <v>1808</v>
      </c>
      <c r="B22" s="41" t="s">
        <v>1809</v>
      </c>
      <c r="C22" s="41" t="s">
        <v>1266</v>
      </c>
      <c r="D22" s="15">
        <v>12993</v>
      </c>
      <c r="E22" s="16">
        <v>479.38</v>
      </c>
      <c r="F22" s="17">
        <v>2.4E-2</v>
      </c>
      <c r="G22" s="17"/>
    </row>
    <row r="23" spans="1:7" x14ac:dyDescent="0.35">
      <c r="A23" s="13" t="s">
        <v>2258</v>
      </c>
      <c r="B23" s="41" t="s">
        <v>2259</v>
      </c>
      <c r="C23" s="41" t="s">
        <v>1305</v>
      </c>
      <c r="D23" s="15">
        <v>348109</v>
      </c>
      <c r="E23" s="16">
        <v>471.27</v>
      </c>
      <c r="F23" s="17">
        <v>2.35E-2</v>
      </c>
      <c r="G23" s="17"/>
    </row>
    <row r="24" spans="1:7" x14ac:dyDescent="0.35">
      <c r="A24" s="13" t="s">
        <v>1490</v>
      </c>
      <c r="B24" s="41" t="s">
        <v>1491</v>
      </c>
      <c r="C24" s="41" t="s">
        <v>1382</v>
      </c>
      <c r="D24" s="15">
        <v>391917</v>
      </c>
      <c r="E24" s="16">
        <v>442.47</v>
      </c>
      <c r="F24" s="17">
        <v>2.2100000000000002E-2</v>
      </c>
      <c r="G24" s="17"/>
    </row>
    <row r="25" spans="1:7" x14ac:dyDescent="0.35">
      <c r="A25" s="13" t="s">
        <v>1919</v>
      </c>
      <c r="B25" s="41" t="s">
        <v>1920</v>
      </c>
      <c r="C25" s="41" t="s">
        <v>1178</v>
      </c>
      <c r="D25" s="15">
        <v>297504</v>
      </c>
      <c r="E25" s="16">
        <v>438.58</v>
      </c>
      <c r="F25" s="17">
        <v>2.1899999999999999E-2</v>
      </c>
      <c r="G25" s="17"/>
    </row>
    <row r="26" spans="1:7" x14ac:dyDescent="0.35">
      <c r="A26" s="13" t="s">
        <v>1565</v>
      </c>
      <c r="B26" s="41" t="s">
        <v>1566</v>
      </c>
      <c r="C26" s="41" t="s">
        <v>1266</v>
      </c>
      <c r="D26" s="15">
        <v>34284</v>
      </c>
      <c r="E26" s="16">
        <v>428.34</v>
      </c>
      <c r="F26" s="17">
        <v>2.1399999999999999E-2</v>
      </c>
      <c r="G26" s="17"/>
    </row>
    <row r="27" spans="1:7" x14ac:dyDescent="0.35">
      <c r="A27" s="13" t="s">
        <v>1539</v>
      </c>
      <c r="B27" s="41" t="s">
        <v>1540</v>
      </c>
      <c r="C27" s="41" t="s">
        <v>1211</v>
      </c>
      <c r="D27" s="15">
        <v>3820</v>
      </c>
      <c r="E27" s="16">
        <v>412.56</v>
      </c>
      <c r="F27" s="17">
        <v>2.06E-2</v>
      </c>
      <c r="G27" s="17"/>
    </row>
    <row r="28" spans="1:7" x14ac:dyDescent="0.35">
      <c r="A28" s="13" t="s">
        <v>1407</v>
      </c>
      <c r="B28" s="41" t="s">
        <v>1408</v>
      </c>
      <c r="C28" s="41" t="s">
        <v>1409</v>
      </c>
      <c r="D28" s="15">
        <v>35505</v>
      </c>
      <c r="E28" s="16">
        <v>409.76</v>
      </c>
      <c r="F28" s="17">
        <v>2.0500000000000001E-2</v>
      </c>
      <c r="G28" s="17"/>
    </row>
    <row r="29" spans="1:7" x14ac:dyDescent="0.35">
      <c r="A29" s="13" t="s">
        <v>1320</v>
      </c>
      <c r="B29" s="41" t="s">
        <v>1321</v>
      </c>
      <c r="C29" s="41" t="s">
        <v>1211</v>
      </c>
      <c r="D29" s="15">
        <v>110221</v>
      </c>
      <c r="E29" s="16">
        <v>401.31</v>
      </c>
      <c r="F29" s="17">
        <v>2.01E-2</v>
      </c>
      <c r="G29" s="17"/>
    </row>
    <row r="30" spans="1:7" x14ac:dyDescent="0.35">
      <c r="A30" s="13" t="s">
        <v>1353</v>
      </c>
      <c r="B30" s="41" t="s">
        <v>1354</v>
      </c>
      <c r="C30" s="41" t="s">
        <v>1355</v>
      </c>
      <c r="D30" s="15">
        <v>238020</v>
      </c>
      <c r="E30" s="16">
        <v>398.18</v>
      </c>
      <c r="F30" s="17">
        <v>1.9900000000000001E-2</v>
      </c>
      <c r="G30" s="17"/>
    </row>
    <row r="31" spans="1:7" x14ac:dyDescent="0.35">
      <c r="A31" s="13" t="s">
        <v>1219</v>
      </c>
      <c r="B31" s="41" t="s">
        <v>1220</v>
      </c>
      <c r="C31" s="41" t="s">
        <v>1221</v>
      </c>
      <c r="D31" s="15">
        <v>27402</v>
      </c>
      <c r="E31" s="16">
        <v>392.15</v>
      </c>
      <c r="F31" s="17">
        <v>1.9599999999999999E-2</v>
      </c>
      <c r="G31" s="17"/>
    </row>
    <row r="32" spans="1:7" x14ac:dyDescent="0.35">
      <c r="A32" s="13" t="s">
        <v>1529</v>
      </c>
      <c r="B32" s="41" t="s">
        <v>1530</v>
      </c>
      <c r="C32" s="41" t="s">
        <v>1185</v>
      </c>
      <c r="D32" s="15">
        <v>21359</v>
      </c>
      <c r="E32" s="16">
        <v>387.47</v>
      </c>
      <c r="F32" s="17">
        <v>1.9400000000000001E-2</v>
      </c>
      <c r="G32" s="17"/>
    </row>
    <row r="33" spans="1:7" x14ac:dyDescent="0.35">
      <c r="A33" s="13" t="s">
        <v>1327</v>
      </c>
      <c r="B33" s="41" t="s">
        <v>1328</v>
      </c>
      <c r="C33" s="41" t="s">
        <v>1178</v>
      </c>
      <c r="D33" s="15">
        <v>304256</v>
      </c>
      <c r="E33" s="16">
        <v>380.9</v>
      </c>
      <c r="F33" s="17">
        <v>1.9E-2</v>
      </c>
      <c r="G33" s="17"/>
    </row>
    <row r="34" spans="1:7" x14ac:dyDescent="0.35">
      <c r="A34" s="13" t="s">
        <v>1510</v>
      </c>
      <c r="B34" s="41" t="s">
        <v>1511</v>
      </c>
      <c r="C34" s="41" t="s">
        <v>1261</v>
      </c>
      <c r="D34" s="15">
        <v>32976</v>
      </c>
      <c r="E34" s="16">
        <v>373.29</v>
      </c>
      <c r="F34" s="17">
        <v>1.8599999999999998E-2</v>
      </c>
      <c r="G34" s="17"/>
    </row>
    <row r="35" spans="1:7" x14ac:dyDescent="0.35">
      <c r="A35" s="13" t="s">
        <v>1232</v>
      </c>
      <c r="B35" s="41" t="s">
        <v>1233</v>
      </c>
      <c r="C35" s="41" t="s">
        <v>1234</v>
      </c>
      <c r="D35" s="15">
        <v>9229</v>
      </c>
      <c r="E35" s="16">
        <v>365.54</v>
      </c>
      <c r="F35" s="17">
        <v>1.83E-2</v>
      </c>
      <c r="G35" s="17"/>
    </row>
    <row r="36" spans="1:7" x14ac:dyDescent="0.35">
      <c r="A36" s="13" t="s">
        <v>1322</v>
      </c>
      <c r="B36" s="41" t="s">
        <v>1323</v>
      </c>
      <c r="C36" s="41" t="s">
        <v>1324</v>
      </c>
      <c r="D36" s="15">
        <v>56607</v>
      </c>
      <c r="E36" s="16">
        <v>359.88</v>
      </c>
      <c r="F36" s="17">
        <v>1.7999999999999999E-2</v>
      </c>
      <c r="G36" s="17"/>
    </row>
    <row r="37" spans="1:7" x14ac:dyDescent="0.35">
      <c r="A37" s="13" t="s">
        <v>1461</v>
      </c>
      <c r="B37" s="41" t="s">
        <v>1462</v>
      </c>
      <c r="C37" s="41" t="s">
        <v>1360</v>
      </c>
      <c r="D37" s="15">
        <v>26061</v>
      </c>
      <c r="E37" s="16">
        <v>355.11</v>
      </c>
      <c r="F37" s="17">
        <v>1.77E-2</v>
      </c>
      <c r="G37" s="17"/>
    </row>
    <row r="38" spans="1:7" x14ac:dyDescent="0.35">
      <c r="A38" s="13" t="s">
        <v>1498</v>
      </c>
      <c r="B38" s="41" t="s">
        <v>1499</v>
      </c>
      <c r="C38" s="41" t="s">
        <v>1333</v>
      </c>
      <c r="D38" s="15">
        <v>60592</v>
      </c>
      <c r="E38" s="16">
        <v>353.89</v>
      </c>
      <c r="F38" s="17">
        <v>1.77E-2</v>
      </c>
      <c r="G38" s="17"/>
    </row>
    <row r="39" spans="1:7" x14ac:dyDescent="0.35">
      <c r="A39" s="13" t="s">
        <v>1245</v>
      </c>
      <c r="B39" s="41" t="s">
        <v>1246</v>
      </c>
      <c r="C39" s="41" t="s">
        <v>1224</v>
      </c>
      <c r="D39" s="15">
        <v>1180</v>
      </c>
      <c r="E39" s="16">
        <v>318.42</v>
      </c>
      <c r="F39" s="17">
        <v>1.5900000000000001E-2</v>
      </c>
      <c r="G39" s="17"/>
    </row>
    <row r="40" spans="1:7" x14ac:dyDescent="0.35">
      <c r="A40" s="13" t="s">
        <v>1338</v>
      </c>
      <c r="B40" s="41" t="s">
        <v>1339</v>
      </c>
      <c r="C40" s="41" t="s">
        <v>1221</v>
      </c>
      <c r="D40" s="15">
        <v>2150</v>
      </c>
      <c r="E40" s="16">
        <v>289.82</v>
      </c>
      <c r="F40" s="17">
        <v>1.4500000000000001E-2</v>
      </c>
      <c r="G40" s="17"/>
    </row>
    <row r="41" spans="1:7" x14ac:dyDescent="0.35">
      <c r="A41" s="13" t="s">
        <v>1430</v>
      </c>
      <c r="B41" s="41" t="s">
        <v>1431</v>
      </c>
      <c r="C41" s="41" t="s">
        <v>1201</v>
      </c>
      <c r="D41" s="15">
        <v>22255</v>
      </c>
      <c r="E41" s="16">
        <v>285.98</v>
      </c>
      <c r="F41" s="17">
        <v>1.43E-2</v>
      </c>
      <c r="G41" s="17"/>
    </row>
    <row r="42" spans="1:7" x14ac:dyDescent="0.35">
      <c r="A42" s="13" t="s">
        <v>1551</v>
      </c>
      <c r="B42" s="41" t="s">
        <v>1552</v>
      </c>
      <c r="C42" s="41" t="s">
        <v>1382</v>
      </c>
      <c r="D42" s="15">
        <v>765</v>
      </c>
      <c r="E42" s="16">
        <v>279.45</v>
      </c>
      <c r="F42" s="17">
        <v>1.4E-2</v>
      </c>
      <c r="G42" s="17"/>
    </row>
    <row r="43" spans="1:7" x14ac:dyDescent="0.35">
      <c r="A43" s="13" t="s">
        <v>2011</v>
      </c>
      <c r="B43" s="41" t="s">
        <v>2012</v>
      </c>
      <c r="C43" s="41" t="s">
        <v>1188</v>
      </c>
      <c r="D43" s="15">
        <v>12582</v>
      </c>
      <c r="E43" s="16">
        <v>276.33</v>
      </c>
      <c r="F43" s="17">
        <v>1.38E-2</v>
      </c>
      <c r="G43" s="17"/>
    </row>
    <row r="44" spans="1:7" x14ac:dyDescent="0.35">
      <c r="A44" s="13" t="s">
        <v>1451</v>
      </c>
      <c r="B44" s="41" t="s">
        <v>1452</v>
      </c>
      <c r="C44" s="41" t="s">
        <v>1224</v>
      </c>
      <c r="D44" s="15">
        <v>53816</v>
      </c>
      <c r="E44" s="16">
        <v>274.54000000000002</v>
      </c>
      <c r="F44" s="17">
        <v>1.37E-2</v>
      </c>
      <c r="G44" s="17"/>
    </row>
    <row r="45" spans="1:7" x14ac:dyDescent="0.35">
      <c r="A45" s="13" t="s">
        <v>1312</v>
      </c>
      <c r="B45" s="41" t="s">
        <v>1313</v>
      </c>
      <c r="C45" s="41" t="s">
        <v>1305</v>
      </c>
      <c r="D45" s="15">
        <v>30612</v>
      </c>
      <c r="E45" s="16">
        <v>273.92</v>
      </c>
      <c r="F45" s="17">
        <v>1.37E-2</v>
      </c>
      <c r="G45" s="17"/>
    </row>
    <row r="46" spans="1:7" x14ac:dyDescent="0.35">
      <c r="A46" s="13" t="s">
        <v>2228</v>
      </c>
      <c r="B46" s="41" t="s">
        <v>2229</v>
      </c>
      <c r="C46" s="41" t="s">
        <v>1333</v>
      </c>
      <c r="D46" s="15">
        <v>4627</v>
      </c>
      <c r="E46" s="16">
        <v>258.12</v>
      </c>
      <c r="F46" s="17">
        <v>1.29E-2</v>
      </c>
      <c r="G46" s="17"/>
    </row>
    <row r="47" spans="1:7" x14ac:dyDescent="0.35">
      <c r="A47" s="13" t="s">
        <v>1563</v>
      </c>
      <c r="B47" s="41" t="s">
        <v>1564</v>
      </c>
      <c r="C47" s="41" t="s">
        <v>1333</v>
      </c>
      <c r="D47" s="15">
        <v>7799</v>
      </c>
      <c r="E47" s="16">
        <v>241.87</v>
      </c>
      <c r="F47" s="17">
        <v>1.21E-2</v>
      </c>
      <c r="G47" s="17"/>
    </row>
    <row r="48" spans="1:7" x14ac:dyDescent="0.35">
      <c r="A48" s="13" t="s">
        <v>1445</v>
      </c>
      <c r="B48" s="41" t="s">
        <v>1446</v>
      </c>
      <c r="C48" s="41" t="s">
        <v>1324</v>
      </c>
      <c r="D48" s="15">
        <v>24822</v>
      </c>
      <c r="E48" s="16">
        <v>241.15</v>
      </c>
      <c r="F48" s="17">
        <v>1.2E-2</v>
      </c>
      <c r="G48" s="17"/>
    </row>
    <row r="49" spans="1:7" x14ac:dyDescent="0.35">
      <c r="A49" s="13" t="s">
        <v>1417</v>
      </c>
      <c r="B49" s="41" t="s">
        <v>1418</v>
      </c>
      <c r="C49" s="41" t="s">
        <v>1419</v>
      </c>
      <c r="D49" s="15">
        <v>38261</v>
      </c>
      <c r="E49" s="16">
        <v>240.47</v>
      </c>
      <c r="F49" s="17">
        <v>1.2E-2</v>
      </c>
      <c r="G49" s="17"/>
    </row>
    <row r="50" spans="1:7" x14ac:dyDescent="0.35">
      <c r="A50" s="13" t="s">
        <v>1316</v>
      </c>
      <c r="B50" s="41" t="s">
        <v>1317</v>
      </c>
      <c r="C50" s="41" t="s">
        <v>1305</v>
      </c>
      <c r="D50" s="15">
        <v>27049</v>
      </c>
      <c r="E50" s="16">
        <v>230.54</v>
      </c>
      <c r="F50" s="17">
        <v>1.15E-2</v>
      </c>
      <c r="G50" s="17"/>
    </row>
    <row r="51" spans="1:7" x14ac:dyDescent="0.35">
      <c r="A51" s="13" t="s">
        <v>1303</v>
      </c>
      <c r="B51" s="41" t="s">
        <v>1304</v>
      </c>
      <c r="C51" s="41" t="s">
        <v>1305</v>
      </c>
      <c r="D51" s="15">
        <v>47350</v>
      </c>
      <c r="E51" s="16">
        <v>217.72</v>
      </c>
      <c r="F51" s="17">
        <v>1.09E-2</v>
      </c>
      <c r="G51" s="17"/>
    </row>
    <row r="52" spans="1:7" x14ac:dyDescent="0.35">
      <c r="A52" s="13" t="s">
        <v>2230</v>
      </c>
      <c r="B52" s="41" t="s">
        <v>2231</v>
      </c>
      <c r="C52" s="41" t="s">
        <v>1234</v>
      </c>
      <c r="D52" s="15">
        <v>22081</v>
      </c>
      <c r="E52" s="16">
        <v>195.48</v>
      </c>
      <c r="F52" s="17">
        <v>9.7999999999999997E-3</v>
      </c>
      <c r="G52" s="17"/>
    </row>
    <row r="53" spans="1:7" x14ac:dyDescent="0.35">
      <c r="A53" s="13" t="s">
        <v>2059</v>
      </c>
      <c r="B53" s="41" t="s">
        <v>2060</v>
      </c>
      <c r="C53" s="41" t="s">
        <v>1333</v>
      </c>
      <c r="D53" s="15">
        <v>7804</v>
      </c>
      <c r="E53" s="16">
        <v>194.1</v>
      </c>
      <c r="F53" s="17">
        <v>9.7000000000000003E-3</v>
      </c>
      <c r="G53" s="17"/>
    </row>
    <row r="54" spans="1:7" x14ac:dyDescent="0.35">
      <c r="A54" s="13" t="s">
        <v>2318</v>
      </c>
      <c r="B54" s="41" t="s">
        <v>2319</v>
      </c>
      <c r="C54" s="41" t="s">
        <v>1211</v>
      </c>
      <c r="D54" s="15">
        <v>157666</v>
      </c>
      <c r="E54" s="16">
        <v>189.36</v>
      </c>
      <c r="F54" s="17">
        <v>9.4999999999999998E-3</v>
      </c>
      <c r="G54" s="17"/>
    </row>
    <row r="55" spans="1:7" x14ac:dyDescent="0.35">
      <c r="A55" s="13" t="s">
        <v>1434</v>
      </c>
      <c r="B55" s="41" t="s">
        <v>1435</v>
      </c>
      <c r="C55" s="41" t="s">
        <v>1436</v>
      </c>
      <c r="D55" s="15">
        <v>6704</v>
      </c>
      <c r="E55" s="16">
        <v>172.49</v>
      </c>
      <c r="F55" s="17">
        <v>8.6E-3</v>
      </c>
      <c r="G55" s="17"/>
    </row>
    <row r="56" spans="1:7" x14ac:dyDescent="0.35">
      <c r="A56" s="13" t="s">
        <v>1457</v>
      </c>
      <c r="B56" s="41" t="s">
        <v>1458</v>
      </c>
      <c r="C56" s="41" t="s">
        <v>1185</v>
      </c>
      <c r="D56" s="15">
        <v>19588</v>
      </c>
      <c r="E56" s="16">
        <v>161.5</v>
      </c>
      <c r="F56" s="17">
        <v>8.0999999999999996E-3</v>
      </c>
      <c r="G56" s="17"/>
    </row>
    <row r="57" spans="1:7" x14ac:dyDescent="0.35">
      <c r="A57" s="13" t="s">
        <v>2330</v>
      </c>
      <c r="B57" s="41" t="s">
        <v>2331</v>
      </c>
      <c r="C57" s="41" t="s">
        <v>1211</v>
      </c>
      <c r="D57" s="15">
        <v>82627</v>
      </c>
      <c r="E57" s="16">
        <v>75.05</v>
      </c>
      <c r="F57" s="17">
        <v>3.7000000000000002E-3</v>
      </c>
      <c r="G57" s="17"/>
    </row>
    <row r="58" spans="1:7" x14ac:dyDescent="0.35">
      <c r="A58" s="14" t="s">
        <v>149</v>
      </c>
      <c r="B58" s="42"/>
      <c r="C58" s="42"/>
      <c r="D58" s="18"/>
      <c r="E58" s="19">
        <v>19981.84</v>
      </c>
      <c r="F58" s="20">
        <v>0.99839999999999995</v>
      </c>
      <c r="G58" s="21"/>
    </row>
    <row r="59" spans="1:7" x14ac:dyDescent="0.35">
      <c r="A59" s="14"/>
      <c r="B59" s="42"/>
      <c r="C59" s="42"/>
      <c r="D59" s="18"/>
      <c r="E59" s="26"/>
      <c r="F59" s="21"/>
      <c r="G59" s="21"/>
    </row>
    <row r="60" spans="1:7" x14ac:dyDescent="0.35">
      <c r="A60" s="14"/>
      <c r="B60" s="42"/>
      <c r="C60" s="42"/>
      <c r="D60" s="18"/>
      <c r="E60" s="26"/>
      <c r="F60" s="21"/>
      <c r="G60" s="21"/>
    </row>
    <row r="61" spans="1:7" x14ac:dyDescent="0.35">
      <c r="A61" s="58" t="s">
        <v>147</v>
      </c>
      <c r="B61" s="42"/>
      <c r="C61" s="42"/>
      <c r="D61" s="18"/>
      <c r="E61" s="26"/>
      <c r="F61" s="21"/>
      <c r="G61" s="21"/>
    </row>
    <row r="62" spans="1:7" x14ac:dyDescent="0.35">
      <c r="A62" s="58" t="s">
        <v>1249</v>
      </c>
      <c r="B62" s="41"/>
      <c r="C62" s="41"/>
      <c r="D62" s="15"/>
      <c r="E62" s="16"/>
      <c r="F62" s="17"/>
      <c r="G62" s="17"/>
    </row>
    <row r="63" spans="1:7" x14ac:dyDescent="0.35">
      <c r="A63" s="58" t="s">
        <v>1250</v>
      </c>
      <c r="B63" s="41"/>
      <c r="C63" s="41"/>
      <c r="D63" s="15"/>
      <c r="E63" s="16"/>
      <c r="F63" s="17"/>
      <c r="G63" s="17"/>
    </row>
    <row r="64" spans="1:7" x14ac:dyDescent="0.35">
      <c r="A64" s="13" t="s">
        <v>1251</v>
      </c>
      <c r="B64" s="41" t="s">
        <v>1252</v>
      </c>
      <c r="C64" s="41" t="s">
        <v>1188</v>
      </c>
      <c r="D64" s="15">
        <v>62848</v>
      </c>
      <c r="E64" s="16">
        <v>6.43</v>
      </c>
      <c r="F64" s="17">
        <v>2.9999999999999997E-4</v>
      </c>
      <c r="G64" s="17">
        <v>6.3450000000000006E-2</v>
      </c>
    </row>
    <row r="65" spans="1:7" x14ac:dyDescent="0.35">
      <c r="A65" s="14" t="s">
        <v>149</v>
      </c>
      <c r="B65" s="42"/>
      <c r="C65" s="42"/>
      <c r="D65" s="18"/>
      <c r="E65" s="19">
        <v>6.43</v>
      </c>
      <c r="F65" s="20">
        <v>2.9999999999999997E-4</v>
      </c>
      <c r="G65" s="21"/>
    </row>
    <row r="66" spans="1:7" x14ac:dyDescent="0.35">
      <c r="A66" s="22" t="s">
        <v>160</v>
      </c>
      <c r="B66" s="43"/>
      <c r="C66" s="43"/>
      <c r="D66" s="23"/>
      <c r="E66" s="24">
        <f>E65+E58</f>
        <v>19988.27</v>
      </c>
      <c r="F66" s="25">
        <f>+F65+F58</f>
        <v>0.99869999999999992</v>
      </c>
      <c r="G66" s="21"/>
    </row>
    <row r="67" spans="1:7" x14ac:dyDescent="0.35">
      <c r="A67" s="13"/>
      <c r="B67" s="41"/>
      <c r="C67" s="41"/>
      <c r="D67" s="15"/>
      <c r="E67" s="16"/>
      <c r="F67" s="17"/>
      <c r="G67" s="17"/>
    </row>
    <row r="68" spans="1:7" x14ac:dyDescent="0.35">
      <c r="A68" s="13"/>
      <c r="B68" s="41"/>
      <c r="C68" s="41"/>
      <c r="D68" s="15"/>
      <c r="E68" s="16"/>
      <c r="F68" s="17"/>
      <c r="G68" s="17"/>
    </row>
    <row r="69" spans="1:7" x14ac:dyDescent="0.35">
      <c r="A69" s="14" t="s">
        <v>255</v>
      </c>
      <c r="B69" s="41"/>
      <c r="C69" s="41"/>
      <c r="D69" s="15"/>
      <c r="E69" s="16"/>
      <c r="F69" s="17"/>
      <c r="G69" s="17"/>
    </row>
    <row r="70" spans="1:7" x14ac:dyDescent="0.35">
      <c r="A70" s="13" t="s">
        <v>257</v>
      </c>
      <c r="B70" s="41"/>
      <c r="C70" s="41"/>
      <c r="D70" s="15"/>
      <c r="E70" s="16">
        <v>84.96</v>
      </c>
      <c r="F70" s="17">
        <v>4.1999999999999997E-3</v>
      </c>
      <c r="G70" s="17">
        <v>5.1742000000000003E-2</v>
      </c>
    </row>
    <row r="71" spans="1:7" x14ac:dyDescent="0.35">
      <c r="A71" s="14" t="s">
        <v>149</v>
      </c>
      <c r="B71" s="42"/>
      <c r="C71" s="42"/>
      <c r="D71" s="18"/>
      <c r="E71" s="19">
        <v>84.96</v>
      </c>
      <c r="F71" s="20">
        <v>4.1999999999999997E-3</v>
      </c>
      <c r="G71" s="21"/>
    </row>
    <row r="72" spans="1:7" x14ac:dyDescent="0.35">
      <c r="A72" s="13"/>
      <c r="B72" s="41"/>
      <c r="C72" s="41"/>
      <c r="D72" s="15"/>
      <c r="E72" s="16"/>
      <c r="F72" s="17"/>
      <c r="G72" s="17"/>
    </row>
    <row r="73" spans="1:7" x14ac:dyDescent="0.35">
      <c r="A73" s="22" t="s">
        <v>160</v>
      </c>
      <c r="B73" s="43"/>
      <c r="C73" s="43"/>
      <c r="D73" s="23"/>
      <c r="E73" s="36">
        <v>84.96</v>
      </c>
      <c r="F73" s="37">
        <v>4.1999999999999997E-3</v>
      </c>
      <c r="G73" s="21"/>
    </row>
    <row r="74" spans="1:7" x14ac:dyDescent="0.35">
      <c r="A74" s="13" t="s">
        <v>258</v>
      </c>
      <c r="B74" s="41"/>
      <c r="C74" s="41"/>
      <c r="D74" s="15"/>
      <c r="E74" s="16">
        <v>2.40888E-2</v>
      </c>
      <c r="F74" s="17">
        <v>9.9999999999999995E-7</v>
      </c>
      <c r="G74" s="17"/>
    </row>
    <row r="75" spans="1:7" x14ac:dyDescent="0.35">
      <c r="A75" s="13" t="s">
        <v>259</v>
      </c>
      <c r="B75" s="41"/>
      <c r="C75" s="41"/>
      <c r="D75" s="15"/>
      <c r="E75" s="28">
        <v>-57.7440888</v>
      </c>
      <c r="F75" s="29">
        <v>-2.9009999999999999E-3</v>
      </c>
      <c r="G75" s="17">
        <v>5.1741000000000002E-2</v>
      </c>
    </row>
    <row r="76" spans="1:7" x14ac:dyDescent="0.35">
      <c r="A76" s="38" t="s">
        <v>260</v>
      </c>
      <c r="B76" s="44"/>
      <c r="C76" s="44"/>
      <c r="D76" s="39"/>
      <c r="E76" s="24">
        <v>20015.509999999998</v>
      </c>
      <c r="F76" s="25">
        <v>1</v>
      </c>
      <c r="G76" s="25"/>
    </row>
    <row r="81" spans="1:3" x14ac:dyDescent="0.35">
      <c r="A81" s="1" t="s">
        <v>263</v>
      </c>
    </row>
    <row r="82" spans="1:3" x14ac:dyDescent="0.35">
      <c r="A82" s="47" t="s">
        <v>264</v>
      </c>
      <c r="B82" s="3" t="s">
        <v>146</v>
      </c>
    </row>
    <row r="83" spans="1:3" x14ac:dyDescent="0.35">
      <c r="A83" t="s">
        <v>265</v>
      </c>
    </row>
    <row r="84" spans="1:3" x14ac:dyDescent="0.35">
      <c r="A84" t="s">
        <v>266</v>
      </c>
      <c r="B84" t="s">
        <v>267</v>
      </c>
      <c r="C84" t="s">
        <v>267</v>
      </c>
    </row>
    <row r="85" spans="1:3" x14ac:dyDescent="0.35">
      <c r="B85" s="49">
        <v>46022</v>
      </c>
      <c r="C85" s="49">
        <v>46052</v>
      </c>
    </row>
    <row r="86" spans="1:3" x14ac:dyDescent="0.35">
      <c r="A86" t="s">
        <v>752</v>
      </c>
      <c r="B86">
        <v>16.113399999999999</v>
      </c>
      <c r="C86">
        <v>15.760300000000001</v>
      </c>
    </row>
    <row r="87" spans="1:3" x14ac:dyDescent="0.35">
      <c r="A87" t="s">
        <v>273</v>
      </c>
      <c r="B87">
        <v>16.113</v>
      </c>
      <c r="C87">
        <v>15.7599</v>
      </c>
    </row>
    <row r="88" spans="1:3" x14ac:dyDescent="0.35">
      <c r="A88" t="s">
        <v>753</v>
      </c>
      <c r="B88">
        <v>15.7584</v>
      </c>
      <c r="C88">
        <v>15.4046</v>
      </c>
    </row>
    <row r="89" spans="1:3" x14ac:dyDescent="0.35">
      <c r="A89" t="s">
        <v>709</v>
      </c>
      <c r="B89">
        <v>15.7583</v>
      </c>
      <c r="C89">
        <v>15.4046</v>
      </c>
    </row>
    <row r="91" spans="1:3" x14ac:dyDescent="0.35">
      <c r="A91" t="s">
        <v>283</v>
      </c>
      <c r="B91" s="3" t="s">
        <v>146</v>
      </c>
    </row>
    <row r="92" spans="1:3" x14ac:dyDescent="0.35">
      <c r="A92" t="s">
        <v>284</v>
      </c>
      <c r="B92" s="3" t="s">
        <v>146</v>
      </c>
    </row>
    <row r="93" spans="1:3" ht="29" customHeight="1" x14ac:dyDescent="0.35">
      <c r="A93" s="47" t="s">
        <v>285</v>
      </c>
      <c r="B93" s="3" t="s">
        <v>146</v>
      </c>
    </row>
    <row r="94" spans="1:3" ht="29" customHeight="1" x14ac:dyDescent="0.35">
      <c r="A94" s="47" t="s">
        <v>286</v>
      </c>
      <c r="B94" s="3" t="s">
        <v>146</v>
      </c>
    </row>
    <row r="95" spans="1:3" x14ac:dyDescent="0.35">
      <c r="A95" t="s">
        <v>1253</v>
      </c>
      <c r="B95" s="48">
        <v>0.26729999999999998</v>
      </c>
    </row>
    <row r="96" spans="1:3" ht="43.5" customHeight="1" x14ac:dyDescent="0.35">
      <c r="A96" s="47" t="s">
        <v>288</v>
      </c>
      <c r="B96" s="3" t="s">
        <v>146</v>
      </c>
    </row>
    <row r="97" spans="1:4" x14ac:dyDescent="0.35">
      <c r="B97" s="3"/>
    </row>
    <row r="98" spans="1:4" ht="29" customHeight="1" x14ac:dyDescent="0.35">
      <c r="A98" s="47" t="s">
        <v>289</v>
      </c>
      <c r="B98" s="3" t="s">
        <v>146</v>
      </c>
    </row>
    <row r="99" spans="1:4" ht="29" customHeight="1" x14ac:dyDescent="0.35">
      <c r="A99" s="47" t="s">
        <v>290</v>
      </c>
      <c r="B99" t="s">
        <v>146</v>
      </c>
    </row>
    <row r="100" spans="1:4" ht="29" customHeight="1" x14ac:dyDescent="0.35">
      <c r="A100" s="47" t="s">
        <v>291</v>
      </c>
      <c r="B100" s="3" t="s">
        <v>146</v>
      </c>
    </row>
    <row r="101" spans="1:4" ht="29" customHeight="1" x14ac:dyDescent="0.35">
      <c r="A101" s="47" t="s">
        <v>292</v>
      </c>
      <c r="B101" s="3" t="s">
        <v>146</v>
      </c>
    </row>
    <row r="103" spans="1:4" ht="70" customHeight="1" x14ac:dyDescent="0.35">
      <c r="A103" s="70" t="s">
        <v>303</v>
      </c>
      <c r="B103" s="70" t="s">
        <v>304</v>
      </c>
      <c r="C103" s="70" t="s">
        <v>4</v>
      </c>
      <c r="D103" s="70" t="s">
        <v>5</v>
      </c>
    </row>
    <row r="104" spans="1:4" ht="70" customHeight="1" x14ac:dyDescent="0.35">
      <c r="A104" s="70" t="s">
        <v>2534</v>
      </c>
      <c r="B104" s="70"/>
      <c r="C104" s="70" t="s">
        <v>2535</v>
      </c>
      <c r="D104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G189"/>
  <sheetViews>
    <sheetView showGridLines="0" workbookViewId="0">
      <pane ySplit="4" topLeftCell="A79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2536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2537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1181</v>
      </c>
      <c r="B8" s="41" t="s">
        <v>1182</v>
      </c>
      <c r="C8" s="41" t="s">
        <v>1178</v>
      </c>
      <c r="D8" s="15">
        <v>1235789</v>
      </c>
      <c r="E8" s="16">
        <v>16744.939999999999</v>
      </c>
      <c r="F8" s="17">
        <v>4.8500000000000001E-2</v>
      </c>
      <c r="G8" s="17"/>
    </row>
    <row r="9" spans="1:7" x14ac:dyDescent="0.35">
      <c r="A9" s="13" t="s">
        <v>1179</v>
      </c>
      <c r="B9" s="41" t="s">
        <v>1180</v>
      </c>
      <c r="C9" s="41" t="s">
        <v>1178</v>
      </c>
      <c r="D9" s="15">
        <v>1613634</v>
      </c>
      <c r="E9" s="16">
        <v>14994.69</v>
      </c>
      <c r="F9" s="17">
        <v>4.3400000000000001E-2</v>
      </c>
      <c r="G9" s="17"/>
    </row>
    <row r="10" spans="1:7" x14ac:dyDescent="0.35">
      <c r="A10" s="13" t="s">
        <v>1176</v>
      </c>
      <c r="B10" s="41" t="s">
        <v>1177</v>
      </c>
      <c r="C10" s="41" t="s">
        <v>1178</v>
      </c>
      <c r="D10" s="15">
        <v>1264882</v>
      </c>
      <c r="E10" s="16">
        <v>13624.68</v>
      </c>
      <c r="F10" s="17">
        <v>3.95E-2</v>
      </c>
      <c r="G10" s="17"/>
    </row>
    <row r="11" spans="1:7" x14ac:dyDescent="0.35">
      <c r="A11" s="13" t="s">
        <v>1196</v>
      </c>
      <c r="B11" s="41" t="s">
        <v>1197</v>
      </c>
      <c r="C11" s="41" t="s">
        <v>1198</v>
      </c>
      <c r="D11" s="15">
        <v>583607</v>
      </c>
      <c r="E11" s="16">
        <v>11489.47</v>
      </c>
      <c r="F11" s="17">
        <v>3.3300000000000003E-2</v>
      </c>
      <c r="G11" s="17"/>
    </row>
    <row r="12" spans="1:7" x14ac:dyDescent="0.35">
      <c r="A12" s="13" t="s">
        <v>1367</v>
      </c>
      <c r="B12" s="41" t="s">
        <v>1368</v>
      </c>
      <c r="C12" s="41" t="s">
        <v>1369</v>
      </c>
      <c r="D12" s="15">
        <v>566220</v>
      </c>
      <c r="E12" s="16">
        <v>9291.67</v>
      </c>
      <c r="F12" s="17">
        <v>2.69E-2</v>
      </c>
      <c r="G12" s="17"/>
    </row>
    <row r="13" spans="1:7" x14ac:dyDescent="0.35">
      <c r="A13" s="13" t="s">
        <v>1204</v>
      </c>
      <c r="B13" s="41" t="s">
        <v>1205</v>
      </c>
      <c r="C13" s="41" t="s">
        <v>1206</v>
      </c>
      <c r="D13" s="15">
        <v>647748</v>
      </c>
      <c r="E13" s="16">
        <v>9038.68</v>
      </c>
      <c r="F13" s="17">
        <v>2.6200000000000001E-2</v>
      </c>
      <c r="G13" s="17"/>
    </row>
    <row r="14" spans="1:7" x14ac:dyDescent="0.35">
      <c r="A14" s="13" t="s">
        <v>1351</v>
      </c>
      <c r="B14" s="41" t="s">
        <v>1352</v>
      </c>
      <c r="C14" s="41" t="s">
        <v>1305</v>
      </c>
      <c r="D14" s="15">
        <v>2497975</v>
      </c>
      <c r="E14" s="16">
        <v>8892.7900000000009</v>
      </c>
      <c r="F14" s="17">
        <v>2.58E-2</v>
      </c>
      <c r="G14" s="17"/>
    </row>
    <row r="15" spans="1:7" x14ac:dyDescent="0.35">
      <c r="A15" s="13" t="s">
        <v>1466</v>
      </c>
      <c r="B15" s="41" t="s">
        <v>1467</v>
      </c>
      <c r="C15" s="41" t="s">
        <v>1234</v>
      </c>
      <c r="D15" s="15">
        <v>1610000</v>
      </c>
      <c r="E15" s="16">
        <v>5905.48</v>
      </c>
      <c r="F15" s="17">
        <v>1.7100000000000001E-2</v>
      </c>
      <c r="G15" s="17"/>
    </row>
    <row r="16" spans="1:7" x14ac:dyDescent="0.35">
      <c r="A16" s="13" t="s">
        <v>1295</v>
      </c>
      <c r="B16" s="41" t="s">
        <v>1296</v>
      </c>
      <c r="C16" s="41" t="s">
        <v>1188</v>
      </c>
      <c r="D16" s="15">
        <v>159911</v>
      </c>
      <c r="E16" s="16">
        <v>5487.83</v>
      </c>
      <c r="F16" s="17">
        <v>1.5900000000000001E-2</v>
      </c>
      <c r="G16" s="17"/>
    </row>
    <row r="17" spans="1:7" x14ac:dyDescent="0.35">
      <c r="A17" s="13" t="s">
        <v>1237</v>
      </c>
      <c r="B17" s="41" t="s">
        <v>1238</v>
      </c>
      <c r="C17" s="41" t="s">
        <v>1234</v>
      </c>
      <c r="D17" s="15">
        <v>343006</v>
      </c>
      <c r="E17" s="16">
        <v>5471.97</v>
      </c>
      <c r="F17" s="17">
        <v>1.5800000000000002E-2</v>
      </c>
      <c r="G17" s="17"/>
    </row>
    <row r="18" spans="1:7" x14ac:dyDescent="0.35">
      <c r="A18" s="13" t="s">
        <v>1209</v>
      </c>
      <c r="B18" s="41" t="s">
        <v>1210</v>
      </c>
      <c r="C18" s="41" t="s">
        <v>1211</v>
      </c>
      <c r="D18" s="15">
        <v>560620</v>
      </c>
      <c r="E18" s="16">
        <v>5212.93</v>
      </c>
      <c r="F18" s="17">
        <v>1.5100000000000001E-2</v>
      </c>
      <c r="G18" s="17"/>
    </row>
    <row r="19" spans="1:7" x14ac:dyDescent="0.35">
      <c r="A19" s="13" t="s">
        <v>1553</v>
      </c>
      <c r="B19" s="41" t="s">
        <v>1554</v>
      </c>
      <c r="C19" s="41" t="s">
        <v>1211</v>
      </c>
      <c r="D19" s="15">
        <v>133237</v>
      </c>
      <c r="E19" s="16">
        <v>5102.4399999999996</v>
      </c>
      <c r="F19" s="17">
        <v>1.4800000000000001E-2</v>
      </c>
      <c r="G19" s="17"/>
    </row>
    <row r="20" spans="1:7" x14ac:dyDescent="0.35">
      <c r="A20" s="13" t="s">
        <v>1186</v>
      </c>
      <c r="B20" s="41" t="s">
        <v>1187</v>
      </c>
      <c r="C20" s="41" t="s">
        <v>1188</v>
      </c>
      <c r="D20" s="15">
        <v>33475</v>
      </c>
      <c r="E20" s="16">
        <v>4887.0200000000004</v>
      </c>
      <c r="F20" s="17">
        <v>1.4200000000000001E-2</v>
      </c>
      <c r="G20" s="17"/>
    </row>
    <row r="21" spans="1:7" x14ac:dyDescent="0.35">
      <c r="A21" s="13" t="s">
        <v>1385</v>
      </c>
      <c r="B21" s="41" t="s">
        <v>1386</v>
      </c>
      <c r="C21" s="41" t="s">
        <v>1387</v>
      </c>
      <c r="D21" s="15">
        <v>123037</v>
      </c>
      <c r="E21" s="16">
        <v>4838.18</v>
      </c>
      <c r="F21" s="17">
        <v>1.4E-2</v>
      </c>
      <c r="G21" s="17"/>
    </row>
    <row r="22" spans="1:7" x14ac:dyDescent="0.35">
      <c r="A22" s="13" t="s">
        <v>1472</v>
      </c>
      <c r="B22" s="41" t="s">
        <v>1473</v>
      </c>
      <c r="C22" s="41" t="s">
        <v>1419</v>
      </c>
      <c r="D22" s="15">
        <v>450438</v>
      </c>
      <c r="E22" s="16">
        <v>4335.92</v>
      </c>
      <c r="F22" s="17">
        <v>1.26E-2</v>
      </c>
      <c r="G22" s="17"/>
    </row>
    <row r="23" spans="1:7" x14ac:dyDescent="0.35">
      <c r="A23" s="13" t="s">
        <v>1235</v>
      </c>
      <c r="B23" s="41" t="s">
        <v>1236</v>
      </c>
      <c r="C23" s="41" t="s">
        <v>1178</v>
      </c>
      <c r="D23" s="15">
        <v>1060290</v>
      </c>
      <c r="E23" s="16">
        <v>4325.9799999999996</v>
      </c>
      <c r="F23" s="17">
        <v>1.2500000000000001E-2</v>
      </c>
      <c r="G23" s="17"/>
    </row>
    <row r="24" spans="1:7" x14ac:dyDescent="0.35">
      <c r="A24" s="13" t="s">
        <v>1798</v>
      </c>
      <c r="B24" s="41" t="s">
        <v>1799</v>
      </c>
      <c r="C24" s="41" t="s">
        <v>1333</v>
      </c>
      <c r="D24" s="15">
        <v>129015</v>
      </c>
      <c r="E24" s="16">
        <v>4167.57</v>
      </c>
      <c r="F24" s="17">
        <v>1.21E-2</v>
      </c>
      <c r="G24" s="17"/>
    </row>
    <row r="25" spans="1:7" x14ac:dyDescent="0.35">
      <c r="A25" s="13" t="s">
        <v>1952</v>
      </c>
      <c r="B25" s="41" t="s">
        <v>1953</v>
      </c>
      <c r="C25" s="41" t="s">
        <v>1266</v>
      </c>
      <c r="D25" s="15">
        <v>1333333</v>
      </c>
      <c r="E25" s="16">
        <v>4130</v>
      </c>
      <c r="F25" s="17">
        <v>1.2E-2</v>
      </c>
      <c r="G25" s="17"/>
    </row>
    <row r="26" spans="1:7" x14ac:dyDescent="0.35">
      <c r="A26" s="13" t="s">
        <v>1273</v>
      </c>
      <c r="B26" s="41" t="s">
        <v>1274</v>
      </c>
      <c r="C26" s="41" t="s">
        <v>1275</v>
      </c>
      <c r="D26" s="15">
        <v>1205718</v>
      </c>
      <c r="E26" s="16">
        <v>3884.22</v>
      </c>
      <c r="F26" s="17">
        <v>1.12E-2</v>
      </c>
      <c r="G26" s="17"/>
    </row>
    <row r="27" spans="1:7" x14ac:dyDescent="0.35">
      <c r="A27" s="13" t="s">
        <v>1808</v>
      </c>
      <c r="B27" s="41" t="s">
        <v>1809</v>
      </c>
      <c r="C27" s="41" t="s">
        <v>1266</v>
      </c>
      <c r="D27" s="15">
        <v>96510</v>
      </c>
      <c r="E27" s="16">
        <v>3560.74</v>
      </c>
      <c r="F27" s="17">
        <v>1.03E-2</v>
      </c>
      <c r="G27" s="17"/>
    </row>
    <row r="28" spans="1:7" x14ac:dyDescent="0.35">
      <c r="A28" s="13" t="s">
        <v>1543</v>
      </c>
      <c r="B28" s="41" t="s">
        <v>1544</v>
      </c>
      <c r="C28" s="41" t="s">
        <v>1206</v>
      </c>
      <c r="D28" s="15">
        <v>972332</v>
      </c>
      <c r="E28" s="16">
        <v>3544.15</v>
      </c>
      <c r="F28" s="17">
        <v>1.03E-2</v>
      </c>
      <c r="G28" s="17"/>
    </row>
    <row r="29" spans="1:7" x14ac:dyDescent="0.35">
      <c r="A29" s="13" t="s">
        <v>1394</v>
      </c>
      <c r="B29" s="41" t="s">
        <v>1395</v>
      </c>
      <c r="C29" s="41" t="s">
        <v>1369</v>
      </c>
      <c r="D29" s="15">
        <v>200181</v>
      </c>
      <c r="E29" s="16">
        <v>3489.36</v>
      </c>
      <c r="F29" s="17">
        <v>1.01E-2</v>
      </c>
      <c r="G29" s="17"/>
    </row>
    <row r="30" spans="1:7" x14ac:dyDescent="0.35">
      <c r="A30" s="13" t="s">
        <v>1289</v>
      </c>
      <c r="B30" s="41" t="s">
        <v>1290</v>
      </c>
      <c r="C30" s="41" t="s">
        <v>1285</v>
      </c>
      <c r="D30" s="15">
        <v>762646</v>
      </c>
      <c r="E30" s="16">
        <v>3424.28</v>
      </c>
      <c r="F30" s="17">
        <v>9.9000000000000008E-3</v>
      </c>
      <c r="G30" s="17"/>
    </row>
    <row r="31" spans="1:7" x14ac:dyDescent="0.35">
      <c r="A31" s="13" t="s">
        <v>1276</v>
      </c>
      <c r="B31" s="41" t="s">
        <v>1277</v>
      </c>
      <c r="C31" s="41" t="s">
        <v>1261</v>
      </c>
      <c r="D31" s="15">
        <v>2200000</v>
      </c>
      <c r="E31" s="16">
        <v>3324.86</v>
      </c>
      <c r="F31" s="17">
        <v>9.5999999999999992E-3</v>
      </c>
      <c r="G31" s="17"/>
    </row>
    <row r="32" spans="1:7" x14ac:dyDescent="0.35">
      <c r="A32" s="13" t="s">
        <v>1281</v>
      </c>
      <c r="B32" s="41" t="s">
        <v>1282</v>
      </c>
      <c r="C32" s="41" t="s">
        <v>1234</v>
      </c>
      <c r="D32" s="15">
        <v>162560</v>
      </c>
      <c r="E32" s="16">
        <v>3277.05</v>
      </c>
      <c r="F32" s="17">
        <v>9.4999999999999998E-3</v>
      </c>
      <c r="G32" s="17"/>
    </row>
    <row r="33" spans="1:7" x14ac:dyDescent="0.35">
      <c r="A33" s="13" t="s">
        <v>1478</v>
      </c>
      <c r="B33" s="41" t="s">
        <v>1479</v>
      </c>
      <c r="C33" s="41" t="s">
        <v>1369</v>
      </c>
      <c r="D33" s="15">
        <v>104022</v>
      </c>
      <c r="E33" s="16">
        <v>3249.54</v>
      </c>
      <c r="F33" s="17">
        <v>9.4000000000000004E-3</v>
      </c>
      <c r="G33" s="17"/>
    </row>
    <row r="34" spans="1:7" x14ac:dyDescent="0.35">
      <c r="A34" s="13" t="s">
        <v>1338</v>
      </c>
      <c r="B34" s="41" t="s">
        <v>1339</v>
      </c>
      <c r="C34" s="41" t="s">
        <v>1221</v>
      </c>
      <c r="D34" s="15">
        <v>23357</v>
      </c>
      <c r="E34" s="16">
        <v>3148.52</v>
      </c>
      <c r="F34" s="17">
        <v>9.1000000000000004E-3</v>
      </c>
      <c r="G34" s="17"/>
    </row>
    <row r="35" spans="1:7" x14ac:dyDescent="0.35">
      <c r="A35" s="13" t="s">
        <v>1264</v>
      </c>
      <c r="B35" s="41" t="s">
        <v>1265</v>
      </c>
      <c r="C35" s="41" t="s">
        <v>1266</v>
      </c>
      <c r="D35" s="15">
        <v>1085101</v>
      </c>
      <c r="E35" s="16">
        <v>2968.84</v>
      </c>
      <c r="F35" s="17">
        <v>8.6E-3</v>
      </c>
      <c r="G35" s="17"/>
    </row>
    <row r="36" spans="1:7" x14ac:dyDescent="0.35">
      <c r="A36" s="13" t="s">
        <v>1376</v>
      </c>
      <c r="B36" s="41" t="s">
        <v>1377</v>
      </c>
      <c r="C36" s="41" t="s">
        <v>1280</v>
      </c>
      <c r="D36" s="15">
        <v>105000</v>
      </c>
      <c r="E36" s="16">
        <v>2936.85</v>
      </c>
      <c r="F36" s="17">
        <v>8.5000000000000006E-3</v>
      </c>
      <c r="G36" s="17"/>
    </row>
    <row r="37" spans="1:7" x14ac:dyDescent="0.35">
      <c r="A37" s="13" t="s">
        <v>1455</v>
      </c>
      <c r="B37" s="41" t="s">
        <v>1456</v>
      </c>
      <c r="C37" s="41" t="s">
        <v>1234</v>
      </c>
      <c r="D37" s="15">
        <v>296613</v>
      </c>
      <c r="E37" s="16">
        <v>2862.32</v>
      </c>
      <c r="F37" s="17">
        <v>8.3000000000000001E-3</v>
      </c>
      <c r="G37" s="17"/>
    </row>
    <row r="38" spans="1:7" x14ac:dyDescent="0.35">
      <c r="A38" s="13" t="s">
        <v>1361</v>
      </c>
      <c r="B38" s="41" t="s">
        <v>1362</v>
      </c>
      <c r="C38" s="41" t="s">
        <v>1229</v>
      </c>
      <c r="D38" s="15">
        <v>316479</v>
      </c>
      <c r="E38" s="16">
        <v>2694.82</v>
      </c>
      <c r="F38" s="17">
        <v>7.7999999999999996E-3</v>
      </c>
      <c r="G38" s="17"/>
    </row>
    <row r="39" spans="1:7" x14ac:dyDescent="0.35">
      <c r="A39" s="13" t="s">
        <v>1555</v>
      </c>
      <c r="B39" s="41" t="s">
        <v>1556</v>
      </c>
      <c r="C39" s="41" t="s">
        <v>1178</v>
      </c>
      <c r="D39" s="15">
        <v>287967</v>
      </c>
      <c r="E39" s="16">
        <v>2625.4</v>
      </c>
      <c r="F39" s="17">
        <v>7.6E-3</v>
      </c>
      <c r="G39" s="17"/>
    </row>
    <row r="40" spans="1:7" x14ac:dyDescent="0.35">
      <c r="A40" s="13" t="s">
        <v>1935</v>
      </c>
      <c r="B40" s="41" t="s">
        <v>1936</v>
      </c>
      <c r="C40" s="41" t="s">
        <v>1221</v>
      </c>
      <c r="D40" s="15">
        <v>42735</v>
      </c>
      <c r="E40" s="16">
        <v>2606.41</v>
      </c>
      <c r="F40" s="17">
        <v>7.4999999999999997E-3</v>
      </c>
      <c r="G40" s="17"/>
    </row>
    <row r="41" spans="1:7" x14ac:dyDescent="0.35">
      <c r="A41" s="13" t="s">
        <v>1291</v>
      </c>
      <c r="B41" s="41" t="s">
        <v>1292</v>
      </c>
      <c r="C41" s="41" t="s">
        <v>1206</v>
      </c>
      <c r="D41" s="15">
        <v>606678</v>
      </c>
      <c r="E41" s="16">
        <v>2590.52</v>
      </c>
      <c r="F41" s="17">
        <v>7.4999999999999997E-3</v>
      </c>
      <c r="G41" s="17"/>
    </row>
    <row r="42" spans="1:7" x14ac:dyDescent="0.35">
      <c r="A42" s="13" t="s">
        <v>1222</v>
      </c>
      <c r="B42" s="41" t="s">
        <v>1223</v>
      </c>
      <c r="C42" s="41" t="s">
        <v>1224</v>
      </c>
      <c r="D42" s="15">
        <v>20139</v>
      </c>
      <c r="E42" s="16">
        <v>2556.44</v>
      </c>
      <c r="F42" s="17">
        <v>7.4000000000000003E-3</v>
      </c>
      <c r="G42" s="17"/>
    </row>
    <row r="43" spans="1:7" x14ac:dyDescent="0.35">
      <c r="A43" s="13" t="s">
        <v>1227</v>
      </c>
      <c r="B43" s="41" t="s">
        <v>1228</v>
      </c>
      <c r="C43" s="41" t="s">
        <v>1229</v>
      </c>
      <c r="D43" s="15">
        <v>36515</v>
      </c>
      <c r="E43" s="16">
        <v>2541.63</v>
      </c>
      <c r="F43" s="17">
        <v>7.4000000000000003E-3</v>
      </c>
      <c r="G43" s="17"/>
    </row>
    <row r="44" spans="1:7" x14ac:dyDescent="0.35">
      <c r="A44" s="13" t="s">
        <v>1207</v>
      </c>
      <c r="B44" s="41" t="s">
        <v>1208</v>
      </c>
      <c r="C44" s="41" t="s">
        <v>1185</v>
      </c>
      <c r="D44" s="15">
        <v>343811</v>
      </c>
      <c r="E44" s="16">
        <v>2513.2600000000002</v>
      </c>
      <c r="F44" s="17">
        <v>7.3000000000000001E-3</v>
      </c>
      <c r="G44" s="17"/>
    </row>
    <row r="45" spans="1:7" x14ac:dyDescent="0.35">
      <c r="A45" s="13" t="s">
        <v>1212</v>
      </c>
      <c r="B45" s="41" t="s">
        <v>1213</v>
      </c>
      <c r="C45" s="41" t="s">
        <v>1188</v>
      </c>
      <c r="D45" s="15">
        <v>66667</v>
      </c>
      <c r="E45" s="16">
        <v>2451.61</v>
      </c>
      <c r="F45" s="17">
        <v>7.1000000000000004E-3</v>
      </c>
      <c r="G45" s="17"/>
    </row>
    <row r="46" spans="1:7" x14ac:dyDescent="0.35">
      <c r="A46" s="13" t="s">
        <v>1919</v>
      </c>
      <c r="B46" s="41" t="s">
        <v>1920</v>
      </c>
      <c r="C46" s="41" t="s">
        <v>1178</v>
      </c>
      <c r="D46" s="15">
        <v>1660333</v>
      </c>
      <c r="E46" s="16">
        <v>2447.66</v>
      </c>
      <c r="F46" s="17">
        <v>7.1000000000000004E-3</v>
      </c>
      <c r="G46" s="17"/>
    </row>
    <row r="47" spans="1:7" x14ac:dyDescent="0.35">
      <c r="A47" s="13" t="s">
        <v>1262</v>
      </c>
      <c r="B47" s="41" t="s">
        <v>1263</v>
      </c>
      <c r="C47" s="41" t="s">
        <v>1178</v>
      </c>
      <c r="D47" s="15">
        <v>177637</v>
      </c>
      <c r="E47" s="16">
        <v>2434.34</v>
      </c>
      <c r="F47" s="17">
        <v>7.0000000000000001E-3</v>
      </c>
      <c r="G47" s="17"/>
    </row>
    <row r="48" spans="1:7" x14ac:dyDescent="0.35">
      <c r="A48" s="13" t="s">
        <v>1403</v>
      </c>
      <c r="B48" s="41" t="s">
        <v>1404</v>
      </c>
      <c r="C48" s="41" t="s">
        <v>1234</v>
      </c>
      <c r="D48" s="15">
        <v>38606</v>
      </c>
      <c r="E48" s="16">
        <v>2336.0500000000002</v>
      </c>
      <c r="F48" s="17">
        <v>6.7999999999999996E-3</v>
      </c>
      <c r="G48" s="17"/>
    </row>
    <row r="49" spans="1:7" x14ac:dyDescent="0.35">
      <c r="A49" s="13" t="s">
        <v>2538</v>
      </c>
      <c r="B49" s="41" t="s">
        <v>2539</v>
      </c>
      <c r="C49" s="41" t="s">
        <v>1201</v>
      </c>
      <c r="D49" s="15">
        <v>83163</v>
      </c>
      <c r="E49" s="16">
        <v>2328.56</v>
      </c>
      <c r="F49" s="17">
        <v>6.7000000000000002E-3</v>
      </c>
      <c r="G49" s="17"/>
    </row>
    <row r="50" spans="1:7" x14ac:dyDescent="0.35">
      <c r="A50" s="13" t="s">
        <v>2167</v>
      </c>
      <c r="B50" s="41" t="s">
        <v>2168</v>
      </c>
      <c r="C50" s="41" t="s">
        <v>1288</v>
      </c>
      <c r="D50" s="15">
        <v>1243040</v>
      </c>
      <c r="E50" s="16">
        <v>2237.1</v>
      </c>
      <c r="F50" s="17">
        <v>6.4999999999999997E-3</v>
      </c>
      <c r="G50" s="17"/>
    </row>
    <row r="51" spans="1:7" x14ac:dyDescent="0.35">
      <c r="A51" s="13" t="s">
        <v>1970</v>
      </c>
      <c r="B51" s="41" t="s">
        <v>1971</v>
      </c>
      <c r="C51" s="41" t="s">
        <v>1201</v>
      </c>
      <c r="D51" s="15">
        <v>143209</v>
      </c>
      <c r="E51" s="16">
        <v>2094.5700000000002</v>
      </c>
      <c r="F51" s="17">
        <v>6.1000000000000004E-3</v>
      </c>
      <c r="G51" s="17"/>
    </row>
    <row r="52" spans="1:7" x14ac:dyDescent="0.35">
      <c r="A52" s="13" t="s">
        <v>1426</v>
      </c>
      <c r="B52" s="41" t="s">
        <v>1427</v>
      </c>
      <c r="C52" s="41" t="s">
        <v>1178</v>
      </c>
      <c r="D52" s="15">
        <v>211872</v>
      </c>
      <c r="E52" s="16">
        <v>2081.3200000000002</v>
      </c>
      <c r="F52" s="17">
        <v>6.0000000000000001E-3</v>
      </c>
      <c r="G52" s="17"/>
    </row>
    <row r="53" spans="1:7" x14ac:dyDescent="0.35">
      <c r="A53" s="13" t="s">
        <v>1420</v>
      </c>
      <c r="B53" s="41" t="s">
        <v>1421</v>
      </c>
      <c r="C53" s="41" t="s">
        <v>1178</v>
      </c>
      <c r="D53" s="15">
        <v>1150000</v>
      </c>
      <c r="E53" s="16">
        <v>2078.7399999999998</v>
      </c>
      <c r="F53" s="17">
        <v>6.0000000000000001E-3</v>
      </c>
      <c r="G53" s="17"/>
    </row>
    <row r="54" spans="1:7" x14ac:dyDescent="0.35">
      <c r="A54" s="13" t="s">
        <v>2540</v>
      </c>
      <c r="B54" s="41" t="s">
        <v>2541</v>
      </c>
      <c r="C54" s="41" t="s">
        <v>1185</v>
      </c>
      <c r="D54" s="15">
        <v>504985</v>
      </c>
      <c r="E54" s="16">
        <v>2013.88</v>
      </c>
      <c r="F54" s="17">
        <v>5.7999999999999996E-3</v>
      </c>
      <c r="G54" s="17"/>
    </row>
    <row r="55" spans="1:7" x14ac:dyDescent="0.35">
      <c r="A55" s="13" t="s">
        <v>1816</v>
      </c>
      <c r="B55" s="41" t="s">
        <v>1817</v>
      </c>
      <c r="C55" s="41" t="s">
        <v>1188</v>
      </c>
      <c r="D55" s="15">
        <v>321363</v>
      </c>
      <c r="E55" s="16">
        <v>1996.47</v>
      </c>
      <c r="F55" s="17">
        <v>5.7999999999999996E-3</v>
      </c>
      <c r="G55" s="17"/>
    </row>
    <row r="56" spans="1:7" x14ac:dyDescent="0.35">
      <c r="A56" s="13" t="s">
        <v>2242</v>
      </c>
      <c r="B56" s="41" t="s">
        <v>2243</v>
      </c>
      <c r="C56" s="41" t="s">
        <v>1382</v>
      </c>
      <c r="D56" s="15">
        <v>1470</v>
      </c>
      <c r="E56" s="16">
        <v>1942.83</v>
      </c>
      <c r="F56" s="17">
        <v>5.5999999999999999E-3</v>
      </c>
      <c r="G56" s="17"/>
    </row>
    <row r="57" spans="1:7" x14ac:dyDescent="0.35">
      <c r="A57" s="13" t="s">
        <v>1806</v>
      </c>
      <c r="B57" s="41" t="s">
        <v>1807</v>
      </c>
      <c r="C57" s="41" t="s">
        <v>1333</v>
      </c>
      <c r="D57" s="15">
        <v>250000</v>
      </c>
      <c r="E57" s="16">
        <v>1799.75</v>
      </c>
      <c r="F57" s="17">
        <v>5.1999999999999998E-3</v>
      </c>
      <c r="G57" s="17"/>
    </row>
    <row r="58" spans="1:7" x14ac:dyDescent="0.35">
      <c r="A58" s="13" t="s">
        <v>2542</v>
      </c>
      <c r="B58" s="41" t="s">
        <v>2543</v>
      </c>
      <c r="C58" s="41" t="s">
        <v>1266</v>
      </c>
      <c r="D58" s="15">
        <v>90065</v>
      </c>
      <c r="E58" s="16">
        <v>1797.34</v>
      </c>
      <c r="F58" s="17">
        <v>5.1999999999999998E-3</v>
      </c>
      <c r="G58" s="17"/>
    </row>
    <row r="59" spans="1:7" x14ac:dyDescent="0.35">
      <c r="A59" s="13" t="s">
        <v>1318</v>
      </c>
      <c r="B59" s="41" t="s">
        <v>1319</v>
      </c>
      <c r="C59" s="41" t="s">
        <v>1178</v>
      </c>
      <c r="D59" s="15">
        <v>600000</v>
      </c>
      <c r="E59" s="16">
        <v>1792.5</v>
      </c>
      <c r="F59" s="17">
        <v>5.1999999999999998E-3</v>
      </c>
      <c r="G59" s="17"/>
    </row>
    <row r="60" spans="1:7" x14ac:dyDescent="0.35">
      <c r="A60" s="13" t="s">
        <v>1297</v>
      </c>
      <c r="B60" s="41" t="s">
        <v>1298</v>
      </c>
      <c r="C60" s="41" t="s">
        <v>1198</v>
      </c>
      <c r="D60" s="15">
        <v>400000</v>
      </c>
      <c r="E60" s="16">
        <v>1777.2</v>
      </c>
      <c r="F60" s="17">
        <v>5.1000000000000004E-3</v>
      </c>
      <c r="G60" s="17"/>
    </row>
    <row r="61" spans="1:7" x14ac:dyDescent="0.35">
      <c r="A61" s="13" t="s">
        <v>1941</v>
      </c>
      <c r="B61" s="41" t="s">
        <v>1942</v>
      </c>
      <c r="C61" s="41" t="s">
        <v>1198</v>
      </c>
      <c r="D61" s="15">
        <v>110863</v>
      </c>
      <c r="E61" s="16">
        <v>1712.61</v>
      </c>
      <c r="F61" s="17">
        <v>5.0000000000000001E-3</v>
      </c>
      <c r="G61" s="17"/>
    </row>
    <row r="62" spans="1:7" x14ac:dyDescent="0.35">
      <c r="A62" s="13" t="s">
        <v>1257</v>
      </c>
      <c r="B62" s="41" t="s">
        <v>1258</v>
      </c>
      <c r="C62" s="41" t="s">
        <v>1198</v>
      </c>
      <c r="D62" s="15">
        <v>15000000</v>
      </c>
      <c r="E62" s="16">
        <v>1675.5</v>
      </c>
      <c r="F62" s="17">
        <v>4.8999999999999998E-3</v>
      </c>
      <c r="G62" s="17"/>
    </row>
    <row r="63" spans="1:7" x14ac:dyDescent="0.35">
      <c r="A63" s="13" t="s">
        <v>2055</v>
      </c>
      <c r="B63" s="41" t="s">
        <v>2056</v>
      </c>
      <c r="C63" s="41" t="s">
        <v>1234</v>
      </c>
      <c r="D63" s="15">
        <v>12450</v>
      </c>
      <c r="E63" s="16">
        <v>1649.75</v>
      </c>
      <c r="F63" s="17">
        <v>4.7999999999999996E-3</v>
      </c>
      <c r="G63" s="17"/>
    </row>
    <row r="64" spans="1:7" x14ac:dyDescent="0.35">
      <c r="A64" s="13" t="s">
        <v>2544</v>
      </c>
      <c r="B64" s="41" t="s">
        <v>2545</v>
      </c>
      <c r="C64" s="41" t="s">
        <v>1382</v>
      </c>
      <c r="D64" s="15">
        <v>10997</v>
      </c>
      <c r="E64" s="16">
        <v>1648.34</v>
      </c>
      <c r="F64" s="17">
        <v>4.7999999999999996E-3</v>
      </c>
      <c r="G64" s="17"/>
    </row>
    <row r="65" spans="1:7" x14ac:dyDescent="0.35">
      <c r="A65" s="13" t="s">
        <v>1232</v>
      </c>
      <c r="B65" s="41" t="s">
        <v>1233</v>
      </c>
      <c r="C65" s="41" t="s">
        <v>1234</v>
      </c>
      <c r="D65" s="15">
        <v>41452</v>
      </c>
      <c r="E65" s="16">
        <v>1641.83</v>
      </c>
      <c r="F65" s="17">
        <v>4.7999999999999996E-3</v>
      </c>
      <c r="G65" s="17"/>
    </row>
    <row r="66" spans="1:7" x14ac:dyDescent="0.35">
      <c r="A66" s="13" t="s">
        <v>2003</v>
      </c>
      <c r="B66" s="41" t="s">
        <v>2004</v>
      </c>
      <c r="C66" s="41" t="s">
        <v>1211</v>
      </c>
      <c r="D66" s="15">
        <v>512329</v>
      </c>
      <c r="E66" s="16">
        <v>1410.95</v>
      </c>
      <c r="F66" s="17">
        <v>4.1000000000000003E-3</v>
      </c>
      <c r="G66" s="17"/>
    </row>
    <row r="67" spans="1:7" x14ac:dyDescent="0.35">
      <c r="A67" s="13" t="s">
        <v>1196</v>
      </c>
      <c r="B67" s="41" t="s">
        <v>1302</v>
      </c>
      <c r="C67" s="41" t="s">
        <v>1198</v>
      </c>
      <c r="D67" s="15">
        <v>90000</v>
      </c>
      <c r="E67" s="16">
        <v>1407.69</v>
      </c>
      <c r="F67" s="17">
        <v>4.1000000000000003E-3</v>
      </c>
      <c r="G67" s="17"/>
    </row>
    <row r="68" spans="1:7" x14ac:dyDescent="0.35">
      <c r="A68" s="13" t="s">
        <v>2035</v>
      </c>
      <c r="B68" s="41" t="s">
        <v>2036</v>
      </c>
      <c r="C68" s="41" t="s">
        <v>1382</v>
      </c>
      <c r="D68" s="15">
        <v>148000</v>
      </c>
      <c r="E68" s="16">
        <v>1381.43</v>
      </c>
      <c r="F68" s="17">
        <v>4.0000000000000001E-3</v>
      </c>
      <c r="G68" s="17"/>
    </row>
    <row r="69" spans="1:7" x14ac:dyDescent="0.35">
      <c r="A69" s="13" t="s">
        <v>1343</v>
      </c>
      <c r="B69" s="41" t="s">
        <v>1344</v>
      </c>
      <c r="C69" s="41" t="s">
        <v>1345</v>
      </c>
      <c r="D69" s="15">
        <v>30000</v>
      </c>
      <c r="E69" s="16">
        <v>1378.95</v>
      </c>
      <c r="F69" s="17">
        <v>4.0000000000000001E-3</v>
      </c>
      <c r="G69" s="17"/>
    </row>
    <row r="70" spans="1:7" x14ac:dyDescent="0.35">
      <c r="A70" s="13" t="s">
        <v>2398</v>
      </c>
      <c r="B70" s="41" t="s">
        <v>2399</v>
      </c>
      <c r="C70" s="41" t="s">
        <v>1288</v>
      </c>
      <c r="D70" s="15">
        <v>100000</v>
      </c>
      <c r="E70" s="16">
        <v>1373.7</v>
      </c>
      <c r="F70" s="17">
        <v>4.0000000000000001E-3</v>
      </c>
      <c r="G70" s="17"/>
    </row>
    <row r="71" spans="1:7" x14ac:dyDescent="0.35">
      <c r="A71" s="13" t="s">
        <v>1310</v>
      </c>
      <c r="B71" s="41" t="s">
        <v>1311</v>
      </c>
      <c r="C71" s="41" t="s">
        <v>1261</v>
      </c>
      <c r="D71" s="15">
        <v>672713</v>
      </c>
      <c r="E71" s="16">
        <v>1299.21</v>
      </c>
      <c r="F71" s="17">
        <v>3.8E-3</v>
      </c>
      <c r="G71" s="17"/>
    </row>
    <row r="72" spans="1:7" x14ac:dyDescent="0.35">
      <c r="A72" s="13" t="s">
        <v>1230</v>
      </c>
      <c r="B72" s="41" t="s">
        <v>1231</v>
      </c>
      <c r="C72" s="41" t="s">
        <v>1211</v>
      </c>
      <c r="D72" s="15">
        <v>65896</v>
      </c>
      <c r="E72" s="16">
        <v>1286.69</v>
      </c>
      <c r="F72" s="17">
        <v>3.7000000000000002E-3</v>
      </c>
      <c r="G72" s="17"/>
    </row>
    <row r="73" spans="1:7" x14ac:dyDescent="0.35">
      <c r="A73" s="13" t="s">
        <v>1327</v>
      </c>
      <c r="B73" s="41" t="s">
        <v>1328</v>
      </c>
      <c r="C73" s="41" t="s">
        <v>1178</v>
      </c>
      <c r="D73" s="15">
        <v>1015427</v>
      </c>
      <c r="E73" s="16">
        <v>1271.21</v>
      </c>
      <c r="F73" s="17">
        <v>3.7000000000000002E-3</v>
      </c>
      <c r="G73" s="17"/>
    </row>
    <row r="74" spans="1:7" x14ac:dyDescent="0.35">
      <c r="A74" s="13" t="s">
        <v>2194</v>
      </c>
      <c r="B74" s="41" t="s">
        <v>2195</v>
      </c>
      <c r="C74" s="41" t="s">
        <v>1216</v>
      </c>
      <c r="D74" s="15">
        <v>128584</v>
      </c>
      <c r="E74" s="16">
        <v>1247.9100000000001</v>
      </c>
      <c r="F74" s="17">
        <v>3.5999999999999999E-3</v>
      </c>
      <c r="G74" s="17"/>
    </row>
    <row r="75" spans="1:7" x14ac:dyDescent="0.35">
      <c r="A75" s="13" t="s">
        <v>1496</v>
      </c>
      <c r="B75" s="41" t="s">
        <v>1497</v>
      </c>
      <c r="C75" s="41" t="s">
        <v>1211</v>
      </c>
      <c r="D75" s="15">
        <v>73955</v>
      </c>
      <c r="E75" s="16">
        <v>1206.6500000000001</v>
      </c>
      <c r="F75" s="17">
        <v>3.5000000000000001E-3</v>
      </c>
      <c r="G75" s="17"/>
    </row>
    <row r="76" spans="1:7" x14ac:dyDescent="0.35">
      <c r="A76" s="13" t="s">
        <v>1567</v>
      </c>
      <c r="B76" s="41" t="s">
        <v>1568</v>
      </c>
      <c r="C76" s="41" t="s">
        <v>1266</v>
      </c>
      <c r="D76" s="15">
        <v>500000</v>
      </c>
      <c r="E76" s="16">
        <v>1187.5</v>
      </c>
      <c r="F76" s="17">
        <v>3.3999999999999998E-3</v>
      </c>
      <c r="G76" s="17"/>
    </row>
    <row r="77" spans="1:7" x14ac:dyDescent="0.35">
      <c r="A77" s="13" t="s">
        <v>2181</v>
      </c>
      <c r="B77" s="41" t="s">
        <v>2182</v>
      </c>
      <c r="C77" s="41" t="s">
        <v>1324</v>
      </c>
      <c r="D77" s="15">
        <v>232114</v>
      </c>
      <c r="E77" s="16">
        <v>1170.55</v>
      </c>
      <c r="F77" s="17">
        <v>3.3999999999999998E-3</v>
      </c>
      <c r="G77" s="17"/>
    </row>
    <row r="78" spans="1:7" x14ac:dyDescent="0.35">
      <c r="A78" s="13" t="s">
        <v>1810</v>
      </c>
      <c r="B78" s="41" t="s">
        <v>1811</v>
      </c>
      <c r="C78" s="41" t="s">
        <v>1382</v>
      </c>
      <c r="D78" s="15">
        <v>15676</v>
      </c>
      <c r="E78" s="16">
        <v>1147.01</v>
      </c>
      <c r="F78" s="17">
        <v>3.3E-3</v>
      </c>
      <c r="G78" s="17"/>
    </row>
    <row r="79" spans="1:7" x14ac:dyDescent="0.35">
      <c r="A79" s="13" t="s">
        <v>1800</v>
      </c>
      <c r="B79" s="41" t="s">
        <v>1801</v>
      </c>
      <c r="C79" s="41" t="s">
        <v>1234</v>
      </c>
      <c r="D79" s="15">
        <v>167977</v>
      </c>
      <c r="E79" s="16">
        <v>958.48</v>
      </c>
      <c r="F79" s="17">
        <v>2.8E-3</v>
      </c>
      <c r="G79" s="17"/>
    </row>
    <row r="80" spans="1:7" x14ac:dyDescent="0.35">
      <c r="A80" s="13" t="s">
        <v>1802</v>
      </c>
      <c r="B80" s="41" t="s">
        <v>1803</v>
      </c>
      <c r="C80" s="41" t="s">
        <v>1211</v>
      </c>
      <c r="D80" s="15">
        <v>55467</v>
      </c>
      <c r="E80" s="16">
        <v>917.59</v>
      </c>
      <c r="F80" s="17">
        <v>2.7000000000000001E-3</v>
      </c>
      <c r="G80" s="17"/>
    </row>
    <row r="81" spans="1:7" x14ac:dyDescent="0.35">
      <c r="A81" s="13" t="s">
        <v>1470</v>
      </c>
      <c r="B81" s="41" t="s">
        <v>1471</v>
      </c>
      <c r="C81" s="41" t="s">
        <v>1382</v>
      </c>
      <c r="D81" s="15">
        <v>62043</v>
      </c>
      <c r="E81" s="16">
        <v>733.53</v>
      </c>
      <c r="F81" s="17">
        <v>2.0999999999999999E-3</v>
      </c>
      <c r="G81" s="17"/>
    </row>
    <row r="82" spans="1:7" x14ac:dyDescent="0.35">
      <c r="A82" s="13" t="s">
        <v>1841</v>
      </c>
      <c r="B82" s="41" t="s">
        <v>1842</v>
      </c>
      <c r="C82" s="41" t="s">
        <v>1191</v>
      </c>
      <c r="D82" s="15">
        <v>119923</v>
      </c>
      <c r="E82" s="16">
        <v>705.15</v>
      </c>
      <c r="F82" s="17">
        <v>2E-3</v>
      </c>
      <c r="G82" s="17"/>
    </row>
    <row r="83" spans="1:7" x14ac:dyDescent="0.35">
      <c r="A83" s="13" t="s">
        <v>1836</v>
      </c>
      <c r="B83" s="41" t="s">
        <v>1837</v>
      </c>
      <c r="C83" s="41" t="s">
        <v>1838</v>
      </c>
      <c r="D83" s="15">
        <v>365116</v>
      </c>
      <c r="E83" s="16">
        <v>643.54999999999995</v>
      </c>
      <c r="F83" s="17">
        <v>1.9E-3</v>
      </c>
      <c r="G83" s="17"/>
    </row>
    <row r="84" spans="1:7" x14ac:dyDescent="0.35">
      <c r="A84" s="13" t="s">
        <v>1814</v>
      </c>
      <c r="B84" s="41" t="s">
        <v>1815</v>
      </c>
      <c r="C84" s="41" t="s">
        <v>1234</v>
      </c>
      <c r="D84" s="15">
        <v>2212</v>
      </c>
      <c r="E84" s="16">
        <v>609.74</v>
      </c>
      <c r="F84" s="17">
        <v>1.8E-3</v>
      </c>
      <c r="G84" s="17"/>
    </row>
    <row r="85" spans="1:7" x14ac:dyDescent="0.35">
      <c r="A85" s="13" t="s">
        <v>2307</v>
      </c>
      <c r="B85" s="41" t="s">
        <v>2308</v>
      </c>
      <c r="C85" s="41" t="s">
        <v>2309</v>
      </c>
      <c r="D85" s="15">
        <v>29175</v>
      </c>
      <c r="E85" s="16">
        <v>593.86</v>
      </c>
      <c r="F85" s="17">
        <v>1.6999999999999999E-3</v>
      </c>
      <c r="G85" s="17"/>
    </row>
    <row r="86" spans="1:7" x14ac:dyDescent="0.35">
      <c r="A86" s="13" t="s">
        <v>2451</v>
      </c>
      <c r="B86" s="41" t="s">
        <v>2452</v>
      </c>
      <c r="C86" s="41" t="s">
        <v>1382</v>
      </c>
      <c r="D86" s="15">
        <v>100751</v>
      </c>
      <c r="E86" s="16">
        <v>526.07000000000005</v>
      </c>
      <c r="F86" s="17">
        <v>1.5E-3</v>
      </c>
      <c r="G86" s="17"/>
    </row>
    <row r="87" spans="1:7" x14ac:dyDescent="0.35">
      <c r="A87" s="13" t="s">
        <v>2160</v>
      </c>
      <c r="B87" s="41" t="s">
        <v>2161</v>
      </c>
      <c r="C87" s="41" t="s">
        <v>1201</v>
      </c>
      <c r="D87" s="15">
        <v>287041</v>
      </c>
      <c r="E87" s="16">
        <v>523.13</v>
      </c>
      <c r="F87" s="17">
        <v>1.5E-3</v>
      </c>
      <c r="G87" s="17"/>
    </row>
    <row r="88" spans="1:7" x14ac:dyDescent="0.35">
      <c r="A88" s="13" t="s">
        <v>1834</v>
      </c>
      <c r="B88" s="41" t="s">
        <v>1835</v>
      </c>
      <c r="C88" s="41" t="s">
        <v>1224</v>
      </c>
      <c r="D88" s="15">
        <v>426727</v>
      </c>
      <c r="E88" s="16">
        <v>487.32</v>
      </c>
      <c r="F88" s="17">
        <v>1.4E-3</v>
      </c>
      <c r="G88" s="17"/>
    </row>
    <row r="89" spans="1:7" x14ac:dyDescent="0.35">
      <c r="A89" s="13" t="s">
        <v>2481</v>
      </c>
      <c r="B89" s="41" t="s">
        <v>2482</v>
      </c>
      <c r="C89" s="41" t="s">
        <v>1216</v>
      </c>
      <c r="D89" s="15">
        <v>114979</v>
      </c>
      <c r="E89" s="16">
        <v>439.05</v>
      </c>
      <c r="F89" s="17">
        <v>1.2999999999999999E-3</v>
      </c>
      <c r="G89" s="17"/>
    </row>
    <row r="90" spans="1:7" x14ac:dyDescent="0.35">
      <c r="A90" s="13" t="s">
        <v>1923</v>
      </c>
      <c r="B90" s="41" t="s">
        <v>1924</v>
      </c>
      <c r="C90" s="41" t="s">
        <v>1224</v>
      </c>
      <c r="D90" s="15">
        <v>7721</v>
      </c>
      <c r="E90" s="16">
        <v>426.47</v>
      </c>
      <c r="F90" s="17">
        <v>1.1999999999999999E-3</v>
      </c>
      <c r="G90" s="17"/>
    </row>
    <row r="91" spans="1:7" x14ac:dyDescent="0.35">
      <c r="A91" s="13" t="s">
        <v>2492</v>
      </c>
      <c r="B91" s="41" t="s">
        <v>2493</v>
      </c>
      <c r="C91" s="41" t="s">
        <v>1412</v>
      </c>
      <c r="D91" s="15">
        <v>422979</v>
      </c>
      <c r="E91" s="16">
        <v>257.33999999999997</v>
      </c>
      <c r="F91" s="17">
        <v>6.9999999999999999E-4</v>
      </c>
      <c r="G91" s="17"/>
    </row>
    <row r="92" spans="1:7" x14ac:dyDescent="0.35">
      <c r="A92" s="13" t="s">
        <v>1892</v>
      </c>
      <c r="B92" s="41" t="s">
        <v>1893</v>
      </c>
      <c r="C92" s="41" t="s">
        <v>1280</v>
      </c>
      <c r="D92" s="15">
        <v>355</v>
      </c>
      <c r="E92" s="16">
        <v>3.6</v>
      </c>
      <c r="F92" s="17">
        <v>0</v>
      </c>
      <c r="G92" s="17"/>
    </row>
    <row r="93" spans="1:7" x14ac:dyDescent="0.35">
      <c r="A93" s="13" t="s">
        <v>1847</v>
      </c>
      <c r="B93" s="41" t="s">
        <v>1848</v>
      </c>
      <c r="C93" s="41" t="s">
        <v>1849</v>
      </c>
      <c r="D93" s="15">
        <v>459</v>
      </c>
      <c r="E93" s="16">
        <v>0.9</v>
      </c>
      <c r="F93" s="17">
        <v>0</v>
      </c>
      <c r="G93" s="17"/>
    </row>
    <row r="94" spans="1:7" x14ac:dyDescent="0.35">
      <c r="A94" s="13" t="s">
        <v>1845</v>
      </c>
      <c r="B94" s="41" t="s">
        <v>1846</v>
      </c>
      <c r="C94" s="41" t="s">
        <v>1324</v>
      </c>
      <c r="D94" s="15">
        <v>3</v>
      </c>
      <c r="E94" s="16">
        <v>0.01</v>
      </c>
      <c r="F94" s="17">
        <v>0</v>
      </c>
      <c r="G94" s="17"/>
    </row>
    <row r="95" spans="1:7" x14ac:dyDescent="0.35">
      <c r="A95" s="14" t="s">
        <v>149</v>
      </c>
      <c r="B95" s="42"/>
      <c r="C95" s="42"/>
      <c r="D95" s="18"/>
      <c r="E95" s="19">
        <v>262274.64</v>
      </c>
      <c r="F95" s="20">
        <v>0.75970000000000004</v>
      </c>
      <c r="G95" s="21"/>
    </row>
    <row r="96" spans="1:7" x14ac:dyDescent="0.35">
      <c r="A96" s="14"/>
      <c r="B96" s="42"/>
      <c r="C96" s="42"/>
      <c r="D96" s="18"/>
      <c r="E96" s="26"/>
      <c r="F96" s="21"/>
      <c r="G96" s="21"/>
    </row>
    <row r="97" spans="1:7" x14ac:dyDescent="0.35">
      <c r="A97" s="14"/>
      <c r="B97" s="42"/>
      <c r="C97" s="42"/>
      <c r="D97" s="18"/>
      <c r="E97" s="26"/>
      <c r="F97" s="21"/>
      <c r="G97" s="21"/>
    </row>
    <row r="98" spans="1:7" x14ac:dyDescent="0.35">
      <c r="A98" s="58" t="s">
        <v>147</v>
      </c>
      <c r="B98" s="42"/>
      <c r="C98" s="42"/>
      <c r="D98" s="18"/>
      <c r="E98" s="26"/>
      <c r="F98" s="21"/>
      <c r="G98" s="21"/>
    </row>
    <row r="99" spans="1:7" x14ac:dyDescent="0.35">
      <c r="A99" s="58" t="s">
        <v>1249</v>
      </c>
      <c r="B99" s="41"/>
      <c r="C99" s="41"/>
      <c r="D99" s="15"/>
      <c r="E99" s="16"/>
      <c r="F99" s="17"/>
      <c r="G99" s="17"/>
    </row>
    <row r="100" spans="1:7" x14ac:dyDescent="0.35">
      <c r="A100" s="58" t="s">
        <v>1250</v>
      </c>
      <c r="B100" s="41"/>
      <c r="C100" s="41"/>
      <c r="D100" s="15"/>
      <c r="E100" s="16"/>
      <c r="F100" s="17"/>
      <c r="G100" s="17"/>
    </row>
    <row r="101" spans="1:7" x14ac:dyDescent="0.35">
      <c r="A101" s="13" t="s">
        <v>1251</v>
      </c>
      <c r="B101" s="41" t="s">
        <v>1252</v>
      </c>
      <c r="C101" s="41" t="s">
        <v>1188</v>
      </c>
      <c r="D101" s="15">
        <v>217564</v>
      </c>
      <c r="E101" s="16">
        <v>22.24</v>
      </c>
      <c r="F101" s="17">
        <v>1E-4</v>
      </c>
      <c r="G101" s="17"/>
    </row>
    <row r="102" spans="1:7" x14ac:dyDescent="0.35">
      <c r="A102" s="14" t="s">
        <v>149</v>
      </c>
      <c r="B102" s="42"/>
      <c r="C102" s="42"/>
      <c r="D102" s="18"/>
      <c r="E102" s="19">
        <v>22.24</v>
      </c>
      <c r="F102" s="20">
        <v>1E-4</v>
      </c>
      <c r="G102" s="21"/>
    </row>
    <row r="103" spans="1:7" x14ac:dyDescent="0.35">
      <c r="A103" s="22" t="s">
        <v>160</v>
      </c>
      <c r="B103" s="43"/>
      <c r="C103" s="43"/>
      <c r="D103" s="23"/>
      <c r="E103" s="24">
        <f>E102+E95</f>
        <v>262296.88</v>
      </c>
      <c r="F103" s="25">
        <f>F102+F95</f>
        <v>0.75980000000000003</v>
      </c>
      <c r="G103" s="21"/>
    </row>
    <row r="104" spans="1:7" x14ac:dyDescent="0.35">
      <c r="A104" s="13"/>
      <c r="B104" s="41"/>
      <c r="C104" s="41"/>
      <c r="D104" s="15"/>
      <c r="E104" s="16"/>
      <c r="F104" s="17"/>
      <c r="G104" s="17"/>
    </row>
    <row r="105" spans="1:7" x14ac:dyDescent="0.35">
      <c r="A105" s="14" t="s">
        <v>1571</v>
      </c>
      <c r="B105" s="41"/>
      <c r="C105" s="41"/>
      <c r="D105" s="15"/>
      <c r="E105" s="16"/>
      <c r="F105" s="17"/>
      <c r="G105" s="17"/>
    </row>
    <row r="106" spans="1:7" x14ac:dyDescent="0.35">
      <c r="A106" s="14" t="s">
        <v>1572</v>
      </c>
      <c r="B106" s="41"/>
      <c r="C106" s="41"/>
      <c r="D106" s="15"/>
      <c r="E106" s="16"/>
      <c r="F106" s="17"/>
      <c r="G106" s="17"/>
    </row>
    <row r="107" spans="1:7" x14ac:dyDescent="0.35">
      <c r="A107" s="13" t="s">
        <v>1853</v>
      </c>
      <c r="B107" s="41"/>
      <c r="C107" s="41" t="s">
        <v>1849</v>
      </c>
      <c r="D107" s="15">
        <v>1875000</v>
      </c>
      <c r="E107" s="16">
        <v>3653.81</v>
      </c>
      <c r="F107" s="17">
        <v>1.0581E-2</v>
      </c>
      <c r="G107" s="17"/>
    </row>
    <row r="108" spans="1:7" x14ac:dyDescent="0.35">
      <c r="A108" s="13" t="s">
        <v>2202</v>
      </c>
      <c r="B108" s="41"/>
      <c r="C108" s="41" t="s">
        <v>1280</v>
      </c>
      <c r="D108" s="15">
        <v>140500</v>
      </c>
      <c r="E108" s="16">
        <v>1396.57</v>
      </c>
      <c r="F108" s="17">
        <v>4.0439999999999999E-3</v>
      </c>
      <c r="G108" s="17"/>
    </row>
    <row r="109" spans="1:7" x14ac:dyDescent="0.35">
      <c r="A109" s="13" t="s">
        <v>2203</v>
      </c>
      <c r="B109" s="41"/>
      <c r="C109" s="41" t="s">
        <v>1333</v>
      </c>
      <c r="D109" s="15">
        <v>18400</v>
      </c>
      <c r="E109" s="16">
        <v>133.02000000000001</v>
      </c>
      <c r="F109" s="17">
        <v>3.8499999999999998E-4</v>
      </c>
      <c r="G109" s="17"/>
    </row>
    <row r="110" spans="1:7" x14ac:dyDescent="0.35">
      <c r="A110" s="14" t="s">
        <v>149</v>
      </c>
      <c r="B110" s="42"/>
      <c r="C110" s="42"/>
      <c r="D110" s="18"/>
      <c r="E110" s="19">
        <v>5183.3999999999996</v>
      </c>
      <c r="F110" s="20">
        <v>1.5010000000000001E-2</v>
      </c>
      <c r="G110" s="21"/>
    </row>
    <row r="111" spans="1:7" x14ac:dyDescent="0.35">
      <c r="A111" s="13"/>
      <c r="B111" s="41"/>
      <c r="C111" s="41"/>
      <c r="D111" s="15"/>
      <c r="E111" s="16"/>
      <c r="F111" s="17"/>
      <c r="G111" s="17"/>
    </row>
    <row r="112" spans="1:7" x14ac:dyDescent="0.35">
      <c r="A112" s="13"/>
      <c r="B112" s="41"/>
      <c r="C112" s="41"/>
      <c r="D112" s="15"/>
      <c r="E112" s="16"/>
      <c r="F112" s="17"/>
      <c r="G112" s="17"/>
    </row>
    <row r="113" spans="1:7" x14ac:dyDescent="0.35">
      <c r="A113" s="13"/>
      <c r="B113" s="41"/>
      <c r="C113" s="41"/>
      <c r="D113" s="15"/>
      <c r="E113" s="16"/>
      <c r="F113" s="17"/>
      <c r="G113" s="17"/>
    </row>
    <row r="114" spans="1:7" x14ac:dyDescent="0.35">
      <c r="A114" s="22" t="s">
        <v>160</v>
      </c>
      <c r="B114" s="43"/>
      <c r="C114" s="43"/>
      <c r="D114" s="23"/>
      <c r="E114" s="36">
        <v>5183.3999999999996</v>
      </c>
      <c r="F114" s="37">
        <v>1.5010000000000001E-2</v>
      </c>
      <c r="G114" s="21"/>
    </row>
    <row r="115" spans="1:7" x14ac:dyDescent="0.35">
      <c r="A115" s="13"/>
      <c r="B115" s="41"/>
      <c r="C115" s="41"/>
      <c r="D115" s="15"/>
      <c r="E115" s="16"/>
      <c r="F115" s="17"/>
      <c r="G115" s="17"/>
    </row>
    <row r="116" spans="1:7" x14ac:dyDescent="0.35">
      <c r="A116" s="14" t="s">
        <v>147</v>
      </c>
      <c r="B116" s="41"/>
      <c r="C116" s="41"/>
      <c r="D116" s="15"/>
      <c r="E116" s="16"/>
      <c r="F116" s="17"/>
      <c r="G116" s="17"/>
    </row>
    <row r="117" spans="1:7" x14ac:dyDescent="0.35">
      <c r="A117" s="14" t="s">
        <v>307</v>
      </c>
      <c r="B117" s="41"/>
      <c r="C117" s="41"/>
      <c r="D117" s="15"/>
      <c r="E117" s="16"/>
      <c r="F117" s="17"/>
      <c r="G117" s="17"/>
    </row>
    <row r="118" spans="1:7" x14ac:dyDescent="0.35">
      <c r="A118" s="13" t="s">
        <v>2207</v>
      </c>
      <c r="B118" s="41" t="s">
        <v>2208</v>
      </c>
      <c r="C118" s="41" t="s">
        <v>310</v>
      </c>
      <c r="D118" s="15">
        <v>14000000</v>
      </c>
      <c r="E118" s="16">
        <v>14088.75</v>
      </c>
      <c r="F118" s="17">
        <v>4.0800000000000003E-2</v>
      </c>
      <c r="G118" s="17">
        <v>7.1795999999999999E-2</v>
      </c>
    </row>
    <row r="119" spans="1:7" x14ac:dyDescent="0.35">
      <c r="A119" s="13" t="s">
        <v>764</v>
      </c>
      <c r="B119" s="41" t="s">
        <v>765</v>
      </c>
      <c r="C119" s="41" t="s">
        <v>317</v>
      </c>
      <c r="D119" s="15">
        <v>7500000</v>
      </c>
      <c r="E119" s="16">
        <v>7547.54</v>
      </c>
      <c r="F119" s="17">
        <v>2.1899999999999999E-2</v>
      </c>
      <c r="G119" s="17">
        <v>7.535E-2</v>
      </c>
    </row>
    <row r="120" spans="1:7" x14ac:dyDescent="0.35">
      <c r="A120" s="13" t="s">
        <v>780</v>
      </c>
      <c r="B120" s="41" t="s">
        <v>781</v>
      </c>
      <c r="C120" s="41" t="s">
        <v>310</v>
      </c>
      <c r="D120" s="15">
        <v>7500000</v>
      </c>
      <c r="E120" s="16">
        <v>7507.77</v>
      </c>
      <c r="F120" s="17">
        <v>2.1700000000000001E-2</v>
      </c>
      <c r="G120" s="17">
        <v>7.535E-2</v>
      </c>
    </row>
    <row r="121" spans="1:7" x14ac:dyDescent="0.35">
      <c r="A121" s="13" t="s">
        <v>1870</v>
      </c>
      <c r="B121" s="41" t="s">
        <v>1871</v>
      </c>
      <c r="C121" s="41" t="s">
        <v>310</v>
      </c>
      <c r="D121" s="15">
        <v>5000000</v>
      </c>
      <c r="E121" s="16">
        <v>4960.49</v>
      </c>
      <c r="F121" s="17">
        <v>1.44E-2</v>
      </c>
      <c r="G121" s="17">
        <v>7.7049999999999993E-2</v>
      </c>
    </row>
    <row r="122" spans="1:7" x14ac:dyDescent="0.35">
      <c r="A122" s="13" t="s">
        <v>1874</v>
      </c>
      <c r="B122" s="41" t="s">
        <v>1875</v>
      </c>
      <c r="C122" s="41" t="s">
        <v>317</v>
      </c>
      <c r="D122" s="15">
        <v>2500000</v>
      </c>
      <c r="E122" s="16">
        <v>2525.79</v>
      </c>
      <c r="F122" s="17">
        <v>7.3000000000000001E-3</v>
      </c>
      <c r="G122" s="17">
        <v>7.4149999999999994E-2</v>
      </c>
    </row>
    <row r="123" spans="1:7" x14ac:dyDescent="0.35">
      <c r="A123" s="14" t="s">
        <v>149</v>
      </c>
      <c r="B123" s="42"/>
      <c r="C123" s="42"/>
      <c r="D123" s="18"/>
      <c r="E123" s="19">
        <v>36630.339999999997</v>
      </c>
      <c r="F123" s="20">
        <v>0.1061</v>
      </c>
      <c r="G123" s="21"/>
    </row>
    <row r="124" spans="1:7" x14ac:dyDescent="0.35">
      <c r="A124" s="13"/>
      <c r="B124" s="41"/>
      <c r="C124" s="41"/>
      <c r="D124" s="15"/>
      <c r="E124" s="16"/>
      <c r="F124" s="17"/>
      <c r="G124" s="17"/>
    </row>
    <row r="125" spans="1:7" x14ac:dyDescent="0.35">
      <c r="A125" s="14" t="s">
        <v>463</v>
      </c>
      <c r="B125" s="41"/>
      <c r="C125" s="41"/>
      <c r="D125" s="15"/>
      <c r="E125" s="16"/>
      <c r="F125" s="17"/>
      <c r="G125" s="17"/>
    </row>
    <row r="126" spans="1:7" x14ac:dyDescent="0.35">
      <c r="A126" s="13" t="s">
        <v>466</v>
      </c>
      <c r="B126" s="41" t="s">
        <v>467</v>
      </c>
      <c r="C126" s="41" t="s">
        <v>153</v>
      </c>
      <c r="D126" s="15">
        <v>2000000</v>
      </c>
      <c r="E126" s="16">
        <v>2060.1</v>
      </c>
      <c r="F126" s="17">
        <v>6.0000000000000001E-3</v>
      </c>
      <c r="G126" s="17">
        <v>6.1441999999999997E-2</v>
      </c>
    </row>
    <row r="127" spans="1:7" x14ac:dyDescent="0.35">
      <c r="A127" s="14" t="s">
        <v>149</v>
      </c>
      <c r="B127" s="42"/>
      <c r="C127" s="42"/>
      <c r="D127" s="18"/>
      <c r="E127" s="19">
        <v>2060.1</v>
      </c>
      <c r="F127" s="20">
        <v>6.0000000000000001E-3</v>
      </c>
      <c r="G127" s="21"/>
    </row>
    <row r="128" spans="1:7" x14ac:dyDescent="0.35">
      <c r="A128" s="13"/>
      <c r="B128" s="41"/>
      <c r="C128" s="41"/>
      <c r="D128" s="15"/>
      <c r="E128" s="16"/>
      <c r="F128" s="17"/>
      <c r="G128" s="17"/>
    </row>
    <row r="129" spans="1:7" x14ac:dyDescent="0.35">
      <c r="A129" s="14" t="s">
        <v>158</v>
      </c>
      <c r="B129" s="41"/>
      <c r="C129" s="41"/>
      <c r="D129" s="15"/>
      <c r="E129" s="16"/>
      <c r="F129" s="17"/>
      <c r="G129" s="17"/>
    </row>
    <row r="130" spans="1:7" x14ac:dyDescent="0.35">
      <c r="A130" s="14" t="s">
        <v>149</v>
      </c>
      <c r="B130" s="41"/>
      <c r="C130" s="41"/>
      <c r="D130" s="15"/>
      <c r="E130" s="34" t="s">
        <v>146</v>
      </c>
      <c r="F130" s="35" t="s">
        <v>146</v>
      </c>
      <c r="G130" s="17"/>
    </row>
    <row r="131" spans="1:7" x14ac:dyDescent="0.35">
      <c r="A131" s="13"/>
      <c r="B131" s="41"/>
      <c r="C131" s="41"/>
      <c r="D131" s="15"/>
      <c r="E131" s="16"/>
      <c r="F131" s="17"/>
      <c r="G131" s="17"/>
    </row>
    <row r="132" spans="1:7" x14ac:dyDescent="0.35">
      <c r="A132" s="14" t="s">
        <v>159</v>
      </c>
      <c r="B132" s="41"/>
      <c r="C132" s="41"/>
      <c r="D132" s="15"/>
      <c r="E132" s="16"/>
      <c r="F132" s="17"/>
      <c r="G132" s="17"/>
    </row>
    <row r="133" spans="1:7" x14ac:dyDescent="0.35">
      <c r="A133" s="14" t="s">
        <v>149</v>
      </c>
      <c r="B133" s="41"/>
      <c r="C133" s="41"/>
      <c r="D133" s="15"/>
      <c r="E133" s="34" t="s">
        <v>146</v>
      </c>
      <c r="F133" s="35" t="s">
        <v>146</v>
      </c>
      <c r="G133" s="17"/>
    </row>
    <row r="134" spans="1:7" x14ac:dyDescent="0.35">
      <c r="A134" s="13"/>
      <c r="B134" s="41"/>
      <c r="C134" s="41"/>
      <c r="D134" s="15"/>
      <c r="E134" s="16"/>
      <c r="F134" s="17"/>
      <c r="G134" s="17"/>
    </row>
    <row r="135" spans="1:7" x14ac:dyDescent="0.35">
      <c r="A135" s="22" t="s">
        <v>160</v>
      </c>
      <c r="B135" s="43"/>
      <c r="C135" s="43"/>
      <c r="D135" s="23"/>
      <c r="E135" s="36">
        <v>38690.44</v>
      </c>
      <c r="F135" s="37">
        <v>0.11210000000000001</v>
      </c>
      <c r="G135" s="21"/>
    </row>
    <row r="136" spans="1:7" x14ac:dyDescent="0.35">
      <c r="A136" s="13"/>
      <c r="B136" s="41"/>
      <c r="C136" s="41"/>
      <c r="D136" s="15"/>
      <c r="E136" s="16"/>
      <c r="F136" s="17"/>
      <c r="G136" s="17"/>
    </row>
    <row r="137" spans="1:7" x14ac:dyDescent="0.35">
      <c r="A137" s="13"/>
      <c r="B137" s="41"/>
      <c r="C137" s="41"/>
      <c r="D137" s="15"/>
      <c r="E137" s="16"/>
      <c r="F137" s="17"/>
      <c r="G137" s="17"/>
    </row>
    <row r="138" spans="1:7" x14ac:dyDescent="0.35">
      <c r="A138" s="14" t="s">
        <v>884</v>
      </c>
      <c r="B138" s="41"/>
      <c r="C138" s="41"/>
      <c r="D138" s="15"/>
      <c r="E138" s="16"/>
      <c r="F138" s="17"/>
      <c r="G138" s="17"/>
    </row>
    <row r="139" spans="1:7" x14ac:dyDescent="0.35">
      <c r="A139" s="13" t="s">
        <v>1786</v>
      </c>
      <c r="B139" s="41" t="s">
        <v>1787</v>
      </c>
      <c r="C139" s="41"/>
      <c r="D139" s="15">
        <v>454381.06150000001</v>
      </c>
      <c r="E139" s="16">
        <v>16016.44</v>
      </c>
      <c r="F139" s="17">
        <v>4.6399999999999997E-2</v>
      </c>
      <c r="G139" s="17"/>
    </row>
    <row r="140" spans="1:7" x14ac:dyDescent="0.35">
      <c r="A140" s="13" t="s">
        <v>1790</v>
      </c>
      <c r="B140" s="41" t="s">
        <v>1791</v>
      </c>
      <c r="C140" s="41"/>
      <c r="D140" s="15">
        <v>283343.76799999998</v>
      </c>
      <c r="E140" s="16">
        <v>3008.97</v>
      </c>
      <c r="F140" s="17">
        <v>8.6999999999999994E-3</v>
      </c>
      <c r="G140" s="17"/>
    </row>
    <row r="141" spans="1:7" x14ac:dyDescent="0.35">
      <c r="A141" s="13" t="s">
        <v>1879</v>
      </c>
      <c r="B141" s="41" t="s">
        <v>1880</v>
      </c>
      <c r="C141" s="41"/>
      <c r="D141" s="15">
        <v>18597042.9144</v>
      </c>
      <c r="E141" s="16">
        <v>2003.85</v>
      </c>
      <c r="F141" s="17">
        <v>5.7999999999999996E-3</v>
      </c>
      <c r="G141" s="17"/>
    </row>
    <row r="142" spans="1:7" x14ac:dyDescent="0.35">
      <c r="A142" s="13" t="s">
        <v>1792</v>
      </c>
      <c r="B142" s="41" t="s">
        <v>1793</v>
      </c>
      <c r="C142" s="41"/>
      <c r="D142" s="15">
        <v>14999250.037</v>
      </c>
      <c r="E142" s="16">
        <v>1642.72</v>
      </c>
      <c r="F142" s="17">
        <v>4.7999999999999996E-3</v>
      </c>
      <c r="G142" s="17"/>
    </row>
    <row r="143" spans="1:7" x14ac:dyDescent="0.35">
      <c r="A143" s="13" t="s">
        <v>2546</v>
      </c>
      <c r="B143" s="41" t="s">
        <v>2547</v>
      </c>
      <c r="C143" s="41"/>
      <c r="D143" s="15">
        <v>1634279.088</v>
      </c>
      <c r="E143" s="16">
        <v>243.55</v>
      </c>
      <c r="F143" s="17">
        <v>6.9999999999999999E-4</v>
      </c>
      <c r="G143" s="17"/>
    </row>
    <row r="144" spans="1:7" x14ac:dyDescent="0.35">
      <c r="A144" s="13"/>
      <c r="B144" s="41"/>
      <c r="C144" s="41"/>
      <c r="D144" s="15"/>
      <c r="E144" s="16"/>
      <c r="F144" s="17"/>
      <c r="G144" s="17"/>
    </row>
    <row r="145" spans="1:7" x14ac:dyDescent="0.35">
      <c r="A145" s="22" t="s">
        <v>160</v>
      </c>
      <c r="B145" s="43"/>
      <c r="C145" s="43"/>
      <c r="D145" s="23"/>
      <c r="E145" s="36">
        <v>22915.53</v>
      </c>
      <c r="F145" s="37">
        <v>6.6400000000000001E-2</v>
      </c>
      <c r="G145" s="21"/>
    </row>
    <row r="146" spans="1:7" x14ac:dyDescent="0.35">
      <c r="A146" s="13"/>
      <c r="B146" s="41"/>
      <c r="C146" s="41"/>
      <c r="D146" s="15"/>
      <c r="E146" s="16"/>
      <c r="F146" s="17"/>
      <c r="G146" s="17"/>
    </row>
    <row r="147" spans="1:7" x14ac:dyDescent="0.35">
      <c r="A147" s="14" t="s">
        <v>255</v>
      </c>
      <c r="B147" s="41"/>
      <c r="C147" s="41"/>
      <c r="D147" s="15"/>
      <c r="E147" s="16"/>
      <c r="F147" s="17"/>
      <c r="G147" s="17"/>
    </row>
    <row r="148" spans="1:7" x14ac:dyDescent="0.35">
      <c r="A148" s="13" t="s">
        <v>257</v>
      </c>
      <c r="B148" s="41"/>
      <c r="C148" s="41"/>
      <c r="D148" s="15"/>
      <c r="E148" s="16">
        <v>20204.41</v>
      </c>
      <c r="F148" s="17">
        <v>5.8500000000000003E-2</v>
      </c>
      <c r="G148" s="17">
        <v>5.1742000000000003E-2</v>
      </c>
    </row>
    <row r="149" spans="1:7" x14ac:dyDescent="0.35">
      <c r="A149" s="14" t="s">
        <v>149</v>
      </c>
      <c r="B149" s="42"/>
      <c r="C149" s="42"/>
      <c r="D149" s="18"/>
      <c r="E149" s="19">
        <v>20204.41</v>
      </c>
      <c r="F149" s="20">
        <v>5.8500000000000003E-2</v>
      </c>
      <c r="G149" s="21"/>
    </row>
    <row r="150" spans="1:7" x14ac:dyDescent="0.35">
      <c r="A150" s="13"/>
      <c r="B150" s="41"/>
      <c r="C150" s="41"/>
      <c r="D150" s="15"/>
      <c r="E150" s="16"/>
      <c r="F150" s="17"/>
      <c r="G150" s="17"/>
    </row>
    <row r="151" spans="1:7" x14ac:dyDescent="0.35">
      <c r="A151" s="22" t="s">
        <v>160</v>
      </c>
      <c r="B151" s="43"/>
      <c r="C151" s="43"/>
      <c r="D151" s="23"/>
      <c r="E151" s="36">
        <v>20204.41</v>
      </c>
      <c r="F151" s="37">
        <v>5.8500000000000003E-2</v>
      </c>
      <c r="G151" s="21"/>
    </row>
    <row r="152" spans="1:7" x14ac:dyDescent="0.35">
      <c r="A152" s="13" t="s">
        <v>258</v>
      </c>
      <c r="B152" s="41"/>
      <c r="C152" s="41"/>
      <c r="D152" s="15"/>
      <c r="E152" s="16">
        <v>903.9583063</v>
      </c>
      <c r="F152" s="17">
        <v>2.617E-3</v>
      </c>
      <c r="G152" s="17"/>
    </row>
    <row r="153" spans="1:7" x14ac:dyDescent="0.35">
      <c r="A153" s="13" t="s">
        <v>259</v>
      </c>
      <c r="B153" s="41"/>
      <c r="C153" s="41"/>
      <c r="D153" s="15"/>
      <c r="E153" s="16">
        <v>292.99169369999998</v>
      </c>
      <c r="F153" s="17">
        <v>5.8299999999999997E-4</v>
      </c>
      <c r="G153" s="17">
        <v>5.1741000000000002E-2</v>
      </c>
    </row>
    <row r="154" spans="1:7" x14ac:dyDescent="0.35">
      <c r="A154" s="38" t="s">
        <v>260</v>
      </c>
      <c r="B154" s="44"/>
      <c r="C154" s="44"/>
      <c r="D154" s="39"/>
      <c r="E154" s="24">
        <v>345304.21</v>
      </c>
      <c r="F154" s="25">
        <v>1</v>
      </c>
      <c r="G154" s="25"/>
    </row>
    <row r="156" spans="1:7" x14ac:dyDescent="0.35">
      <c r="A156" s="1" t="s">
        <v>1794</v>
      </c>
    </row>
    <row r="157" spans="1:7" x14ac:dyDescent="0.35">
      <c r="A157" s="1" t="s">
        <v>262</v>
      </c>
    </row>
    <row r="159" spans="1:7" x14ac:dyDescent="0.35">
      <c r="A159" s="1" t="s">
        <v>263</v>
      </c>
    </row>
    <row r="160" spans="1:7" x14ac:dyDescent="0.35">
      <c r="A160" s="47" t="s">
        <v>264</v>
      </c>
      <c r="B160" s="3" t="s">
        <v>146</v>
      </c>
    </row>
    <row r="161" spans="1:4" x14ac:dyDescent="0.35">
      <c r="A161" t="s">
        <v>265</v>
      </c>
    </row>
    <row r="162" spans="1:4" x14ac:dyDescent="0.35">
      <c r="A162" t="s">
        <v>266</v>
      </c>
      <c r="B162" t="s">
        <v>267</v>
      </c>
      <c r="C162" t="s">
        <v>267</v>
      </c>
    </row>
    <row r="163" spans="1:4" x14ac:dyDescent="0.35">
      <c r="B163" s="49">
        <v>46022</v>
      </c>
      <c r="C163" s="49">
        <v>46052</v>
      </c>
    </row>
    <row r="164" spans="1:4" x14ac:dyDescent="0.35">
      <c r="A164" t="s">
        <v>272</v>
      </c>
      <c r="B164">
        <v>75.41</v>
      </c>
      <c r="C164">
        <v>73.53</v>
      </c>
    </row>
    <row r="165" spans="1:4" x14ac:dyDescent="0.35">
      <c r="A165" t="s">
        <v>273</v>
      </c>
      <c r="B165">
        <v>34.01</v>
      </c>
      <c r="C165">
        <v>32.950000000000003</v>
      </c>
    </row>
    <row r="166" spans="1:4" x14ac:dyDescent="0.35">
      <c r="A166" t="s">
        <v>2015</v>
      </c>
      <c r="B166">
        <v>64.349999999999994</v>
      </c>
      <c r="C166">
        <v>62.66</v>
      </c>
    </row>
    <row r="167" spans="1:4" x14ac:dyDescent="0.35">
      <c r="A167" t="s">
        <v>2016</v>
      </c>
      <c r="B167">
        <v>65.569999999999993</v>
      </c>
      <c r="C167">
        <v>63.86</v>
      </c>
    </row>
    <row r="168" spans="1:4" x14ac:dyDescent="0.35">
      <c r="A168" t="s">
        <v>708</v>
      </c>
      <c r="B168">
        <v>65.03</v>
      </c>
      <c r="C168">
        <v>63.33</v>
      </c>
    </row>
    <row r="169" spans="1:4" x14ac:dyDescent="0.35">
      <c r="A169" t="s">
        <v>709</v>
      </c>
      <c r="B169">
        <v>27.32</v>
      </c>
      <c r="C169">
        <v>26.39</v>
      </c>
    </row>
    <row r="171" spans="1:4" x14ac:dyDescent="0.35">
      <c r="A171" t="s">
        <v>712</v>
      </c>
    </row>
    <row r="173" spans="1:4" x14ac:dyDescent="0.35">
      <c r="A173" s="50" t="s">
        <v>713</v>
      </c>
      <c r="B173" s="50" t="s">
        <v>714</v>
      </c>
      <c r="C173" s="50" t="s">
        <v>715</v>
      </c>
      <c r="D173" s="50" t="s">
        <v>716</v>
      </c>
    </row>
    <row r="174" spans="1:4" x14ac:dyDescent="0.35">
      <c r="A174" s="50" t="s">
        <v>2548</v>
      </c>
      <c r="B174" s="50"/>
      <c r="C174" s="50">
        <v>0.21</v>
      </c>
      <c r="D174" s="50">
        <v>0.21</v>
      </c>
    </row>
    <row r="175" spans="1:4" x14ac:dyDescent="0.35">
      <c r="A175" s="50" t="s">
        <v>2549</v>
      </c>
      <c r="B175" s="50"/>
      <c r="C175" s="50">
        <v>0.21</v>
      </c>
      <c r="D175" s="50">
        <v>0.21</v>
      </c>
    </row>
    <row r="177" spans="1:4" x14ac:dyDescent="0.35">
      <c r="A177" t="s">
        <v>284</v>
      </c>
      <c r="B177" s="3" t="s">
        <v>146</v>
      </c>
    </row>
    <row r="178" spans="1:4" ht="29" customHeight="1" x14ac:dyDescent="0.35">
      <c r="A178" s="47" t="s">
        <v>285</v>
      </c>
      <c r="B178" s="3" t="s">
        <v>146</v>
      </c>
    </row>
    <row r="179" spans="1:4" ht="29" customHeight="1" x14ac:dyDescent="0.35">
      <c r="A179" s="47" t="s">
        <v>286</v>
      </c>
      <c r="B179" s="3" t="s">
        <v>146</v>
      </c>
    </row>
    <row r="180" spans="1:4" x14ac:dyDescent="0.35">
      <c r="A180" t="s">
        <v>1253</v>
      </c>
      <c r="B180" s="48">
        <v>1.3056000000000001</v>
      </c>
    </row>
    <row r="181" spans="1:4" ht="43.5" customHeight="1" x14ac:dyDescent="0.35">
      <c r="A181" s="47" t="s">
        <v>288</v>
      </c>
      <c r="B181" s="3">
        <v>5183.4053000000004</v>
      </c>
    </row>
    <row r="182" spans="1:4" x14ac:dyDescent="0.35">
      <c r="B182" s="3"/>
    </row>
    <row r="183" spans="1:4" ht="29" customHeight="1" x14ac:dyDescent="0.35">
      <c r="A183" s="47" t="s">
        <v>289</v>
      </c>
      <c r="B183" s="3" t="s">
        <v>146</v>
      </c>
    </row>
    <row r="184" spans="1:4" ht="29" customHeight="1" x14ac:dyDescent="0.35">
      <c r="A184" s="47" t="s">
        <v>290</v>
      </c>
      <c r="B184" t="s">
        <v>146</v>
      </c>
    </row>
    <row r="185" spans="1:4" ht="29" customHeight="1" x14ac:dyDescent="0.35">
      <c r="A185" s="47" t="s">
        <v>291</v>
      </c>
      <c r="B185" s="3" t="s">
        <v>146</v>
      </c>
    </row>
    <row r="186" spans="1:4" ht="29" customHeight="1" x14ac:dyDescent="0.35">
      <c r="A186" s="47" t="s">
        <v>292</v>
      </c>
      <c r="B186" s="3" t="s">
        <v>146</v>
      </c>
    </row>
    <row r="188" spans="1:4" ht="70" customHeight="1" x14ac:dyDescent="0.35">
      <c r="A188" s="70" t="s">
        <v>303</v>
      </c>
      <c r="B188" s="70" t="s">
        <v>304</v>
      </c>
      <c r="C188" s="70" t="s">
        <v>4</v>
      </c>
      <c r="D188" s="70" t="s">
        <v>5</v>
      </c>
    </row>
    <row r="189" spans="1:4" ht="70" customHeight="1" x14ac:dyDescent="0.35">
      <c r="A189" s="70" t="s">
        <v>2550</v>
      </c>
      <c r="B189" s="70"/>
      <c r="C189" s="70" t="s">
        <v>104</v>
      </c>
      <c r="D18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G299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2551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2552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1278</v>
      </c>
      <c r="B8" s="41" t="s">
        <v>1279</v>
      </c>
      <c r="C8" s="41" t="s">
        <v>1280</v>
      </c>
      <c r="D8" s="15">
        <v>24765</v>
      </c>
      <c r="E8" s="16">
        <v>626.05999999999995</v>
      </c>
      <c r="F8" s="17">
        <v>3.4000000000000002E-2</v>
      </c>
      <c r="G8" s="17"/>
    </row>
    <row r="9" spans="1:7" x14ac:dyDescent="0.35">
      <c r="A9" s="13" t="s">
        <v>1455</v>
      </c>
      <c r="B9" s="41" t="s">
        <v>1456</v>
      </c>
      <c r="C9" s="41" t="s">
        <v>1234</v>
      </c>
      <c r="D9" s="15">
        <v>37719</v>
      </c>
      <c r="E9" s="16">
        <v>363.99</v>
      </c>
      <c r="F9" s="17">
        <v>1.9699999999999999E-2</v>
      </c>
      <c r="G9" s="17"/>
    </row>
    <row r="10" spans="1:7" x14ac:dyDescent="0.35">
      <c r="A10" s="13" t="s">
        <v>1939</v>
      </c>
      <c r="B10" s="41" t="s">
        <v>1940</v>
      </c>
      <c r="C10" s="41" t="s">
        <v>1178</v>
      </c>
      <c r="D10" s="15">
        <v>91678</v>
      </c>
      <c r="E10" s="16">
        <v>276.32</v>
      </c>
      <c r="F10" s="17">
        <v>1.4999999999999999E-2</v>
      </c>
      <c r="G10" s="17"/>
    </row>
    <row r="11" spans="1:7" x14ac:dyDescent="0.35">
      <c r="A11" s="13" t="s">
        <v>1541</v>
      </c>
      <c r="B11" s="41" t="s">
        <v>1542</v>
      </c>
      <c r="C11" s="41" t="s">
        <v>1280</v>
      </c>
      <c r="D11" s="15">
        <v>17294</v>
      </c>
      <c r="E11" s="16">
        <v>228.32</v>
      </c>
      <c r="F11" s="17">
        <v>1.24E-2</v>
      </c>
      <c r="G11" s="17"/>
    </row>
    <row r="12" spans="1:7" x14ac:dyDescent="0.35">
      <c r="A12" s="13" t="s">
        <v>1370</v>
      </c>
      <c r="B12" s="41" t="s">
        <v>1371</v>
      </c>
      <c r="C12" s="41" t="s">
        <v>1345</v>
      </c>
      <c r="D12" s="15">
        <v>52863</v>
      </c>
      <c r="E12" s="16">
        <v>223.58</v>
      </c>
      <c r="F12" s="17">
        <v>1.21E-2</v>
      </c>
      <c r="G12" s="17"/>
    </row>
    <row r="13" spans="1:7" x14ac:dyDescent="0.35">
      <c r="A13" s="13" t="s">
        <v>2404</v>
      </c>
      <c r="B13" s="41" t="s">
        <v>2405</v>
      </c>
      <c r="C13" s="41" t="s">
        <v>1419</v>
      </c>
      <c r="D13" s="15">
        <v>31797</v>
      </c>
      <c r="E13" s="16">
        <v>218.1</v>
      </c>
      <c r="F13" s="17">
        <v>1.18E-2</v>
      </c>
      <c r="G13" s="17"/>
    </row>
    <row r="14" spans="1:7" x14ac:dyDescent="0.35">
      <c r="A14" s="13" t="s">
        <v>1935</v>
      </c>
      <c r="B14" s="41" t="s">
        <v>1936</v>
      </c>
      <c r="C14" s="41" t="s">
        <v>1221</v>
      </c>
      <c r="D14" s="15">
        <v>3569</v>
      </c>
      <c r="E14" s="16">
        <v>217.67</v>
      </c>
      <c r="F14" s="17">
        <v>1.18E-2</v>
      </c>
      <c r="G14" s="17"/>
    </row>
    <row r="15" spans="1:7" x14ac:dyDescent="0.35">
      <c r="A15" s="13" t="s">
        <v>1943</v>
      </c>
      <c r="B15" s="41" t="s">
        <v>1944</v>
      </c>
      <c r="C15" s="41" t="s">
        <v>1360</v>
      </c>
      <c r="D15" s="15">
        <v>7601</v>
      </c>
      <c r="E15" s="16">
        <v>214.96</v>
      </c>
      <c r="F15" s="17">
        <v>1.17E-2</v>
      </c>
      <c r="G15" s="17"/>
    </row>
    <row r="16" spans="1:7" x14ac:dyDescent="0.35">
      <c r="A16" s="13" t="s">
        <v>2022</v>
      </c>
      <c r="B16" s="41" t="s">
        <v>2023</v>
      </c>
      <c r="C16" s="41" t="s">
        <v>1178</v>
      </c>
      <c r="D16" s="15">
        <v>70065</v>
      </c>
      <c r="E16" s="16">
        <v>211.42</v>
      </c>
      <c r="F16" s="17">
        <v>1.15E-2</v>
      </c>
      <c r="G16" s="17"/>
    </row>
    <row r="17" spans="1:7" x14ac:dyDescent="0.35">
      <c r="A17" s="13" t="s">
        <v>1318</v>
      </c>
      <c r="B17" s="41" t="s">
        <v>1319</v>
      </c>
      <c r="C17" s="41" t="s">
        <v>1178</v>
      </c>
      <c r="D17" s="15">
        <v>58450</v>
      </c>
      <c r="E17" s="16">
        <v>174.62</v>
      </c>
      <c r="F17" s="17">
        <v>9.4999999999999998E-3</v>
      </c>
      <c r="G17" s="17"/>
    </row>
    <row r="18" spans="1:7" x14ac:dyDescent="0.35">
      <c r="A18" s="13" t="s">
        <v>1535</v>
      </c>
      <c r="B18" s="41" t="s">
        <v>1536</v>
      </c>
      <c r="C18" s="41" t="s">
        <v>1280</v>
      </c>
      <c r="D18" s="15">
        <v>23312</v>
      </c>
      <c r="E18" s="16">
        <v>162.03</v>
      </c>
      <c r="F18" s="17">
        <v>8.8000000000000005E-3</v>
      </c>
      <c r="G18" s="17"/>
    </row>
    <row r="19" spans="1:7" x14ac:dyDescent="0.35">
      <c r="A19" s="13" t="s">
        <v>1802</v>
      </c>
      <c r="B19" s="41" t="s">
        <v>1803</v>
      </c>
      <c r="C19" s="41" t="s">
        <v>1211</v>
      </c>
      <c r="D19" s="15">
        <v>9618</v>
      </c>
      <c r="E19" s="16">
        <v>159.11000000000001</v>
      </c>
      <c r="F19" s="17">
        <v>8.6E-3</v>
      </c>
      <c r="G19" s="17"/>
    </row>
    <row r="20" spans="1:7" x14ac:dyDescent="0.35">
      <c r="A20" s="13" t="s">
        <v>1890</v>
      </c>
      <c r="B20" s="41" t="s">
        <v>1891</v>
      </c>
      <c r="C20" s="41" t="s">
        <v>1280</v>
      </c>
      <c r="D20" s="15">
        <v>6257</v>
      </c>
      <c r="E20" s="16">
        <v>158.97999999999999</v>
      </c>
      <c r="F20" s="17">
        <v>8.6E-3</v>
      </c>
      <c r="G20" s="17"/>
    </row>
    <row r="21" spans="1:7" x14ac:dyDescent="0.35">
      <c r="A21" s="13" t="s">
        <v>2553</v>
      </c>
      <c r="B21" s="41" t="s">
        <v>2554</v>
      </c>
      <c r="C21" s="41" t="s">
        <v>1838</v>
      </c>
      <c r="D21" s="15">
        <v>57680</v>
      </c>
      <c r="E21" s="16">
        <v>156.57</v>
      </c>
      <c r="F21" s="17">
        <v>8.5000000000000006E-3</v>
      </c>
      <c r="G21" s="17"/>
    </row>
    <row r="22" spans="1:7" x14ac:dyDescent="0.35">
      <c r="A22" s="13" t="s">
        <v>1388</v>
      </c>
      <c r="B22" s="41" t="s">
        <v>1389</v>
      </c>
      <c r="C22" s="41" t="s">
        <v>1211</v>
      </c>
      <c r="D22" s="15">
        <v>53278</v>
      </c>
      <c r="E22" s="16">
        <v>151.66</v>
      </c>
      <c r="F22" s="17">
        <v>8.2000000000000007E-3</v>
      </c>
      <c r="G22" s="17"/>
    </row>
    <row r="23" spans="1:7" x14ac:dyDescent="0.35">
      <c r="A23" s="13" t="s">
        <v>1378</v>
      </c>
      <c r="B23" s="41" t="s">
        <v>1379</v>
      </c>
      <c r="C23" s="41" t="s">
        <v>1211</v>
      </c>
      <c r="D23" s="15">
        <v>18245</v>
      </c>
      <c r="E23" s="16">
        <v>150.05000000000001</v>
      </c>
      <c r="F23" s="17">
        <v>8.0999999999999996E-3</v>
      </c>
      <c r="G23" s="17"/>
    </row>
    <row r="24" spans="1:7" x14ac:dyDescent="0.35">
      <c r="A24" s="13" t="s">
        <v>2092</v>
      </c>
      <c r="B24" s="41" t="s">
        <v>2093</v>
      </c>
      <c r="C24" s="41" t="s">
        <v>1234</v>
      </c>
      <c r="D24" s="15">
        <v>7938</v>
      </c>
      <c r="E24" s="16">
        <v>148.4</v>
      </c>
      <c r="F24" s="17">
        <v>8.0000000000000002E-3</v>
      </c>
      <c r="G24" s="17"/>
    </row>
    <row r="25" spans="1:7" x14ac:dyDescent="0.35">
      <c r="A25" s="13" t="s">
        <v>2051</v>
      </c>
      <c r="B25" s="41" t="s">
        <v>2052</v>
      </c>
      <c r="C25" s="41" t="s">
        <v>1229</v>
      </c>
      <c r="D25" s="15">
        <v>23976</v>
      </c>
      <c r="E25" s="16">
        <v>144.76</v>
      </c>
      <c r="F25" s="17">
        <v>7.9000000000000008E-3</v>
      </c>
      <c r="G25" s="17"/>
    </row>
    <row r="26" spans="1:7" x14ac:dyDescent="0.35">
      <c r="A26" s="13" t="s">
        <v>2555</v>
      </c>
      <c r="B26" s="41" t="s">
        <v>2556</v>
      </c>
      <c r="C26" s="41" t="s">
        <v>1234</v>
      </c>
      <c r="D26" s="15">
        <v>7725</v>
      </c>
      <c r="E26" s="16">
        <v>142.65</v>
      </c>
      <c r="F26" s="17">
        <v>7.7000000000000002E-3</v>
      </c>
      <c r="G26" s="17"/>
    </row>
    <row r="27" spans="1:7" x14ac:dyDescent="0.35">
      <c r="A27" s="13" t="s">
        <v>1365</v>
      </c>
      <c r="B27" s="41" t="s">
        <v>1366</v>
      </c>
      <c r="C27" s="41" t="s">
        <v>1201</v>
      </c>
      <c r="D27" s="15">
        <v>62381</v>
      </c>
      <c r="E27" s="16">
        <v>138.13999999999999</v>
      </c>
      <c r="F27" s="17">
        <v>7.4999999999999997E-3</v>
      </c>
      <c r="G27" s="17"/>
    </row>
    <row r="28" spans="1:7" x14ac:dyDescent="0.35">
      <c r="A28" s="13" t="s">
        <v>2116</v>
      </c>
      <c r="B28" s="41" t="s">
        <v>2117</v>
      </c>
      <c r="C28" s="41" t="s">
        <v>1224</v>
      </c>
      <c r="D28" s="15">
        <v>12263</v>
      </c>
      <c r="E28" s="16">
        <v>137.47</v>
      </c>
      <c r="F28" s="17">
        <v>7.4999999999999997E-3</v>
      </c>
      <c r="G28" s="17"/>
    </row>
    <row r="29" spans="1:7" x14ac:dyDescent="0.35">
      <c r="A29" s="13" t="s">
        <v>1413</v>
      </c>
      <c r="B29" s="41" t="s">
        <v>1414</v>
      </c>
      <c r="C29" s="41" t="s">
        <v>1178</v>
      </c>
      <c r="D29" s="15">
        <v>85653</v>
      </c>
      <c r="E29" s="16">
        <v>132.46</v>
      </c>
      <c r="F29" s="17">
        <v>7.1999999999999998E-3</v>
      </c>
      <c r="G29" s="17"/>
    </row>
    <row r="30" spans="1:7" x14ac:dyDescent="0.35">
      <c r="A30" s="13" t="s">
        <v>1892</v>
      </c>
      <c r="B30" s="41" t="s">
        <v>1893</v>
      </c>
      <c r="C30" s="41" t="s">
        <v>1280</v>
      </c>
      <c r="D30" s="15">
        <v>12941</v>
      </c>
      <c r="E30" s="16">
        <v>131.22</v>
      </c>
      <c r="F30" s="17">
        <v>7.1000000000000004E-3</v>
      </c>
      <c r="G30" s="17"/>
    </row>
    <row r="31" spans="1:7" x14ac:dyDescent="0.35">
      <c r="A31" s="13" t="s">
        <v>2557</v>
      </c>
      <c r="B31" s="41" t="s">
        <v>2558</v>
      </c>
      <c r="C31" s="41" t="s">
        <v>1211</v>
      </c>
      <c r="D31" s="15">
        <v>25713</v>
      </c>
      <c r="E31" s="16">
        <v>129.9</v>
      </c>
      <c r="F31" s="17">
        <v>7.0000000000000001E-3</v>
      </c>
      <c r="G31" s="17"/>
    </row>
    <row r="32" spans="1:7" x14ac:dyDescent="0.35">
      <c r="A32" s="13" t="s">
        <v>2559</v>
      </c>
      <c r="B32" s="41" t="s">
        <v>2560</v>
      </c>
      <c r="C32" s="41" t="s">
        <v>1387</v>
      </c>
      <c r="D32" s="15">
        <v>11024</v>
      </c>
      <c r="E32" s="16">
        <v>126.11</v>
      </c>
      <c r="F32" s="17">
        <v>6.7999999999999996E-3</v>
      </c>
      <c r="G32" s="17"/>
    </row>
    <row r="33" spans="1:7" x14ac:dyDescent="0.35">
      <c r="A33" s="13" t="s">
        <v>1927</v>
      </c>
      <c r="B33" s="41" t="s">
        <v>1928</v>
      </c>
      <c r="C33" s="41" t="s">
        <v>1229</v>
      </c>
      <c r="D33" s="15">
        <v>22563</v>
      </c>
      <c r="E33" s="16">
        <v>124.58</v>
      </c>
      <c r="F33" s="17">
        <v>6.7999999999999996E-3</v>
      </c>
      <c r="G33" s="17"/>
    </row>
    <row r="34" spans="1:7" x14ac:dyDescent="0.35">
      <c r="A34" s="13" t="s">
        <v>1424</v>
      </c>
      <c r="B34" s="41" t="s">
        <v>1425</v>
      </c>
      <c r="C34" s="41" t="s">
        <v>1201</v>
      </c>
      <c r="D34" s="15">
        <v>2114</v>
      </c>
      <c r="E34" s="16">
        <v>120.84</v>
      </c>
      <c r="F34" s="17">
        <v>6.6E-3</v>
      </c>
      <c r="G34" s="17"/>
    </row>
    <row r="35" spans="1:7" x14ac:dyDescent="0.35">
      <c r="A35" s="13" t="s">
        <v>1896</v>
      </c>
      <c r="B35" s="41" t="s">
        <v>1897</v>
      </c>
      <c r="C35" s="41" t="s">
        <v>1280</v>
      </c>
      <c r="D35" s="15">
        <v>4134</v>
      </c>
      <c r="E35" s="16">
        <v>119.28</v>
      </c>
      <c r="F35" s="17">
        <v>6.4999999999999997E-3</v>
      </c>
      <c r="G35" s="17"/>
    </row>
    <row r="36" spans="1:7" x14ac:dyDescent="0.35">
      <c r="A36" s="13" t="s">
        <v>2561</v>
      </c>
      <c r="B36" s="41" t="s">
        <v>2562</v>
      </c>
      <c r="C36" s="41" t="s">
        <v>1211</v>
      </c>
      <c r="D36" s="15">
        <v>22559</v>
      </c>
      <c r="E36" s="16">
        <v>119.27</v>
      </c>
      <c r="F36" s="17">
        <v>6.4999999999999997E-3</v>
      </c>
      <c r="G36" s="17"/>
    </row>
    <row r="37" spans="1:7" x14ac:dyDescent="0.35">
      <c r="A37" s="13" t="s">
        <v>2563</v>
      </c>
      <c r="B37" s="41" t="s">
        <v>2564</v>
      </c>
      <c r="C37" s="41" t="s">
        <v>1382</v>
      </c>
      <c r="D37" s="15">
        <v>11767</v>
      </c>
      <c r="E37" s="16">
        <v>117.88</v>
      </c>
      <c r="F37" s="17">
        <v>6.4000000000000003E-3</v>
      </c>
      <c r="G37" s="17"/>
    </row>
    <row r="38" spans="1:7" x14ac:dyDescent="0.35">
      <c r="A38" s="13" t="s">
        <v>2408</v>
      </c>
      <c r="B38" s="41" t="s">
        <v>2409</v>
      </c>
      <c r="C38" s="41" t="s">
        <v>1229</v>
      </c>
      <c r="D38" s="15">
        <v>6593</v>
      </c>
      <c r="E38" s="16">
        <v>116.56</v>
      </c>
      <c r="F38" s="17">
        <v>6.3E-3</v>
      </c>
      <c r="G38" s="17"/>
    </row>
    <row r="39" spans="1:7" x14ac:dyDescent="0.35">
      <c r="A39" s="13" t="s">
        <v>2565</v>
      </c>
      <c r="B39" s="41" t="s">
        <v>2566</v>
      </c>
      <c r="C39" s="41" t="s">
        <v>1345</v>
      </c>
      <c r="D39" s="15">
        <v>9626</v>
      </c>
      <c r="E39" s="16">
        <v>115.74</v>
      </c>
      <c r="F39" s="17">
        <v>6.3E-3</v>
      </c>
      <c r="G39" s="17"/>
    </row>
    <row r="40" spans="1:7" x14ac:dyDescent="0.35">
      <c r="A40" s="13" t="s">
        <v>2567</v>
      </c>
      <c r="B40" s="41" t="s">
        <v>2568</v>
      </c>
      <c r="C40" s="41" t="s">
        <v>1221</v>
      </c>
      <c r="D40" s="15">
        <v>15190</v>
      </c>
      <c r="E40" s="16">
        <v>113.26</v>
      </c>
      <c r="F40" s="17">
        <v>6.1000000000000004E-3</v>
      </c>
      <c r="G40" s="17"/>
    </row>
    <row r="41" spans="1:7" x14ac:dyDescent="0.35">
      <c r="A41" s="13" t="s">
        <v>1329</v>
      </c>
      <c r="B41" s="41" t="s">
        <v>1330</v>
      </c>
      <c r="C41" s="41" t="s">
        <v>1211</v>
      </c>
      <c r="D41" s="15">
        <v>74929</v>
      </c>
      <c r="E41" s="16">
        <v>112.93</v>
      </c>
      <c r="F41" s="17">
        <v>6.1000000000000004E-3</v>
      </c>
      <c r="G41" s="17"/>
    </row>
    <row r="42" spans="1:7" x14ac:dyDescent="0.35">
      <c r="A42" s="13" t="s">
        <v>2569</v>
      </c>
      <c r="B42" s="41" t="s">
        <v>2570</v>
      </c>
      <c r="C42" s="41" t="s">
        <v>1211</v>
      </c>
      <c r="D42" s="15">
        <v>27920</v>
      </c>
      <c r="E42" s="16">
        <v>111.4</v>
      </c>
      <c r="F42" s="17">
        <v>6.0000000000000001E-3</v>
      </c>
      <c r="G42" s="17"/>
    </row>
    <row r="43" spans="1:7" x14ac:dyDescent="0.35">
      <c r="A43" s="13" t="s">
        <v>2445</v>
      </c>
      <c r="B43" s="41" t="s">
        <v>2446</v>
      </c>
      <c r="C43" s="41" t="s">
        <v>1234</v>
      </c>
      <c r="D43" s="15">
        <v>13312</v>
      </c>
      <c r="E43" s="16">
        <v>111.18</v>
      </c>
      <c r="F43" s="17">
        <v>6.0000000000000001E-3</v>
      </c>
      <c r="G43" s="17"/>
    </row>
    <row r="44" spans="1:7" x14ac:dyDescent="0.35">
      <c r="A44" s="13" t="s">
        <v>2571</v>
      </c>
      <c r="B44" s="41" t="s">
        <v>2572</v>
      </c>
      <c r="C44" s="41" t="s">
        <v>1234</v>
      </c>
      <c r="D44" s="15">
        <v>8019</v>
      </c>
      <c r="E44" s="16">
        <v>110.84</v>
      </c>
      <c r="F44" s="17">
        <v>6.0000000000000001E-3</v>
      </c>
      <c r="G44" s="17"/>
    </row>
    <row r="45" spans="1:7" x14ac:dyDescent="0.35">
      <c r="A45" s="13" t="s">
        <v>2055</v>
      </c>
      <c r="B45" s="41" t="s">
        <v>2056</v>
      </c>
      <c r="C45" s="41" t="s">
        <v>1234</v>
      </c>
      <c r="D45" s="15">
        <v>832</v>
      </c>
      <c r="E45" s="16">
        <v>110.25</v>
      </c>
      <c r="F45" s="17">
        <v>6.0000000000000001E-3</v>
      </c>
      <c r="G45" s="17"/>
    </row>
    <row r="46" spans="1:7" x14ac:dyDescent="0.35">
      <c r="A46" s="13" t="s">
        <v>2544</v>
      </c>
      <c r="B46" s="41" t="s">
        <v>2545</v>
      </c>
      <c r="C46" s="41" t="s">
        <v>1382</v>
      </c>
      <c r="D46" s="15">
        <v>733</v>
      </c>
      <c r="E46" s="16">
        <v>109.87</v>
      </c>
      <c r="F46" s="17">
        <v>6.0000000000000001E-3</v>
      </c>
      <c r="G46" s="17"/>
    </row>
    <row r="47" spans="1:7" x14ac:dyDescent="0.35">
      <c r="A47" s="13" t="s">
        <v>1900</v>
      </c>
      <c r="B47" s="41" t="s">
        <v>1901</v>
      </c>
      <c r="C47" s="41" t="s">
        <v>1185</v>
      </c>
      <c r="D47" s="15">
        <v>22781</v>
      </c>
      <c r="E47" s="16">
        <v>106.9</v>
      </c>
      <c r="F47" s="17">
        <v>5.7999999999999996E-3</v>
      </c>
      <c r="G47" s="17"/>
    </row>
    <row r="48" spans="1:7" x14ac:dyDescent="0.35">
      <c r="A48" s="13" t="s">
        <v>1989</v>
      </c>
      <c r="B48" s="41" t="s">
        <v>1990</v>
      </c>
      <c r="C48" s="41" t="s">
        <v>1382</v>
      </c>
      <c r="D48" s="15">
        <v>246839</v>
      </c>
      <c r="E48" s="16">
        <v>106.54</v>
      </c>
      <c r="F48" s="17">
        <v>5.7999999999999996E-3</v>
      </c>
      <c r="G48" s="17"/>
    </row>
    <row r="49" spans="1:7" x14ac:dyDescent="0.35">
      <c r="A49" s="13" t="s">
        <v>2573</v>
      </c>
      <c r="B49" s="41" t="s">
        <v>2574</v>
      </c>
      <c r="C49" s="41" t="s">
        <v>1288</v>
      </c>
      <c r="D49" s="15">
        <v>587</v>
      </c>
      <c r="E49" s="16">
        <v>106</v>
      </c>
      <c r="F49" s="17">
        <v>5.7000000000000002E-3</v>
      </c>
      <c r="G49" s="17"/>
    </row>
    <row r="50" spans="1:7" x14ac:dyDescent="0.35">
      <c r="A50" s="13" t="s">
        <v>2106</v>
      </c>
      <c r="B50" s="41" t="s">
        <v>2107</v>
      </c>
      <c r="C50" s="41" t="s">
        <v>1229</v>
      </c>
      <c r="D50" s="15">
        <v>7516</v>
      </c>
      <c r="E50" s="16">
        <v>105.94</v>
      </c>
      <c r="F50" s="17">
        <v>5.7000000000000002E-3</v>
      </c>
      <c r="G50" s="17"/>
    </row>
    <row r="51" spans="1:7" x14ac:dyDescent="0.35">
      <c r="A51" s="13" t="s">
        <v>1545</v>
      </c>
      <c r="B51" s="41" t="s">
        <v>1546</v>
      </c>
      <c r="C51" s="41" t="s">
        <v>1436</v>
      </c>
      <c r="D51" s="15">
        <v>3037</v>
      </c>
      <c r="E51" s="16">
        <v>105.55</v>
      </c>
      <c r="F51" s="17">
        <v>5.7000000000000002E-3</v>
      </c>
      <c r="G51" s="17"/>
    </row>
    <row r="52" spans="1:7" x14ac:dyDescent="0.35">
      <c r="A52" s="13" t="s">
        <v>2575</v>
      </c>
      <c r="B52" s="41" t="s">
        <v>2576</v>
      </c>
      <c r="C52" s="41" t="s">
        <v>1221</v>
      </c>
      <c r="D52" s="15">
        <v>22781</v>
      </c>
      <c r="E52" s="16">
        <v>104.96</v>
      </c>
      <c r="F52" s="17">
        <v>5.7000000000000002E-3</v>
      </c>
      <c r="G52" s="17"/>
    </row>
    <row r="53" spans="1:7" x14ac:dyDescent="0.35">
      <c r="A53" s="13" t="s">
        <v>2047</v>
      </c>
      <c r="B53" s="41" t="s">
        <v>2048</v>
      </c>
      <c r="C53" s="41" t="s">
        <v>1211</v>
      </c>
      <c r="D53" s="15">
        <v>8757</v>
      </c>
      <c r="E53" s="16">
        <v>103.22</v>
      </c>
      <c r="F53" s="17">
        <v>5.5999999999999999E-3</v>
      </c>
      <c r="G53" s="17"/>
    </row>
    <row r="54" spans="1:7" x14ac:dyDescent="0.35">
      <c r="A54" s="13" t="s">
        <v>2577</v>
      </c>
      <c r="B54" s="41" t="s">
        <v>2578</v>
      </c>
      <c r="C54" s="41" t="s">
        <v>1288</v>
      </c>
      <c r="D54" s="15">
        <v>3486</v>
      </c>
      <c r="E54" s="16">
        <v>102.54</v>
      </c>
      <c r="F54" s="17">
        <v>5.5999999999999999E-3</v>
      </c>
      <c r="G54" s="17"/>
    </row>
    <row r="55" spans="1:7" x14ac:dyDescent="0.35">
      <c r="A55" s="13" t="s">
        <v>2579</v>
      </c>
      <c r="B55" s="41" t="s">
        <v>2580</v>
      </c>
      <c r="C55" s="41" t="s">
        <v>1382</v>
      </c>
      <c r="D55" s="15">
        <v>10730</v>
      </c>
      <c r="E55" s="16">
        <v>102.2</v>
      </c>
      <c r="F55" s="17">
        <v>5.4999999999999997E-3</v>
      </c>
      <c r="G55" s="17"/>
    </row>
    <row r="56" spans="1:7" x14ac:dyDescent="0.35">
      <c r="A56" s="13" t="s">
        <v>1820</v>
      </c>
      <c r="B56" s="41" t="s">
        <v>1821</v>
      </c>
      <c r="C56" s="41" t="s">
        <v>1324</v>
      </c>
      <c r="D56" s="15">
        <v>13484</v>
      </c>
      <c r="E56" s="16">
        <v>101.43</v>
      </c>
      <c r="F56" s="17">
        <v>5.4999999999999997E-3</v>
      </c>
      <c r="G56" s="17"/>
    </row>
    <row r="57" spans="1:7" x14ac:dyDescent="0.35">
      <c r="A57" s="13" t="s">
        <v>1331</v>
      </c>
      <c r="B57" s="41" t="s">
        <v>1332</v>
      </c>
      <c r="C57" s="41" t="s">
        <v>1333</v>
      </c>
      <c r="D57" s="15">
        <v>93616</v>
      </c>
      <c r="E57" s="16">
        <v>101.05</v>
      </c>
      <c r="F57" s="17">
        <v>5.4999999999999997E-3</v>
      </c>
      <c r="G57" s="17"/>
    </row>
    <row r="58" spans="1:7" x14ac:dyDescent="0.35">
      <c r="A58" s="13" t="s">
        <v>2581</v>
      </c>
      <c r="B58" s="41" t="s">
        <v>2582</v>
      </c>
      <c r="C58" s="41" t="s">
        <v>1382</v>
      </c>
      <c r="D58" s="15">
        <v>11892</v>
      </c>
      <c r="E58" s="16">
        <v>99.82</v>
      </c>
      <c r="F58" s="17">
        <v>5.4000000000000003E-3</v>
      </c>
      <c r="G58" s="17"/>
    </row>
    <row r="59" spans="1:7" x14ac:dyDescent="0.35">
      <c r="A59" s="13" t="s">
        <v>1432</v>
      </c>
      <c r="B59" s="41" t="s">
        <v>1433</v>
      </c>
      <c r="C59" s="41" t="s">
        <v>1387</v>
      </c>
      <c r="D59" s="15">
        <v>100517</v>
      </c>
      <c r="E59" s="16">
        <v>99.37</v>
      </c>
      <c r="F59" s="17">
        <v>5.4000000000000003E-3</v>
      </c>
      <c r="G59" s="17"/>
    </row>
    <row r="60" spans="1:7" x14ac:dyDescent="0.35">
      <c r="A60" s="13" t="s">
        <v>1474</v>
      </c>
      <c r="B60" s="41" t="s">
        <v>1475</v>
      </c>
      <c r="C60" s="41" t="s">
        <v>1280</v>
      </c>
      <c r="D60" s="15">
        <v>7378</v>
      </c>
      <c r="E60" s="16">
        <v>99.26</v>
      </c>
      <c r="F60" s="17">
        <v>5.4000000000000003E-3</v>
      </c>
      <c r="G60" s="17"/>
    </row>
    <row r="61" spans="1:7" x14ac:dyDescent="0.35">
      <c r="A61" s="13" t="s">
        <v>2030</v>
      </c>
      <c r="B61" s="41" t="s">
        <v>2031</v>
      </c>
      <c r="C61" s="41" t="s">
        <v>1838</v>
      </c>
      <c r="D61" s="15">
        <v>30832</v>
      </c>
      <c r="E61" s="16">
        <v>98.62</v>
      </c>
      <c r="F61" s="17">
        <v>5.3E-3</v>
      </c>
      <c r="G61" s="17"/>
    </row>
    <row r="62" spans="1:7" x14ac:dyDescent="0.35">
      <c r="A62" s="13" t="s">
        <v>1902</v>
      </c>
      <c r="B62" s="41" t="s">
        <v>1903</v>
      </c>
      <c r="C62" s="41" t="s">
        <v>1280</v>
      </c>
      <c r="D62" s="15">
        <v>77156</v>
      </c>
      <c r="E62" s="16">
        <v>97.83</v>
      </c>
      <c r="F62" s="17">
        <v>5.3E-3</v>
      </c>
      <c r="G62" s="17"/>
    </row>
    <row r="63" spans="1:7" x14ac:dyDescent="0.35">
      <c r="A63" s="13" t="s">
        <v>2410</v>
      </c>
      <c r="B63" s="41" t="s">
        <v>2411</v>
      </c>
      <c r="C63" s="41" t="s">
        <v>1838</v>
      </c>
      <c r="D63" s="15">
        <v>2069</v>
      </c>
      <c r="E63" s="16">
        <v>96.23</v>
      </c>
      <c r="F63" s="17">
        <v>5.1999999999999998E-3</v>
      </c>
      <c r="G63" s="17"/>
    </row>
    <row r="64" spans="1:7" x14ac:dyDescent="0.35">
      <c r="A64" s="13" t="s">
        <v>2583</v>
      </c>
      <c r="B64" s="41" t="s">
        <v>2584</v>
      </c>
      <c r="C64" s="41" t="s">
        <v>1221</v>
      </c>
      <c r="D64" s="15">
        <v>1546</v>
      </c>
      <c r="E64" s="16">
        <v>96.05</v>
      </c>
      <c r="F64" s="17">
        <v>5.1999999999999998E-3</v>
      </c>
      <c r="G64" s="17"/>
    </row>
    <row r="65" spans="1:7" x14ac:dyDescent="0.35">
      <c r="A65" s="13" t="s">
        <v>2420</v>
      </c>
      <c r="B65" s="41" t="s">
        <v>2421</v>
      </c>
      <c r="C65" s="41" t="s">
        <v>1526</v>
      </c>
      <c r="D65" s="15">
        <v>6150</v>
      </c>
      <c r="E65" s="16">
        <v>95.15</v>
      </c>
      <c r="F65" s="17">
        <v>5.1999999999999998E-3</v>
      </c>
      <c r="G65" s="17"/>
    </row>
    <row r="66" spans="1:7" x14ac:dyDescent="0.35">
      <c r="A66" s="13" t="s">
        <v>2585</v>
      </c>
      <c r="B66" s="41" t="s">
        <v>2586</v>
      </c>
      <c r="C66" s="41" t="s">
        <v>1288</v>
      </c>
      <c r="D66" s="15">
        <v>8080</v>
      </c>
      <c r="E66" s="16">
        <v>94.86</v>
      </c>
      <c r="F66" s="17">
        <v>5.1000000000000004E-3</v>
      </c>
      <c r="G66" s="17"/>
    </row>
    <row r="67" spans="1:7" x14ac:dyDescent="0.35">
      <c r="A67" s="13" t="s">
        <v>2003</v>
      </c>
      <c r="B67" s="41" t="s">
        <v>2004</v>
      </c>
      <c r="C67" s="41" t="s">
        <v>1211</v>
      </c>
      <c r="D67" s="15">
        <v>34366</v>
      </c>
      <c r="E67" s="16">
        <v>94.64</v>
      </c>
      <c r="F67" s="17">
        <v>5.1000000000000004E-3</v>
      </c>
      <c r="G67" s="17"/>
    </row>
    <row r="68" spans="1:7" x14ac:dyDescent="0.35">
      <c r="A68" s="13" t="s">
        <v>2587</v>
      </c>
      <c r="B68" s="41" t="s">
        <v>2588</v>
      </c>
      <c r="C68" s="41" t="s">
        <v>1526</v>
      </c>
      <c r="D68" s="15">
        <v>8218</v>
      </c>
      <c r="E68" s="16">
        <v>93.53</v>
      </c>
      <c r="F68" s="17">
        <v>5.1000000000000004E-3</v>
      </c>
      <c r="G68" s="17"/>
    </row>
    <row r="69" spans="1:7" x14ac:dyDescent="0.35">
      <c r="A69" s="13" t="s">
        <v>2589</v>
      </c>
      <c r="B69" s="41" t="s">
        <v>2590</v>
      </c>
      <c r="C69" s="41" t="s">
        <v>1234</v>
      </c>
      <c r="D69" s="15">
        <v>60067</v>
      </c>
      <c r="E69" s="16">
        <v>92.91</v>
      </c>
      <c r="F69" s="17">
        <v>5.0000000000000001E-3</v>
      </c>
      <c r="G69" s="17"/>
    </row>
    <row r="70" spans="1:7" x14ac:dyDescent="0.35">
      <c r="A70" s="13" t="s">
        <v>2591</v>
      </c>
      <c r="B70" s="41" t="s">
        <v>2592</v>
      </c>
      <c r="C70" s="41" t="s">
        <v>1288</v>
      </c>
      <c r="D70" s="15">
        <v>12692</v>
      </c>
      <c r="E70" s="16">
        <v>92.56</v>
      </c>
      <c r="F70" s="17">
        <v>5.0000000000000001E-3</v>
      </c>
      <c r="G70" s="17"/>
    </row>
    <row r="71" spans="1:7" x14ac:dyDescent="0.35">
      <c r="A71" s="13" t="s">
        <v>2148</v>
      </c>
      <c r="B71" s="41" t="s">
        <v>2149</v>
      </c>
      <c r="C71" s="41" t="s">
        <v>1409</v>
      </c>
      <c r="D71" s="15">
        <v>19126</v>
      </c>
      <c r="E71" s="16">
        <v>92.53</v>
      </c>
      <c r="F71" s="17">
        <v>5.0000000000000001E-3</v>
      </c>
      <c r="G71" s="17"/>
    </row>
    <row r="72" spans="1:7" x14ac:dyDescent="0.35">
      <c r="A72" s="13" t="s">
        <v>2593</v>
      </c>
      <c r="B72" s="41" t="s">
        <v>2594</v>
      </c>
      <c r="C72" s="41" t="s">
        <v>1191</v>
      </c>
      <c r="D72" s="15">
        <v>9986</v>
      </c>
      <c r="E72" s="16">
        <v>92.18</v>
      </c>
      <c r="F72" s="17">
        <v>5.0000000000000001E-3</v>
      </c>
      <c r="G72" s="17"/>
    </row>
    <row r="73" spans="1:7" x14ac:dyDescent="0.35">
      <c r="A73" s="13" t="s">
        <v>2595</v>
      </c>
      <c r="B73" s="41" t="s">
        <v>2596</v>
      </c>
      <c r="C73" s="41" t="s">
        <v>1305</v>
      </c>
      <c r="D73" s="15">
        <v>61203</v>
      </c>
      <c r="E73" s="16">
        <v>91.9</v>
      </c>
      <c r="F73" s="17">
        <v>5.0000000000000001E-3</v>
      </c>
      <c r="G73" s="17"/>
    </row>
    <row r="74" spans="1:7" x14ac:dyDescent="0.35">
      <c r="A74" s="13" t="s">
        <v>2597</v>
      </c>
      <c r="B74" s="41" t="s">
        <v>2598</v>
      </c>
      <c r="C74" s="41" t="s">
        <v>1288</v>
      </c>
      <c r="D74" s="15">
        <v>20902</v>
      </c>
      <c r="E74" s="16">
        <v>90.13</v>
      </c>
      <c r="F74" s="17">
        <v>4.8999999999999998E-3</v>
      </c>
      <c r="G74" s="17"/>
    </row>
    <row r="75" spans="1:7" x14ac:dyDescent="0.35">
      <c r="A75" s="13" t="s">
        <v>2406</v>
      </c>
      <c r="B75" s="41" t="s">
        <v>2407</v>
      </c>
      <c r="C75" s="41" t="s">
        <v>1188</v>
      </c>
      <c r="D75" s="15">
        <v>467</v>
      </c>
      <c r="E75" s="16">
        <v>89.64</v>
      </c>
      <c r="F75" s="17">
        <v>4.8999999999999998E-3</v>
      </c>
      <c r="G75" s="17"/>
    </row>
    <row r="76" spans="1:7" x14ac:dyDescent="0.35">
      <c r="A76" s="13" t="s">
        <v>2599</v>
      </c>
      <c r="B76" s="41" t="s">
        <v>2600</v>
      </c>
      <c r="C76" s="41" t="s">
        <v>1355</v>
      </c>
      <c r="D76" s="15">
        <v>12195</v>
      </c>
      <c r="E76" s="16">
        <v>89.08</v>
      </c>
      <c r="F76" s="17">
        <v>4.7999999999999996E-3</v>
      </c>
      <c r="G76" s="17"/>
    </row>
    <row r="77" spans="1:7" x14ac:dyDescent="0.35">
      <c r="A77" s="13" t="s">
        <v>2601</v>
      </c>
      <c r="B77" s="41" t="s">
        <v>2602</v>
      </c>
      <c r="C77" s="41" t="s">
        <v>1288</v>
      </c>
      <c r="D77" s="15">
        <v>11202</v>
      </c>
      <c r="E77" s="16">
        <v>88.3</v>
      </c>
      <c r="F77" s="17">
        <v>4.7999999999999996E-3</v>
      </c>
      <c r="G77" s="17"/>
    </row>
    <row r="78" spans="1:7" x14ac:dyDescent="0.35">
      <c r="A78" s="13" t="s">
        <v>1810</v>
      </c>
      <c r="B78" s="41" t="s">
        <v>1811</v>
      </c>
      <c r="C78" s="41" t="s">
        <v>1382</v>
      </c>
      <c r="D78" s="15">
        <v>1191</v>
      </c>
      <c r="E78" s="16">
        <v>87.15</v>
      </c>
      <c r="F78" s="17">
        <v>4.7000000000000002E-3</v>
      </c>
      <c r="G78" s="17"/>
    </row>
    <row r="79" spans="1:7" x14ac:dyDescent="0.35">
      <c r="A79" s="13" t="s">
        <v>2416</v>
      </c>
      <c r="B79" s="41" t="s">
        <v>2417</v>
      </c>
      <c r="C79" s="41" t="s">
        <v>1206</v>
      </c>
      <c r="D79" s="15">
        <v>46892</v>
      </c>
      <c r="E79" s="16">
        <v>86.35</v>
      </c>
      <c r="F79" s="17">
        <v>4.7000000000000002E-3</v>
      </c>
      <c r="G79" s="17"/>
    </row>
    <row r="80" spans="1:7" x14ac:dyDescent="0.35">
      <c r="A80" s="13" t="s">
        <v>1816</v>
      </c>
      <c r="B80" s="41" t="s">
        <v>1817</v>
      </c>
      <c r="C80" s="41" t="s">
        <v>1188</v>
      </c>
      <c r="D80" s="15">
        <v>13803</v>
      </c>
      <c r="E80" s="16">
        <v>85.75</v>
      </c>
      <c r="F80" s="17">
        <v>4.7000000000000002E-3</v>
      </c>
      <c r="G80" s="17"/>
    </row>
    <row r="81" spans="1:7" x14ac:dyDescent="0.35">
      <c r="A81" s="13" t="s">
        <v>2412</v>
      </c>
      <c r="B81" s="41" t="s">
        <v>2413</v>
      </c>
      <c r="C81" s="41" t="s">
        <v>1288</v>
      </c>
      <c r="D81" s="15">
        <v>10938</v>
      </c>
      <c r="E81" s="16">
        <v>85.71</v>
      </c>
      <c r="F81" s="17">
        <v>4.5999999999999999E-3</v>
      </c>
      <c r="G81" s="17"/>
    </row>
    <row r="82" spans="1:7" x14ac:dyDescent="0.35">
      <c r="A82" s="13" t="s">
        <v>2603</v>
      </c>
      <c r="B82" s="41" t="s">
        <v>2604</v>
      </c>
      <c r="C82" s="41" t="s">
        <v>1211</v>
      </c>
      <c r="D82" s="15">
        <v>18750</v>
      </c>
      <c r="E82" s="16">
        <v>85.49</v>
      </c>
      <c r="F82" s="17">
        <v>4.5999999999999999E-3</v>
      </c>
      <c r="G82" s="17"/>
    </row>
    <row r="83" spans="1:7" x14ac:dyDescent="0.35">
      <c r="A83" s="13" t="s">
        <v>2605</v>
      </c>
      <c r="B83" s="41" t="s">
        <v>2606</v>
      </c>
      <c r="C83" s="41" t="s">
        <v>1201</v>
      </c>
      <c r="D83" s="15">
        <v>15606</v>
      </c>
      <c r="E83" s="16">
        <v>85.47</v>
      </c>
      <c r="F83" s="17">
        <v>4.5999999999999999E-3</v>
      </c>
      <c r="G83" s="17"/>
    </row>
    <row r="84" spans="1:7" x14ac:dyDescent="0.35">
      <c r="A84" s="13" t="s">
        <v>2607</v>
      </c>
      <c r="B84" s="41" t="s">
        <v>2608</v>
      </c>
      <c r="C84" s="41" t="s">
        <v>1355</v>
      </c>
      <c r="D84" s="15">
        <v>27949</v>
      </c>
      <c r="E84" s="16">
        <v>85.13</v>
      </c>
      <c r="F84" s="17">
        <v>4.5999999999999999E-3</v>
      </c>
      <c r="G84" s="17"/>
    </row>
    <row r="85" spans="1:7" x14ac:dyDescent="0.35">
      <c r="A85" s="13" t="s">
        <v>2609</v>
      </c>
      <c r="B85" s="41" t="s">
        <v>2610</v>
      </c>
      <c r="C85" s="41" t="s">
        <v>1387</v>
      </c>
      <c r="D85" s="15">
        <v>12599</v>
      </c>
      <c r="E85" s="16">
        <v>84.05</v>
      </c>
      <c r="F85" s="17">
        <v>4.5999999999999999E-3</v>
      </c>
      <c r="G85" s="17"/>
    </row>
    <row r="86" spans="1:7" x14ac:dyDescent="0.35">
      <c r="A86" s="13" t="s">
        <v>1800</v>
      </c>
      <c r="B86" s="41" t="s">
        <v>1801</v>
      </c>
      <c r="C86" s="41" t="s">
        <v>1234</v>
      </c>
      <c r="D86" s="15">
        <v>14084</v>
      </c>
      <c r="E86" s="16">
        <v>80.36</v>
      </c>
      <c r="F86" s="17">
        <v>4.4000000000000003E-3</v>
      </c>
      <c r="G86" s="17"/>
    </row>
    <row r="87" spans="1:7" x14ac:dyDescent="0.35">
      <c r="A87" s="13" t="s">
        <v>2422</v>
      </c>
      <c r="B87" s="41" t="s">
        <v>2423</v>
      </c>
      <c r="C87" s="41" t="s">
        <v>1369</v>
      </c>
      <c r="D87" s="15">
        <v>8691</v>
      </c>
      <c r="E87" s="16">
        <v>79.41</v>
      </c>
      <c r="F87" s="17">
        <v>4.3E-3</v>
      </c>
      <c r="G87" s="17"/>
    </row>
    <row r="88" spans="1:7" x14ac:dyDescent="0.35">
      <c r="A88" s="13" t="s">
        <v>2611</v>
      </c>
      <c r="B88" s="41" t="s">
        <v>2612</v>
      </c>
      <c r="C88" s="41" t="s">
        <v>1305</v>
      </c>
      <c r="D88" s="15">
        <v>278193</v>
      </c>
      <c r="E88" s="16">
        <v>78.59</v>
      </c>
      <c r="F88" s="17">
        <v>4.3E-3</v>
      </c>
      <c r="G88" s="17"/>
    </row>
    <row r="89" spans="1:7" x14ac:dyDescent="0.35">
      <c r="A89" s="13" t="s">
        <v>2414</v>
      </c>
      <c r="B89" s="41" t="s">
        <v>2415</v>
      </c>
      <c r="C89" s="41" t="s">
        <v>1285</v>
      </c>
      <c r="D89" s="15">
        <v>2843</v>
      </c>
      <c r="E89" s="16">
        <v>78.59</v>
      </c>
      <c r="F89" s="17">
        <v>4.3E-3</v>
      </c>
      <c r="G89" s="17"/>
    </row>
    <row r="90" spans="1:7" x14ac:dyDescent="0.35">
      <c r="A90" s="13" t="s">
        <v>2613</v>
      </c>
      <c r="B90" s="41" t="s">
        <v>2614</v>
      </c>
      <c r="C90" s="41" t="s">
        <v>1285</v>
      </c>
      <c r="D90" s="15">
        <v>2874</v>
      </c>
      <c r="E90" s="16">
        <v>76.790000000000006</v>
      </c>
      <c r="F90" s="17">
        <v>4.1999999999999997E-3</v>
      </c>
      <c r="G90" s="17"/>
    </row>
    <row r="91" spans="1:7" x14ac:dyDescent="0.35">
      <c r="A91" s="13" t="s">
        <v>2615</v>
      </c>
      <c r="B91" s="41" t="s">
        <v>2616</v>
      </c>
      <c r="C91" s="41" t="s">
        <v>1234</v>
      </c>
      <c r="D91" s="15">
        <v>7817</v>
      </c>
      <c r="E91" s="16">
        <v>76.760000000000005</v>
      </c>
      <c r="F91" s="17">
        <v>4.1999999999999997E-3</v>
      </c>
      <c r="G91" s="17"/>
    </row>
    <row r="92" spans="1:7" x14ac:dyDescent="0.35">
      <c r="A92" s="13" t="s">
        <v>2175</v>
      </c>
      <c r="B92" s="41" t="s">
        <v>2176</v>
      </c>
      <c r="C92" s="41" t="s">
        <v>1382</v>
      </c>
      <c r="D92" s="15">
        <v>2038</v>
      </c>
      <c r="E92" s="16">
        <v>76.67</v>
      </c>
      <c r="F92" s="17">
        <v>4.1999999999999997E-3</v>
      </c>
      <c r="G92" s="17"/>
    </row>
    <row r="93" spans="1:7" x14ac:dyDescent="0.35">
      <c r="A93" s="13" t="s">
        <v>2073</v>
      </c>
      <c r="B93" s="41" t="s">
        <v>2074</v>
      </c>
      <c r="C93" s="41" t="s">
        <v>1211</v>
      </c>
      <c r="D93" s="15">
        <v>8180</v>
      </c>
      <c r="E93" s="16">
        <v>76.27</v>
      </c>
      <c r="F93" s="17">
        <v>4.1000000000000003E-3</v>
      </c>
      <c r="G93" s="17"/>
    </row>
    <row r="94" spans="1:7" x14ac:dyDescent="0.35">
      <c r="A94" s="13" t="s">
        <v>2617</v>
      </c>
      <c r="B94" s="41" t="s">
        <v>2618</v>
      </c>
      <c r="C94" s="41" t="s">
        <v>1305</v>
      </c>
      <c r="D94" s="15">
        <v>13459</v>
      </c>
      <c r="E94" s="16">
        <v>75.900000000000006</v>
      </c>
      <c r="F94" s="17">
        <v>4.1000000000000003E-3</v>
      </c>
      <c r="G94" s="17"/>
    </row>
    <row r="95" spans="1:7" x14ac:dyDescent="0.35">
      <c r="A95" s="13" t="s">
        <v>1904</v>
      </c>
      <c r="B95" s="41" t="s">
        <v>1905</v>
      </c>
      <c r="C95" s="41" t="s">
        <v>1185</v>
      </c>
      <c r="D95" s="15">
        <v>23301</v>
      </c>
      <c r="E95" s="16">
        <v>75.62</v>
      </c>
      <c r="F95" s="17">
        <v>4.1000000000000003E-3</v>
      </c>
      <c r="G95" s="17"/>
    </row>
    <row r="96" spans="1:7" x14ac:dyDescent="0.35">
      <c r="A96" s="13" t="s">
        <v>2619</v>
      </c>
      <c r="B96" s="41" t="s">
        <v>2620</v>
      </c>
      <c r="C96" s="41" t="s">
        <v>2621</v>
      </c>
      <c r="D96" s="15">
        <v>89390</v>
      </c>
      <c r="E96" s="16">
        <v>75.430000000000007</v>
      </c>
      <c r="F96" s="17">
        <v>4.1000000000000003E-3</v>
      </c>
      <c r="G96" s="17"/>
    </row>
    <row r="97" spans="1:7" x14ac:dyDescent="0.35">
      <c r="A97" s="13" t="s">
        <v>2181</v>
      </c>
      <c r="B97" s="41" t="s">
        <v>2182</v>
      </c>
      <c r="C97" s="41" t="s">
        <v>1324</v>
      </c>
      <c r="D97" s="15">
        <v>14837</v>
      </c>
      <c r="E97" s="16">
        <v>74.819999999999993</v>
      </c>
      <c r="F97" s="17">
        <v>4.1000000000000003E-3</v>
      </c>
      <c r="G97" s="17"/>
    </row>
    <row r="98" spans="1:7" x14ac:dyDescent="0.35">
      <c r="A98" s="13" t="s">
        <v>2622</v>
      </c>
      <c r="B98" s="41" t="s">
        <v>2623</v>
      </c>
      <c r="C98" s="41" t="s">
        <v>1526</v>
      </c>
      <c r="D98" s="15">
        <v>148682</v>
      </c>
      <c r="E98" s="16">
        <v>74.239999999999995</v>
      </c>
      <c r="F98" s="17">
        <v>4.0000000000000001E-3</v>
      </c>
      <c r="G98" s="17"/>
    </row>
    <row r="99" spans="1:7" x14ac:dyDescent="0.35">
      <c r="A99" s="13" t="s">
        <v>1832</v>
      </c>
      <c r="B99" s="41" t="s">
        <v>1833</v>
      </c>
      <c r="C99" s="41" t="s">
        <v>1221</v>
      </c>
      <c r="D99" s="15">
        <v>19937</v>
      </c>
      <c r="E99" s="16">
        <v>74.16</v>
      </c>
      <c r="F99" s="17">
        <v>4.0000000000000001E-3</v>
      </c>
      <c r="G99" s="17"/>
    </row>
    <row r="100" spans="1:7" x14ac:dyDescent="0.35">
      <c r="A100" s="13" t="s">
        <v>2459</v>
      </c>
      <c r="B100" s="41" t="s">
        <v>2460</v>
      </c>
      <c r="C100" s="41" t="s">
        <v>1526</v>
      </c>
      <c r="D100" s="15">
        <v>4704</v>
      </c>
      <c r="E100" s="16">
        <v>73</v>
      </c>
      <c r="F100" s="17">
        <v>4.0000000000000001E-3</v>
      </c>
      <c r="G100" s="17"/>
    </row>
    <row r="101" spans="1:7" x14ac:dyDescent="0.35">
      <c r="A101" s="13" t="s">
        <v>2624</v>
      </c>
      <c r="B101" s="41" t="s">
        <v>2625</v>
      </c>
      <c r="C101" s="41" t="s">
        <v>1234</v>
      </c>
      <c r="D101" s="15">
        <v>8709</v>
      </c>
      <c r="E101" s="16">
        <v>72.8</v>
      </c>
      <c r="F101" s="17">
        <v>3.8999999999999998E-3</v>
      </c>
      <c r="G101" s="17"/>
    </row>
    <row r="102" spans="1:7" x14ac:dyDescent="0.35">
      <c r="A102" s="13" t="s">
        <v>2626</v>
      </c>
      <c r="B102" s="41" t="s">
        <v>2627</v>
      </c>
      <c r="C102" s="41" t="s">
        <v>1201</v>
      </c>
      <c r="D102" s="15">
        <v>8053</v>
      </c>
      <c r="E102" s="16">
        <v>72.67</v>
      </c>
      <c r="F102" s="17">
        <v>3.8999999999999998E-3</v>
      </c>
      <c r="G102" s="17"/>
    </row>
    <row r="103" spans="1:7" x14ac:dyDescent="0.35">
      <c r="A103" s="13" t="s">
        <v>2043</v>
      </c>
      <c r="B103" s="41" t="s">
        <v>2044</v>
      </c>
      <c r="C103" s="41" t="s">
        <v>1369</v>
      </c>
      <c r="D103" s="15">
        <v>11133</v>
      </c>
      <c r="E103" s="16">
        <v>72.39</v>
      </c>
      <c r="F103" s="17">
        <v>3.8999999999999998E-3</v>
      </c>
      <c r="G103" s="17"/>
    </row>
    <row r="104" spans="1:7" x14ac:dyDescent="0.35">
      <c r="A104" s="13" t="s">
        <v>2628</v>
      </c>
      <c r="B104" s="41" t="s">
        <v>2629</v>
      </c>
      <c r="C104" s="41" t="s">
        <v>1234</v>
      </c>
      <c r="D104" s="15">
        <v>5242</v>
      </c>
      <c r="E104" s="16">
        <v>72.099999999999994</v>
      </c>
      <c r="F104" s="17">
        <v>3.8999999999999998E-3</v>
      </c>
      <c r="G104" s="17"/>
    </row>
    <row r="105" spans="1:7" x14ac:dyDescent="0.35">
      <c r="A105" s="13" t="s">
        <v>2630</v>
      </c>
      <c r="B105" s="41" t="s">
        <v>2631</v>
      </c>
      <c r="C105" s="41" t="s">
        <v>1305</v>
      </c>
      <c r="D105" s="15">
        <v>472673</v>
      </c>
      <c r="E105" s="16">
        <v>71.8</v>
      </c>
      <c r="F105" s="17">
        <v>3.8999999999999998E-3</v>
      </c>
      <c r="G105" s="17"/>
    </row>
    <row r="106" spans="1:7" x14ac:dyDescent="0.35">
      <c r="A106" s="13" t="s">
        <v>2632</v>
      </c>
      <c r="B106" s="41" t="s">
        <v>2633</v>
      </c>
      <c r="C106" s="41" t="s">
        <v>1198</v>
      </c>
      <c r="D106" s="15">
        <v>104021</v>
      </c>
      <c r="E106" s="16">
        <v>71.37</v>
      </c>
      <c r="F106" s="17">
        <v>3.8999999999999998E-3</v>
      </c>
      <c r="G106" s="17"/>
    </row>
    <row r="107" spans="1:7" x14ac:dyDescent="0.35">
      <c r="A107" s="13" t="s">
        <v>2634</v>
      </c>
      <c r="B107" s="41" t="s">
        <v>2635</v>
      </c>
      <c r="C107" s="41" t="s">
        <v>1211</v>
      </c>
      <c r="D107" s="15">
        <v>528</v>
      </c>
      <c r="E107" s="16">
        <v>70.959999999999994</v>
      </c>
      <c r="F107" s="17">
        <v>3.8E-3</v>
      </c>
      <c r="G107" s="17"/>
    </row>
    <row r="108" spans="1:7" x14ac:dyDescent="0.35">
      <c r="A108" s="13" t="s">
        <v>2418</v>
      </c>
      <c r="B108" s="41" t="s">
        <v>2419</v>
      </c>
      <c r="C108" s="41" t="s">
        <v>1288</v>
      </c>
      <c r="D108" s="15">
        <v>17336</v>
      </c>
      <c r="E108" s="16">
        <v>70.95</v>
      </c>
      <c r="F108" s="17">
        <v>3.8E-3</v>
      </c>
      <c r="G108" s="17"/>
    </row>
    <row r="109" spans="1:7" x14ac:dyDescent="0.35">
      <c r="A109" s="13" t="s">
        <v>2024</v>
      </c>
      <c r="B109" s="41" t="s">
        <v>2025</v>
      </c>
      <c r="C109" s="41" t="s">
        <v>1211</v>
      </c>
      <c r="D109" s="15">
        <v>5236</v>
      </c>
      <c r="E109" s="16">
        <v>69.459999999999994</v>
      </c>
      <c r="F109" s="17">
        <v>3.8E-3</v>
      </c>
      <c r="G109" s="17"/>
    </row>
    <row r="110" spans="1:7" x14ac:dyDescent="0.35">
      <c r="A110" s="13" t="s">
        <v>2424</v>
      </c>
      <c r="B110" s="41" t="s">
        <v>2425</v>
      </c>
      <c r="C110" s="41" t="s">
        <v>1409</v>
      </c>
      <c r="D110" s="15">
        <v>789</v>
      </c>
      <c r="E110" s="16">
        <v>69.430000000000007</v>
      </c>
      <c r="F110" s="17">
        <v>3.8E-3</v>
      </c>
      <c r="G110" s="17"/>
    </row>
    <row r="111" spans="1:7" x14ac:dyDescent="0.35">
      <c r="A111" s="13" t="s">
        <v>2636</v>
      </c>
      <c r="B111" s="41" t="s">
        <v>2637</v>
      </c>
      <c r="C111" s="41" t="s">
        <v>1221</v>
      </c>
      <c r="D111" s="15">
        <v>6518</v>
      </c>
      <c r="E111" s="16">
        <v>68.819999999999993</v>
      </c>
      <c r="F111" s="17">
        <v>3.7000000000000002E-3</v>
      </c>
      <c r="G111" s="17"/>
    </row>
    <row r="112" spans="1:7" x14ac:dyDescent="0.35">
      <c r="A112" s="13" t="s">
        <v>2638</v>
      </c>
      <c r="B112" s="41" t="s">
        <v>2639</v>
      </c>
      <c r="C112" s="41" t="s">
        <v>2621</v>
      </c>
      <c r="D112" s="15">
        <v>6924</v>
      </c>
      <c r="E112" s="16">
        <v>67.5</v>
      </c>
      <c r="F112" s="17">
        <v>3.7000000000000002E-3</v>
      </c>
      <c r="G112" s="17"/>
    </row>
    <row r="113" spans="1:7" x14ac:dyDescent="0.35">
      <c r="A113" s="13" t="s">
        <v>2640</v>
      </c>
      <c r="B113" s="41" t="s">
        <v>2641</v>
      </c>
      <c r="C113" s="41" t="s">
        <v>1234</v>
      </c>
      <c r="D113" s="15">
        <v>1473</v>
      </c>
      <c r="E113" s="16">
        <v>67.22</v>
      </c>
      <c r="F113" s="17">
        <v>3.5999999999999999E-3</v>
      </c>
      <c r="G113" s="17"/>
    </row>
    <row r="114" spans="1:7" x14ac:dyDescent="0.35">
      <c r="A114" s="13" t="s">
        <v>2077</v>
      </c>
      <c r="B114" s="41" t="s">
        <v>2078</v>
      </c>
      <c r="C114" s="41" t="s">
        <v>1369</v>
      </c>
      <c r="D114" s="15">
        <v>16049</v>
      </c>
      <c r="E114" s="16">
        <v>67.09</v>
      </c>
      <c r="F114" s="17">
        <v>3.5999999999999999E-3</v>
      </c>
      <c r="G114" s="17"/>
    </row>
    <row r="115" spans="1:7" x14ac:dyDescent="0.35">
      <c r="A115" s="13" t="s">
        <v>1812</v>
      </c>
      <c r="B115" s="41" t="s">
        <v>1813</v>
      </c>
      <c r="C115" s="41" t="s">
        <v>1436</v>
      </c>
      <c r="D115" s="15">
        <v>8275</v>
      </c>
      <c r="E115" s="16">
        <v>66.73</v>
      </c>
      <c r="F115" s="17">
        <v>3.5999999999999999E-3</v>
      </c>
      <c r="G115" s="17"/>
    </row>
    <row r="116" spans="1:7" x14ac:dyDescent="0.35">
      <c r="A116" s="13" t="s">
        <v>2642</v>
      </c>
      <c r="B116" s="41" t="s">
        <v>2643</v>
      </c>
      <c r="C116" s="41" t="s">
        <v>1849</v>
      </c>
      <c r="D116" s="15">
        <v>3712</v>
      </c>
      <c r="E116" s="16">
        <v>66.63</v>
      </c>
      <c r="F116" s="17">
        <v>3.5999999999999999E-3</v>
      </c>
      <c r="G116" s="17"/>
    </row>
    <row r="117" spans="1:7" x14ac:dyDescent="0.35">
      <c r="A117" s="13" t="s">
        <v>2194</v>
      </c>
      <c r="B117" s="41" t="s">
        <v>2195</v>
      </c>
      <c r="C117" s="41" t="s">
        <v>1216</v>
      </c>
      <c r="D117" s="15">
        <v>6849</v>
      </c>
      <c r="E117" s="16">
        <v>66.47</v>
      </c>
      <c r="F117" s="17">
        <v>3.5999999999999999E-3</v>
      </c>
      <c r="G117" s="17"/>
    </row>
    <row r="118" spans="1:7" x14ac:dyDescent="0.35">
      <c r="A118" s="13" t="s">
        <v>2644</v>
      </c>
      <c r="B118" s="41" t="s">
        <v>2645</v>
      </c>
      <c r="C118" s="41" t="s">
        <v>1211</v>
      </c>
      <c r="D118" s="15">
        <v>37494</v>
      </c>
      <c r="E118" s="16">
        <v>65.89</v>
      </c>
      <c r="F118" s="17">
        <v>3.5999999999999999E-3</v>
      </c>
      <c r="G118" s="17"/>
    </row>
    <row r="119" spans="1:7" x14ac:dyDescent="0.35">
      <c r="A119" s="13" t="s">
        <v>1958</v>
      </c>
      <c r="B119" s="41" t="s">
        <v>1959</v>
      </c>
      <c r="C119" s="41" t="s">
        <v>1266</v>
      </c>
      <c r="D119" s="15">
        <v>2969</v>
      </c>
      <c r="E119" s="16">
        <v>65.37</v>
      </c>
      <c r="F119" s="17">
        <v>3.5000000000000001E-3</v>
      </c>
      <c r="G119" s="17"/>
    </row>
    <row r="120" spans="1:7" x14ac:dyDescent="0.35">
      <c r="A120" s="13" t="s">
        <v>2646</v>
      </c>
      <c r="B120" s="41" t="s">
        <v>2647</v>
      </c>
      <c r="C120" s="41" t="s">
        <v>1350</v>
      </c>
      <c r="D120" s="15">
        <v>14727</v>
      </c>
      <c r="E120" s="16">
        <v>64.989999999999995</v>
      </c>
      <c r="F120" s="17">
        <v>3.5000000000000001E-3</v>
      </c>
      <c r="G120" s="17"/>
    </row>
    <row r="121" spans="1:7" x14ac:dyDescent="0.35">
      <c r="A121" s="13" t="s">
        <v>2648</v>
      </c>
      <c r="B121" s="41" t="s">
        <v>2649</v>
      </c>
      <c r="C121" s="41" t="s">
        <v>1201</v>
      </c>
      <c r="D121" s="15">
        <v>18351</v>
      </c>
      <c r="E121" s="16">
        <v>64.59</v>
      </c>
      <c r="F121" s="17">
        <v>3.5000000000000001E-3</v>
      </c>
      <c r="G121" s="17"/>
    </row>
    <row r="122" spans="1:7" x14ac:dyDescent="0.35">
      <c r="A122" s="13" t="s">
        <v>1984</v>
      </c>
      <c r="B122" s="41" t="s">
        <v>1985</v>
      </c>
      <c r="C122" s="41" t="s">
        <v>1986</v>
      </c>
      <c r="D122" s="15">
        <v>5082</v>
      </c>
      <c r="E122" s="16">
        <v>64.36</v>
      </c>
      <c r="F122" s="17">
        <v>3.5000000000000001E-3</v>
      </c>
      <c r="G122" s="17"/>
    </row>
    <row r="123" spans="1:7" x14ac:dyDescent="0.35">
      <c r="A123" s="13" t="s">
        <v>2650</v>
      </c>
      <c r="B123" s="41" t="s">
        <v>2651</v>
      </c>
      <c r="C123" s="41" t="s">
        <v>1234</v>
      </c>
      <c r="D123" s="15">
        <v>5373</v>
      </c>
      <c r="E123" s="16">
        <v>64.180000000000007</v>
      </c>
      <c r="F123" s="17">
        <v>3.5000000000000001E-3</v>
      </c>
      <c r="G123" s="17"/>
    </row>
    <row r="124" spans="1:7" x14ac:dyDescent="0.35">
      <c r="A124" s="13" t="s">
        <v>2156</v>
      </c>
      <c r="B124" s="41" t="s">
        <v>2157</v>
      </c>
      <c r="C124" s="41" t="s">
        <v>1436</v>
      </c>
      <c r="D124" s="15">
        <v>7777</v>
      </c>
      <c r="E124" s="16">
        <v>63.85</v>
      </c>
      <c r="F124" s="17">
        <v>3.5000000000000001E-3</v>
      </c>
      <c r="G124" s="17"/>
    </row>
    <row r="125" spans="1:7" x14ac:dyDescent="0.35">
      <c r="A125" s="13" t="s">
        <v>2652</v>
      </c>
      <c r="B125" s="41" t="s">
        <v>2653</v>
      </c>
      <c r="C125" s="41" t="s">
        <v>1285</v>
      </c>
      <c r="D125" s="15">
        <v>4475</v>
      </c>
      <c r="E125" s="16">
        <v>63.35</v>
      </c>
      <c r="F125" s="17">
        <v>3.3999999999999998E-3</v>
      </c>
      <c r="G125" s="17"/>
    </row>
    <row r="126" spans="1:7" x14ac:dyDescent="0.35">
      <c r="A126" s="13" t="s">
        <v>2654</v>
      </c>
      <c r="B126" s="41" t="s">
        <v>2655</v>
      </c>
      <c r="C126" s="41" t="s">
        <v>1324</v>
      </c>
      <c r="D126" s="15">
        <v>4323</v>
      </c>
      <c r="E126" s="16">
        <v>62.69</v>
      </c>
      <c r="F126" s="17">
        <v>3.3999999999999998E-3</v>
      </c>
      <c r="G126" s="17"/>
    </row>
    <row r="127" spans="1:7" x14ac:dyDescent="0.35">
      <c r="A127" s="13" t="s">
        <v>2656</v>
      </c>
      <c r="B127" s="41" t="s">
        <v>2657</v>
      </c>
      <c r="C127" s="41" t="s">
        <v>1412</v>
      </c>
      <c r="D127" s="15">
        <v>48245</v>
      </c>
      <c r="E127" s="16">
        <v>62.28</v>
      </c>
      <c r="F127" s="17">
        <v>3.3999999999999998E-3</v>
      </c>
      <c r="G127" s="17"/>
    </row>
    <row r="128" spans="1:7" x14ac:dyDescent="0.35">
      <c r="A128" s="13" t="s">
        <v>2658</v>
      </c>
      <c r="B128" s="41" t="s">
        <v>2659</v>
      </c>
      <c r="C128" s="41" t="s">
        <v>1382</v>
      </c>
      <c r="D128" s="15">
        <v>11788</v>
      </c>
      <c r="E128" s="16">
        <v>61.26</v>
      </c>
      <c r="F128" s="17">
        <v>3.3E-3</v>
      </c>
      <c r="G128" s="17"/>
    </row>
    <row r="129" spans="1:7" x14ac:dyDescent="0.35">
      <c r="A129" s="13" t="s">
        <v>2660</v>
      </c>
      <c r="B129" s="41" t="s">
        <v>2661</v>
      </c>
      <c r="C129" s="41" t="s">
        <v>1412</v>
      </c>
      <c r="D129" s="15">
        <v>19248</v>
      </c>
      <c r="E129" s="16">
        <v>60.54</v>
      </c>
      <c r="F129" s="17">
        <v>3.3E-3</v>
      </c>
      <c r="G129" s="17"/>
    </row>
    <row r="130" spans="1:7" x14ac:dyDescent="0.35">
      <c r="A130" s="13" t="s">
        <v>2390</v>
      </c>
      <c r="B130" s="41" t="s">
        <v>2391</v>
      </c>
      <c r="C130" s="41" t="s">
        <v>1412</v>
      </c>
      <c r="D130" s="15">
        <v>6929</v>
      </c>
      <c r="E130" s="16">
        <v>60.37</v>
      </c>
      <c r="F130" s="17">
        <v>3.3E-3</v>
      </c>
      <c r="G130" s="17"/>
    </row>
    <row r="131" spans="1:7" x14ac:dyDescent="0.35">
      <c r="A131" s="13" t="s">
        <v>2144</v>
      </c>
      <c r="B131" s="41" t="s">
        <v>2145</v>
      </c>
      <c r="C131" s="41" t="s">
        <v>1234</v>
      </c>
      <c r="D131" s="15">
        <v>15784</v>
      </c>
      <c r="E131" s="16">
        <v>60.18</v>
      </c>
      <c r="F131" s="17">
        <v>3.3E-3</v>
      </c>
      <c r="G131" s="17"/>
    </row>
    <row r="132" spans="1:7" x14ac:dyDescent="0.35">
      <c r="A132" s="13" t="s">
        <v>2662</v>
      </c>
      <c r="B132" s="41" t="s">
        <v>2663</v>
      </c>
      <c r="C132" s="41" t="s">
        <v>1369</v>
      </c>
      <c r="D132" s="15">
        <v>18894</v>
      </c>
      <c r="E132" s="16">
        <v>59.95</v>
      </c>
      <c r="F132" s="17">
        <v>3.3E-3</v>
      </c>
      <c r="G132" s="17"/>
    </row>
    <row r="133" spans="1:7" x14ac:dyDescent="0.35">
      <c r="A133" s="13" t="s">
        <v>2664</v>
      </c>
      <c r="B133" s="41" t="s">
        <v>2665</v>
      </c>
      <c r="C133" s="41" t="s">
        <v>1266</v>
      </c>
      <c r="D133" s="15">
        <v>21430</v>
      </c>
      <c r="E133" s="16">
        <v>59.28</v>
      </c>
      <c r="F133" s="17">
        <v>3.2000000000000002E-3</v>
      </c>
      <c r="G133" s="17"/>
    </row>
    <row r="134" spans="1:7" x14ac:dyDescent="0.35">
      <c r="A134" s="13" t="s">
        <v>2428</v>
      </c>
      <c r="B134" s="41" t="s">
        <v>2429</v>
      </c>
      <c r="C134" s="41" t="s">
        <v>1288</v>
      </c>
      <c r="D134" s="15">
        <v>23747</v>
      </c>
      <c r="E134" s="16">
        <v>59.01</v>
      </c>
      <c r="F134" s="17">
        <v>3.2000000000000002E-3</v>
      </c>
      <c r="G134" s="17"/>
    </row>
    <row r="135" spans="1:7" x14ac:dyDescent="0.35">
      <c r="A135" s="13" t="s">
        <v>2666</v>
      </c>
      <c r="B135" s="41" t="s">
        <v>2667</v>
      </c>
      <c r="C135" s="41" t="s">
        <v>1288</v>
      </c>
      <c r="D135" s="15">
        <v>6817</v>
      </c>
      <c r="E135" s="16">
        <v>58.37</v>
      </c>
      <c r="F135" s="17">
        <v>3.2000000000000002E-3</v>
      </c>
      <c r="G135" s="17"/>
    </row>
    <row r="136" spans="1:7" x14ac:dyDescent="0.35">
      <c r="A136" s="13" t="s">
        <v>2432</v>
      </c>
      <c r="B136" s="41" t="s">
        <v>2433</v>
      </c>
      <c r="C136" s="41" t="s">
        <v>1355</v>
      </c>
      <c r="D136" s="15">
        <v>5529</v>
      </c>
      <c r="E136" s="16">
        <v>58.21</v>
      </c>
      <c r="F136" s="17">
        <v>3.2000000000000002E-3</v>
      </c>
      <c r="G136" s="17"/>
    </row>
    <row r="137" spans="1:7" x14ac:dyDescent="0.35">
      <c r="A137" s="13" t="s">
        <v>2668</v>
      </c>
      <c r="B137" s="41" t="s">
        <v>2669</v>
      </c>
      <c r="C137" s="41" t="s">
        <v>1387</v>
      </c>
      <c r="D137" s="15">
        <v>39711</v>
      </c>
      <c r="E137" s="16">
        <v>58.15</v>
      </c>
      <c r="F137" s="17">
        <v>3.2000000000000002E-3</v>
      </c>
      <c r="G137" s="17"/>
    </row>
    <row r="138" spans="1:7" x14ac:dyDescent="0.35">
      <c r="A138" s="13" t="s">
        <v>2670</v>
      </c>
      <c r="B138" s="41" t="s">
        <v>2671</v>
      </c>
      <c r="C138" s="41" t="s">
        <v>1221</v>
      </c>
      <c r="D138" s="15">
        <v>13544</v>
      </c>
      <c r="E138" s="16">
        <v>57.11</v>
      </c>
      <c r="F138" s="17">
        <v>3.0999999999999999E-3</v>
      </c>
      <c r="G138" s="17"/>
    </row>
    <row r="139" spans="1:7" x14ac:dyDescent="0.35">
      <c r="A139" s="13" t="s">
        <v>2672</v>
      </c>
      <c r="B139" s="41" t="s">
        <v>2673</v>
      </c>
      <c r="C139" s="41" t="s">
        <v>1436</v>
      </c>
      <c r="D139" s="15">
        <v>7419</v>
      </c>
      <c r="E139" s="16">
        <v>56.46</v>
      </c>
      <c r="F139" s="17">
        <v>3.0999999999999999E-3</v>
      </c>
      <c r="G139" s="17"/>
    </row>
    <row r="140" spans="1:7" x14ac:dyDescent="0.35">
      <c r="A140" s="13" t="s">
        <v>2185</v>
      </c>
      <c r="B140" s="41" t="s">
        <v>2186</v>
      </c>
      <c r="C140" s="41" t="s">
        <v>1211</v>
      </c>
      <c r="D140" s="15">
        <v>3860</v>
      </c>
      <c r="E140" s="16">
        <v>56.41</v>
      </c>
      <c r="F140" s="17">
        <v>3.0999999999999999E-3</v>
      </c>
      <c r="G140" s="17"/>
    </row>
    <row r="141" spans="1:7" x14ac:dyDescent="0.35">
      <c r="A141" s="13" t="s">
        <v>2674</v>
      </c>
      <c r="B141" s="41" t="s">
        <v>2675</v>
      </c>
      <c r="C141" s="41" t="s">
        <v>2676</v>
      </c>
      <c r="D141" s="15">
        <v>3708</v>
      </c>
      <c r="E141" s="16">
        <v>56.39</v>
      </c>
      <c r="F141" s="17">
        <v>3.0999999999999999E-3</v>
      </c>
      <c r="G141" s="17"/>
    </row>
    <row r="142" spans="1:7" x14ac:dyDescent="0.35">
      <c r="A142" s="13" t="s">
        <v>2081</v>
      </c>
      <c r="B142" s="41" t="s">
        <v>2082</v>
      </c>
      <c r="C142" s="41" t="s">
        <v>1333</v>
      </c>
      <c r="D142" s="15">
        <v>11194</v>
      </c>
      <c r="E142" s="16">
        <v>56.24</v>
      </c>
      <c r="F142" s="17">
        <v>3.0999999999999999E-3</v>
      </c>
      <c r="G142" s="17"/>
    </row>
    <row r="143" spans="1:7" x14ac:dyDescent="0.35">
      <c r="A143" s="13" t="s">
        <v>2677</v>
      </c>
      <c r="B143" s="41" t="s">
        <v>2678</v>
      </c>
      <c r="C143" s="41" t="s">
        <v>1350</v>
      </c>
      <c r="D143" s="15">
        <v>1238</v>
      </c>
      <c r="E143" s="16">
        <v>55.29</v>
      </c>
      <c r="F143" s="17">
        <v>3.0000000000000001E-3</v>
      </c>
      <c r="G143" s="17"/>
    </row>
    <row r="144" spans="1:7" x14ac:dyDescent="0.35">
      <c r="A144" s="13" t="s">
        <v>2392</v>
      </c>
      <c r="B144" s="41" t="s">
        <v>2393</v>
      </c>
      <c r="C144" s="41" t="s">
        <v>1229</v>
      </c>
      <c r="D144" s="15">
        <v>4851</v>
      </c>
      <c r="E144" s="16">
        <v>55.21</v>
      </c>
      <c r="F144" s="17">
        <v>3.0000000000000001E-3</v>
      </c>
      <c r="G144" s="17"/>
    </row>
    <row r="145" spans="1:7" x14ac:dyDescent="0.35">
      <c r="A145" s="13" t="s">
        <v>2679</v>
      </c>
      <c r="B145" s="41" t="s">
        <v>2680</v>
      </c>
      <c r="C145" s="41" t="s">
        <v>1188</v>
      </c>
      <c r="D145" s="15">
        <v>170026</v>
      </c>
      <c r="E145" s="16">
        <v>54.97</v>
      </c>
      <c r="F145" s="17">
        <v>3.0000000000000001E-3</v>
      </c>
      <c r="G145" s="17"/>
    </row>
    <row r="146" spans="1:7" x14ac:dyDescent="0.35">
      <c r="A146" s="13" t="s">
        <v>2681</v>
      </c>
      <c r="B146" s="41" t="s">
        <v>2682</v>
      </c>
      <c r="C146" s="41" t="s">
        <v>1211</v>
      </c>
      <c r="D146" s="15">
        <v>7096</v>
      </c>
      <c r="E146" s="16">
        <v>54.32</v>
      </c>
      <c r="F146" s="17">
        <v>2.8999999999999998E-3</v>
      </c>
      <c r="G146" s="17"/>
    </row>
    <row r="147" spans="1:7" x14ac:dyDescent="0.35">
      <c r="A147" s="13" t="s">
        <v>1906</v>
      </c>
      <c r="B147" s="41" t="s">
        <v>1907</v>
      </c>
      <c r="C147" s="41" t="s">
        <v>1280</v>
      </c>
      <c r="D147" s="15">
        <v>7057</v>
      </c>
      <c r="E147" s="16">
        <v>53.59</v>
      </c>
      <c r="F147" s="17">
        <v>2.8999999999999998E-3</v>
      </c>
      <c r="G147" s="17"/>
    </row>
    <row r="148" spans="1:7" x14ac:dyDescent="0.35">
      <c r="A148" s="13" t="s">
        <v>2683</v>
      </c>
      <c r="B148" s="41" t="s">
        <v>2684</v>
      </c>
      <c r="C148" s="41" t="s">
        <v>2621</v>
      </c>
      <c r="D148" s="15">
        <v>9590</v>
      </c>
      <c r="E148" s="16">
        <v>53.3</v>
      </c>
      <c r="F148" s="17">
        <v>2.8999999999999998E-3</v>
      </c>
      <c r="G148" s="17"/>
    </row>
    <row r="149" spans="1:7" x14ac:dyDescent="0.35">
      <c r="A149" s="13" t="s">
        <v>2685</v>
      </c>
      <c r="B149" s="41" t="s">
        <v>2686</v>
      </c>
      <c r="C149" s="41" t="s">
        <v>1201</v>
      </c>
      <c r="D149" s="15">
        <v>6195</v>
      </c>
      <c r="E149" s="16">
        <v>53.28</v>
      </c>
      <c r="F149" s="17">
        <v>2.8999999999999998E-3</v>
      </c>
      <c r="G149" s="17"/>
    </row>
    <row r="150" spans="1:7" x14ac:dyDescent="0.35">
      <c r="A150" s="13" t="s">
        <v>2687</v>
      </c>
      <c r="B150" s="41" t="s">
        <v>2688</v>
      </c>
      <c r="C150" s="41" t="s">
        <v>1288</v>
      </c>
      <c r="D150" s="15">
        <v>7350</v>
      </c>
      <c r="E150" s="16">
        <v>53.09</v>
      </c>
      <c r="F150" s="17">
        <v>2.8999999999999998E-3</v>
      </c>
      <c r="G150" s="17"/>
    </row>
    <row r="151" spans="1:7" x14ac:dyDescent="0.35">
      <c r="A151" s="13" t="s">
        <v>2689</v>
      </c>
      <c r="B151" s="41" t="s">
        <v>2690</v>
      </c>
      <c r="C151" s="41" t="s">
        <v>1387</v>
      </c>
      <c r="D151" s="15">
        <v>31634</v>
      </c>
      <c r="E151" s="16">
        <v>51.88</v>
      </c>
      <c r="F151" s="17">
        <v>2.8E-3</v>
      </c>
      <c r="G151" s="17"/>
    </row>
    <row r="152" spans="1:7" x14ac:dyDescent="0.35">
      <c r="A152" s="13" t="s">
        <v>2053</v>
      </c>
      <c r="B152" s="41" t="s">
        <v>2054</v>
      </c>
      <c r="C152" s="41" t="s">
        <v>1221</v>
      </c>
      <c r="D152" s="15">
        <v>8164</v>
      </c>
      <c r="E152" s="16">
        <v>51.86</v>
      </c>
      <c r="F152" s="17">
        <v>2.8E-3</v>
      </c>
      <c r="G152" s="17"/>
    </row>
    <row r="153" spans="1:7" x14ac:dyDescent="0.35">
      <c r="A153" s="13" t="s">
        <v>2426</v>
      </c>
      <c r="B153" s="41" t="s">
        <v>2427</v>
      </c>
      <c r="C153" s="41" t="s">
        <v>1234</v>
      </c>
      <c r="D153" s="15">
        <v>599</v>
      </c>
      <c r="E153" s="16">
        <v>51.21</v>
      </c>
      <c r="F153" s="17">
        <v>2.8E-3</v>
      </c>
      <c r="G153" s="17"/>
    </row>
    <row r="154" spans="1:7" x14ac:dyDescent="0.35">
      <c r="A154" s="13" t="s">
        <v>2691</v>
      </c>
      <c r="B154" s="41" t="s">
        <v>2692</v>
      </c>
      <c r="C154" s="41" t="s">
        <v>1382</v>
      </c>
      <c r="D154" s="15">
        <v>9987</v>
      </c>
      <c r="E154" s="16">
        <v>51.04</v>
      </c>
      <c r="F154" s="17">
        <v>2.8E-3</v>
      </c>
      <c r="G154" s="17"/>
    </row>
    <row r="155" spans="1:7" x14ac:dyDescent="0.35">
      <c r="A155" s="13" t="s">
        <v>2169</v>
      </c>
      <c r="B155" s="41" t="s">
        <v>2170</v>
      </c>
      <c r="C155" s="41" t="s">
        <v>1211</v>
      </c>
      <c r="D155" s="15">
        <v>10332</v>
      </c>
      <c r="E155" s="16">
        <v>50.76</v>
      </c>
      <c r="F155" s="17">
        <v>2.8E-3</v>
      </c>
      <c r="G155" s="17"/>
    </row>
    <row r="156" spans="1:7" x14ac:dyDescent="0.35">
      <c r="A156" s="13" t="s">
        <v>2037</v>
      </c>
      <c r="B156" s="41" t="s">
        <v>2038</v>
      </c>
      <c r="C156" s="41" t="s">
        <v>1526</v>
      </c>
      <c r="D156" s="15">
        <v>1600</v>
      </c>
      <c r="E156" s="16">
        <v>50.32</v>
      </c>
      <c r="F156" s="17">
        <v>2.7000000000000001E-3</v>
      </c>
      <c r="G156" s="17"/>
    </row>
    <row r="157" spans="1:7" x14ac:dyDescent="0.35">
      <c r="A157" s="13" t="s">
        <v>2693</v>
      </c>
      <c r="B157" s="41" t="s">
        <v>2694</v>
      </c>
      <c r="C157" s="41" t="s">
        <v>1216</v>
      </c>
      <c r="D157" s="15">
        <v>13346</v>
      </c>
      <c r="E157" s="16">
        <v>49.75</v>
      </c>
      <c r="F157" s="17">
        <v>2.7000000000000001E-3</v>
      </c>
      <c r="G157" s="17"/>
    </row>
    <row r="158" spans="1:7" x14ac:dyDescent="0.35">
      <c r="A158" s="13" t="s">
        <v>2695</v>
      </c>
      <c r="B158" s="41" t="s">
        <v>2696</v>
      </c>
      <c r="C158" s="41" t="s">
        <v>1266</v>
      </c>
      <c r="D158" s="15">
        <v>47121</v>
      </c>
      <c r="E158" s="16">
        <v>49.49</v>
      </c>
      <c r="F158" s="17">
        <v>2.7000000000000001E-3</v>
      </c>
      <c r="G158" s="17"/>
    </row>
    <row r="159" spans="1:7" x14ac:dyDescent="0.35">
      <c r="A159" s="13" t="s">
        <v>2697</v>
      </c>
      <c r="B159" s="41" t="s">
        <v>2698</v>
      </c>
      <c r="C159" s="41" t="s">
        <v>1272</v>
      </c>
      <c r="D159" s="15">
        <v>3072</v>
      </c>
      <c r="E159" s="16">
        <v>49.29</v>
      </c>
      <c r="F159" s="17">
        <v>2.7000000000000001E-3</v>
      </c>
      <c r="G159" s="17"/>
    </row>
    <row r="160" spans="1:7" x14ac:dyDescent="0.35">
      <c r="A160" s="13" t="s">
        <v>2045</v>
      </c>
      <c r="B160" s="41" t="s">
        <v>2046</v>
      </c>
      <c r="C160" s="41" t="s">
        <v>1350</v>
      </c>
      <c r="D160" s="15">
        <v>11947</v>
      </c>
      <c r="E160" s="16">
        <v>48.94</v>
      </c>
      <c r="F160" s="17">
        <v>2.7000000000000001E-3</v>
      </c>
      <c r="G160" s="17"/>
    </row>
    <row r="161" spans="1:7" x14ac:dyDescent="0.35">
      <c r="A161" s="13" t="s">
        <v>2699</v>
      </c>
      <c r="B161" s="41" t="s">
        <v>2700</v>
      </c>
      <c r="C161" s="41" t="s">
        <v>1211</v>
      </c>
      <c r="D161" s="15">
        <v>37797</v>
      </c>
      <c r="E161" s="16">
        <v>48.74</v>
      </c>
      <c r="F161" s="17">
        <v>2.5999999999999999E-3</v>
      </c>
      <c r="G161" s="17"/>
    </row>
    <row r="162" spans="1:7" x14ac:dyDescent="0.35">
      <c r="A162" s="13" t="s">
        <v>2701</v>
      </c>
      <c r="B162" s="41" t="s">
        <v>2702</v>
      </c>
      <c r="C162" s="41" t="s">
        <v>1288</v>
      </c>
      <c r="D162" s="15">
        <v>27329</v>
      </c>
      <c r="E162" s="16">
        <v>48.22</v>
      </c>
      <c r="F162" s="17">
        <v>2.5999999999999999E-3</v>
      </c>
      <c r="G162" s="17"/>
    </row>
    <row r="163" spans="1:7" x14ac:dyDescent="0.35">
      <c r="A163" s="13" t="s">
        <v>2703</v>
      </c>
      <c r="B163" s="41" t="s">
        <v>2704</v>
      </c>
      <c r="C163" s="41" t="s">
        <v>1387</v>
      </c>
      <c r="D163" s="15">
        <v>14536</v>
      </c>
      <c r="E163" s="16">
        <v>48.2</v>
      </c>
      <c r="F163" s="17">
        <v>2.5999999999999999E-3</v>
      </c>
      <c r="G163" s="17"/>
    </row>
    <row r="164" spans="1:7" x14ac:dyDescent="0.35">
      <c r="A164" s="13" t="s">
        <v>2705</v>
      </c>
      <c r="B164" s="41" t="s">
        <v>2706</v>
      </c>
      <c r="C164" s="41" t="s">
        <v>1229</v>
      </c>
      <c r="D164" s="15">
        <v>9980</v>
      </c>
      <c r="E164" s="16">
        <v>48.14</v>
      </c>
      <c r="F164" s="17">
        <v>2.5999999999999999E-3</v>
      </c>
      <c r="G164" s="17"/>
    </row>
    <row r="165" spans="1:7" x14ac:dyDescent="0.35">
      <c r="A165" s="13" t="s">
        <v>2707</v>
      </c>
      <c r="B165" s="41" t="s">
        <v>2708</v>
      </c>
      <c r="C165" s="41" t="s">
        <v>1261</v>
      </c>
      <c r="D165" s="15">
        <v>111841</v>
      </c>
      <c r="E165" s="16">
        <v>47.49</v>
      </c>
      <c r="F165" s="17">
        <v>2.5999999999999999E-3</v>
      </c>
      <c r="G165" s="17"/>
    </row>
    <row r="166" spans="1:7" x14ac:dyDescent="0.35">
      <c r="A166" s="13" t="s">
        <v>2709</v>
      </c>
      <c r="B166" s="41" t="s">
        <v>2710</v>
      </c>
      <c r="C166" s="41" t="s">
        <v>1387</v>
      </c>
      <c r="D166" s="15">
        <v>4868</v>
      </c>
      <c r="E166" s="16">
        <v>47.44</v>
      </c>
      <c r="F166" s="17">
        <v>2.5999999999999999E-3</v>
      </c>
      <c r="G166" s="17"/>
    </row>
    <row r="167" spans="1:7" x14ac:dyDescent="0.35">
      <c r="A167" s="13" t="s">
        <v>1972</v>
      </c>
      <c r="B167" s="41" t="s">
        <v>1973</v>
      </c>
      <c r="C167" s="41" t="s">
        <v>1201</v>
      </c>
      <c r="D167" s="15">
        <v>5896</v>
      </c>
      <c r="E167" s="16">
        <v>47.39</v>
      </c>
      <c r="F167" s="17">
        <v>2.5999999999999999E-3</v>
      </c>
      <c r="G167" s="17"/>
    </row>
    <row r="168" spans="1:7" x14ac:dyDescent="0.35">
      <c r="A168" s="13" t="s">
        <v>2711</v>
      </c>
      <c r="B168" s="41" t="s">
        <v>2712</v>
      </c>
      <c r="C168" s="41" t="s">
        <v>1229</v>
      </c>
      <c r="D168" s="15">
        <v>2525</v>
      </c>
      <c r="E168" s="16">
        <v>47.29</v>
      </c>
      <c r="F168" s="17">
        <v>2.5999999999999999E-3</v>
      </c>
      <c r="G168" s="17"/>
    </row>
    <row r="169" spans="1:7" x14ac:dyDescent="0.35">
      <c r="A169" s="13" t="s">
        <v>1908</v>
      </c>
      <c r="B169" s="41" t="s">
        <v>1909</v>
      </c>
      <c r="C169" s="41" t="s">
        <v>1185</v>
      </c>
      <c r="D169" s="15">
        <v>59930</v>
      </c>
      <c r="E169" s="16">
        <v>47.27</v>
      </c>
      <c r="F169" s="17">
        <v>2.5999999999999999E-3</v>
      </c>
      <c r="G169" s="17"/>
    </row>
    <row r="170" spans="1:7" x14ac:dyDescent="0.35">
      <c r="A170" s="13" t="s">
        <v>2713</v>
      </c>
      <c r="B170" s="41" t="s">
        <v>2714</v>
      </c>
      <c r="C170" s="41" t="s">
        <v>1216</v>
      </c>
      <c r="D170" s="15">
        <v>11146</v>
      </c>
      <c r="E170" s="16">
        <v>46.85</v>
      </c>
      <c r="F170" s="17">
        <v>2.5000000000000001E-3</v>
      </c>
      <c r="G170" s="17"/>
    </row>
    <row r="171" spans="1:7" x14ac:dyDescent="0.35">
      <c r="A171" s="13" t="s">
        <v>2158</v>
      </c>
      <c r="B171" s="41" t="s">
        <v>2159</v>
      </c>
      <c r="C171" s="41" t="s">
        <v>1201</v>
      </c>
      <c r="D171" s="15">
        <v>6014</v>
      </c>
      <c r="E171" s="16">
        <v>46.77</v>
      </c>
      <c r="F171" s="17">
        <v>2.5000000000000001E-3</v>
      </c>
      <c r="G171" s="17"/>
    </row>
    <row r="172" spans="1:7" x14ac:dyDescent="0.35">
      <c r="A172" s="13" t="s">
        <v>2430</v>
      </c>
      <c r="B172" s="41" t="s">
        <v>2431</v>
      </c>
      <c r="C172" s="41" t="s">
        <v>1272</v>
      </c>
      <c r="D172" s="15">
        <v>8032</v>
      </c>
      <c r="E172" s="16">
        <v>46.4</v>
      </c>
      <c r="F172" s="17">
        <v>2.5000000000000001E-3</v>
      </c>
      <c r="G172" s="17"/>
    </row>
    <row r="173" spans="1:7" x14ac:dyDescent="0.35">
      <c r="A173" s="13" t="s">
        <v>2715</v>
      </c>
      <c r="B173" s="41" t="s">
        <v>2716</v>
      </c>
      <c r="C173" s="41" t="s">
        <v>1387</v>
      </c>
      <c r="D173" s="15">
        <v>26589</v>
      </c>
      <c r="E173" s="16">
        <v>45.86</v>
      </c>
      <c r="F173" s="17">
        <v>2.5000000000000001E-3</v>
      </c>
      <c r="G173" s="17"/>
    </row>
    <row r="174" spans="1:7" x14ac:dyDescent="0.35">
      <c r="A174" s="13" t="s">
        <v>2717</v>
      </c>
      <c r="B174" s="41" t="s">
        <v>2718</v>
      </c>
      <c r="C174" s="41" t="s">
        <v>2300</v>
      </c>
      <c r="D174" s="15">
        <v>3864</v>
      </c>
      <c r="E174" s="16">
        <v>45.51</v>
      </c>
      <c r="F174" s="17">
        <v>2.5000000000000001E-3</v>
      </c>
      <c r="G174" s="17"/>
    </row>
    <row r="175" spans="1:7" x14ac:dyDescent="0.35">
      <c r="A175" s="13" t="s">
        <v>2098</v>
      </c>
      <c r="B175" s="41" t="s">
        <v>2099</v>
      </c>
      <c r="C175" s="41" t="s">
        <v>1229</v>
      </c>
      <c r="D175" s="15">
        <v>4739</v>
      </c>
      <c r="E175" s="16">
        <v>45.43</v>
      </c>
      <c r="F175" s="17">
        <v>2.5000000000000001E-3</v>
      </c>
      <c r="G175" s="17"/>
    </row>
    <row r="176" spans="1:7" x14ac:dyDescent="0.35">
      <c r="A176" s="13" t="s">
        <v>2719</v>
      </c>
      <c r="B176" s="41" t="s">
        <v>2720</v>
      </c>
      <c r="C176" s="41" t="s">
        <v>1221</v>
      </c>
      <c r="D176" s="15">
        <v>17063</v>
      </c>
      <c r="E176" s="16">
        <v>45.39</v>
      </c>
      <c r="F176" s="17">
        <v>2.5000000000000001E-3</v>
      </c>
      <c r="G176" s="17"/>
    </row>
    <row r="177" spans="1:7" x14ac:dyDescent="0.35">
      <c r="A177" s="13" t="s">
        <v>1995</v>
      </c>
      <c r="B177" s="41" t="s">
        <v>1996</v>
      </c>
      <c r="C177" s="41" t="s">
        <v>1412</v>
      </c>
      <c r="D177" s="15">
        <v>39049</v>
      </c>
      <c r="E177" s="16">
        <v>45.37</v>
      </c>
      <c r="F177" s="17">
        <v>2.5000000000000001E-3</v>
      </c>
      <c r="G177" s="17"/>
    </row>
    <row r="178" spans="1:7" x14ac:dyDescent="0.35">
      <c r="A178" s="13" t="s">
        <v>2721</v>
      </c>
      <c r="B178" s="41" t="s">
        <v>2722</v>
      </c>
      <c r="C178" s="41" t="s">
        <v>1178</v>
      </c>
      <c r="D178" s="15">
        <v>43289</v>
      </c>
      <c r="E178" s="16">
        <v>45.33</v>
      </c>
      <c r="F178" s="17">
        <v>2.5000000000000001E-3</v>
      </c>
      <c r="G178" s="17"/>
    </row>
    <row r="179" spans="1:7" x14ac:dyDescent="0.35">
      <c r="A179" s="13" t="s">
        <v>1960</v>
      </c>
      <c r="B179" s="41" t="s">
        <v>1961</v>
      </c>
      <c r="C179" s="41" t="s">
        <v>1412</v>
      </c>
      <c r="D179" s="15">
        <v>3237</v>
      </c>
      <c r="E179" s="16">
        <v>45.07</v>
      </c>
      <c r="F179" s="17">
        <v>2.3999999999999998E-3</v>
      </c>
      <c r="G179" s="17"/>
    </row>
    <row r="180" spans="1:7" x14ac:dyDescent="0.35">
      <c r="A180" s="13" t="s">
        <v>2723</v>
      </c>
      <c r="B180" s="41" t="s">
        <v>2724</v>
      </c>
      <c r="C180" s="41" t="s">
        <v>1288</v>
      </c>
      <c r="D180" s="15">
        <v>8164</v>
      </c>
      <c r="E180" s="16">
        <v>44.25</v>
      </c>
      <c r="F180" s="17">
        <v>2.3999999999999998E-3</v>
      </c>
      <c r="G180" s="17"/>
    </row>
    <row r="181" spans="1:7" x14ac:dyDescent="0.35">
      <c r="A181" s="13" t="s">
        <v>1804</v>
      </c>
      <c r="B181" s="41" t="s">
        <v>1805</v>
      </c>
      <c r="C181" s="41" t="s">
        <v>1382</v>
      </c>
      <c r="D181" s="15">
        <v>7796</v>
      </c>
      <c r="E181" s="16">
        <v>43.88</v>
      </c>
      <c r="F181" s="17">
        <v>2.3999999999999998E-3</v>
      </c>
      <c r="G181" s="17"/>
    </row>
    <row r="182" spans="1:7" x14ac:dyDescent="0.35">
      <c r="A182" s="13" t="s">
        <v>2725</v>
      </c>
      <c r="B182" s="41" t="s">
        <v>2726</v>
      </c>
      <c r="C182" s="41" t="s">
        <v>1261</v>
      </c>
      <c r="D182" s="15">
        <v>8924</v>
      </c>
      <c r="E182" s="16">
        <v>43.71</v>
      </c>
      <c r="F182" s="17">
        <v>2.3999999999999998E-3</v>
      </c>
      <c r="G182" s="17"/>
    </row>
    <row r="183" spans="1:7" x14ac:dyDescent="0.35">
      <c r="A183" s="13" t="s">
        <v>2727</v>
      </c>
      <c r="B183" s="41" t="s">
        <v>2728</v>
      </c>
      <c r="C183" s="41" t="s">
        <v>1412</v>
      </c>
      <c r="D183" s="15">
        <v>22976</v>
      </c>
      <c r="E183" s="16">
        <v>43.55</v>
      </c>
      <c r="F183" s="17">
        <v>2.3999999999999998E-3</v>
      </c>
      <c r="G183" s="17"/>
    </row>
    <row r="184" spans="1:7" x14ac:dyDescent="0.35">
      <c r="A184" s="13" t="s">
        <v>2398</v>
      </c>
      <c r="B184" s="41" t="s">
        <v>2399</v>
      </c>
      <c r="C184" s="41" t="s">
        <v>1288</v>
      </c>
      <c r="D184" s="15">
        <v>3163</v>
      </c>
      <c r="E184" s="16">
        <v>43.45</v>
      </c>
      <c r="F184" s="17">
        <v>2.3999999999999998E-3</v>
      </c>
      <c r="G184" s="17"/>
    </row>
    <row r="185" spans="1:7" x14ac:dyDescent="0.35">
      <c r="A185" s="13" t="s">
        <v>2729</v>
      </c>
      <c r="B185" s="41" t="s">
        <v>2730</v>
      </c>
      <c r="C185" s="41" t="s">
        <v>1188</v>
      </c>
      <c r="D185" s="15">
        <v>3973</v>
      </c>
      <c r="E185" s="16">
        <v>43.09</v>
      </c>
      <c r="F185" s="17">
        <v>2.3E-3</v>
      </c>
      <c r="G185" s="17"/>
    </row>
    <row r="186" spans="1:7" x14ac:dyDescent="0.35">
      <c r="A186" s="13" t="s">
        <v>2731</v>
      </c>
      <c r="B186" s="41" t="s">
        <v>2732</v>
      </c>
      <c r="C186" s="41" t="s">
        <v>1855</v>
      </c>
      <c r="D186" s="15">
        <v>9950</v>
      </c>
      <c r="E186" s="16">
        <v>43.02</v>
      </c>
      <c r="F186" s="17">
        <v>2.3E-3</v>
      </c>
      <c r="G186" s="17"/>
    </row>
    <row r="187" spans="1:7" x14ac:dyDescent="0.35">
      <c r="A187" s="13" t="s">
        <v>2733</v>
      </c>
      <c r="B187" s="41" t="s">
        <v>2734</v>
      </c>
      <c r="C187" s="41" t="s">
        <v>1436</v>
      </c>
      <c r="D187" s="15">
        <v>13184</v>
      </c>
      <c r="E187" s="16">
        <v>42.64</v>
      </c>
      <c r="F187" s="17">
        <v>2.3E-3</v>
      </c>
      <c r="G187" s="17"/>
    </row>
    <row r="188" spans="1:7" x14ac:dyDescent="0.35">
      <c r="A188" s="13" t="s">
        <v>2057</v>
      </c>
      <c r="B188" s="41" t="s">
        <v>2058</v>
      </c>
      <c r="C188" s="41" t="s">
        <v>1234</v>
      </c>
      <c r="D188" s="15">
        <v>5398</v>
      </c>
      <c r="E188" s="16">
        <v>42.28</v>
      </c>
      <c r="F188" s="17">
        <v>2.3E-3</v>
      </c>
      <c r="G188" s="17"/>
    </row>
    <row r="189" spans="1:7" x14ac:dyDescent="0.35">
      <c r="A189" s="13" t="s">
        <v>2735</v>
      </c>
      <c r="B189" s="41" t="s">
        <v>2736</v>
      </c>
      <c r="C189" s="41" t="s">
        <v>1234</v>
      </c>
      <c r="D189" s="15">
        <v>2887</v>
      </c>
      <c r="E189" s="16">
        <v>42.26</v>
      </c>
      <c r="F189" s="17">
        <v>2.3E-3</v>
      </c>
      <c r="G189" s="17"/>
    </row>
    <row r="190" spans="1:7" x14ac:dyDescent="0.35">
      <c r="A190" s="13" t="s">
        <v>1982</v>
      </c>
      <c r="B190" s="41" t="s">
        <v>1983</v>
      </c>
      <c r="C190" s="41" t="s">
        <v>1191</v>
      </c>
      <c r="D190" s="15">
        <v>6356</v>
      </c>
      <c r="E190" s="16">
        <v>41.81</v>
      </c>
      <c r="F190" s="17">
        <v>2.3E-3</v>
      </c>
      <c r="G190" s="17"/>
    </row>
    <row r="191" spans="1:7" x14ac:dyDescent="0.35">
      <c r="A191" s="13" t="s">
        <v>2737</v>
      </c>
      <c r="B191" s="41" t="s">
        <v>2738</v>
      </c>
      <c r="C191" s="41" t="s">
        <v>2739</v>
      </c>
      <c r="D191" s="15">
        <v>1749</v>
      </c>
      <c r="E191" s="16">
        <v>41.66</v>
      </c>
      <c r="F191" s="17">
        <v>2.3E-3</v>
      </c>
      <c r="G191" s="17"/>
    </row>
    <row r="192" spans="1:7" x14ac:dyDescent="0.35">
      <c r="A192" s="13" t="s">
        <v>2740</v>
      </c>
      <c r="B192" s="41" t="s">
        <v>2741</v>
      </c>
      <c r="C192" s="41" t="s">
        <v>1206</v>
      </c>
      <c r="D192" s="15">
        <v>4668</v>
      </c>
      <c r="E192" s="16">
        <v>40.43</v>
      </c>
      <c r="F192" s="17">
        <v>2.2000000000000001E-3</v>
      </c>
      <c r="G192" s="17"/>
    </row>
    <row r="193" spans="1:7" x14ac:dyDescent="0.35">
      <c r="A193" s="13" t="s">
        <v>2742</v>
      </c>
      <c r="B193" s="41" t="s">
        <v>2743</v>
      </c>
      <c r="C193" s="41" t="s">
        <v>1221</v>
      </c>
      <c r="D193" s="15">
        <v>1106</v>
      </c>
      <c r="E193" s="16">
        <v>40.33</v>
      </c>
      <c r="F193" s="17">
        <v>2.2000000000000001E-3</v>
      </c>
      <c r="G193" s="17"/>
    </row>
    <row r="194" spans="1:7" x14ac:dyDescent="0.35">
      <c r="A194" s="13" t="s">
        <v>2100</v>
      </c>
      <c r="B194" s="41" t="s">
        <v>2101</v>
      </c>
      <c r="C194" s="41" t="s">
        <v>1221</v>
      </c>
      <c r="D194" s="15">
        <v>4667</v>
      </c>
      <c r="E194" s="16">
        <v>40.18</v>
      </c>
      <c r="F194" s="17">
        <v>2.2000000000000001E-3</v>
      </c>
      <c r="G194" s="17"/>
    </row>
    <row r="195" spans="1:7" x14ac:dyDescent="0.35">
      <c r="A195" s="13" t="s">
        <v>2744</v>
      </c>
      <c r="B195" s="41" t="s">
        <v>2745</v>
      </c>
      <c r="C195" s="41" t="s">
        <v>1288</v>
      </c>
      <c r="D195" s="15">
        <v>6473</v>
      </c>
      <c r="E195" s="16">
        <v>39.96</v>
      </c>
      <c r="F195" s="17">
        <v>2.2000000000000001E-3</v>
      </c>
      <c r="G195" s="17"/>
    </row>
    <row r="196" spans="1:7" x14ac:dyDescent="0.35">
      <c r="A196" s="13" t="s">
        <v>2746</v>
      </c>
      <c r="B196" s="41" t="s">
        <v>2747</v>
      </c>
      <c r="C196" s="41" t="s">
        <v>1288</v>
      </c>
      <c r="D196" s="15">
        <v>22567</v>
      </c>
      <c r="E196" s="16">
        <v>39.67</v>
      </c>
      <c r="F196" s="17">
        <v>2.2000000000000001E-3</v>
      </c>
      <c r="G196" s="17"/>
    </row>
    <row r="197" spans="1:7" x14ac:dyDescent="0.35">
      <c r="A197" s="13" t="s">
        <v>1910</v>
      </c>
      <c r="B197" s="41" t="s">
        <v>1911</v>
      </c>
      <c r="C197" s="41" t="s">
        <v>1280</v>
      </c>
      <c r="D197" s="15">
        <v>4060</v>
      </c>
      <c r="E197" s="16">
        <v>39.49</v>
      </c>
      <c r="F197" s="17">
        <v>2.0999999999999999E-3</v>
      </c>
      <c r="G197" s="17"/>
    </row>
    <row r="198" spans="1:7" x14ac:dyDescent="0.35">
      <c r="A198" s="13" t="s">
        <v>2748</v>
      </c>
      <c r="B198" s="41" t="s">
        <v>2749</v>
      </c>
      <c r="C198" s="41" t="s">
        <v>1333</v>
      </c>
      <c r="D198" s="15">
        <v>5679</v>
      </c>
      <c r="E198" s="16">
        <v>39.340000000000003</v>
      </c>
      <c r="F198" s="17">
        <v>2.0999999999999999E-3</v>
      </c>
      <c r="G198" s="17"/>
    </row>
    <row r="199" spans="1:7" x14ac:dyDescent="0.35">
      <c r="A199" s="13" t="s">
        <v>2750</v>
      </c>
      <c r="B199" s="41" t="s">
        <v>2751</v>
      </c>
      <c r="C199" s="41" t="s">
        <v>1288</v>
      </c>
      <c r="D199" s="15">
        <v>2456</v>
      </c>
      <c r="E199" s="16">
        <v>38.47</v>
      </c>
      <c r="F199" s="17">
        <v>2.0999999999999999E-3</v>
      </c>
      <c r="G199" s="17"/>
    </row>
    <row r="200" spans="1:7" x14ac:dyDescent="0.35">
      <c r="A200" s="13" t="s">
        <v>2752</v>
      </c>
      <c r="B200" s="41" t="s">
        <v>2753</v>
      </c>
      <c r="C200" s="41" t="s">
        <v>1855</v>
      </c>
      <c r="D200" s="15">
        <v>30846</v>
      </c>
      <c r="E200" s="16">
        <v>38.229999999999997</v>
      </c>
      <c r="F200" s="17">
        <v>2.0999999999999999E-3</v>
      </c>
      <c r="G200" s="17"/>
    </row>
    <row r="201" spans="1:7" x14ac:dyDescent="0.35">
      <c r="A201" s="13" t="s">
        <v>2150</v>
      </c>
      <c r="B201" s="41" t="s">
        <v>2151</v>
      </c>
      <c r="C201" s="41" t="s">
        <v>1234</v>
      </c>
      <c r="D201" s="15">
        <v>3212</v>
      </c>
      <c r="E201" s="16">
        <v>37.75</v>
      </c>
      <c r="F201" s="17">
        <v>2E-3</v>
      </c>
      <c r="G201" s="17"/>
    </row>
    <row r="202" spans="1:7" x14ac:dyDescent="0.35">
      <c r="A202" s="13" t="s">
        <v>2754</v>
      </c>
      <c r="B202" s="41" t="s">
        <v>2755</v>
      </c>
      <c r="C202" s="41" t="s">
        <v>1345</v>
      </c>
      <c r="D202" s="15">
        <v>16417</v>
      </c>
      <c r="E202" s="16">
        <v>37</v>
      </c>
      <c r="F202" s="17">
        <v>2E-3</v>
      </c>
      <c r="G202" s="17"/>
    </row>
    <row r="203" spans="1:7" x14ac:dyDescent="0.35">
      <c r="A203" s="13" t="s">
        <v>2756</v>
      </c>
      <c r="B203" s="41" t="s">
        <v>2757</v>
      </c>
      <c r="C203" s="41" t="s">
        <v>1409</v>
      </c>
      <c r="D203" s="15">
        <v>13374</v>
      </c>
      <c r="E203" s="16">
        <v>36.96</v>
      </c>
      <c r="F203" s="17">
        <v>2E-3</v>
      </c>
      <c r="G203" s="17"/>
    </row>
    <row r="204" spans="1:7" x14ac:dyDescent="0.35">
      <c r="A204" s="13" t="s">
        <v>2758</v>
      </c>
      <c r="B204" s="41" t="s">
        <v>2759</v>
      </c>
      <c r="C204" s="41" t="s">
        <v>1305</v>
      </c>
      <c r="D204" s="15">
        <v>27300</v>
      </c>
      <c r="E204" s="16">
        <v>36.590000000000003</v>
      </c>
      <c r="F204" s="17">
        <v>2E-3</v>
      </c>
      <c r="G204" s="17"/>
    </row>
    <row r="205" spans="1:7" x14ac:dyDescent="0.35">
      <c r="A205" s="13" t="s">
        <v>2538</v>
      </c>
      <c r="B205" s="41" t="s">
        <v>2539</v>
      </c>
      <c r="C205" s="41" t="s">
        <v>1201</v>
      </c>
      <c r="D205" s="15">
        <v>1296</v>
      </c>
      <c r="E205" s="16">
        <v>36.29</v>
      </c>
      <c r="F205" s="17">
        <v>2E-3</v>
      </c>
      <c r="G205" s="17"/>
    </row>
    <row r="206" spans="1:7" x14ac:dyDescent="0.35">
      <c r="A206" s="13" t="s">
        <v>2760</v>
      </c>
      <c r="B206" s="41" t="s">
        <v>2761</v>
      </c>
      <c r="C206" s="41" t="s">
        <v>1369</v>
      </c>
      <c r="D206" s="15">
        <v>6195</v>
      </c>
      <c r="E206" s="16">
        <v>36.049999999999997</v>
      </c>
      <c r="F206" s="17">
        <v>2E-3</v>
      </c>
      <c r="G206" s="17"/>
    </row>
    <row r="207" spans="1:7" x14ac:dyDescent="0.35">
      <c r="A207" s="13" t="s">
        <v>2118</v>
      </c>
      <c r="B207" s="41" t="s">
        <v>2119</v>
      </c>
      <c r="C207" s="41" t="s">
        <v>1288</v>
      </c>
      <c r="D207" s="15">
        <v>5089</v>
      </c>
      <c r="E207" s="16">
        <v>36.04</v>
      </c>
      <c r="F207" s="17">
        <v>2E-3</v>
      </c>
      <c r="G207" s="17"/>
    </row>
    <row r="208" spans="1:7" x14ac:dyDescent="0.35">
      <c r="A208" s="13" t="s">
        <v>2762</v>
      </c>
      <c r="B208" s="41" t="s">
        <v>2763</v>
      </c>
      <c r="C208" s="41" t="s">
        <v>1211</v>
      </c>
      <c r="D208" s="15">
        <v>64317</v>
      </c>
      <c r="E208" s="16">
        <v>35.43</v>
      </c>
      <c r="F208" s="17">
        <v>1.9E-3</v>
      </c>
      <c r="G208" s="17"/>
    </row>
    <row r="209" spans="1:7" x14ac:dyDescent="0.35">
      <c r="A209" s="13" t="s">
        <v>2764</v>
      </c>
      <c r="B209" s="41" t="s">
        <v>2765</v>
      </c>
      <c r="C209" s="41" t="s">
        <v>1178</v>
      </c>
      <c r="D209" s="15">
        <v>94524</v>
      </c>
      <c r="E209" s="16">
        <v>35.380000000000003</v>
      </c>
      <c r="F209" s="17">
        <v>1.9E-3</v>
      </c>
      <c r="G209" s="17"/>
    </row>
    <row r="210" spans="1:7" x14ac:dyDescent="0.35">
      <c r="A210" s="13" t="s">
        <v>2766</v>
      </c>
      <c r="B210" s="41" t="s">
        <v>2767</v>
      </c>
      <c r="C210" s="41" t="s">
        <v>1266</v>
      </c>
      <c r="D210" s="15">
        <v>53234</v>
      </c>
      <c r="E210" s="16">
        <v>35.35</v>
      </c>
      <c r="F210" s="17">
        <v>1.9E-3</v>
      </c>
      <c r="G210" s="17"/>
    </row>
    <row r="211" spans="1:7" x14ac:dyDescent="0.35">
      <c r="A211" s="13" t="s">
        <v>2768</v>
      </c>
      <c r="B211" s="41" t="s">
        <v>2769</v>
      </c>
      <c r="C211" s="41" t="s">
        <v>1333</v>
      </c>
      <c r="D211" s="15">
        <v>8543</v>
      </c>
      <c r="E211" s="16">
        <v>34.86</v>
      </c>
      <c r="F211" s="17">
        <v>1.9E-3</v>
      </c>
      <c r="G211" s="17"/>
    </row>
    <row r="212" spans="1:7" x14ac:dyDescent="0.35">
      <c r="A212" s="13" t="s">
        <v>2770</v>
      </c>
      <c r="B212" s="41" t="s">
        <v>2771</v>
      </c>
      <c r="C212" s="41" t="s">
        <v>1436</v>
      </c>
      <c r="D212" s="15">
        <v>11986</v>
      </c>
      <c r="E212" s="16">
        <v>34.78</v>
      </c>
      <c r="F212" s="17">
        <v>1.9E-3</v>
      </c>
      <c r="G212" s="17"/>
    </row>
    <row r="213" spans="1:7" x14ac:dyDescent="0.35">
      <c r="A213" s="13" t="s">
        <v>2772</v>
      </c>
      <c r="B213" s="41" t="s">
        <v>2773</v>
      </c>
      <c r="C213" s="41" t="s">
        <v>1234</v>
      </c>
      <c r="D213" s="15">
        <v>1960</v>
      </c>
      <c r="E213" s="16">
        <v>34.770000000000003</v>
      </c>
      <c r="F213" s="17">
        <v>1.9E-3</v>
      </c>
      <c r="G213" s="17"/>
    </row>
    <row r="214" spans="1:7" x14ac:dyDescent="0.35">
      <c r="A214" s="13" t="s">
        <v>2774</v>
      </c>
      <c r="B214" s="41" t="s">
        <v>2775</v>
      </c>
      <c r="C214" s="41" t="s">
        <v>1324</v>
      </c>
      <c r="D214" s="15">
        <v>3803</v>
      </c>
      <c r="E214" s="16">
        <v>34.270000000000003</v>
      </c>
      <c r="F214" s="17">
        <v>1.9E-3</v>
      </c>
      <c r="G214" s="17"/>
    </row>
    <row r="215" spans="1:7" x14ac:dyDescent="0.35">
      <c r="A215" s="13" t="s">
        <v>2146</v>
      </c>
      <c r="B215" s="41" t="s">
        <v>2147</v>
      </c>
      <c r="C215" s="41" t="s">
        <v>1849</v>
      </c>
      <c r="D215" s="15">
        <v>3995</v>
      </c>
      <c r="E215" s="16">
        <v>33.94</v>
      </c>
      <c r="F215" s="17">
        <v>1.8E-3</v>
      </c>
      <c r="G215" s="17"/>
    </row>
    <row r="216" spans="1:7" x14ac:dyDescent="0.35">
      <c r="A216" s="13" t="s">
        <v>2776</v>
      </c>
      <c r="B216" s="41" t="s">
        <v>2777</v>
      </c>
      <c r="C216" s="41" t="s">
        <v>1224</v>
      </c>
      <c r="D216" s="15">
        <v>9729</v>
      </c>
      <c r="E216" s="16">
        <v>33.83</v>
      </c>
      <c r="F216" s="17">
        <v>1.8E-3</v>
      </c>
      <c r="G216" s="17"/>
    </row>
    <row r="217" spans="1:7" x14ac:dyDescent="0.35">
      <c r="A217" s="13" t="s">
        <v>2494</v>
      </c>
      <c r="B217" s="41" t="s">
        <v>2495</v>
      </c>
      <c r="C217" s="41" t="s">
        <v>1412</v>
      </c>
      <c r="D217" s="15">
        <v>7833</v>
      </c>
      <c r="E217" s="16">
        <v>32.979999999999997</v>
      </c>
      <c r="F217" s="17">
        <v>1.8E-3</v>
      </c>
      <c r="G217" s="17"/>
    </row>
    <row r="218" spans="1:7" x14ac:dyDescent="0.35">
      <c r="A218" s="13" t="s">
        <v>2778</v>
      </c>
      <c r="B218" s="41" t="s">
        <v>2779</v>
      </c>
      <c r="C218" s="41" t="s">
        <v>1369</v>
      </c>
      <c r="D218" s="15">
        <v>7969</v>
      </c>
      <c r="E218" s="16">
        <v>32.94</v>
      </c>
      <c r="F218" s="17">
        <v>1.8E-3</v>
      </c>
      <c r="G218" s="17"/>
    </row>
    <row r="219" spans="1:7" x14ac:dyDescent="0.35">
      <c r="A219" s="13" t="s">
        <v>2780</v>
      </c>
      <c r="B219" s="41" t="s">
        <v>2781</v>
      </c>
      <c r="C219" s="41" t="s">
        <v>2739</v>
      </c>
      <c r="D219" s="15">
        <v>13172</v>
      </c>
      <c r="E219" s="16">
        <v>32.76</v>
      </c>
      <c r="F219" s="17">
        <v>1.8E-3</v>
      </c>
      <c r="G219" s="17"/>
    </row>
    <row r="220" spans="1:7" x14ac:dyDescent="0.35">
      <c r="A220" s="13" t="s">
        <v>2443</v>
      </c>
      <c r="B220" s="41" t="s">
        <v>2444</v>
      </c>
      <c r="C220" s="41" t="s">
        <v>1229</v>
      </c>
      <c r="D220" s="15">
        <v>7486</v>
      </c>
      <c r="E220" s="16">
        <v>32.4</v>
      </c>
      <c r="F220" s="17">
        <v>1.8E-3</v>
      </c>
      <c r="G220" s="17"/>
    </row>
    <row r="221" spans="1:7" x14ac:dyDescent="0.35">
      <c r="A221" s="13" t="s">
        <v>2140</v>
      </c>
      <c r="B221" s="41" t="s">
        <v>2141</v>
      </c>
      <c r="C221" s="41" t="s">
        <v>1211</v>
      </c>
      <c r="D221" s="15">
        <v>37876</v>
      </c>
      <c r="E221" s="16">
        <v>32.35</v>
      </c>
      <c r="F221" s="17">
        <v>1.8E-3</v>
      </c>
      <c r="G221" s="17"/>
    </row>
    <row r="222" spans="1:7" x14ac:dyDescent="0.35">
      <c r="A222" s="13" t="s">
        <v>2782</v>
      </c>
      <c r="B222" s="41" t="s">
        <v>2783</v>
      </c>
      <c r="C222" s="41" t="s">
        <v>1855</v>
      </c>
      <c r="D222" s="15">
        <v>121275</v>
      </c>
      <c r="E222" s="16">
        <v>31.54</v>
      </c>
      <c r="F222" s="17">
        <v>1.6999999999999999E-3</v>
      </c>
      <c r="G222" s="17"/>
    </row>
    <row r="223" spans="1:7" x14ac:dyDescent="0.35">
      <c r="A223" s="13" t="s">
        <v>2784</v>
      </c>
      <c r="B223" s="41" t="s">
        <v>2785</v>
      </c>
      <c r="C223" s="41" t="s">
        <v>1345</v>
      </c>
      <c r="D223" s="15">
        <v>574</v>
      </c>
      <c r="E223" s="16">
        <v>31.52</v>
      </c>
      <c r="F223" s="17">
        <v>1.6999999999999999E-3</v>
      </c>
      <c r="G223" s="17"/>
    </row>
    <row r="224" spans="1:7" x14ac:dyDescent="0.35">
      <c r="A224" s="13" t="s">
        <v>2786</v>
      </c>
      <c r="B224" s="41" t="s">
        <v>2787</v>
      </c>
      <c r="C224" s="41" t="s">
        <v>1216</v>
      </c>
      <c r="D224" s="15">
        <v>8302</v>
      </c>
      <c r="E224" s="16">
        <v>31.17</v>
      </c>
      <c r="F224" s="17">
        <v>1.6999999999999999E-3</v>
      </c>
      <c r="G224" s="17"/>
    </row>
    <row r="225" spans="1:7" x14ac:dyDescent="0.35">
      <c r="A225" s="13" t="s">
        <v>2788</v>
      </c>
      <c r="B225" s="41" t="s">
        <v>2789</v>
      </c>
      <c r="C225" s="41" t="s">
        <v>1301</v>
      </c>
      <c r="D225" s="15">
        <v>13566</v>
      </c>
      <c r="E225" s="16">
        <v>30.77</v>
      </c>
      <c r="F225" s="17">
        <v>1.6999999999999999E-3</v>
      </c>
      <c r="G225" s="17"/>
    </row>
    <row r="226" spans="1:7" x14ac:dyDescent="0.35">
      <c r="A226" s="13" t="s">
        <v>2790</v>
      </c>
      <c r="B226" s="41" t="s">
        <v>2791</v>
      </c>
      <c r="C226" s="41" t="s">
        <v>1838</v>
      </c>
      <c r="D226" s="15">
        <v>9863</v>
      </c>
      <c r="E226" s="16">
        <v>30.66</v>
      </c>
      <c r="F226" s="17">
        <v>1.6999999999999999E-3</v>
      </c>
      <c r="G226" s="17"/>
    </row>
    <row r="227" spans="1:7" x14ac:dyDescent="0.35">
      <c r="A227" s="13" t="s">
        <v>2792</v>
      </c>
      <c r="B227" s="41" t="s">
        <v>2793</v>
      </c>
      <c r="C227" s="41" t="s">
        <v>1206</v>
      </c>
      <c r="D227" s="15">
        <v>17330</v>
      </c>
      <c r="E227" s="16">
        <v>30.59</v>
      </c>
      <c r="F227" s="17">
        <v>1.6999999999999999E-3</v>
      </c>
      <c r="G227" s="17"/>
    </row>
    <row r="228" spans="1:7" x14ac:dyDescent="0.35">
      <c r="A228" s="13" t="s">
        <v>1962</v>
      </c>
      <c r="B228" s="41" t="s">
        <v>1963</v>
      </c>
      <c r="C228" s="41" t="s">
        <v>1412</v>
      </c>
      <c r="D228" s="15">
        <v>11777</v>
      </c>
      <c r="E228" s="16">
        <v>30.32</v>
      </c>
      <c r="F228" s="17">
        <v>1.6000000000000001E-3</v>
      </c>
      <c r="G228" s="17"/>
    </row>
    <row r="229" spans="1:7" x14ac:dyDescent="0.35">
      <c r="A229" s="13" t="s">
        <v>2794</v>
      </c>
      <c r="B229" s="41" t="s">
        <v>2795</v>
      </c>
      <c r="C229" s="41" t="s">
        <v>1198</v>
      </c>
      <c r="D229" s="15">
        <v>8484</v>
      </c>
      <c r="E229" s="16">
        <v>29.98</v>
      </c>
      <c r="F229" s="17">
        <v>1.6000000000000001E-3</v>
      </c>
      <c r="G229" s="17"/>
    </row>
    <row r="230" spans="1:7" x14ac:dyDescent="0.35">
      <c r="A230" s="13" t="s">
        <v>2796</v>
      </c>
      <c r="B230" s="41" t="s">
        <v>2797</v>
      </c>
      <c r="C230" s="41" t="s">
        <v>1224</v>
      </c>
      <c r="D230" s="15">
        <v>6501</v>
      </c>
      <c r="E230" s="16">
        <v>29.76</v>
      </c>
      <c r="F230" s="17">
        <v>1.6000000000000001E-3</v>
      </c>
      <c r="G230" s="17"/>
    </row>
    <row r="231" spans="1:7" x14ac:dyDescent="0.35">
      <c r="A231" s="13" t="s">
        <v>2798</v>
      </c>
      <c r="B231" s="41" t="s">
        <v>2799</v>
      </c>
      <c r="C231" s="41" t="s">
        <v>1387</v>
      </c>
      <c r="D231" s="15">
        <v>13005</v>
      </c>
      <c r="E231" s="16">
        <v>29.71</v>
      </c>
      <c r="F231" s="17">
        <v>1.6000000000000001E-3</v>
      </c>
      <c r="G231" s="17"/>
    </row>
    <row r="232" spans="1:7" x14ac:dyDescent="0.35">
      <c r="A232" s="13" t="s">
        <v>2800</v>
      </c>
      <c r="B232" s="41" t="s">
        <v>2801</v>
      </c>
      <c r="C232" s="41" t="s">
        <v>1191</v>
      </c>
      <c r="D232" s="15">
        <v>1682</v>
      </c>
      <c r="E232" s="16">
        <v>28.92</v>
      </c>
      <c r="F232" s="17">
        <v>1.6000000000000001E-3</v>
      </c>
      <c r="G232" s="17"/>
    </row>
    <row r="233" spans="1:7" x14ac:dyDescent="0.35">
      <c r="A233" s="13" t="s">
        <v>2152</v>
      </c>
      <c r="B233" s="41" t="s">
        <v>2153</v>
      </c>
      <c r="C233" s="41" t="s">
        <v>1266</v>
      </c>
      <c r="D233" s="15">
        <v>5926</v>
      </c>
      <c r="E233" s="16">
        <v>28.76</v>
      </c>
      <c r="F233" s="17">
        <v>1.6000000000000001E-3</v>
      </c>
      <c r="G233" s="17"/>
    </row>
    <row r="234" spans="1:7" x14ac:dyDescent="0.35">
      <c r="A234" s="13" t="s">
        <v>2802</v>
      </c>
      <c r="B234" s="41" t="s">
        <v>2803</v>
      </c>
      <c r="C234" s="41" t="s">
        <v>1369</v>
      </c>
      <c r="D234" s="15">
        <v>6997</v>
      </c>
      <c r="E234" s="16">
        <v>28.48</v>
      </c>
      <c r="F234" s="17">
        <v>1.5E-3</v>
      </c>
      <c r="G234" s="17"/>
    </row>
    <row r="235" spans="1:7" x14ac:dyDescent="0.35">
      <c r="A235" s="13" t="s">
        <v>2130</v>
      </c>
      <c r="B235" s="41" t="s">
        <v>2131</v>
      </c>
      <c r="C235" s="41" t="s">
        <v>1201</v>
      </c>
      <c r="D235" s="15">
        <v>560</v>
      </c>
      <c r="E235" s="16">
        <v>28</v>
      </c>
      <c r="F235" s="17">
        <v>1.5E-3</v>
      </c>
      <c r="G235" s="17"/>
    </row>
    <row r="236" spans="1:7" x14ac:dyDescent="0.35">
      <c r="A236" s="13" t="s">
        <v>2804</v>
      </c>
      <c r="B236" s="41" t="s">
        <v>2805</v>
      </c>
      <c r="C236" s="41" t="s">
        <v>1966</v>
      </c>
      <c r="D236" s="15">
        <v>9333</v>
      </c>
      <c r="E236" s="16">
        <v>26.97</v>
      </c>
      <c r="F236" s="17">
        <v>1.5E-3</v>
      </c>
      <c r="G236" s="17"/>
    </row>
    <row r="237" spans="1:7" x14ac:dyDescent="0.35">
      <c r="A237" s="13" t="s">
        <v>1964</v>
      </c>
      <c r="B237" s="41" t="s">
        <v>1965</v>
      </c>
      <c r="C237" s="41" t="s">
        <v>1966</v>
      </c>
      <c r="D237" s="15">
        <v>7908</v>
      </c>
      <c r="E237" s="16">
        <v>26.95</v>
      </c>
      <c r="F237" s="17">
        <v>1.5E-3</v>
      </c>
      <c r="G237" s="17"/>
    </row>
    <row r="238" spans="1:7" x14ac:dyDescent="0.35">
      <c r="A238" s="13" t="s">
        <v>2134</v>
      </c>
      <c r="B238" s="41" t="s">
        <v>2135</v>
      </c>
      <c r="C238" s="41" t="s">
        <v>1288</v>
      </c>
      <c r="D238" s="15">
        <v>5886</v>
      </c>
      <c r="E238" s="16">
        <v>26.2</v>
      </c>
      <c r="F238" s="17">
        <v>1.4E-3</v>
      </c>
      <c r="G238" s="17"/>
    </row>
    <row r="239" spans="1:7" x14ac:dyDescent="0.35">
      <c r="A239" s="13" t="s">
        <v>2806</v>
      </c>
      <c r="B239" s="41" t="s">
        <v>2807</v>
      </c>
      <c r="C239" s="41" t="s">
        <v>1412</v>
      </c>
      <c r="D239" s="15">
        <v>23762</v>
      </c>
      <c r="E239" s="16">
        <v>25.34</v>
      </c>
      <c r="F239" s="17">
        <v>1.4E-3</v>
      </c>
      <c r="G239" s="17"/>
    </row>
    <row r="240" spans="1:7" x14ac:dyDescent="0.35">
      <c r="A240" s="13" t="s">
        <v>2808</v>
      </c>
      <c r="B240" s="41" t="s">
        <v>2809</v>
      </c>
      <c r="C240" s="41" t="s">
        <v>1191</v>
      </c>
      <c r="D240" s="15">
        <v>4674</v>
      </c>
      <c r="E240" s="16">
        <v>24.94</v>
      </c>
      <c r="F240" s="17">
        <v>1.4E-3</v>
      </c>
      <c r="G240" s="17"/>
    </row>
    <row r="241" spans="1:7" x14ac:dyDescent="0.35">
      <c r="A241" s="13" t="s">
        <v>2810</v>
      </c>
      <c r="B241" s="41" t="s">
        <v>2811</v>
      </c>
      <c r="C241" s="41" t="s">
        <v>1333</v>
      </c>
      <c r="D241" s="15">
        <v>10401</v>
      </c>
      <c r="E241" s="16">
        <v>24.56</v>
      </c>
      <c r="F241" s="17">
        <v>1.2999999999999999E-3</v>
      </c>
      <c r="G241" s="17"/>
    </row>
    <row r="242" spans="1:7" x14ac:dyDescent="0.35">
      <c r="A242" s="13" t="s">
        <v>2812</v>
      </c>
      <c r="B242" s="41" t="s">
        <v>2813</v>
      </c>
      <c r="C242" s="41" t="s">
        <v>2621</v>
      </c>
      <c r="D242" s="15">
        <v>7270</v>
      </c>
      <c r="E242" s="16">
        <v>24.51</v>
      </c>
      <c r="F242" s="17">
        <v>1.2999999999999999E-3</v>
      </c>
      <c r="G242" s="17"/>
    </row>
    <row r="243" spans="1:7" x14ac:dyDescent="0.35">
      <c r="A243" s="13" t="s">
        <v>2814</v>
      </c>
      <c r="B243" s="41" t="s">
        <v>2815</v>
      </c>
      <c r="C243" s="41" t="s">
        <v>1288</v>
      </c>
      <c r="D243" s="15">
        <v>2185</v>
      </c>
      <c r="E243" s="16">
        <v>24.38</v>
      </c>
      <c r="F243" s="17">
        <v>1.2999999999999999E-3</v>
      </c>
      <c r="G243" s="17"/>
    </row>
    <row r="244" spans="1:7" x14ac:dyDescent="0.35">
      <c r="A244" s="13" t="s">
        <v>1834</v>
      </c>
      <c r="B244" s="41" t="s">
        <v>1835</v>
      </c>
      <c r="C244" s="41" t="s">
        <v>1224</v>
      </c>
      <c r="D244" s="15">
        <v>20596</v>
      </c>
      <c r="E244" s="16">
        <v>23.52</v>
      </c>
      <c r="F244" s="17">
        <v>1.2999999999999999E-3</v>
      </c>
      <c r="G244" s="17"/>
    </row>
    <row r="245" spans="1:7" x14ac:dyDescent="0.35">
      <c r="A245" s="13" t="s">
        <v>2816</v>
      </c>
      <c r="B245" s="41" t="s">
        <v>2817</v>
      </c>
      <c r="C245" s="41" t="s">
        <v>1198</v>
      </c>
      <c r="D245" s="15">
        <v>48794</v>
      </c>
      <c r="E245" s="16">
        <v>22.28</v>
      </c>
      <c r="F245" s="17">
        <v>1.1999999999999999E-3</v>
      </c>
      <c r="G245" s="17"/>
    </row>
    <row r="246" spans="1:7" x14ac:dyDescent="0.35">
      <c r="A246" s="13" t="s">
        <v>2818</v>
      </c>
      <c r="B246" s="41" t="s">
        <v>2819</v>
      </c>
      <c r="C246" s="41" t="s">
        <v>1369</v>
      </c>
      <c r="D246" s="15">
        <v>1681</v>
      </c>
      <c r="E246" s="16">
        <v>22.2</v>
      </c>
      <c r="F246" s="17">
        <v>1.1999999999999999E-3</v>
      </c>
      <c r="G246" s="17"/>
    </row>
    <row r="247" spans="1:7" x14ac:dyDescent="0.35">
      <c r="A247" s="13" t="s">
        <v>2820</v>
      </c>
      <c r="B247" s="41" t="s">
        <v>2821</v>
      </c>
      <c r="C247" s="41" t="s">
        <v>1305</v>
      </c>
      <c r="D247" s="15">
        <v>9783</v>
      </c>
      <c r="E247" s="16">
        <v>22.09</v>
      </c>
      <c r="F247" s="17">
        <v>1.1999999999999999E-3</v>
      </c>
      <c r="G247" s="17"/>
    </row>
    <row r="248" spans="1:7" x14ac:dyDescent="0.35">
      <c r="A248" s="13" t="s">
        <v>2822</v>
      </c>
      <c r="B248" s="41" t="s">
        <v>2823</v>
      </c>
      <c r="C248" s="41" t="s">
        <v>1382</v>
      </c>
      <c r="D248" s="15">
        <v>3914</v>
      </c>
      <c r="E248" s="16">
        <v>22.08</v>
      </c>
      <c r="F248" s="17">
        <v>1.1999999999999999E-3</v>
      </c>
      <c r="G248" s="17"/>
    </row>
    <row r="249" spans="1:7" x14ac:dyDescent="0.35">
      <c r="A249" s="13" t="s">
        <v>2824</v>
      </c>
      <c r="B249" s="41" t="s">
        <v>2825</v>
      </c>
      <c r="C249" s="41" t="s">
        <v>1221</v>
      </c>
      <c r="D249" s="15">
        <v>1345</v>
      </c>
      <c r="E249" s="16">
        <v>21.12</v>
      </c>
      <c r="F249" s="17">
        <v>1.1000000000000001E-3</v>
      </c>
      <c r="G249" s="17"/>
    </row>
    <row r="250" spans="1:7" x14ac:dyDescent="0.35">
      <c r="A250" s="13" t="s">
        <v>2826</v>
      </c>
      <c r="B250" s="41" t="s">
        <v>2827</v>
      </c>
      <c r="C250" s="41" t="s">
        <v>1201</v>
      </c>
      <c r="D250" s="15">
        <v>8287</v>
      </c>
      <c r="E250" s="16">
        <v>20.98</v>
      </c>
      <c r="F250" s="17">
        <v>1.1000000000000001E-3</v>
      </c>
      <c r="G250" s="17"/>
    </row>
    <row r="251" spans="1:7" x14ac:dyDescent="0.35">
      <c r="A251" s="13" t="s">
        <v>2828</v>
      </c>
      <c r="B251" s="41" t="s">
        <v>2829</v>
      </c>
      <c r="C251" s="41" t="s">
        <v>1288</v>
      </c>
      <c r="D251" s="15">
        <v>3932</v>
      </c>
      <c r="E251" s="16">
        <v>20.45</v>
      </c>
      <c r="F251" s="17">
        <v>1.1000000000000001E-3</v>
      </c>
      <c r="G251" s="17"/>
    </row>
    <row r="252" spans="1:7" x14ac:dyDescent="0.35">
      <c r="A252" s="13" t="s">
        <v>2830</v>
      </c>
      <c r="B252" s="41" t="s">
        <v>2831</v>
      </c>
      <c r="C252" s="41" t="s">
        <v>1412</v>
      </c>
      <c r="D252" s="15">
        <v>2505</v>
      </c>
      <c r="E252" s="16">
        <v>18.690000000000001</v>
      </c>
      <c r="F252" s="17">
        <v>1E-3</v>
      </c>
      <c r="G252" s="17"/>
    </row>
    <row r="253" spans="1:7" x14ac:dyDescent="0.35">
      <c r="A253" s="13" t="s">
        <v>2832</v>
      </c>
      <c r="B253" s="41" t="s">
        <v>2833</v>
      </c>
      <c r="C253" s="41" t="s">
        <v>1350</v>
      </c>
      <c r="D253" s="15">
        <v>13405</v>
      </c>
      <c r="E253" s="16">
        <v>18.399999999999999</v>
      </c>
      <c r="F253" s="17">
        <v>1E-3</v>
      </c>
      <c r="G253" s="17"/>
    </row>
    <row r="254" spans="1:7" x14ac:dyDescent="0.35">
      <c r="A254" s="13" t="s">
        <v>2834</v>
      </c>
      <c r="B254" s="41" t="s">
        <v>2835</v>
      </c>
      <c r="C254" s="41" t="s">
        <v>1855</v>
      </c>
      <c r="D254" s="15">
        <v>120525</v>
      </c>
      <c r="E254" s="16">
        <v>18.2</v>
      </c>
      <c r="F254" s="17">
        <v>1E-3</v>
      </c>
      <c r="G254" s="17"/>
    </row>
    <row r="255" spans="1:7" x14ac:dyDescent="0.35">
      <c r="A255" s="13" t="s">
        <v>2836</v>
      </c>
      <c r="B255" s="41" t="s">
        <v>2837</v>
      </c>
      <c r="C255" s="41" t="s">
        <v>1234</v>
      </c>
      <c r="D255" s="15">
        <v>3409</v>
      </c>
      <c r="E255" s="16">
        <v>14.24</v>
      </c>
      <c r="F255" s="17">
        <v>8.0000000000000004E-4</v>
      </c>
      <c r="G255" s="17"/>
    </row>
    <row r="256" spans="1:7" x14ac:dyDescent="0.35">
      <c r="A256" s="13" t="s">
        <v>2838</v>
      </c>
      <c r="B256" s="41" t="s">
        <v>2839</v>
      </c>
      <c r="C256" s="41" t="s">
        <v>1234</v>
      </c>
      <c r="D256" s="15">
        <v>2664</v>
      </c>
      <c r="E256" s="16">
        <v>11.71</v>
      </c>
      <c r="F256" s="17">
        <v>5.9999999999999995E-4</v>
      </c>
      <c r="G256" s="17"/>
    </row>
    <row r="257" spans="1:7" x14ac:dyDescent="0.35">
      <c r="A257" s="13" t="s">
        <v>2840</v>
      </c>
      <c r="B257" s="41" t="s">
        <v>2841</v>
      </c>
      <c r="C257" s="41" t="s">
        <v>1838</v>
      </c>
      <c r="D257" s="15">
        <v>14691</v>
      </c>
      <c r="E257" s="16">
        <v>9.56</v>
      </c>
      <c r="F257" s="17">
        <v>5.0000000000000001E-4</v>
      </c>
      <c r="G257" s="17"/>
    </row>
    <row r="258" spans="1:7" x14ac:dyDescent="0.35">
      <c r="A258" s="14" t="s">
        <v>149</v>
      </c>
      <c r="B258" s="42"/>
      <c r="C258" s="42"/>
      <c r="D258" s="18"/>
      <c r="E258" s="19">
        <v>18424.650000000001</v>
      </c>
      <c r="F258" s="20">
        <v>1</v>
      </c>
      <c r="G258" s="21"/>
    </row>
    <row r="259" spans="1:7" x14ac:dyDescent="0.35">
      <c r="A259" s="14" t="s">
        <v>1914</v>
      </c>
      <c r="B259" s="41"/>
      <c r="C259" s="41"/>
      <c r="D259" s="15"/>
      <c r="E259" s="16"/>
      <c r="F259" s="17"/>
      <c r="G259" s="17"/>
    </row>
    <row r="260" spans="1:7" x14ac:dyDescent="0.35">
      <c r="A260" s="14" t="s">
        <v>149</v>
      </c>
      <c r="B260" s="41"/>
      <c r="C260" s="41"/>
      <c r="D260" s="15"/>
      <c r="E260" s="34" t="s">
        <v>146</v>
      </c>
      <c r="F260" s="35" t="s">
        <v>146</v>
      </c>
      <c r="G260" s="17"/>
    </row>
    <row r="261" spans="1:7" x14ac:dyDescent="0.35">
      <c r="A261" s="22" t="s">
        <v>160</v>
      </c>
      <c r="B261" s="43"/>
      <c r="C261" s="43"/>
      <c r="D261" s="23"/>
      <c r="E261" s="24">
        <v>18424.650000000001</v>
      </c>
      <c r="F261" s="25">
        <v>1</v>
      </c>
      <c r="G261" s="21"/>
    </row>
    <row r="262" spans="1:7" x14ac:dyDescent="0.35">
      <c r="A262" s="13"/>
      <c r="B262" s="41"/>
      <c r="C262" s="41"/>
      <c r="D262" s="15"/>
      <c r="E262" s="16"/>
      <c r="F262" s="17"/>
      <c r="G262" s="17"/>
    </row>
    <row r="263" spans="1:7" x14ac:dyDescent="0.35">
      <c r="A263" s="13"/>
      <c r="B263" s="41"/>
      <c r="C263" s="41"/>
      <c r="D263" s="15"/>
      <c r="E263" s="16"/>
      <c r="F263" s="17"/>
      <c r="G263" s="17"/>
    </row>
    <row r="264" spans="1:7" x14ac:dyDescent="0.35">
      <c r="A264" s="14" t="s">
        <v>255</v>
      </c>
      <c r="B264" s="41"/>
      <c r="C264" s="41"/>
      <c r="D264" s="15"/>
      <c r="E264" s="16"/>
      <c r="F264" s="17"/>
      <c r="G264" s="17"/>
    </row>
    <row r="265" spans="1:7" x14ac:dyDescent="0.35">
      <c r="A265" s="13" t="s">
        <v>257</v>
      </c>
      <c r="B265" s="41"/>
      <c r="C265" s="41"/>
      <c r="D265" s="15"/>
      <c r="E265" s="16">
        <v>42.98</v>
      </c>
      <c r="F265" s="17">
        <v>2.3E-3</v>
      </c>
      <c r="G265" s="17">
        <v>5.1742000000000003E-2</v>
      </c>
    </row>
    <row r="266" spans="1:7" x14ac:dyDescent="0.35">
      <c r="A266" s="14" t="s">
        <v>149</v>
      </c>
      <c r="B266" s="42"/>
      <c r="C266" s="42"/>
      <c r="D266" s="18"/>
      <c r="E266" s="19">
        <v>42.98</v>
      </c>
      <c r="F266" s="20">
        <v>2.3E-3</v>
      </c>
      <c r="G266" s="21"/>
    </row>
    <row r="267" spans="1:7" x14ac:dyDescent="0.35">
      <c r="A267" s="13"/>
      <c r="B267" s="41"/>
      <c r="C267" s="41"/>
      <c r="D267" s="15"/>
      <c r="E267" s="16"/>
      <c r="F267" s="17"/>
      <c r="G267" s="17"/>
    </row>
    <row r="268" spans="1:7" x14ac:dyDescent="0.35">
      <c r="A268" s="22" t="s">
        <v>160</v>
      </c>
      <c r="B268" s="43"/>
      <c r="C268" s="43"/>
      <c r="D268" s="23"/>
      <c r="E268" s="36">
        <v>42.98</v>
      </c>
      <c r="F268" s="37">
        <v>2.3E-3</v>
      </c>
      <c r="G268" s="21"/>
    </row>
    <row r="269" spans="1:7" x14ac:dyDescent="0.35">
      <c r="A269" s="13" t="s">
        <v>258</v>
      </c>
      <c r="B269" s="41"/>
      <c r="C269" s="41"/>
      <c r="D269" s="15"/>
      <c r="E269" s="16">
        <v>1.21861E-2</v>
      </c>
      <c r="F269" s="17">
        <v>0</v>
      </c>
      <c r="G269" s="17"/>
    </row>
    <row r="270" spans="1:7" x14ac:dyDescent="0.35">
      <c r="A270" s="13" t="s">
        <v>259</v>
      </c>
      <c r="B270" s="41"/>
      <c r="C270" s="41"/>
      <c r="D270" s="15"/>
      <c r="E270" s="28">
        <v>-31.002186099999999</v>
      </c>
      <c r="F270" s="29">
        <v>-2.3E-3</v>
      </c>
      <c r="G270" s="17">
        <v>5.1741000000000002E-2</v>
      </c>
    </row>
    <row r="271" spans="1:7" x14ac:dyDescent="0.35">
      <c r="A271" s="38" t="s">
        <v>260</v>
      </c>
      <c r="B271" s="44"/>
      <c r="C271" s="44"/>
      <c r="D271" s="39"/>
      <c r="E271" s="24">
        <v>18436.64</v>
      </c>
      <c r="F271" s="25">
        <v>1</v>
      </c>
      <c r="G271" s="25"/>
    </row>
    <row r="276" spans="1:3" x14ac:dyDescent="0.35">
      <c r="A276" s="1" t="s">
        <v>263</v>
      </c>
    </row>
    <row r="277" spans="1:3" x14ac:dyDescent="0.35">
      <c r="A277" s="47" t="s">
        <v>264</v>
      </c>
      <c r="B277" s="3" t="s">
        <v>146</v>
      </c>
    </row>
    <row r="278" spans="1:3" x14ac:dyDescent="0.35">
      <c r="A278" t="s">
        <v>265</v>
      </c>
    </row>
    <row r="279" spans="1:3" x14ac:dyDescent="0.35">
      <c r="A279" t="s">
        <v>266</v>
      </c>
      <c r="B279" t="s">
        <v>267</v>
      </c>
      <c r="C279" t="s">
        <v>267</v>
      </c>
    </row>
    <row r="280" spans="1:3" x14ac:dyDescent="0.35">
      <c r="B280" s="49">
        <v>46022</v>
      </c>
      <c r="C280" s="49">
        <v>46052</v>
      </c>
    </row>
    <row r="281" spans="1:3" x14ac:dyDescent="0.35">
      <c r="A281" t="s">
        <v>752</v>
      </c>
      <c r="B281">
        <v>17.347100000000001</v>
      </c>
      <c r="C281">
        <v>16.391100000000002</v>
      </c>
    </row>
    <row r="282" spans="1:3" x14ac:dyDescent="0.35">
      <c r="A282" t="s">
        <v>273</v>
      </c>
      <c r="B282">
        <v>17.3476</v>
      </c>
      <c r="C282">
        <v>16.3916</v>
      </c>
    </row>
    <row r="283" spans="1:3" x14ac:dyDescent="0.35">
      <c r="A283" t="s">
        <v>753</v>
      </c>
      <c r="B283">
        <v>16.985600000000002</v>
      </c>
      <c r="C283">
        <v>16.0411</v>
      </c>
    </row>
    <row r="284" spans="1:3" x14ac:dyDescent="0.35">
      <c r="A284" t="s">
        <v>709</v>
      </c>
      <c r="B284">
        <v>16.985499999999998</v>
      </c>
      <c r="C284">
        <v>16.041</v>
      </c>
    </row>
    <row r="286" spans="1:3" x14ac:dyDescent="0.35">
      <c r="A286" t="s">
        <v>283</v>
      </c>
      <c r="B286" s="3" t="s">
        <v>146</v>
      </c>
    </row>
    <row r="287" spans="1:3" x14ac:dyDescent="0.35">
      <c r="A287" t="s">
        <v>284</v>
      </c>
      <c r="B287" s="3" t="s">
        <v>146</v>
      </c>
    </row>
    <row r="288" spans="1:3" ht="29" customHeight="1" x14ac:dyDescent="0.35">
      <c r="A288" s="47" t="s">
        <v>285</v>
      </c>
      <c r="B288" s="3" t="s">
        <v>146</v>
      </c>
    </row>
    <row r="289" spans="1:4" ht="29" customHeight="1" x14ac:dyDescent="0.35">
      <c r="A289" s="47" t="s">
        <v>286</v>
      </c>
      <c r="B289" s="3" t="s">
        <v>146</v>
      </c>
    </row>
    <row r="290" spans="1:4" x14ac:dyDescent="0.35">
      <c r="A290" t="s">
        <v>1253</v>
      </c>
      <c r="B290" s="48">
        <v>0.34010000000000001</v>
      </c>
    </row>
    <row r="291" spans="1:4" ht="43.5" customHeight="1" x14ac:dyDescent="0.35">
      <c r="A291" s="47" t="s">
        <v>288</v>
      </c>
      <c r="B291" s="3" t="s">
        <v>146</v>
      </c>
    </row>
    <row r="292" spans="1:4" x14ac:dyDescent="0.35">
      <c r="B292" s="3"/>
    </row>
    <row r="293" spans="1:4" ht="29" customHeight="1" x14ac:dyDescent="0.35">
      <c r="A293" s="47" t="s">
        <v>289</v>
      </c>
      <c r="B293" s="3" t="s">
        <v>146</v>
      </c>
    </row>
    <row r="294" spans="1:4" ht="29" customHeight="1" x14ac:dyDescent="0.35">
      <c r="A294" s="47" t="s">
        <v>290</v>
      </c>
      <c r="B294" t="s">
        <v>146</v>
      </c>
    </row>
    <row r="295" spans="1:4" ht="29" customHeight="1" x14ac:dyDescent="0.35">
      <c r="A295" s="47" t="s">
        <v>291</v>
      </c>
      <c r="B295" s="3" t="s">
        <v>146</v>
      </c>
    </row>
    <row r="296" spans="1:4" ht="29" customHeight="1" x14ac:dyDescent="0.35">
      <c r="A296" s="47" t="s">
        <v>292</v>
      </c>
      <c r="B296" s="3" t="s">
        <v>146</v>
      </c>
    </row>
    <row r="298" spans="1:4" ht="70" customHeight="1" x14ac:dyDescent="0.35">
      <c r="A298" s="70" t="s">
        <v>303</v>
      </c>
      <c r="B298" s="70" t="s">
        <v>304</v>
      </c>
      <c r="C298" s="70" t="s">
        <v>4</v>
      </c>
      <c r="D298" s="70" t="s">
        <v>5</v>
      </c>
    </row>
    <row r="299" spans="1:4" ht="70" customHeight="1" x14ac:dyDescent="0.35">
      <c r="A299" s="70" t="s">
        <v>2842</v>
      </c>
      <c r="B299" s="70"/>
      <c r="C299" s="70" t="s">
        <v>71</v>
      </c>
      <c r="D29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76"/>
  <sheetViews>
    <sheetView showGridLines="0" workbookViewId="0">
      <pane ySplit="4" topLeftCell="A24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2843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2844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1179</v>
      </c>
      <c r="B8" s="41" t="s">
        <v>1180</v>
      </c>
      <c r="C8" s="41" t="s">
        <v>1178</v>
      </c>
      <c r="D8" s="15">
        <v>24142</v>
      </c>
      <c r="E8" s="16">
        <v>224.36</v>
      </c>
      <c r="F8" s="17">
        <v>0.1452</v>
      </c>
      <c r="G8" s="17"/>
    </row>
    <row r="9" spans="1:7" x14ac:dyDescent="0.35">
      <c r="A9" s="13" t="s">
        <v>1181</v>
      </c>
      <c r="B9" s="41" t="s">
        <v>1182</v>
      </c>
      <c r="C9" s="41" t="s">
        <v>1178</v>
      </c>
      <c r="D9" s="15">
        <v>11333</v>
      </c>
      <c r="E9" s="16">
        <v>153.57</v>
      </c>
      <c r="F9" s="17">
        <v>9.9400000000000002E-2</v>
      </c>
      <c r="G9" s="17"/>
    </row>
    <row r="10" spans="1:7" x14ac:dyDescent="0.35">
      <c r="A10" s="13" t="s">
        <v>1204</v>
      </c>
      <c r="B10" s="41" t="s">
        <v>1205</v>
      </c>
      <c r="C10" s="41" t="s">
        <v>1206</v>
      </c>
      <c r="D10" s="15">
        <v>10731</v>
      </c>
      <c r="E10" s="16">
        <v>149.79</v>
      </c>
      <c r="F10" s="17">
        <v>9.7000000000000003E-2</v>
      </c>
      <c r="G10" s="17"/>
    </row>
    <row r="11" spans="1:7" x14ac:dyDescent="0.35">
      <c r="A11" s="13" t="s">
        <v>1367</v>
      </c>
      <c r="B11" s="41" t="s">
        <v>1368</v>
      </c>
      <c r="C11" s="41" t="s">
        <v>1369</v>
      </c>
      <c r="D11" s="15">
        <v>5666</v>
      </c>
      <c r="E11" s="16">
        <v>92.95</v>
      </c>
      <c r="F11" s="17">
        <v>6.0199999999999997E-2</v>
      </c>
      <c r="G11" s="17"/>
    </row>
    <row r="12" spans="1:7" x14ac:dyDescent="0.35">
      <c r="A12" s="13" t="s">
        <v>1196</v>
      </c>
      <c r="B12" s="41" t="s">
        <v>1197</v>
      </c>
      <c r="C12" s="41" t="s">
        <v>1198</v>
      </c>
      <c r="D12" s="15">
        <v>4431</v>
      </c>
      <c r="E12" s="16">
        <v>87.21</v>
      </c>
      <c r="F12" s="17">
        <v>5.6399999999999999E-2</v>
      </c>
      <c r="G12" s="17"/>
    </row>
    <row r="13" spans="1:7" x14ac:dyDescent="0.35">
      <c r="A13" s="13" t="s">
        <v>1385</v>
      </c>
      <c r="B13" s="41" t="s">
        <v>1386</v>
      </c>
      <c r="C13" s="41" t="s">
        <v>1387</v>
      </c>
      <c r="D13" s="15">
        <v>1854</v>
      </c>
      <c r="E13" s="16">
        <v>72.930000000000007</v>
      </c>
      <c r="F13" s="17">
        <v>4.7199999999999999E-2</v>
      </c>
      <c r="G13" s="17"/>
    </row>
    <row r="14" spans="1:7" x14ac:dyDescent="0.35">
      <c r="A14" s="13" t="s">
        <v>1176</v>
      </c>
      <c r="B14" s="41" t="s">
        <v>1177</v>
      </c>
      <c r="C14" s="41" t="s">
        <v>1178</v>
      </c>
      <c r="D14" s="15">
        <v>6587</v>
      </c>
      <c r="E14" s="16">
        <v>70.98</v>
      </c>
      <c r="F14" s="17">
        <v>4.5900000000000003E-2</v>
      </c>
      <c r="G14" s="17"/>
    </row>
    <row r="15" spans="1:7" x14ac:dyDescent="0.35">
      <c r="A15" s="13" t="s">
        <v>1262</v>
      </c>
      <c r="B15" s="41" t="s">
        <v>1263</v>
      </c>
      <c r="C15" s="41" t="s">
        <v>1178</v>
      </c>
      <c r="D15" s="15">
        <v>4528</v>
      </c>
      <c r="E15" s="16">
        <v>62.04</v>
      </c>
      <c r="F15" s="17">
        <v>4.02E-2</v>
      </c>
      <c r="G15" s="17"/>
    </row>
    <row r="16" spans="1:7" x14ac:dyDescent="0.35">
      <c r="A16" s="13" t="s">
        <v>1478</v>
      </c>
      <c r="B16" s="41" t="s">
        <v>1479</v>
      </c>
      <c r="C16" s="41" t="s">
        <v>1369</v>
      </c>
      <c r="D16" s="15">
        <v>1607</v>
      </c>
      <c r="E16" s="16">
        <v>50.22</v>
      </c>
      <c r="F16" s="17">
        <v>3.2500000000000001E-2</v>
      </c>
      <c r="G16" s="17"/>
    </row>
    <row r="17" spans="1:7" x14ac:dyDescent="0.35">
      <c r="A17" s="13" t="s">
        <v>1273</v>
      </c>
      <c r="B17" s="41" t="s">
        <v>1274</v>
      </c>
      <c r="C17" s="41" t="s">
        <v>1275</v>
      </c>
      <c r="D17" s="15">
        <v>15298</v>
      </c>
      <c r="E17" s="16">
        <v>49.29</v>
      </c>
      <c r="F17" s="17">
        <v>3.1899999999999998E-2</v>
      </c>
      <c r="G17" s="17"/>
    </row>
    <row r="18" spans="1:7" x14ac:dyDescent="0.35">
      <c r="A18" s="13" t="s">
        <v>1295</v>
      </c>
      <c r="B18" s="41" t="s">
        <v>1296</v>
      </c>
      <c r="C18" s="41" t="s">
        <v>1188</v>
      </c>
      <c r="D18" s="15">
        <v>1420</v>
      </c>
      <c r="E18" s="16">
        <v>48.74</v>
      </c>
      <c r="F18" s="17">
        <v>3.15E-2</v>
      </c>
      <c r="G18" s="17"/>
    </row>
    <row r="19" spans="1:7" x14ac:dyDescent="0.35">
      <c r="A19" s="13" t="s">
        <v>1235</v>
      </c>
      <c r="B19" s="41" t="s">
        <v>1236</v>
      </c>
      <c r="C19" s="41" t="s">
        <v>1178</v>
      </c>
      <c r="D19" s="15">
        <v>11669</v>
      </c>
      <c r="E19" s="16">
        <v>47.61</v>
      </c>
      <c r="F19" s="17">
        <v>3.0800000000000001E-2</v>
      </c>
      <c r="G19" s="17"/>
    </row>
    <row r="20" spans="1:7" x14ac:dyDescent="0.35">
      <c r="A20" s="13" t="s">
        <v>1209</v>
      </c>
      <c r="B20" s="41" t="s">
        <v>1210</v>
      </c>
      <c r="C20" s="41" t="s">
        <v>1211</v>
      </c>
      <c r="D20" s="15">
        <v>4145</v>
      </c>
      <c r="E20" s="16">
        <v>38.57</v>
      </c>
      <c r="F20" s="17">
        <v>2.5000000000000001E-2</v>
      </c>
      <c r="G20" s="17"/>
    </row>
    <row r="21" spans="1:7" x14ac:dyDescent="0.35">
      <c r="A21" s="13" t="s">
        <v>1488</v>
      </c>
      <c r="B21" s="41" t="s">
        <v>1489</v>
      </c>
      <c r="C21" s="41" t="s">
        <v>1275</v>
      </c>
      <c r="D21" s="15">
        <v>1416</v>
      </c>
      <c r="E21" s="16">
        <v>33.61</v>
      </c>
      <c r="F21" s="17">
        <v>2.18E-2</v>
      </c>
      <c r="G21" s="17"/>
    </row>
    <row r="22" spans="1:7" x14ac:dyDescent="0.35">
      <c r="A22" s="13" t="s">
        <v>1186</v>
      </c>
      <c r="B22" s="41" t="s">
        <v>1187</v>
      </c>
      <c r="C22" s="41" t="s">
        <v>1188</v>
      </c>
      <c r="D22" s="15">
        <v>209</v>
      </c>
      <c r="E22" s="16">
        <v>30.52</v>
      </c>
      <c r="F22" s="17">
        <v>1.9800000000000002E-2</v>
      </c>
      <c r="G22" s="17"/>
    </row>
    <row r="23" spans="1:7" x14ac:dyDescent="0.35">
      <c r="A23" s="13" t="s">
        <v>1264</v>
      </c>
      <c r="B23" s="41" t="s">
        <v>1265</v>
      </c>
      <c r="C23" s="41" t="s">
        <v>1266</v>
      </c>
      <c r="D23" s="15">
        <v>11019</v>
      </c>
      <c r="E23" s="16">
        <v>30.16</v>
      </c>
      <c r="F23" s="17">
        <v>1.95E-2</v>
      </c>
      <c r="G23" s="17"/>
    </row>
    <row r="24" spans="1:7" x14ac:dyDescent="0.35">
      <c r="A24" s="13" t="s">
        <v>1502</v>
      </c>
      <c r="B24" s="41" t="s">
        <v>1503</v>
      </c>
      <c r="C24" s="41" t="s">
        <v>1369</v>
      </c>
      <c r="D24" s="15">
        <v>1678</v>
      </c>
      <c r="E24" s="16">
        <v>28.43</v>
      </c>
      <c r="F24" s="17">
        <v>1.84E-2</v>
      </c>
      <c r="G24" s="17"/>
    </row>
    <row r="25" spans="1:7" x14ac:dyDescent="0.35">
      <c r="A25" s="13" t="s">
        <v>1351</v>
      </c>
      <c r="B25" s="41" t="s">
        <v>1352</v>
      </c>
      <c r="C25" s="41" t="s">
        <v>1305</v>
      </c>
      <c r="D25" s="15">
        <v>7535</v>
      </c>
      <c r="E25" s="16">
        <v>26.81</v>
      </c>
      <c r="F25" s="17">
        <v>1.7399999999999999E-2</v>
      </c>
      <c r="G25" s="17"/>
    </row>
    <row r="26" spans="1:7" x14ac:dyDescent="0.35">
      <c r="A26" s="13" t="s">
        <v>1237</v>
      </c>
      <c r="B26" s="41" t="s">
        <v>1238</v>
      </c>
      <c r="C26" s="41" t="s">
        <v>1234</v>
      </c>
      <c r="D26" s="15">
        <v>1674</v>
      </c>
      <c r="E26" s="16">
        <v>26.7</v>
      </c>
      <c r="F26" s="17">
        <v>1.7299999999999999E-2</v>
      </c>
      <c r="G26" s="17"/>
    </row>
    <row r="27" spans="1:7" x14ac:dyDescent="0.35">
      <c r="A27" s="13" t="s">
        <v>1199</v>
      </c>
      <c r="B27" s="41" t="s">
        <v>1200</v>
      </c>
      <c r="C27" s="41" t="s">
        <v>1201</v>
      </c>
      <c r="D27" s="15">
        <v>648</v>
      </c>
      <c r="E27" s="16">
        <v>25.77</v>
      </c>
      <c r="F27" s="17">
        <v>1.67E-2</v>
      </c>
      <c r="G27" s="17"/>
    </row>
    <row r="28" spans="1:7" x14ac:dyDescent="0.35">
      <c r="A28" s="13" t="s">
        <v>1289</v>
      </c>
      <c r="B28" s="41" t="s">
        <v>1290</v>
      </c>
      <c r="C28" s="41" t="s">
        <v>1285</v>
      </c>
      <c r="D28" s="15">
        <v>5681</v>
      </c>
      <c r="E28" s="16">
        <v>25.51</v>
      </c>
      <c r="F28" s="17">
        <v>1.6500000000000001E-2</v>
      </c>
      <c r="G28" s="17"/>
    </row>
    <row r="29" spans="1:7" x14ac:dyDescent="0.35">
      <c r="A29" s="13" t="s">
        <v>1310</v>
      </c>
      <c r="B29" s="41" t="s">
        <v>1311</v>
      </c>
      <c r="C29" s="41" t="s">
        <v>1261</v>
      </c>
      <c r="D29" s="15">
        <v>13066</v>
      </c>
      <c r="E29" s="16">
        <v>25.23</v>
      </c>
      <c r="F29" s="17">
        <v>1.6299999999999999E-2</v>
      </c>
      <c r="G29" s="17"/>
    </row>
    <row r="30" spans="1:7" x14ac:dyDescent="0.35">
      <c r="A30" s="13" t="s">
        <v>1222</v>
      </c>
      <c r="B30" s="41" t="s">
        <v>1223</v>
      </c>
      <c r="C30" s="41" t="s">
        <v>1224</v>
      </c>
      <c r="D30" s="15">
        <v>187</v>
      </c>
      <c r="E30" s="16">
        <v>23.75</v>
      </c>
      <c r="F30" s="17">
        <v>1.54E-2</v>
      </c>
      <c r="G30" s="17"/>
    </row>
    <row r="31" spans="1:7" x14ac:dyDescent="0.35">
      <c r="A31" s="13" t="s">
        <v>2005</v>
      </c>
      <c r="B31" s="41" t="s">
        <v>2006</v>
      </c>
      <c r="C31" s="41" t="s">
        <v>1305</v>
      </c>
      <c r="D31" s="15">
        <v>7227</v>
      </c>
      <c r="E31" s="16">
        <v>18.53</v>
      </c>
      <c r="F31" s="17">
        <v>1.2E-2</v>
      </c>
      <c r="G31" s="17"/>
    </row>
    <row r="32" spans="1:7" x14ac:dyDescent="0.35">
      <c r="A32" s="13" t="s">
        <v>1230</v>
      </c>
      <c r="B32" s="41" t="s">
        <v>1231</v>
      </c>
      <c r="C32" s="41" t="s">
        <v>1211</v>
      </c>
      <c r="D32" s="15">
        <v>912</v>
      </c>
      <c r="E32" s="16">
        <v>17.809999999999999</v>
      </c>
      <c r="F32" s="17">
        <v>1.15E-2</v>
      </c>
      <c r="G32" s="17"/>
    </row>
    <row r="33" spans="1:7" x14ac:dyDescent="0.35">
      <c r="A33" s="13" t="s">
        <v>1394</v>
      </c>
      <c r="B33" s="41" t="s">
        <v>1395</v>
      </c>
      <c r="C33" s="41" t="s">
        <v>1369</v>
      </c>
      <c r="D33" s="15">
        <v>1010</v>
      </c>
      <c r="E33" s="16">
        <v>17.61</v>
      </c>
      <c r="F33" s="17">
        <v>1.14E-2</v>
      </c>
      <c r="G33" s="17"/>
    </row>
    <row r="34" spans="1:7" x14ac:dyDescent="0.35">
      <c r="A34" s="13" t="s">
        <v>1217</v>
      </c>
      <c r="B34" s="41" t="s">
        <v>1218</v>
      </c>
      <c r="C34" s="41" t="s">
        <v>1201</v>
      </c>
      <c r="D34" s="15">
        <v>715</v>
      </c>
      <c r="E34" s="16">
        <v>17.36</v>
      </c>
      <c r="F34" s="17">
        <v>1.12E-2</v>
      </c>
      <c r="G34" s="17"/>
    </row>
    <row r="35" spans="1:7" x14ac:dyDescent="0.35">
      <c r="A35" s="13" t="s">
        <v>1396</v>
      </c>
      <c r="B35" s="41" t="s">
        <v>1397</v>
      </c>
      <c r="C35" s="41" t="s">
        <v>1398</v>
      </c>
      <c r="D35" s="15">
        <v>1165</v>
      </c>
      <c r="E35" s="16">
        <v>16.52</v>
      </c>
      <c r="F35" s="17">
        <v>1.0699999999999999E-2</v>
      </c>
      <c r="G35" s="17"/>
    </row>
    <row r="36" spans="1:7" x14ac:dyDescent="0.35">
      <c r="A36" s="13" t="s">
        <v>1343</v>
      </c>
      <c r="B36" s="41" t="s">
        <v>1344</v>
      </c>
      <c r="C36" s="41" t="s">
        <v>1345</v>
      </c>
      <c r="D36" s="15">
        <v>356</v>
      </c>
      <c r="E36" s="16">
        <v>16.37</v>
      </c>
      <c r="F36" s="17">
        <v>1.06E-2</v>
      </c>
      <c r="G36" s="17"/>
    </row>
    <row r="37" spans="1:7" x14ac:dyDescent="0.35">
      <c r="A37" s="13" t="s">
        <v>1459</v>
      </c>
      <c r="B37" s="41" t="s">
        <v>1460</v>
      </c>
      <c r="C37" s="41" t="s">
        <v>1266</v>
      </c>
      <c r="D37" s="15">
        <v>350</v>
      </c>
      <c r="E37" s="16">
        <v>13.25</v>
      </c>
      <c r="F37" s="17">
        <v>8.6E-3</v>
      </c>
      <c r="G37" s="17"/>
    </row>
    <row r="38" spans="1:7" x14ac:dyDescent="0.35">
      <c r="A38" s="13" t="s">
        <v>1843</v>
      </c>
      <c r="B38" s="41" t="s">
        <v>1844</v>
      </c>
      <c r="C38" s="41" t="s">
        <v>1191</v>
      </c>
      <c r="D38" s="15">
        <v>1408</v>
      </c>
      <c r="E38" s="16">
        <v>0.48</v>
      </c>
      <c r="F38" s="17">
        <v>2.9999999999999997E-4</v>
      </c>
      <c r="G38" s="17"/>
    </row>
    <row r="39" spans="1:7" x14ac:dyDescent="0.35">
      <c r="A39" s="14" t="s">
        <v>149</v>
      </c>
      <c r="B39" s="42"/>
      <c r="C39" s="42"/>
      <c r="D39" s="18"/>
      <c r="E39" s="19">
        <f>SUM(E8:E38)</f>
        <v>1542.6799999999996</v>
      </c>
      <c r="F39" s="20">
        <f>SUM(F8:F38)</f>
        <v>0.99860000000000004</v>
      </c>
      <c r="G39" s="21"/>
    </row>
    <row r="40" spans="1:7" x14ac:dyDescent="0.35">
      <c r="A40" s="13"/>
      <c r="B40" s="41"/>
      <c r="C40" s="41"/>
      <c r="D40" s="15"/>
      <c r="E40" s="16"/>
      <c r="F40" s="17"/>
      <c r="G40" s="17"/>
    </row>
    <row r="41" spans="1:7" x14ac:dyDescent="0.35">
      <c r="A41" s="22" t="s">
        <v>160</v>
      </c>
      <c r="B41" s="43"/>
      <c r="C41" s="43"/>
      <c r="D41" s="23"/>
      <c r="E41" s="36">
        <v>1542.68</v>
      </c>
      <c r="F41" s="37">
        <v>0.99860000000000004</v>
      </c>
      <c r="G41" s="21"/>
    </row>
    <row r="42" spans="1:7" x14ac:dyDescent="0.35">
      <c r="A42" s="13"/>
      <c r="B42" s="41"/>
      <c r="C42" s="41"/>
      <c r="D42" s="15"/>
      <c r="E42" s="16"/>
      <c r="F42" s="17"/>
      <c r="G42" s="17"/>
    </row>
    <row r="43" spans="1:7" x14ac:dyDescent="0.35">
      <c r="A43" s="13"/>
      <c r="B43" s="41"/>
      <c r="C43" s="41"/>
      <c r="D43" s="15"/>
      <c r="E43" s="16"/>
      <c r="F43" s="17"/>
      <c r="G43" s="17"/>
    </row>
    <row r="44" spans="1:7" x14ac:dyDescent="0.35">
      <c r="A44" s="14" t="s">
        <v>255</v>
      </c>
      <c r="B44" s="41"/>
      <c r="C44" s="41"/>
      <c r="D44" s="15"/>
      <c r="E44" s="16"/>
      <c r="F44" s="17"/>
      <c r="G44" s="17"/>
    </row>
    <row r="45" spans="1:7" x14ac:dyDescent="0.35">
      <c r="A45" s="13" t="s">
        <v>257</v>
      </c>
      <c r="B45" s="41"/>
      <c r="C45" s="41"/>
      <c r="D45" s="15"/>
      <c r="E45" s="16">
        <v>1</v>
      </c>
      <c r="F45" s="17">
        <v>5.9999999999999995E-4</v>
      </c>
      <c r="G45" s="17">
        <v>5.1742000000000003E-2</v>
      </c>
    </row>
    <row r="46" spans="1:7" x14ac:dyDescent="0.35">
      <c r="A46" s="14" t="s">
        <v>149</v>
      </c>
      <c r="B46" s="42"/>
      <c r="C46" s="42"/>
      <c r="D46" s="18"/>
      <c r="E46" s="19">
        <v>1</v>
      </c>
      <c r="F46" s="20">
        <v>5.9999999999999995E-4</v>
      </c>
      <c r="G46" s="21"/>
    </row>
    <row r="47" spans="1:7" x14ac:dyDescent="0.35">
      <c r="A47" s="13"/>
      <c r="B47" s="41"/>
      <c r="C47" s="41"/>
      <c r="D47" s="15"/>
      <c r="E47" s="16"/>
      <c r="F47" s="17"/>
      <c r="G47" s="17"/>
    </row>
    <row r="48" spans="1:7" x14ac:dyDescent="0.35">
      <c r="A48" s="22" t="s">
        <v>160</v>
      </c>
      <c r="B48" s="43"/>
      <c r="C48" s="43"/>
      <c r="D48" s="23"/>
      <c r="E48" s="36">
        <v>1</v>
      </c>
      <c r="F48" s="37">
        <v>5.9999999999999995E-4</v>
      </c>
      <c r="G48" s="21"/>
    </row>
    <row r="49" spans="1:7" x14ac:dyDescent="0.35">
      <c r="A49" s="13" t="s">
        <v>258</v>
      </c>
      <c r="B49" s="41"/>
      <c r="C49" s="41"/>
      <c r="D49" s="15"/>
      <c r="E49" s="16">
        <v>2.834E-4</v>
      </c>
      <c r="F49" s="17">
        <v>0</v>
      </c>
      <c r="G49" s="17"/>
    </row>
    <row r="50" spans="1:7" x14ac:dyDescent="0.35">
      <c r="A50" s="13" t="s">
        <v>259</v>
      </c>
      <c r="B50" s="41"/>
      <c r="C50" s="41"/>
      <c r="D50" s="15"/>
      <c r="E50" s="16">
        <v>1.3497166</v>
      </c>
      <c r="F50" s="17">
        <v>8.0000000000000004E-4</v>
      </c>
      <c r="G50" s="17">
        <v>5.1742000000000003E-2</v>
      </c>
    </row>
    <row r="51" spans="1:7" x14ac:dyDescent="0.35">
      <c r="A51" s="38" t="s">
        <v>260</v>
      </c>
      <c r="B51" s="44"/>
      <c r="C51" s="44"/>
      <c r="D51" s="39"/>
      <c r="E51" s="24">
        <v>1545.03</v>
      </c>
      <c r="F51" s="25">
        <v>1</v>
      </c>
      <c r="G51" s="25"/>
    </row>
    <row r="56" spans="1:7" x14ac:dyDescent="0.35">
      <c r="A56" s="1" t="s">
        <v>263</v>
      </c>
    </row>
    <row r="57" spans="1:7" x14ac:dyDescent="0.35">
      <c r="A57" s="47" t="s">
        <v>264</v>
      </c>
      <c r="B57" s="3" t="s">
        <v>146</v>
      </c>
    </row>
    <row r="58" spans="1:7" x14ac:dyDescent="0.35">
      <c r="A58" t="s">
        <v>265</v>
      </c>
    </row>
    <row r="59" spans="1:7" x14ac:dyDescent="0.35">
      <c r="A59" t="s">
        <v>2845</v>
      </c>
      <c r="B59" t="s">
        <v>267</v>
      </c>
      <c r="C59" t="s">
        <v>267</v>
      </c>
    </row>
    <row r="60" spans="1:7" x14ac:dyDescent="0.35">
      <c r="B60" s="49">
        <v>46022</v>
      </c>
      <c r="C60" s="49">
        <v>46052</v>
      </c>
    </row>
    <row r="61" spans="1:7" x14ac:dyDescent="0.35">
      <c r="A61" t="s">
        <v>753</v>
      </c>
      <c r="B61">
        <v>85.151799999999994</v>
      </c>
      <c r="C61">
        <v>82.225300000000004</v>
      </c>
    </row>
    <row r="63" spans="1:7" x14ac:dyDescent="0.35">
      <c r="A63" t="s">
        <v>283</v>
      </c>
      <c r="B63" s="3" t="s">
        <v>146</v>
      </c>
    </row>
    <row r="64" spans="1:7" x14ac:dyDescent="0.35">
      <c r="A64" t="s">
        <v>284</v>
      </c>
      <c r="B64" s="3" t="s">
        <v>146</v>
      </c>
    </row>
    <row r="65" spans="1:4" ht="29" customHeight="1" x14ac:dyDescent="0.35">
      <c r="A65" s="47" t="s">
        <v>285</v>
      </c>
      <c r="B65" s="3" t="s">
        <v>146</v>
      </c>
    </row>
    <row r="66" spans="1:4" ht="29" customHeight="1" x14ac:dyDescent="0.35">
      <c r="A66" s="47" t="s">
        <v>286</v>
      </c>
      <c r="B66" s="3" t="s">
        <v>146</v>
      </c>
    </row>
    <row r="67" spans="1:4" x14ac:dyDescent="0.35">
      <c r="A67" t="s">
        <v>1253</v>
      </c>
      <c r="B67" s="48">
        <v>1.4200000000000001E-2</v>
      </c>
    </row>
    <row r="68" spans="1:4" ht="43.5" customHeight="1" x14ac:dyDescent="0.35">
      <c r="A68" s="47" t="s">
        <v>288</v>
      </c>
      <c r="B68" s="3" t="s">
        <v>146</v>
      </c>
    </row>
    <row r="69" spans="1:4" x14ac:dyDescent="0.35">
      <c r="B69" s="3"/>
    </row>
    <row r="70" spans="1:4" ht="29" customHeight="1" x14ac:dyDescent="0.35">
      <c r="A70" s="47" t="s">
        <v>289</v>
      </c>
      <c r="B70" s="3" t="s">
        <v>146</v>
      </c>
    </row>
    <row r="71" spans="1:4" ht="29" customHeight="1" x14ac:dyDescent="0.35">
      <c r="A71" s="47" t="s">
        <v>290</v>
      </c>
      <c r="B71" t="s">
        <v>146</v>
      </c>
    </row>
    <row r="72" spans="1:4" ht="29" customHeight="1" x14ac:dyDescent="0.35">
      <c r="A72" s="47" t="s">
        <v>291</v>
      </c>
      <c r="B72" s="3" t="s">
        <v>146</v>
      </c>
    </row>
    <row r="73" spans="1:4" ht="29" customHeight="1" x14ac:dyDescent="0.35">
      <c r="A73" s="47" t="s">
        <v>292</v>
      </c>
      <c r="B73" s="3" t="s">
        <v>146</v>
      </c>
    </row>
    <row r="75" spans="1:4" ht="70" customHeight="1" x14ac:dyDescent="0.35">
      <c r="A75" s="70" t="s">
        <v>303</v>
      </c>
      <c r="B75" s="70" t="s">
        <v>304</v>
      </c>
      <c r="C75" s="70" t="s">
        <v>4</v>
      </c>
      <c r="D75" s="70" t="s">
        <v>5</v>
      </c>
    </row>
    <row r="76" spans="1:4" ht="70" customHeight="1" x14ac:dyDescent="0.35">
      <c r="A76" s="70" t="s">
        <v>2846</v>
      </c>
      <c r="B76" s="70"/>
      <c r="C76" s="70" t="s">
        <v>107</v>
      </c>
      <c r="D7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G139"/>
  <sheetViews>
    <sheetView showGridLines="0" workbookViewId="0">
      <pane ySplit="4" topLeftCell="A90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2847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2848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1547</v>
      </c>
      <c r="B8" s="41" t="s">
        <v>1548</v>
      </c>
      <c r="C8" s="41" t="s">
        <v>1369</v>
      </c>
      <c r="D8" s="15">
        <v>623702</v>
      </c>
      <c r="E8" s="16">
        <v>37640.42</v>
      </c>
      <c r="F8" s="17">
        <v>2.7300000000000001E-2</v>
      </c>
      <c r="G8" s="17"/>
    </row>
    <row r="9" spans="1:7" x14ac:dyDescent="0.35">
      <c r="A9" s="13" t="s">
        <v>1278</v>
      </c>
      <c r="B9" s="41" t="s">
        <v>1279</v>
      </c>
      <c r="C9" s="41" t="s">
        <v>1280</v>
      </c>
      <c r="D9" s="15">
        <v>1372945</v>
      </c>
      <c r="E9" s="16">
        <v>34708.050000000003</v>
      </c>
      <c r="F9" s="17">
        <v>2.5100000000000001E-2</v>
      </c>
      <c r="G9" s="17"/>
    </row>
    <row r="10" spans="1:7" x14ac:dyDescent="0.35">
      <c r="A10" s="13" t="s">
        <v>1531</v>
      </c>
      <c r="B10" s="41" t="s">
        <v>1532</v>
      </c>
      <c r="C10" s="41" t="s">
        <v>1369</v>
      </c>
      <c r="D10" s="15">
        <v>2027488</v>
      </c>
      <c r="E10" s="16">
        <v>33530.6</v>
      </c>
      <c r="F10" s="17">
        <v>2.4299999999999999E-2</v>
      </c>
      <c r="G10" s="17"/>
    </row>
    <row r="11" spans="1:7" x14ac:dyDescent="0.35">
      <c r="A11" s="13" t="s">
        <v>1376</v>
      </c>
      <c r="B11" s="41" t="s">
        <v>1377</v>
      </c>
      <c r="C11" s="41" t="s">
        <v>1280</v>
      </c>
      <c r="D11" s="15">
        <v>1165394</v>
      </c>
      <c r="E11" s="16">
        <v>32596.07</v>
      </c>
      <c r="F11" s="17">
        <v>2.3599999999999999E-2</v>
      </c>
      <c r="G11" s="17"/>
    </row>
    <row r="12" spans="1:7" x14ac:dyDescent="0.35">
      <c r="A12" s="13" t="s">
        <v>1241</v>
      </c>
      <c r="B12" s="41" t="s">
        <v>1242</v>
      </c>
      <c r="C12" s="41" t="s">
        <v>1216</v>
      </c>
      <c r="D12" s="15">
        <v>4417032</v>
      </c>
      <c r="E12" s="16">
        <v>32235.5</v>
      </c>
      <c r="F12" s="17">
        <v>2.3400000000000001E-2</v>
      </c>
      <c r="G12" s="17"/>
    </row>
    <row r="13" spans="1:7" x14ac:dyDescent="0.35">
      <c r="A13" s="13" t="s">
        <v>1202</v>
      </c>
      <c r="B13" s="41" t="s">
        <v>1203</v>
      </c>
      <c r="C13" s="41" t="s">
        <v>1178</v>
      </c>
      <c r="D13" s="15">
        <v>11159723</v>
      </c>
      <c r="E13" s="16">
        <v>32112.1</v>
      </c>
      <c r="F13" s="17">
        <v>2.3300000000000001E-2</v>
      </c>
      <c r="G13" s="17"/>
    </row>
    <row r="14" spans="1:7" x14ac:dyDescent="0.35">
      <c r="A14" s="13" t="s">
        <v>1361</v>
      </c>
      <c r="B14" s="41" t="s">
        <v>1362</v>
      </c>
      <c r="C14" s="41" t="s">
        <v>1229</v>
      </c>
      <c r="D14" s="15">
        <v>3454648</v>
      </c>
      <c r="E14" s="16">
        <v>29416.33</v>
      </c>
      <c r="F14" s="17">
        <v>2.1299999999999999E-2</v>
      </c>
      <c r="G14" s="17"/>
    </row>
    <row r="15" spans="1:7" x14ac:dyDescent="0.35">
      <c r="A15" s="13" t="s">
        <v>1555</v>
      </c>
      <c r="B15" s="41" t="s">
        <v>1556</v>
      </c>
      <c r="C15" s="41" t="s">
        <v>1178</v>
      </c>
      <c r="D15" s="15">
        <v>3120547</v>
      </c>
      <c r="E15" s="16">
        <v>28450.03</v>
      </c>
      <c r="F15" s="17">
        <v>2.06E-2</v>
      </c>
      <c r="G15" s="17"/>
    </row>
    <row r="16" spans="1:7" x14ac:dyDescent="0.35">
      <c r="A16" s="13" t="s">
        <v>1443</v>
      </c>
      <c r="B16" s="41" t="s">
        <v>1444</v>
      </c>
      <c r="C16" s="41" t="s">
        <v>1178</v>
      </c>
      <c r="D16" s="15">
        <v>33269009</v>
      </c>
      <c r="E16" s="16">
        <v>27806.240000000002</v>
      </c>
      <c r="F16" s="17">
        <v>2.01E-2</v>
      </c>
      <c r="G16" s="17"/>
    </row>
    <row r="17" spans="1:7" x14ac:dyDescent="0.35">
      <c r="A17" s="13" t="s">
        <v>1937</v>
      </c>
      <c r="B17" s="41" t="s">
        <v>1938</v>
      </c>
      <c r="C17" s="41" t="s">
        <v>1301</v>
      </c>
      <c r="D17" s="15">
        <v>5394502</v>
      </c>
      <c r="E17" s="16">
        <v>27514.66</v>
      </c>
      <c r="F17" s="17">
        <v>1.9900000000000001E-2</v>
      </c>
      <c r="G17" s="17"/>
    </row>
    <row r="18" spans="1:7" x14ac:dyDescent="0.35">
      <c r="A18" s="13" t="s">
        <v>1463</v>
      </c>
      <c r="B18" s="41" t="s">
        <v>1464</v>
      </c>
      <c r="C18" s="41" t="s">
        <v>1465</v>
      </c>
      <c r="D18" s="15">
        <v>1592942</v>
      </c>
      <c r="E18" s="16">
        <v>26355.23</v>
      </c>
      <c r="F18" s="17">
        <v>1.9099999999999999E-2</v>
      </c>
      <c r="G18" s="17"/>
    </row>
    <row r="19" spans="1:7" x14ac:dyDescent="0.35">
      <c r="A19" s="13" t="s">
        <v>1356</v>
      </c>
      <c r="B19" s="41" t="s">
        <v>1357</v>
      </c>
      <c r="C19" s="41" t="s">
        <v>1288</v>
      </c>
      <c r="D19" s="15">
        <v>1286528</v>
      </c>
      <c r="E19" s="16">
        <v>26318.5</v>
      </c>
      <c r="F19" s="17">
        <v>1.9099999999999999E-2</v>
      </c>
      <c r="G19" s="17"/>
    </row>
    <row r="20" spans="1:7" x14ac:dyDescent="0.35">
      <c r="A20" s="13" t="s">
        <v>1476</v>
      </c>
      <c r="B20" s="41" t="s">
        <v>1477</v>
      </c>
      <c r="C20" s="41" t="s">
        <v>1221</v>
      </c>
      <c r="D20" s="15">
        <v>913522</v>
      </c>
      <c r="E20" s="16">
        <v>25727.52</v>
      </c>
      <c r="F20" s="17">
        <v>1.8599999999999998E-2</v>
      </c>
      <c r="G20" s="17"/>
    </row>
    <row r="21" spans="1:7" x14ac:dyDescent="0.35">
      <c r="A21" s="13" t="s">
        <v>1338</v>
      </c>
      <c r="B21" s="41" t="s">
        <v>1339</v>
      </c>
      <c r="C21" s="41" t="s">
        <v>1221</v>
      </c>
      <c r="D21" s="15">
        <v>184763</v>
      </c>
      <c r="E21" s="16">
        <v>24906.05</v>
      </c>
      <c r="F21" s="17">
        <v>1.7999999999999999E-2</v>
      </c>
      <c r="G21" s="17"/>
    </row>
    <row r="22" spans="1:7" x14ac:dyDescent="0.35">
      <c r="A22" s="13" t="s">
        <v>1470</v>
      </c>
      <c r="B22" s="41" t="s">
        <v>1471</v>
      </c>
      <c r="C22" s="41" t="s">
        <v>1382</v>
      </c>
      <c r="D22" s="15">
        <v>2055489</v>
      </c>
      <c r="E22" s="16">
        <v>24302.05</v>
      </c>
      <c r="F22" s="17">
        <v>1.7600000000000001E-2</v>
      </c>
      <c r="G22" s="17"/>
    </row>
    <row r="23" spans="1:7" x14ac:dyDescent="0.35">
      <c r="A23" s="13" t="s">
        <v>1931</v>
      </c>
      <c r="B23" s="41" t="s">
        <v>1932</v>
      </c>
      <c r="C23" s="41" t="s">
        <v>1261</v>
      </c>
      <c r="D23" s="15">
        <v>2856258</v>
      </c>
      <c r="E23" s="16">
        <v>23494.15</v>
      </c>
      <c r="F23" s="17">
        <v>1.7000000000000001E-2</v>
      </c>
      <c r="G23" s="17"/>
    </row>
    <row r="24" spans="1:7" x14ac:dyDescent="0.35">
      <c r="A24" s="13" t="s">
        <v>1426</v>
      </c>
      <c r="B24" s="41" t="s">
        <v>1427</v>
      </c>
      <c r="C24" s="41" t="s">
        <v>1178</v>
      </c>
      <c r="D24" s="15">
        <v>2358778</v>
      </c>
      <c r="E24" s="16">
        <v>23171.46</v>
      </c>
      <c r="F24" s="17">
        <v>1.6799999999999999E-2</v>
      </c>
      <c r="G24" s="17"/>
    </row>
    <row r="25" spans="1:7" x14ac:dyDescent="0.35">
      <c r="A25" s="13" t="s">
        <v>1847</v>
      </c>
      <c r="B25" s="41" t="s">
        <v>1848</v>
      </c>
      <c r="C25" s="41" t="s">
        <v>1849</v>
      </c>
      <c r="D25" s="15">
        <v>11650470</v>
      </c>
      <c r="E25" s="16">
        <v>22915.31</v>
      </c>
      <c r="F25" s="17">
        <v>1.66E-2</v>
      </c>
      <c r="G25" s="17"/>
    </row>
    <row r="26" spans="1:7" x14ac:dyDescent="0.35">
      <c r="A26" s="13" t="s">
        <v>1297</v>
      </c>
      <c r="B26" s="41" t="s">
        <v>1298</v>
      </c>
      <c r="C26" s="41" t="s">
        <v>1198</v>
      </c>
      <c r="D26" s="15">
        <v>5126562</v>
      </c>
      <c r="E26" s="16">
        <v>22777.31</v>
      </c>
      <c r="F26" s="17">
        <v>1.6500000000000001E-2</v>
      </c>
      <c r="G26" s="17"/>
    </row>
    <row r="27" spans="1:7" x14ac:dyDescent="0.35">
      <c r="A27" s="13" t="s">
        <v>1270</v>
      </c>
      <c r="B27" s="41" t="s">
        <v>1271</v>
      </c>
      <c r="C27" s="41" t="s">
        <v>1272</v>
      </c>
      <c r="D27" s="15">
        <v>28010035</v>
      </c>
      <c r="E27" s="16">
        <v>22746.95</v>
      </c>
      <c r="F27" s="17">
        <v>1.6500000000000001E-2</v>
      </c>
      <c r="G27" s="17"/>
    </row>
    <row r="28" spans="1:7" x14ac:dyDescent="0.35">
      <c r="A28" s="13" t="s">
        <v>1945</v>
      </c>
      <c r="B28" s="41" t="s">
        <v>1946</v>
      </c>
      <c r="C28" s="41" t="s">
        <v>1211</v>
      </c>
      <c r="D28" s="15">
        <v>411327</v>
      </c>
      <c r="E28" s="16">
        <v>21709.84</v>
      </c>
      <c r="F28" s="17">
        <v>1.5699999999999999E-2</v>
      </c>
      <c r="G28" s="17"/>
    </row>
    <row r="29" spans="1:7" x14ac:dyDescent="0.35">
      <c r="A29" s="13" t="s">
        <v>1225</v>
      </c>
      <c r="B29" s="41" t="s">
        <v>1226</v>
      </c>
      <c r="C29" s="41" t="s">
        <v>1185</v>
      </c>
      <c r="D29" s="15">
        <v>1328316</v>
      </c>
      <c r="E29" s="16">
        <v>21433.71</v>
      </c>
      <c r="F29" s="17">
        <v>1.55E-2</v>
      </c>
      <c r="G29" s="17"/>
    </row>
    <row r="30" spans="1:7" x14ac:dyDescent="0.35">
      <c r="A30" s="13" t="s">
        <v>1441</v>
      </c>
      <c r="B30" s="41" t="s">
        <v>1442</v>
      </c>
      <c r="C30" s="41" t="s">
        <v>1280</v>
      </c>
      <c r="D30" s="15">
        <v>839351</v>
      </c>
      <c r="E30" s="16">
        <v>21115.55</v>
      </c>
      <c r="F30" s="17">
        <v>1.5299999999999999E-2</v>
      </c>
      <c r="G30" s="17"/>
    </row>
    <row r="31" spans="1:7" x14ac:dyDescent="0.35">
      <c r="A31" s="13" t="s">
        <v>1506</v>
      </c>
      <c r="B31" s="41" t="s">
        <v>1507</v>
      </c>
      <c r="C31" s="41" t="s">
        <v>1234</v>
      </c>
      <c r="D31" s="15">
        <v>963654</v>
      </c>
      <c r="E31" s="16">
        <v>20745.54</v>
      </c>
      <c r="F31" s="17">
        <v>1.4999999999999999E-2</v>
      </c>
      <c r="G31" s="17"/>
    </row>
    <row r="32" spans="1:7" x14ac:dyDescent="0.35">
      <c r="A32" s="13" t="s">
        <v>1923</v>
      </c>
      <c r="B32" s="41" t="s">
        <v>1924</v>
      </c>
      <c r="C32" s="41" t="s">
        <v>1224</v>
      </c>
      <c r="D32" s="15">
        <v>371431</v>
      </c>
      <c r="E32" s="16">
        <v>20515.990000000002</v>
      </c>
      <c r="F32" s="17">
        <v>1.49E-2</v>
      </c>
      <c r="G32" s="17"/>
    </row>
    <row r="33" spans="1:7" x14ac:dyDescent="0.35">
      <c r="A33" s="13" t="s">
        <v>2026</v>
      </c>
      <c r="B33" s="41" t="s">
        <v>2027</v>
      </c>
      <c r="C33" s="41" t="s">
        <v>1234</v>
      </c>
      <c r="D33" s="15">
        <v>1369779</v>
      </c>
      <c r="E33" s="16">
        <v>20146.71</v>
      </c>
      <c r="F33" s="17">
        <v>1.46E-2</v>
      </c>
      <c r="G33" s="17"/>
    </row>
    <row r="34" spans="1:7" x14ac:dyDescent="0.35">
      <c r="A34" s="13" t="s">
        <v>1943</v>
      </c>
      <c r="B34" s="41" t="s">
        <v>1944</v>
      </c>
      <c r="C34" s="41" t="s">
        <v>1360</v>
      </c>
      <c r="D34" s="15">
        <v>686271</v>
      </c>
      <c r="E34" s="16">
        <v>19408.43</v>
      </c>
      <c r="F34" s="17">
        <v>1.41E-2</v>
      </c>
      <c r="G34" s="17"/>
    </row>
    <row r="35" spans="1:7" x14ac:dyDescent="0.35">
      <c r="A35" s="13" t="s">
        <v>1449</v>
      </c>
      <c r="B35" s="41" t="s">
        <v>1450</v>
      </c>
      <c r="C35" s="41" t="s">
        <v>1229</v>
      </c>
      <c r="D35" s="15">
        <v>2025746</v>
      </c>
      <c r="E35" s="16">
        <v>19382.34</v>
      </c>
      <c r="F35" s="17">
        <v>1.4E-2</v>
      </c>
      <c r="G35" s="17"/>
    </row>
    <row r="36" spans="1:7" x14ac:dyDescent="0.35">
      <c r="A36" s="13" t="s">
        <v>2024</v>
      </c>
      <c r="B36" s="41" t="s">
        <v>2025</v>
      </c>
      <c r="C36" s="41" t="s">
        <v>1211</v>
      </c>
      <c r="D36" s="15">
        <v>1449443</v>
      </c>
      <c r="E36" s="16">
        <v>19226.86</v>
      </c>
      <c r="F36" s="17">
        <v>1.3899999999999999E-2</v>
      </c>
      <c r="G36" s="17"/>
    </row>
    <row r="37" spans="1:7" x14ac:dyDescent="0.35">
      <c r="A37" s="13" t="s">
        <v>1553</v>
      </c>
      <c r="B37" s="41" t="s">
        <v>1554</v>
      </c>
      <c r="C37" s="41" t="s">
        <v>1211</v>
      </c>
      <c r="D37" s="15">
        <v>498658</v>
      </c>
      <c r="E37" s="16">
        <v>19096.61</v>
      </c>
      <c r="F37" s="17">
        <v>1.38E-2</v>
      </c>
      <c r="G37" s="17"/>
    </row>
    <row r="38" spans="1:7" x14ac:dyDescent="0.35">
      <c r="A38" s="13" t="s">
        <v>1822</v>
      </c>
      <c r="B38" s="41" t="s">
        <v>1823</v>
      </c>
      <c r="C38" s="41" t="s">
        <v>1266</v>
      </c>
      <c r="D38" s="15">
        <v>14134178</v>
      </c>
      <c r="E38" s="16">
        <v>17802</v>
      </c>
      <c r="F38" s="17">
        <v>1.29E-2</v>
      </c>
      <c r="G38" s="17"/>
    </row>
    <row r="39" spans="1:7" x14ac:dyDescent="0.35">
      <c r="A39" s="13" t="s">
        <v>2013</v>
      </c>
      <c r="B39" s="41" t="s">
        <v>2014</v>
      </c>
      <c r="C39" s="41" t="s">
        <v>1288</v>
      </c>
      <c r="D39" s="15">
        <v>429984</v>
      </c>
      <c r="E39" s="16">
        <v>17683.09</v>
      </c>
      <c r="F39" s="17">
        <v>1.2800000000000001E-2</v>
      </c>
      <c r="G39" s="17"/>
    </row>
    <row r="40" spans="1:7" x14ac:dyDescent="0.35">
      <c r="A40" s="13" t="s">
        <v>1987</v>
      </c>
      <c r="B40" s="41" t="s">
        <v>1988</v>
      </c>
      <c r="C40" s="41" t="s">
        <v>1412</v>
      </c>
      <c r="D40" s="15">
        <v>3545976</v>
      </c>
      <c r="E40" s="16">
        <v>17625.27</v>
      </c>
      <c r="F40" s="17">
        <v>1.2800000000000001E-2</v>
      </c>
      <c r="G40" s="17"/>
    </row>
    <row r="41" spans="1:7" x14ac:dyDescent="0.35">
      <c r="A41" s="13" t="s">
        <v>1289</v>
      </c>
      <c r="B41" s="41" t="s">
        <v>1290</v>
      </c>
      <c r="C41" s="41" t="s">
        <v>1285</v>
      </c>
      <c r="D41" s="15">
        <v>3891232</v>
      </c>
      <c r="E41" s="16">
        <v>17471.63</v>
      </c>
      <c r="F41" s="17">
        <v>1.2699999999999999E-2</v>
      </c>
      <c r="G41" s="17"/>
    </row>
    <row r="42" spans="1:7" x14ac:dyDescent="0.35">
      <c r="A42" s="13" t="s">
        <v>1993</v>
      </c>
      <c r="B42" s="41" t="s">
        <v>1994</v>
      </c>
      <c r="C42" s="41" t="s">
        <v>1288</v>
      </c>
      <c r="D42" s="15">
        <v>433982</v>
      </c>
      <c r="E42" s="16">
        <v>17450.849999999999</v>
      </c>
      <c r="F42" s="17">
        <v>1.26E-2</v>
      </c>
      <c r="G42" s="17"/>
    </row>
    <row r="43" spans="1:7" x14ac:dyDescent="0.35">
      <c r="A43" s="13" t="s">
        <v>1929</v>
      </c>
      <c r="B43" s="41" t="s">
        <v>1930</v>
      </c>
      <c r="C43" s="41" t="s">
        <v>1211</v>
      </c>
      <c r="D43" s="15">
        <v>4582209</v>
      </c>
      <c r="E43" s="16">
        <v>17208.490000000002</v>
      </c>
      <c r="F43" s="17">
        <v>1.2500000000000001E-2</v>
      </c>
      <c r="G43" s="17"/>
    </row>
    <row r="44" spans="1:7" x14ac:dyDescent="0.35">
      <c r="A44" s="13" t="s">
        <v>1468</v>
      </c>
      <c r="B44" s="41" t="s">
        <v>1469</v>
      </c>
      <c r="C44" s="41" t="s">
        <v>1324</v>
      </c>
      <c r="D44" s="15">
        <v>989699</v>
      </c>
      <c r="E44" s="16">
        <v>16534.900000000001</v>
      </c>
      <c r="F44" s="17">
        <v>1.2E-2</v>
      </c>
      <c r="G44" s="17"/>
    </row>
    <row r="45" spans="1:7" x14ac:dyDescent="0.35">
      <c r="A45" s="13" t="s">
        <v>1919</v>
      </c>
      <c r="B45" s="41" t="s">
        <v>1920</v>
      </c>
      <c r="C45" s="41" t="s">
        <v>1178</v>
      </c>
      <c r="D45" s="15">
        <v>11162378</v>
      </c>
      <c r="E45" s="16">
        <v>16455.580000000002</v>
      </c>
      <c r="F45" s="17">
        <v>1.1900000000000001E-2</v>
      </c>
      <c r="G45" s="17"/>
    </row>
    <row r="46" spans="1:7" x14ac:dyDescent="0.35">
      <c r="A46" s="13" t="s">
        <v>2022</v>
      </c>
      <c r="B46" s="41" t="s">
        <v>2023</v>
      </c>
      <c r="C46" s="41" t="s">
        <v>1178</v>
      </c>
      <c r="D46" s="15">
        <v>5429290</v>
      </c>
      <c r="E46" s="16">
        <v>16382.88</v>
      </c>
      <c r="F46" s="17">
        <v>1.1900000000000001E-2</v>
      </c>
      <c r="G46" s="17"/>
    </row>
    <row r="47" spans="1:7" x14ac:dyDescent="0.35">
      <c r="A47" s="13" t="s">
        <v>1798</v>
      </c>
      <c r="B47" s="41" t="s">
        <v>1799</v>
      </c>
      <c r="C47" s="41" t="s">
        <v>1333</v>
      </c>
      <c r="D47" s="15">
        <v>498719</v>
      </c>
      <c r="E47" s="16">
        <v>16110.12</v>
      </c>
      <c r="F47" s="17">
        <v>1.17E-2</v>
      </c>
      <c r="G47" s="17"/>
    </row>
    <row r="48" spans="1:7" x14ac:dyDescent="0.35">
      <c r="A48" s="13" t="s">
        <v>1935</v>
      </c>
      <c r="B48" s="41" t="s">
        <v>1936</v>
      </c>
      <c r="C48" s="41" t="s">
        <v>1221</v>
      </c>
      <c r="D48" s="15">
        <v>253777</v>
      </c>
      <c r="E48" s="16">
        <v>15477.86</v>
      </c>
      <c r="F48" s="17">
        <v>1.12E-2</v>
      </c>
      <c r="G48" s="17"/>
    </row>
    <row r="49" spans="1:7" x14ac:dyDescent="0.35">
      <c r="A49" s="13" t="s">
        <v>1559</v>
      </c>
      <c r="B49" s="41" t="s">
        <v>1560</v>
      </c>
      <c r="C49" s="41" t="s">
        <v>1211</v>
      </c>
      <c r="D49" s="15">
        <v>5350375</v>
      </c>
      <c r="E49" s="16">
        <v>15320.8</v>
      </c>
      <c r="F49" s="17">
        <v>1.11E-2</v>
      </c>
      <c r="G49" s="17"/>
    </row>
    <row r="50" spans="1:7" x14ac:dyDescent="0.35">
      <c r="A50" s="13" t="s">
        <v>1974</v>
      </c>
      <c r="B50" s="41" t="s">
        <v>1975</v>
      </c>
      <c r="C50" s="41" t="s">
        <v>1855</v>
      </c>
      <c r="D50" s="15">
        <v>45537</v>
      </c>
      <c r="E50" s="16">
        <v>15024.93</v>
      </c>
      <c r="F50" s="17">
        <v>1.09E-2</v>
      </c>
      <c r="G50" s="17"/>
    </row>
    <row r="51" spans="1:7" x14ac:dyDescent="0.35">
      <c r="A51" s="13" t="s">
        <v>1447</v>
      </c>
      <c r="B51" s="41" t="s">
        <v>1448</v>
      </c>
      <c r="C51" s="41" t="s">
        <v>1285</v>
      </c>
      <c r="D51" s="15">
        <v>967490</v>
      </c>
      <c r="E51" s="16">
        <v>14881.93</v>
      </c>
      <c r="F51" s="17">
        <v>1.0800000000000001E-2</v>
      </c>
      <c r="G51" s="17"/>
    </row>
    <row r="52" spans="1:7" x14ac:dyDescent="0.35">
      <c r="A52" s="13" t="s">
        <v>1291</v>
      </c>
      <c r="B52" s="41" t="s">
        <v>1292</v>
      </c>
      <c r="C52" s="41" t="s">
        <v>1206</v>
      </c>
      <c r="D52" s="15">
        <v>3366783</v>
      </c>
      <c r="E52" s="16">
        <v>14376.16</v>
      </c>
      <c r="F52" s="17">
        <v>1.04E-2</v>
      </c>
      <c r="G52" s="17"/>
    </row>
    <row r="53" spans="1:7" x14ac:dyDescent="0.35">
      <c r="A53" s="13" t="s">
        <v>1939</v>
      </c>
      <c r="B53" s="41" t="s">
        <v>1940</v>
      </c>
      <c r="C53" s="41" t="s">
        <v>1178</v>
      </c>
      <c r="D53" s="15">
        <v>4759931</v>
      </c>
      <c r="E53" s="16">
        <v>14346.43</v>
      </c>
      <c r="F53" s="17">
        <v>1.04E-2</v>
      </c>
      <c r="G53" s="17"/>
    </row>
    <row r="54" spans="1:7" x14ac:dyDescent="0.35">
      <c r="A54" s="13" t="s">
        <v>1480</v>
      </c>
      <c r="B54" s="41" t="s">
        <v>1481</v>
      </c>
      <c r="C54" s="41" t="s">
        <v>1382</v>
      </c>
      <c r="D54" s="15">
        <v>992848</v>
      </c>
      <c r="E54" s="16">
        <v>14310.91</v>
      </c>
      <c r="F54" s="17">
        <v>1.04E-2</v>
      </c>
      <c r="G54" s="17"/>
    </row>
    <row r="55" spans="1:7" x14ac:dyDescent="0.35">
      <c r="A55" s="13" t="s">
        <v>1933</v>
      </c>
      <c r="B55" s="41" t="s">
        <v>1934</v>
      </c>
      <c r="C55" s="41" t="s">
        <v>1382</v>
      </c>
      <c r="D55" s="15">
        <v>567266</v>
      </c>
      <c r="E55" s="16">
        <v>13766.41</v>
      </c>
      <c r="F55" s="17">
        <v>0.01</v>
      </c>
      <c r="G55" s="17"/>
    </row>
    <row r="56" spans="1:7" x14ac:dyDescent="0.35">
      <c r="A56" s="13" t="s">
        <v>1453</v>
      </c>
      <c r="B56" s="41" t="s">
        <v>1454</v>
      </c>
      <c r="C56" s="41" t="s">
        <v>1324</v>
      </c>
      <c r="D56" s="15">
        <v>886158</v>
      </c>
      <c r="E56" s="16">
        <v>12951.2</v>
      </c>
      <c r="F56" s="17">
        <v>9.4000000000000004E-3</v>
      </c>
      <c r="G56" s="17"/>
    </row>
    <row r="57" spans="1:7" x14ac:dyDescent="0.35">
      <c r="A57" s="13" t="s">
        <v>1410</v>
      </c>
      <c r="B57" s="41" t="s">
        <v>1411</v>
      </c>
      <c r="C57" s="41" t="s">
        <v>1412</v>
      </c>
      <c r="D57" s="15">
        <v>1811162</v>
      </c>
      <c r="E57" s="16">
        <v>12209.95</v>
      </c>
      <c r="F57" s="17">
        <v>8.8000000000000005E-3</v>
      </c>
      <c r="G57" s="17"/>
    </row>
    <row r="58" spans="1:7" x14ac:dyDescent="0.35">
      <c r="A58" s="13" t="s">
        <v>1941</v>
      </c>
      <c r="B58" s="41" t="s">
        <v>1942</v>
      </c>
      <c r="C58" s="41" t="s">
        <v>1198</v>
      </c>
      <c r="D58" s="15">
        <v>783875</v>
      </c>
      <c r="E58" s="16">
        <v>12109.3</v>
      </c>
      <c r="F58" s="17">
        <v>8.8000000000000005E-3</v>
      </c>
      <c r="G58" s="17"/>
    </row>
    <row r="59" spans="1:7" x14ac:dyDescent="0.35">
      <c r="A59" s="13" t="s">
        <v>1892</v>
      </c>
      <c r="B59" s="41" t="s">
        <v>1893</v>
      </c>
      <c r="C59" s="41" t="s">
        <v>1280</v>
      </c>
      <c r="D59" s="15">
        <v>1128322</v>
      </c>
      <c r="E59" s="16">
        <v>11441.19</v>
      </c>
      <c r="F59" s="17">
        <v>8.3000000000000001E-3</v>
      </c>
      <c r="G59" s="17"/>
    </row>
    <row r="60" spans="1:7" x14ac:dyDescent="0.35">
      <c r="A60" s="13" t="s">
        <v>1257</v>
      </c>
      <c r="B60" s="41" t="s">
        <v>1258</v>
      </c>
      <c r="C60" s="41" t="s">
        <v>1198</v>
      </c>
      <c r="D60" s="15">
        <v>100402481</v>
      </c>
      <c r="E60" s="16">
        <v>11214.96</v>
      </c>
      <c r="F60" s="17">
        <v>8.0999999999999996E-3</v>
      </c>
      <c r="G60" s="17"/>
    </row>
    <row r="61" spans="1:7" x14ac:dyDescent="0.35">
      <c r="A61" s="13" t="s">
        <v>1212</v>
      </c>
      <c r="B61" s="41" t="s">
        <v>1213</v>
      </c>
      <c r="C61" s="41" t="s">
        <v>1188</v>
      </c>
      <c r="D61" s="15">
        <v>303279</v>
      </c>
      <c r="E61" s="16">
        <v>11152.78</v>
      </c>
      <c r="F61" s="17">
        <v>8.0999999999999996E-3</v>
      </c>
      <c r="G61" s="17"/>
    </row>
    <row r="62" spans="1:7" x14ac:dyDescent="0.35">
      <c r="A62" s="13" t="s">
        <v>2090</v>
      </c>
      <c r="B62" s="41" t="s">
        <v>2091</v>
      </c>
      <c r="C62" s="41" t="s">
        <v>1234</v>
      </c>
      <c r="D62" s="15">
        <v>395930</v>
      </c>
      <c r="E62" s="16">
        <v>11014.38</v>
      </c>
      <c r="F62" s="17">
        <v>8.0000000000000002E-3</v>
      </c>
      <c r="G62" s="17"/>
    </row>
    <row r="63" spans="1:7" x14ac:dyDescent="0.35">
      <c r="A63" s="13" t="s">
        <v>2063</v>
      </c>
      <c r="B63" s="41" t="s">
        <v>2064</v>
      </c>
      <c r="C63" s="41" t="s">
        <v>1211</v>
      </c>
      <c r="D63" s="15">
        <v>1476124</v>
      </c>
      <c r="E63" s="16">
        <v>10442.1</v>
      </c>
      <c r="F63" s="17">
        <v>7.6E-3</v>
      </c>
      <c r="G63" s="17"/>
    </row>
    <row r="64" spans="1:7" x14ac:dyDescent="0.35">
      <c r="A64" s="13" t="s">
        <v>2280</v>
      </c>
      <c r="B64" s="41" t="s">
        <v>2281</v>
      </c>
      <c r="C64" s="41" t="s">
        <v>1849</v>
      </c>
      <c r="D64" s="15">
        <v>306407</v>
      </c>
      <c r="E64" s="16">
        <v>10359.01</v>
      </c>
      <c r="F64" s="17">
        <v>7.4999999999999997E-3</v>
      </c>
      <c r="G64" s="17"/>
    </row>
    <row r="65" spans="1:7" x14ac:dyDescent="0.35">
      <c r="A65" s="13" t="s">
        <v>1484</v>
      </c>
      <c r="B65" s="41" t="s">
        <v>1485</v>
      </c>
      <c r="C65" s="41" t="s">
        <v>1201</v>
      </c>
      <c r="D65" s="15">
        <v>98730</v>
      </c>
      <c r="E65" s="16">
        <v>10313.34</v>
      </c>
      <c r="F65" s="17">
        <v>7.4999999999999997E-3</v>
      </c>
      <c r="G65" s="17"/>
    </row>
    <row r="66" spans="1:7" x14ac:dyDescent="0.35">
      <c r="A66" s="13" t="s">
        <v>1982</v>
      </c>
      <c r="B66" s="41" t="s">
        <v>1983</v>
      </c>
      <c r="C66" s="41" t="s">
        <v>1191</v>
      </c>
      <c r="D66" s="15">
        <v>1544700</v>
      </c>
      <c r="E66" s="16">
        <v>10161.81</v>
      </c>
      <c r="F66" s="17">
        <v>7.4000000000000003E-3</v>
      </c>
      <c r="G66" s="17"/>
    </row>
    <row r="67" spans="1:7" x14ac:dyDescent="0.35">
      <c r="A67" s="13" t="s">
        <v>1496</v>
      </c>
      <c r="B67" s="41" t="s">
        <v>1497</v>
      </c>
      <c r="C67" s="41" t="s">
        <v>1211</v>
      </c>
      <c r="D67" s="15">
        <v>603255</v>
      </c>
      <c r="E67" s="16">
        <v>9842.7099999999991</v>
      </c>
      <c r="F67" s="17">
        <v>7.1000000000000004E-3</v>
      </c>
      <c r="G67" s="17"/>
    </row>
    <row r="68" spans="1:7" x14ac:dyDescent="0.35">
      <c r="A68" s="13" t="s">
        <v>1818</v>
      </c>
      <c r="B68" s="41" t="s">
        <v>1819</v>
      </c>
      <c r="C68" s="41" t="s">
        <v>1382</v>
      </c>
      <c r="D68" s="15">
        <v>270994</v>
      </c>
      <c r="E68" s="16">
        <v>9815.67</v>
      </c>
      <c r="F68" s="17">
        <v>7.1000000000000004E-3</v>
      </c>
      <c r="G68" s="17"/>
    </row>
    <row r="69" spans="1:7" x14ac:dyDescent="0.35">
      <c r="A69" s="13" t="s">
        <v>2075</v>
      </c>
      <c r="B69" s="41" t="s">
        <v>2076</v>
      </c>
      <c r="C69" s="41" t="s">
        <v>1234</v>
      </c>
      <c r="D69" s="15">
        <v>443296</v>
      </c>
      <c r="E69" s="16">
        <v>9415.61</v>
      </c>
      <c r="F69" s="17">
        <v>6.7999999999999996E-3</v>
      </c>
      <c r="G69" s="17"/>
    </row>
    <row r="70" spans="1:7" x14ac:dyDescent="0.35">
      <c r="A70" s="13" t="s">
        <v>2175</v>
      </c>
      <c r="B70" s="41" t="s">
        <v>2176</v>
      </c>
      <c r="C70" s="41" t="s">
        <v>1382</v>
      </c>
      <c r="D70" s="15">
        <v>241404</v>
      </c>
      <c r="E70" s="16">
        <v>9081.14</v>
      </c>
      <c r="F70" s="17">
        <v>6.6E-3</v>
      </c>
      <c r="G70" s="17"/>
    </row>
    <row r="71" spans="1:7" x14ac:dyDescent="0.35">
      <c r="A71" s="13" t="s">
        <v>2240</v>
      </c>
      <c r="B71" s="41" t="s">
        <v>2241</v>
      </c>
      <c r="C71" s="41" t="s">
        <v>1305</v>
      </c>
      <c r="D71" s="15">
        <v>612670</v>
      </c>
      <c r="E71" s="16">
        <v>8501.41</v>
      </c>
      <c r="F71" s="17">
        <v>6.1999999999999998E-3</v>
      </c>
      <c r="G71" s="17"/>
    </row>
    <row r="72" spans="1:7" x14ac:dyDescent="0.35">
      <c r="A72" s="13" t="s">
        <v>2030</v>
      </c>
      <c r="B72" s="41" t="s">
        <v>2031</v>
      </c>
      <c r="C72" s="41" t="s">
        <v>1838</v>
      </c>
      <c r="D72" s="15">
        <v>2537185</v>
      </c>
      <c r="E72" s="16">
        <v>8115.19</v>
      </c>
      <c r="F72" s="17">
        <v>5.8999999999999999E-3</v>
      </c>
      <c r="G72" s="17"/>
    </row>
    <row r="73" spans="1:7" x14ac:dyDescent="0.35">
      <c r="A73" s="13" t="s">
        <v>2045</v>
      </c>
      <c r="B73" s="41" t="s">
        <v>2046</v>
      </c>
      <c r="C73" s="41" t="s">
        <v>1350</v>
      </c>
      <c r="D73" s="15">
        <v>1947975</v>
      </c>
      <c r="E73" s="16">
        <v>7979.88</v>
      </c>
      <c r="F73" s="17">
        <v>5.7999999999999996E-3</v>
      </c>
      <c r="G73" s="17"/>
    </row>
    <row r="74" spans="1:7" x14ac:dyDescent="0.35">
      <c r="A74" s="13" t="s">
        <v>1826</v>
      </c>
      <c r="B74" s="41" t="s">
        <v>1827</v>
      </c>
      <c r="C74" s="41" t="s">
        <v>1280</v>
      </c>
      <c r="D74" s="15">
        <v>658969</v>
      </c>
      <c r="E74" s="16">
        <v>7474.69</v>
      </c>
      <c r="F74" s="17">
        <v>5.4000000000000003E-3</v>
      </c>
      <c r="G74" s="17"/>
    </row>
    <row r="75" spans="1:7" x14ac:dyDescent="0.35">
      <c r="A75" s="13" t="s">
        <v>1569</v>
      </c>
      <c r="B75" s="41" t="s">
        <v>1570</v>
      </c>
      <c r="C75" s="41" t="s">
        <v>1201</v>
      </c>
      <c r="D75" s="15">
        <v>404458</v>
      </c>
      <c r="E75" s="16">
        <v>7348.6</v>
      </c>
      <c r="F75" s="17">
        <v>5.3E-3</v>
      </c>
      <c r="G75" s="17"/>
    </row>
    <row r="76" spans="1:7" x14ac:dyDescent="0.35">
      <c r="A76" s="13" t="s">
        <v>1810</v>
      </c>
      <c r="B76" s="41" t="s">
        <v>1811</v>
      </c>
      <c r="C76" s="41" t="s">
        <v>1382</v>
      </c>
      <c r="D76" s="15">
        <v>99374</v>
      </c>
      <c r="E76" s="16">
        <v>7271.2</v>
      </c>
      <c r="F76" s="17">
        <v>5.3E-3</v>
      </c>
      <c r="G76" s="17"/>
    </row>
    <row r="77" spans="1:7" x14ac:dyDescent="0.35">
      <c r="A77" s="13" t="s">
        <v>1952</v>
      </c>
      <c r="B77" s="41" t="s">
        <v>1953</v>
      </c>
      <c r="C77" s="41" t="s">
        <v>1266</v>
      </c>
      <c r="D77" s="15">
        <v>2247975</v>
      </c>
      <c r="E77" s="16">
        <v>6963.1</v>
      </c>
      <c r="F77" s="17">
        <v>5.0000000000000001E-3</v>
      </c>
      <c r="G77" s="17"/>
    </row>
    <row r="78" spans="1:7" x14ac:dyDescent="0.35">
      <c r="A78" s="13" t="s">
        <v>1514</v>
      </c>
      <c r="B78" s="41" t="s">
        <v>1515</v>
      </c>
      <c r="C78" s="41" t="s">
        <v>1333</v>
      </c>
      <c r="D78" s="15">
        <v>35556</v>
      </c>
      <c r="E78" s="16">
        <v>6706.57</v>
      </c>
      <c r="F78" s="17">
        <v>4.8999999999999998E-3</v>
      </c>
      <c r="G78" s="17"/>
    </row>
    <row r="79" spans="1:7" x14ac:dyDescent="0.35">
      <c r="A79" s="13" t="s">
        <v>2081</v>
      </c>
      <c r="B79" s="41" t="s">
        <v>2082</v>
      </c>
      <c r="C79" s="41" t="s">
        <v>1333</v>
      </c>
      <c r="D79" s="15">
        <v>1327321</v>
      </c>
      <c r="E79" s="16">
        <v>6669.12</v>
      </c>
      <c r="F79" s="17">
        <v>4.7999999999999996E-3</v>
      </c>
      <c r="G79" s="17"/>
    </row>
    <row r="80" spans="1:7" x14ac:dyDescent="0.35">
      <c r="A80" s="13" t="s">
        <v>1498</v>
      </c>
      <c r="B80" s="41" t="s">
        <v>1499</v>
      </c>
      <c r="C80" s="41" t="s">
        <v>1333</v>
      </c>
      <c r="D80" s="15">
        <v>1127326</v>
      </c>
      <c r="E80" s="16">
        <v>6584.15</v>
      </c>
      <c r="F80" s="17">
        <v>4.7999999999999996E-3</v>
      </c>
      <c r="G80" s="17"/>
    </row>
    <row r="81" spans="1:7" x14ac:dyDescent="0.35">
      <c r="A81" s="13" t="s">
        <v>1970</v>
      </c>
      <c r="B81" s="41" t="s">
        <v>1971</v>
      </c>
      <c r="C81" s="41" t="s">
        <v>1201</v>
      </c>
      <c r="D81" s="15">
        <v>441708</v>
      </c>
      <c r="E81" s="16">
        <v>6460.42</v>
      </c>
      <c r="F81" s="17">
        <v>4.7000000000000002E-3</v>
      </c>
      <c r="G81" s="17"/>
    </row>
    <row r="82" spans="1:7" x14ac:dyDescent="0.35">
      <c r="A82" s="13" t="s">
        <v>1925</v>
      </c>
      <c r="B82" s="41" t="s">
        <v>1926</v>
      </c>
      <c r="C82" s="41" t="s">
        <v>1419</v>
      </c>
      <c r="D82" s="15">
        <v>1658732</v>
      </c>
      <c r="E82" s="16">
        <v>6393.58</v>
      </c>
      <c r="F82" s="17">
        <v>4.5999999999999999E-3</v>
      </c>
      <c r="G82" s="17"/>
    </row>
    <row r="83" spans="1:7" x14ac:dyDescent="0.35">
      <c r="A83" s="13" t="s">
        <v>1286</v>
      </c>
      <c r="B83" s="41" t="s">
        <v>1287</v>
      </c>
      <c r="C83" s="41" t="s">
        <v>1288</v>
      </c>
      <c r="D83" s="15">
        <v>89815</v>
      </c>
      <c r="E83" s="16">
        <v>6299.18</v>
      </c>
      <c r="F83" s="17">
        <v>4.5999999999999999E-3</v>
      </c>
      <c r="G83" s="17"/>
    </row>
    <row r="84" spans="1:7" x14ac:dyDescent="0.35">
      <c r="A84" s="13" t="s">
        <v>1816</v>
      </c>
      <c r="B84" s="41" t="s">
        <v>1817</v>
      </c>
      <c r="C84" s="41" t="s">
        <v>1188</v>
      </c>
      <c r="D84" s="15">
        <v>1013707</v>
      </c>
      <c r="E84" s="16">
        <v>6297.65</v>
      </c>
      <c r="F84" s="17">
        <v>4.5999999999999999E-3</v>
      </c>
      <c r="G84" s="17"/>
    </row>
    <row r="85" spans="1:7" x14ac:dyDescent="0.35">
      <c r="A85" s="13" t="s">
        <v>2248</v>
      </c>
      <c r="B85" s="41" t="s">
        <v>2249</v>
      </c>
      <c r="C85" s="41" t="s">
        <v>1382</v>
      </c>
      <c r="D85" s="15">
        <v>225090</v>
      </c>
      <c r="E85" s="16">
        <v>5190.13</v>
      </c>
      <c r="F85" s="17">
        <v>3.8E-3</v>
      </c>
      <c r="G85" s="17"/>
    </row>
    <row r="86" spans="1:7" x14ac:dyDescent="0.35">
      <c r="A86" s="13" t="s">
        <v>2079</v>
      </c>
      <c r="B86" s="41" t="s">
        <v>2080</v>
      </c>
      <c r="C86" s="41" t="s">
        <v>1412</v>
      </c>
      <c r="D86" s="15">
        <v>2440195</v>
      </c>
      <c r="E86" s="16">
        <v>4410.8999999999996</v>
      </c>
      <c r="F86" s="17">
        <v>3.2000000000000002E-3</v>
      </c>
      <c r="G86" s="17"/>
    </row>
    <row r="87" spans="1:7" x14ac:dyDescent="0.35">
      <c r="A87" s="13" t="s">
        <v>1392</v>
      </c>
      <c r="B87" s="41" t="s">
        <v>1393</v>
      </c>
      <c r="C87" s="41" t="s">
        <v>1369</v>
      </c>
      <c r="D87" s="15">
        <v>147777</v>
      </c>
      <c r="E87" s="16">
        <v>4077.17</v>
      </c>
      <c r="F87" s="17">
        <v>3.0000000000000001E-3</v>
      </c>
      <c r="G87" s="17"/>
    </row>
    <row r="88" spans="1:7" x14ac:dyDescent="0.35">
      <c r="A88" s="13" t="s">
        <v>1276</v>
      </c>
      <c r="B88" s="41" t="s">
        <v>1277</v>
      </c>
      <c r="C88" s="41" t="s">
        <v>1261</v>
      </c>
      <c r="D88" s="15">
        <v>2612250</v>
      </c>
      <c r="E88" s="16">
        <v>3947.89</v>
      </c>
      <c r="F88" s="17">
        <v>2.8999999999999998E-3</v>
      </c>
      <c r="G88" s="17"/>
    </row>
    <row r="89" spans="1:7" x14ac:dyDescent="0.35">
      <c r="A89" s="13" t="s">
        <v>1522</v>
      </c>
      <c r="B89" s="41" t="s">
        <v>1523</v>
      </c>
      <c r="C89" s="41" t="s">
        <v>1324</v>
      </c>
      <c r="D89" s="15">
        <v>220778</v>
      </c>
      <c r="E89" s="16">
        <v>3291.58</v>
      </c>
      <c r="F89" s="17">
        <v>2.3999999999999998E-3</v>
      </c>
      <c r="G89" s="17"/>
    </row>
    <row r="90" spans="1:7" x14ac:dyDescent="0.35">
      <c r="A90" s="13" t="s">
        <v>1512</v>
      </c>
      <c r="B90" s="41" t="s">
        <v>1513</v>
      </c>
      <c r="C90" s="41" t="s">
        <v>1188</v>
      </c>
      <c r="D90" s="15">
        <v>47204</v>
      </c>
      <c r="E90" s="16">
        <v>2612.27</v>
      </c>
      <c r="F90" s="17">
        <v>1.9E-3</v>
      </c>
      <c r="G90" s="17"/>
    </row>
    <row r="91" spans="1:7" x14ac:dyDescent="0.35">
      <c r="A91" s="13" t="s">
        <v>2160</v>
      </c>
      <c r="B91" s="41" t="s">
        <v>2161</v>
      </c>
      <c r="C91" s="41" t="s">
        <v>1201</v>
      </c>
      <c r="D91" s="15">
        <v>410248</v>
      </c>
      <c r="E91" s="16">
        <v>747.68</v>
      </c>
      <c r="F91" s="17">
        <v>5.0000000000000001E-4</v>
      </c>
      <c r="G91" s="17"/>
    </row>
    <row r="92" spans="1:7" x14ac:dyDescent="0.35">
      <c r="A92" s="13" t="s">
        <v>2471</v>
      </c>
      <c r="B92" s="41" t="s">
        <v>2472</v>
      </c>
      <c r="C92" s="41" t="s">
        <v>1266</v>
      </c>
      <c r="D92" s="15">
        <v>225248</v>
      </c>
      <c r="E92" s="16">
        <v>392.27</v>
      </c>
      <c r="F92" s="17">
        <v>2.9999999999999997E-4</v>
      </c>
      <c r="G92" s="17"/>
    </row>
    <row r="93" spans="1:7" x14ac:dyDescent="0.35">
      <c r="A93" s="14" t="s">
        <v>149</v>
      </c>
      <c r="B93" s="42"/>
      <c r="C93" s="42"/>
      <c r="D93" s="18"/>
      <c r="E93" s="19">
        <v>1334996.1299999999</v>
      </c>
      <c r="F93" s="20">
        <v>0.96750000000000003</v>
      </c>
      <c r="G93" s="21"/>
    </row>
    <row r="94" spans="1:7" x14ac:dyDescent="0.35">
      <c r="A94" s="14"/>
      <c r="B94" s="42"/>
      <c r="C94" s="42"/>
      <c r="D94" s="18"/>
      <c r="E94" s="26"/>
      <c r="F94" s="21"/>
      <c r="G94" s="21"/>
    </row>
    <row r="95" spans="1:7" x14ac:dyDescent="0.35">
      <c r="A95" s="14"/>
      <c r="B95" s="42"/>
      <c r="C95" s="42"/>
      <c r="D95" s="18"/>
      <c r="E95" s="26"/>
      <c r="F95" s="21"/>
      <c r="G95" s="21"/>
    </row>
    <row r="96" spans="1:7" x14ac:dyDescent="0.35">
      <c r="A96" s="58" t="s">
        <v>147</v>
      </c>
      <c r="B96" s="42"/>
      <c r="C96" s="42"/>
      <c r="D96" s="18"/>
      <c r="E96" s="26"/>
      <c r="F96" s="21"/>
      <c r="G96" s="21"/>
    </row>
    <row r="97" spans="1:7" x14ac:dyDescent="0.35">
      <c r="A97" s="58" t="s">
        <v>1249</v>
      </c>
      <c r="B97" s="41"/>
      <c r="C97" s="41"/>
      <c r="D97" s="15"/>
      <c r="E97" s="16"/>
      <c r="F97" s="17"/>
      <c r="G97" s="17"/>
    </row>
    <row r="98" spans="1:7" x14ac:dyDescent="0.35">
      <c r="A98" s="58" t="s">
        <v>1250</v>
      </c>
      <c r="B98" s="41"/>
      <c r="C98" s="41"/>
      <c r="D98" s="15"/>
      <c r="E98" s="16"/>
      <c r="F98" s="17"/>
      <c r="G98" s="17"/>
    </row>
    <row r="99" spans="1:7" x14ac:dyDescent="0.35">
      <c r="A99" s="13" t="s">
        <v>1251</v>
      </c>
      <c r="B99" s="41" t="s">
        <v>1252</v>
      </c>
      <c r="C99" s="41" t="s">
        <v>1188</v>
      </c>
      <c r="D99" s="15">
        <v>1175900</v>
      </c>
      <c r="E99" s="16">
        <v>120.22</v>
      </c>
      <c r="F99" s="17">
        <v>1E-4</v>
      </c>
      <c r="G99" s="17">
        <v>6.3450000000000006E-2</v>
      </c>
    </row>
    <row r="100" spans="1:7" x14ac:dyDescent="0.35">
      <c r="A100" s="14" t="s">
        <v>149</v>
      </c>
      <c r="B100" s="42"/>
      <c r="C100" s="42"/>
      <c r="D100" s="18"/>
      <c r="E100" s="19">
        <v>120.22</v>
      </c>
      <c r="F100" s="20">
        <v>1E-4</v>
      </c>
      <c r="G100" s="21"/>
    </row>
    <row r="101" spans="1:7" x14ac:dyDescent="0.35">
      <c r="A101" s="22" t="s">
        <v>160</v>
      </c>
      <c r="B101" s="43"/>
      <c r="C101" s="43"/>
      <c r="D101" s="23"/>
      <c r="E101" s="24">
        <f>E100+E93</f>
        <v>1335116.3499999999</v>
      </c>
      <c r="F101" s="25">
        <f>F100+F93</f>
        <v>0.96760000000000002</v>
      </c>
      <c r="G101" s="21"/>
    </row>
    <row r="102" spans="1:7" x14ac:dyDescent="0.35">
      <c r="A102" s="13"/>
      <c r="B102" s="41"/>
      <c r="C102" s="41"/>
      <c r="D102" s="15"/>
      <c r="E102" s="16"/>
      <c r="F102" s="17"/>
      <c r="G102" s="17"/>
    </row>
    <row r="103" spans="1:7" x14ac:dyDescent="0.35">
      <c r="A103" s="13"/>
      <c r="B103" s="41"/>
      <c r="C103" s="41"/>
      <c r="D103" s="15"/>
      <c r="E103" s="16"/>
      <c r="F103" s="17"/>
      <c r="G103" s="17"/>
    </row>
    <row r="104" spans="1:7" x14ac:dyDescent="0.35">
      <c r="A104" s="14" t="s">
        <v>255</v>
      </c>
      <c r="B104" s="41"/>
      <c r="C104" s="41"/>
      <c r="D104" s="15"/>
      <c r="E104" s="16"/>
      <c r="F104" s="17"/>
      <c r="G104" s="17"/>
    </row>
    <row r="105" spans="1:7" x14ac:dyDescent="0.35">
      <c r="A105" s="13" t="s">
        <v>257</v>
      </c>
      <c r="B105" s="41"/>
      <c r="C105" s="41"/>
      <c r="D105" s="15"/>
      <c r="E105" s="16">
        <v>72732.070000000007</v>
      </c>
      <c r="F105" s="17">
        <v>5.2699999999999997E-2</v>
      </c>
      <c r="G105" s="17">
        <v>5.1742000000000003E-2</v>
      </c>
    </row>
    <row r="106" spans="1:7" x14ac:dyDescent="0.35">
      <c r="A106" s="14" t="s">
        <v>149</v>
      </c>
      <c r="B106" s="42"/>
      <c r="C106" s="42"/>
      <c r="D106" s="18"/>
      <c r="E106" s="19">
        <v>72732.070000000007</v>
      </c>
      <c r="F106" s="20">
        <v>5.2699999999999997E-2</v>
      </c>
      <c r="G106" s="21"/>
    </row>
    <row r="107" spans="1:7" x14ac:dyDescent="0.35">
      <c r="A107" s="13"/>
      <c r="B107" s="41"/>
      <c r="C107" s="41"/>
      <c r="D107" s="15"/>
      <c r="E107" s="16"/>
      <c r="F107" s="17"/>
      <c r="G107" s="17"/>
    </row>
    <row r="108" spans="1:7" x14ac:dyDescent="0.35">
      <c r="A108" s="22" t="s">
        <v>160</v>
      </c>
      <c r="B108" s="43"/>
      <c r="C108" s="43"/>
      <c r="D108" s="23"/>
      <c r="E108" s="36">
        <v>72732.070000000007</v>
      </c>
      <c r="F108" s="37">
        <v>5.2699999999999997E-2</v>
      </c>
      <c r="G108" s="21"/>
    </row>
    <row r="109" spans="1:7" x14ac:dyDescent="0.35">
      <c r="A109" s="13" t="s">
        <v>258</v>
      </c>
      <c r="B109" s="41"/>
      <c r="C109" s="41"/>
      <c r="D109" s="15"/>
      <c r="E109" s="16">
        <v>20.620836700000002</v>
      </c>
      <c r="F109" s="17">
        <v>1.4E-5</v>
      </c>
      <c r="G109" s="17"/>
    </row>
    <row r="110" spans="1:7" x14ac:dyDescent="0.35">
      <c r="A110" s="13" t="s">
        <v>259</v>
      </c>
      <c r="B110" s="41"/>
      <c r="C110" s="41"/>
      <c r="D110" s="15"/>
      <c r="E110" s="28">
        <v>-27697.580836699999</v>
      </c>
      <c r="F110" s="29">
        <v>-2.0313999999999999E-2</v>
      </c>
      <c r="G110" s="17">
        <v>5.1742000000000003E-2</v>
      </c>
    </row>
    <row r="111" spans="1:7" x14ac:dyDescent="0.35">
      <c r="A111" s="38" t="s">
        <v>260</v>
      </c>
      <c r="B111" s="44"/>
      <c r="C111" s="44"/>
      <c r="D111" s="39"/>
      <c r="E111" s="24">
        <v>1380171.46</v>
      </c>
      <c r="F111" s="25">
        <v>1</v>
      </c>
      <c r="G111" s="25"/>
    </row>
    <row r="116" spans="1:3" x14ac:dyDescent="0.35">
      <c r="A116" s="1" t="s">
        <v>263</v>
      </c>
    </row>
    <row r="117" spans="1:3" x14ac:dyDescent="0.35">
      <c r="A117" s="47" t="s">
        <v>264</v>
      </c>
      <c r="B117" s="3" t="s">
        <v>146</v>
      </c>
    </row>
    <row r="118" spans="1:3" x14ac:dyDescent="0.35">
      <c r="A118" t="s">
        <v>265</v>
      </c>
    </row>
    <row r="119" spans="1:3" x14ac:dyDescent="0.35">
      <c r="A119" t="s">
        <v>266</v>
      </c>
      <c r="B119" t="s">
        <v>267</v>
      </c>
      <c r="C119" t="s">
        <v>267</v>
      </c>
    </row>
    <row r="120" spans="1:3" x14ac:dyDescent="0.35">
      <c r="B120" s="49">
        <v>46022</v>
      </c>
      <c r="C120" s="49">
        <v>46052</v>
      </c>
    </row>
    <row r="121" spans="1:3" x14ac:dyDescent="0.35">
      <c r="A121" t="s">
        <v>272</v>
      </c>
      <c r="B121">
        <v>122.76900000000001</v>
      </c>
      <c r="C121">
        <v>119.955</v>
      </c>
    </row>
    <row r="122" spans="1:3" x14ac:dyDescent="0.35">
      <c r="A122" t="s">
        <v>273</v>
      </c>
      <c r="B122">
        <v>89.52</v>
      </c>
      <c r="C122">
        <v>87.468000000000004</v>
      </c>
    </row>
    <row r="123" spans="1:3" x14ac:dyDescent="0.35">
      <c r="A123" t="s">
        <v>708</v>
      </c>
      <c r="B123">
        <v>104.547</v>
      </c>
      <c r="C123">
        <v>102.045</v>
      </c>
    </row>
    <row r="124" spans="1:3" x14ac:dyDescent="0.35">
      <c r="A124" t="s">
        <v>709</v>
      </c>
      <c r="B124">
        <v>60.274000000000001</v>
      </c>
      <c r="C124">
        <v>58.831000000000003</v>
      </c>
    </row>
    <row r="126" spans="1:3" x14ac:dyDescent="0.35">
      <c r="A126" t="s">
        <v>283</v>
      </c>
      <c r="B126" s="3" t="s">
        <v>146</v>
      </c>
    </row>
    <row r="127" spans="1:3" x14ac:dyDescent="0.35">
      <c r="A127" t="s">
        <v>284</v>
      </c>
      <c r="B127" s="3" t="s">
        <v>146</v>
      </c>
    </row>
    <row r="128" spans="1:3" ht="29" customHeight="1" x14ac:dyDescent="0.35">
      <c r="A128" s="47" t="s">
        <v>285</v>
      </c>
      <c r="B128" s="3" t="s">
        <v>146</v>
      </c>
    </row>
    <row r="129" spans="1:4" ht="29" customHeight="1" x14ac:dyDescent="0.35">
      <c r="A129" s="47" t="s">
        <v>286</v>
      </c>
      <c r="B129" s="3" t="s">
        <v>146</v>
      </c>
    </row>
    <row r="130" spans="1:4" x14ac:dyDescent="0.35">
      <c r="A130" t="s">
        <v>1253</v>
      </c>
      <c r="B130" s="48">
        <v>0.4128</v>
      </c>
    </row>
    <row r="131" spans="1:4" ht="43.5" customHeight="1" x14ac:dyDescent="0.35">
      <c r="A131" s="47" t="s">
        <v>288</v>
      </c>
      <c r="B131" s="3" t="s">
        <v>146</v>
      </c>
    </row>
    <row r="132" spans="1:4" x14ac:dyDescent="0.35">
      <c r="B132" s="3"/>
    </row>
    <row r="133" spans="1:4" ht="29" customHeight="1" x14ac:dyDescent="0.35">
      <c r="A133" s="47" t="s">
        <v>289</v>
      </c>
      <c r="B133" s="3" t="s">
        <v>146</v>
      </c>
    </row>
    <row r="134" spans="1:4" ht="29" customHeight="1" x14ac:dyDescent="0.35">
      <c r="A134" s="47" t="s">
        <v>290</v>
      </c>
      <c r="B134" t="s">
        <v>146</v>
      </c>
    </row>
    <row r="135" spans="1:4" ht="29" customHeight="1" x14ac:dyDescent="0.35">
      <c r="A135" s="47" t="s">
        <v>291</v>
      </c>
      <c r="B135" s="3" t="s">
        <v>146</v>
      </c>
    </row>
    <row r="136" spans="1:4" ht="29" customHeight="1" x14ac:dyDescent="0.35">
      <c r="A136" s="47" t="s">
        <v>292</v>
      </c>
      <c r="B136" s="3" t="s">
        <v>146</v>
      </c>
    </row>
    <row r="138" spans="1:4" ht="70" customHeight="1" x14ac:dyDescent="0.35">
      <c r="A138" s="70" t="s">
        <v>303</v>
      </c>
      <c r="B138" s="70" t="s">
        <v>304</v>
      </c>
      <c r="C138" s="70" t="s">
        <v>4</v>
      </c>
      <c r="D138" s="70" t="s">
        <v>5</v>
      </c>
    </row>
    <row r="139" spans="1:4" ht="70" customHeight="1" x14ac:dyDescent="0.35">
      <c r="A139" s="70" t="s">
        <v>2849</v>
      </c>
      <c r="B139" s="70"/>
      <c r="C139" s="70" t="s">
        <v>109</v>
      </c>
      <c r="D13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G131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2850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2851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1196</v>
      </c>
      <c r="B8" s="41" t="s">
        <v>1197</v>
      </c>
      <c r="C8" s="41" t="s">
        <v>1198</v>
      </c>
      <c r="D8" s="15">
        <v>378155</v>
      </c>
      <c r="E8" s="16">
        <v>7444.74</v>
      </c>
      <c r="F8" s="17">
        <v>0.1024</v>
      </c>
      <c r="G8" s="17"/>
    </row>
    <row r="9" spans="1:7" x14ac:dyDescent="0.35">
      <c r="A9" s="13" t="s">
        <v>1367</v>
      </c>
      <c r="B9" s="41" t="s">
        <v>1368</v>
      </c>
      <c r="C9" s="41" t="s">
        <v>1369</v>
      </c>
      <c r="D9" s="15">
        <v>371482</v>
      </c>
      <c r="E9" s="16">
        <v>6096.02</v>
      </c>
      <c r="F9" s="17">
        <v>8.3900000000000002E-2</v>
      </c>
      <c r="G9" s="17"/>
    </row>
    <row r="10" spans="1:7" x14ac:dyDescent="0.35">
      <c r="A10" s="13" t="s">
        <v>1394</v>
      </c>
      <c r="B10" s="41" t="s">
        <v>1395</v>
      </c>
      <c r="C10" s="41" t="s">
        <v>1369</v>
      </c>
      <c r="D10" s="15">
        <v>283293</v>
      </c>
      <c r="E10" s="16">
        <v>4938.08</v>
      </c>
      <c r="F10" s="17">
        <v>6.7900000000000002E-2</v>
      </c>
      <c r="G10" s="17"/>
    </row>
    <row r="11" spans="1:7" x14ac:dyDescent="0.35">
      <c r="A11" s="13" t="s">
        <v>1502</v>
      </c>
      <c r="B11" s="41" t="s">
        <v>1503</v>
      </c>
      <c r="C11" s="41" t="s">
        <v>1369</v>
      </c>
      <c r="D11" s="15">
        <v>224418</v>
      </c>
      <c r="E11" s="16">
        <v>3805.23</v>
      </c>
      <c r="F11" s="17">
        <v>5.2400000000000002E-2</v>
      </c>
      <c r="G11" s="17"/>
    </row>
    <row r="12" spans="1:7" x14ac:dyDescent="0.35">
      <c r="A12" s="13" t="s">
        <v>1392</v>
      </c>
      <c r="B12" s="41" t="s">
        <v>1393</v>
      </c>
      <c r="C12" s="41" t="s">
        <v>1369</v>
      </c>
      <c r="D12" s="15">
        <v>110353</v>
      </c>
      <c r="E12" s="16">
        <v>3044.64</v>
      </c>
      <c r="F12" s="17">
        <v>4.19E-2</v>
      </c>
      <c r="G12" s="17"/>
    </row>
    <row r="13" spans="1:7" x14ac:dyDescent="0.35">
      <c r="A13" s="13" t="s">
        <v>1533</v>
      </c>
      <c r="B13" s="41" t="s">
        <v>1534</v>
      </c>
      <c r="C13" s="41" t="s">
        <v>1369</v>
      </c>
      <c r="D13" s="15">
        <v>49644</v>
      </c>
      <c r="E13" s="16">
        <v>2965.98</v>
      </c>
      <c r="F13" s="17">
        <v>4.0800000000000003E-2</v>
      </c>
      <c r="G13" s="17"/>
    </row>
    <row r="14" spans="1:7" x14ac:dyDescent="0.35">
      <c r="A14" s="13" t="s">
        <v>1547</v>
      </c>
      <c r="B14" s="41" t="s">
        <v>1548</v>
      </c>
      <c r="C14" s="41" t="s">
        <v>1369</v>
      </c>
      <c r="D14" s="15">
        <v>43323</v>
      </c>
      <c r="E14" s="16">
        <v>2614.54</v>
      </c>
      <c r="F14" s="17">
        <v>3.5999999999999997E-2</v>
      </c>
      <c r="G14" s="17"/>
    </row>
    <row r="15" spans="1:7" x14ac:dyDescent="0.35">
      <c r="A15" s="13" t="s">
        <v>1264</v>
      </c>
      <c r="B15" s="41" t="s">
        <v>1265</v>
      </c>
      <c r="C15" s="41" t="s">
        <v>1266</v>
      </c>
      <c r="D15" s="15">
        <v>840789</v>
      </c>
      <c r="E15" s="16">
        <v>2300.4</v>
      </c>
      <c r="F15" s="17">
        <v>3.1600000000000003E-2</v>
      </c>
      <c r="G15" s="17"/>
    </row>
    <row r="16" spans="1:7" x14ac:dyDescent="0.35">
      <c r="A16" s="13" t="s">
        <v>1816</v>
      </c>
      <c r="B16" s="41" t="s">
        <v>1817</v>
      </c>
      <c r="C16" s="41" t="s">
        <v>1188</v>
      </c>
      <c r="D16" s="15">
        <v>322528</v>
      </c>
      <c r="E16" s="16">
        <v>2003.71</v>
      </c>
      <c r="F16" s="17">
        <v>2.76E-2</v>
      </c>
      <c r="G16" s="17"/>
    </row>
    <row r="17" spans="1:7" x14ac:dyDescent="0.35">
      <c r="A17" s="13" t="s">
        <v>1531</v>
      </c>
      <c r="B17" s="41" t="s">
        <v>1532</v>
      </c>
      <c r="C17" s="41" t="s">
        <v>1369</v>
      </c>
      <c r="D17" s="15">
        <v>118646</v>
      </c>
      <c r="E17" s="16">
        <v>1962.17</v>
      </c>
      <c r="F17" s="17">
        <v>2.7E-2</v>
      </c>
      <c r="G17" s="17"/>
    </row>
    <row r="18" spans="1:7" x14ac:dyDescent="0.35">
      <c r="A18" s="13" t="s">
        <v>1463</v>
      </c>
      <c r="B18" s="41" t="s">
        <v>1464</v>
      </c>
      <c r="C18" s="41" t="s">
        <v>1465</v>
      </c>
      <c r="D18" s="15">
        <v>108297</v>
      </c>
      <c r="E18" s="16">
        <v>1791.77</v>
      </c>
      <c r="F18" s="17">
        <v>2.47E-2</v>
      </c>
      <c r="G18" s="17"/>
    </row>
    <row r="19" spans="1:7" x14ac:dyDescent="0.35">
      <c r="A19" s="13" t="s">
        <v>1478</v>
      </c>
      <c r="B19" s="41" t="s">
        <v>1479</v>
      </c>
      <c r="C19" s="41" t="s">
        <v>1369</v>
      </c>
      <c r="D19" s="15">
        <v>50605</v>
      </c>
      <c r="E19" s="16">
        <v>1580.85</v>
      </c>
      <c r="F19" s="17">
        <v>2.1700000000000001E-2</v>
      </c>
      <c r="G19" s="17"/>
    </row>
    <row r="20" spans="1:7" x14ac:dyDescent="0.35">
      <c r="A20" s="13" t="s">
        <v>2043</v>
      </c>
      <c r="B20" s="41" t="s">
        <v>2044</v>
      </c>
      <c r="C20" s="41" t="s">
        <v>1369</v>
      </c>
      <c r="D20" s="15">
        <v>196893</v>
      </c>
      <c r="E20" s="16">
        <v>1280.2</v>
      </c>
      <c r="F20" s="17">
        <v>1.7600000000000001E-2</v>
      </c>
      <c r="G20" s="17"/>
    </row>
    <row r="21" spans="1:7" x14ac:dyDescent="0.35">
      <c r="A21" s="13" t="s">
        <v>2047</v>
      </c>
      <c r="B21" s="41" t="s">
        <v>2048</v>
      </c>
      <c r="C21" s="41" t="s">
        <v>1211</v>
      </c>
      <c r="D21" s="15">
        <v>82768</v>
      </c>
      <c r="E21" s="16">
        <v>975.59</v>
      </c>
      <c r="F21" s="17">
        <v>1.34E-2</v>
      </c>
      <c r="G21" s="17"/>
    </row>
    <row r="22" spans="1:7" x14ac:dyDescent="0.35">
      <c r="A22" s="13" t="s">
        <v>1303</v>
      </c>
      <c r="B22" s="41" t="s">
        <v>1304</v>
      </c>
      <c r="C22" s="41" t="s">
        <v>1305</v>
      </c>
      <c r="D22" s="15">
        <v>207288</v>
      </c>
      <c r="E22" s="16">
        <v>953.11</v>
      </c>
      <c r="F22" s="17">
        <v>1.3100000000000001E-2</v>
      </c>
      <c r="G22" s="17"/>
    </row>
    <row r="23" spans="1:7" x14ac:dyDescent="0.35">
      <c r="A23" s="13" t="s">
        <v>1385</v>
      </c>
      <c r="B23" s="41" t="s">
        <v>1386</v>
      </c>
      <c r="C23" s="41" t="s">
        <v>1387</v>
      </c>
      <c r="D23" s="15">
        <v>22624</v>
      </c>
      <c r="E23" s="16">
        <v>889.64</v>
      </c>
      <c r="F23" s="17">
        <v>1.2200000000000001E-2</v>
      </c>
      <c r="G23" s="17"/>
    </row>
    <row r="24" spans="1:7" x14ac:dyDescent="0.35">
      <c r="A24" s="13" t="s">
        <v>2077</v>
      </c>
      <c r="B24" s="41" t="s">
        <v>2078</v>
      </c>
      <c r="C24" s="41" t="s">
        <v>1369</v>
      </c>
      <c r="D24" s="15">
        <v>193424</v>
      </c>
      <c r="E24" s="16">
        <v>808.61</v>
      </c>
      <c r="F24" s="17">
        <v>1.11E-2</v>
      </c>
      <c r="G24" s="17"/>
    </row>
    <row r="25" spans="1:7" x14ac:dyDescent="0.35">
      <c r="A25" s="13" t="s">
        <v>1484</v>
      </c>
      <c r="B25" s="41" t="s">
        <v>1485</v>
      </c>
      <c r="C25" s="41" t="s">
        <v>1201</v>
      </c>
      <c r="D25" s="15">
        <v>7087</v>
      </c>
      <c r="E25" s="16">
        <v>740.31</v>
      </c>
      <c r="F25" s="17">
        <v>1.0200000000000001E-2</v>
      </c>
      <c r="G25" s="17"/>
    </row>
    <row r="26" spans="1:7" x14ac:dyDescent="0.35">
      <c r="A26" s="13" t="s">
        <v>2613</v>
      </c>
      <c r="B26" s="41" t="s">
        <v>2614</v>
      </c>
      <c r="C26" s="41" t="s">
        <v>1285</v>
      </c>
      <c r="D26" s="15">
        <v>26423</v>
      </c>
      <c r="E26" s="16">
        <v>705.97</v>
      </c>
      <c r="F26" s="17">
        <v>9.7000000000000003E-3</v>
      </c>
      <c r="G26" s="17"/>
    </row>
    <row r="27" spans="1:7" x14ac:dyDescent="0.35">
      <c r="A27" s="13" t="s">
        <v>1482</v>
      </c>
      <c r="B27" s="41" t="s">
        <v>1483</v>
      </c>
      <c r="C27" s="41" t="s">
        <v>1382</v>
      </c>
      <c r="D27" s="15">
        <v>129707</v>
      </c>
      <c r="E27" s="16">
        <v>643.02</v>
      </c>
      <c r="F27" s="17">
        <v>8.8000000000000005E-3</v>
      </c>
      <c r="G27" s="17"/>
    </row>
    <row r="28" spans="1:7" x14ac:dyDescent="0.35">
      <c r="A28" s="13" t="s">
        <v>2124</v>
      </c>
      <c r="B28" s="41" t="s">
        <v>2125</v>
      </c>
      <c r="C28" s="41" t="s">
        <v>1838</v>
      </c>
      <c r="D28" s="15">
        <v>46319</v>
      </c>
      <c r="E28" s="16">
        <v>641.29</v>
      </c>
      <c r="F28" s="17">
        <v>8.8000000000000005E-3</v>
      </c>
      <c r="G28" s="17"/>
    </row>
    <row r="29" spans="1:7" x14ac:dyDescent="0.35">
      <c r="A29" s="13" t="s">
        <v>1537</v>
      </c>
      <c r="B29" s="41" t="s">
        <v>1538</v>
      </c>
      <c r="C29" s="41" t="s">
        <v>1369</v>
      </c>
      <c r="D29" s="15">
        <v>6757</v>
      </c>
      <c r="E29" s="16">
        <v>524.34</v>
      </c>
      <c r="F29" s="17">
        <v>7.1999999999999998E-3</v>
      </c>
      <c r="G29" s="17"/>
    </row>
    <row r="30" spans="1:7" x14ac:dyDescent="0.35">
      <c r="A30" s="13" t="s">
        <v>1960</v>
      </c>
      <c r="B30" s="41" t="s">
        <v>1961</v>
      </c>
      <c r="C30" s="41" t="s">
        <v>1412</v>
      </c>
      <c r="D30" s="15">
        <v>33244</v>
      </c>
      <c r="E30" s="16">
        <v>462.82</v>
      </c>
      <c r="F30" s="17">
        <v>6.4000000000000003E-3</v>
      </c>
      <c r="G30" s="17"/>
    </row>
    <row r="31" spans="1:7" x14ac:dyDescent="0.35">
      <c r="A31" s="13" t="s">
        <v>1500</v>
      </c>
      <c r="B31" s="41" t="s">
        <v>1501</v>
      </c>
      <c r="C31" s="41" t="s">
        <v>1369</v>
      </c>
      <c r="D31" s="15">
        <v>38638</v>
      </c>
      <c r="E31" s="16">
        <v>402.57</v>
      </c>
      <c r="F31" s="17">
        <v>5.4999999999999997E-3</v>
      </c>
      <c r="G31" s="17"/>
    </row>
    <row r="32" spans="1:7" x14ac:dyDescent="0.35">
      <c r="A32" s="13" t="s">
        <v>2228</v>
      </c>
      <c r="B32" s="41" t="s">
        <v>2229</v>
      </c>
      <c r="C32" s="41" t="s">
        <v>1333</v>
      </c>
      <c r="D32" s="15">
        <v>6750</v>
      </c>
      <c r="E32" s="16">
        <v>376.55</v>
      </c>
      <c r="F32" s="17">
        <v>5.1999999999999998E-3</v>
      </c>
      <c r="G32" s="17"/>
    </row>
    <row r="33" spans="1:7" x14ac:dyDescent="0.35">
      <c r="A33" s="13" t="s">
        <v>2037</v>
      </c>
      <c r="B33" s="41" t="s">
        <v>2038</v>
      </c>
      <c r="C33" s="41" t="s">
        <v>1526</v>
      </c>
      <c r="D33" s="15">
        <v>11817</v>
      </c>
      <c r="E33" s="16">
        <v>371.61</v>
      </c>
      <c r="F33" s="17">
        <v>5.1000000000000004E-3</v>
      </c>
      <c r="G33" s="17"/>
    </row>
    <row r="34" spans="1:7" x14ac:dyDescent="0.35">
      <c r="A34" s="13" t="s">
        <v>1545</v>
      </c>
      <c r="B34" s="41" t="s">
        <v>1546</v>
      </c>
      <c r="C34" s="41" t="s">
        <v>1436</v>
      </c>
      <c r="D34" s="15">
        <v>9654</v>
      </c>
      <c r="E34" s="16">
        <v>335.52</v>
      </c>
      <c r="F34" s="17">
        <v>4.5999999999999999E-3</v>
      </c>
      <c r="G34" s="17"/>
    </row>
    <row r="35" spans="1:7" x14ac:dyDescent="0.35">
      <c r="A35" s="13" t="s">
        <v>2028</v>
      </c>
      <c r="B35" s="41" t="s">
        <v>2029</v>
      </c>
      <c r="C35" s="41" t="s">
        <v>1849</v>
      </c>
      <c r="D35" s="15">
        <v>35026</v>
      </c>
      <c r="E35" s="16">
        <v>160.59</v>
      </c>
      <c r="F35" s="17">
        <v>2.2000000000000001E-3</v>
      </c>
      <c r="G35" s="17"/>
    </row>
    <row r="36" spans="1:7" x14ac:dyDescent="0.35">
      <c r="A36" s="13" t="s">
        <v>1516</v>
      </c>
      <c r="B36" s="41" t="s">
        <v>1517</v>
      </c>
      <c r="C36" s="41" t="s">
        <v>1188</v>
      </c>
      <c r="D36" s="15">
        <v>35026</v>
      </c>
      <c r="E36" s="16">
        <v>122.61</v>
      </c>
      <c r="F36" s="17">
        <v>1.6999999999999999E-3</v>
      </c>
      <c r="G36" s="17"/>
    </row>
    <row r="37" spans="1:7" x14ac:dyDescent="0.35">
      <c r="A37" s="14" t="s">
        <v>149</v>
      </c>
      <c r="B37" s="42"/>
      <c r="C37" s="42"/>
      <c r="D37" s="18"/>
      <c r="E37" s="36">
        <v>50942.48</v>
      </c>
      <c r="F37" s="37">
        <v>0.70069999999999999</v>
      </c>
      <c r="G37" s="21"/>
    </row>
    <row r="38" spans="1:7" x14ac:dyDescent="0.35">
      <c r="A38" s="14" t="s">
        <v>1914</v>
      </c>
      <c r="B38" s="41"/>
      <c r="C38" s="41"/>
      <c r="D38" s="15"/>
      <c r="E38" s="16"/>
      <c r="F38" s="17"/>
      <c r="G38" s="17"/>
    </row>
    <row r="39" spans="1:7" x14ac:dyDescent="0.35">
      <c r="A39" s="14" t="s">
        <v>149</v>
      </c>
      <c r="B39" s="41"/>
      <c r="C39" s="41"/>
      <c r="D39" s="15"/>
      <c r="E39" s="45" t="s">
        <v>146</v>
      </c>
      <c r="F39" s="46" t="s">
        <v>146</v>
      </c>
      <c r="G39" s="17"/>
    </row>
    <row r="40" spans="1:7" x14ac:dyDescent="0.35">
      <c r="A40" s="13"/>
      <c r="B40" s="41"/>
      <c r="C40" s="41"/>
      <c r="D40" s="15"/>
      <c r="E40" s="16"/>
      <c r="F40" s="17"/>
      <c r="G40" s="17"/>
    </row>
    <row r="41" spans="1:7" x14ac:dyDescent="0.35">
      <c r="A41" s="14" t="s">
        <v>2852</v>
      </c>
      <c r="B41" s="41"/>
      <c r="C41" s="41"/>
      <c r="D41" s="15"/>
      <c r="E41" s="16"/>
      <c r="F41" s="17"/>
      <c r="G41" s="17"/>
    </row>
    <row r="42" spans="1:7" x14ac:dyDescent="0.35">
      <c r="A42" s="13" t="s">
        <v>2853</v>
      </c>
      <c r="B42" s="41" t="s">
        <v>2854</v>
      </c>
      <c r="C42" s="41" t="s">
        <v>2855</v>
      </c>
      <c r="D42" s="15">
        <v>26886</v>
      </c>
      <c r="E42" s="16">
        <v>4722.3999999999996</v>
      </c>
      <c r="F42" s="17">
        <v>6.5000000000000002E-2</v>
      </c>
      <c r="G42" s="17"/>
    </row>
    <row r="43" spans="1:7" x14ac:dyDescent="0.35">
      <c r="A43" s="13" t="s">
        <v>2856</v>
      </c>
      <c r="B43" s="41" t="s">
        <v>2857</v>
      </c>
      <c r="C43" s="41" t="s">
        <v>2858</v>
      </c>
      <c r="D43" s="15">
        <v>16710</v>
      </c>
      <c r="E43" s="16">
        <v>3984.63</v>
      </c>
      <c r="F43" s="17">
        <v>5.4800000000000001E-2</v>
      </c>
      <c r="G43" s="17"/>
    </row>
    <row r="44" spans="1:7" x14ac:dyDescent="0.35">
      <c r="A44" s="13" t="s">
        <v>2859</v>
      </c>
      <c r="B44" s="41" t="s">
        <v>2860</v>
      </c>
      <c r="C44" s="41" t="s">
        <v>2861</v>
      </c>
      <c r="D44" s="15">
        <v>8477</v>
      </c>
      <c r="E44" s="16">
        <v>3352.05</v>
      </c>
      <c r="F44" s="17">
        <v>4.6100000000000002E-2</v>
      </c>
      <c r="G44" s="17"/>
    </row>
    <row r="45" spans="1:7" x14ac:dyDescent="0.35">
      <c r="A45" s="13" t="s">
        <v>2862</v>
      </c>
      <c r="B45" s="41" t="s">
        <v>2863</v>
      </c>
      <c r="C45" s="41" t="s">
        <v>1966</v>
      </c>
      <c r="D45" s="15">
        <v>5222</v>
      </c>
      <c r="E45" s="16">
        <v>1589.89</v>
      </c>
      <c r="F45" s="17">
        <v>2.1899999999999999E-2</v>
      </c>
      <c r="G45" s="17"/>
    </row>
    <row r="46" spans="1:7" x14ac:dyDescent="0.35">
      <c r="A46" s="13" t="s">
        <v>2864</v>
      </c>
      <c r="B46" s="41" t="s">
        <v>2865</v>
      </c>
      <c r="C46" s="41" t="s">
        <v>2861</v>
      </c>
      <c r="D46" s="15">
        <v>1261</v>
      </c>
      <c r="E46" s="16">
        <v>480.78</v>
      </c>
      <c r="F46" s="17">
        <v>6.6E-3</v>
      </c>
      <c r="G46" s="17"/>
    </row>
    <row r="47" spans="1:7" x14ac:dyDescent="0.35">
      <c r="A47" s="13" t="s">
        <v>2866</v>
      </c>
      <c r="B47" s="41" t="s">
        <v>2867</v>
      </c>
      <c r="C47" s="41" t="s">
        <v>2858</v>
      </c>
      <c r="D47" s="15">
        <v>1835</v>
      </c>
      <c r="E47" s="16">
        <v>399.21</v>
      </c>
      <c r="F47" s="17">
        <v>5.4999999999999997E-3</v>
      </c>
      <c r="G47" s="17"/>
    </row>
    <row r="48" spans="1:7" x14ac:dyDescent="0.35">
      <c r="A48" s="13" t="s">
        <v>2868</v>
      </c>
      <c r="B48" s="41" t="s">
        <v>2869</v>
      </c>
      <c r="C48" s="41" t="s">
        <v>2861</v>
      </c>
      <c r="D48" s="15">
        <v>2434</v>
      </c>
      <c r="E48" s="16">
        <v>327.89</v>
      </c>
      <c r="F48" s="17">
        <v>4.4999999999999997E-3</v>
      </c>
      <c r="G48" s="17"/>
    </row>
    <row r="49" spans="1:7" x14ac:dyDescent="0.35">
      <c r="A49" s="13" t="s">
        <v>2870</v>
      </c>
      <c r="B49" s="41" t="s">
        <v>2871</v>
      </c>
      <c r="C49" s="41" t="s">
        <v>2861</v>
      </c>
      <c r="D49" s="15">
        <v>1474</v>
      </c>
      <c r="E49" s="16">
        <v>316.24</v>
      </c>
      <c r="F49" s="17">
        <v>4.4000000000000003E-3</v>
      </c>
      <c r="G49" s="17"/>
    </row>
    <row r="50" spans="1:7" x14ac:dyDescent="0.35">
      <c r="A50" s="13" t="s">
        <v>2872</v>
      </c>
      <c r="B50" s="41" t="s">
        <v>2873</v>
      </c>
      <c r="C50" s="41" t="s">
        <v>1966</v>
      </c>
      <c r="D50" s="15">
        <v>4149</v>
      </c>
      <c r="E50" s="16">
        <v>298.62</v>
      </c>
      <c r="F50" s="17">
        <v>4.1000000000000003E-3</v>
      </c>
      <c r="G50" s="17"/>
    </row>
    <row r="51" spans="1:7" x14ac:dyDescent="0.35">
      <c r="A51" s="13" t="s">
        <v>2874</v>
      </c>
      <c r="B51" s="41" t="s">
        <v>2875</v>
      </c>
      <c r="C51" s="41" t="s">
        <v>2876</v>
      </c>
      <c r="D51" s="15">
        <v>1043</v>
      </c>
      <c r="E51" s="16">
        <v>293.97000000000003</v>
      </c>
      <c r="F51" s="17">
        <v>4.0000000000000001E-3</v>
      </c>
      <c r="G51" s="17"/>
    </row>
    <row r="52" spans="1:7" x14ac:dyDescent="0.35">
      <c r="A52" s="13" t="s">
        <v>2877</v>
      </c>
      <c r="B52" s="41" t="s">
        <v>2878</v>
      </c>
      <c r="C52" s="41" t="s">
        <v>2861</v>
      </c>
      <c r="D52" s="15">
        <v>1846</v>
      </c>
      <c r="E52" s="16">
        <v>279.2</v>
      </c>
      <c r="F52" s="17">
        <v>3.8E-3</v>
      </c>
      <c r="G52" s="17"/>
    </row>
    <row r="53" spans="1:7" x14ac:dyDescent="0.35">
      <c r="A53" s="13" t="s">
        <v>2879</v>
      </c>
      <c r="B53" s="41" t="s">
        <v>2880</v>
      </c>
      <c r="C53" s="41" t="s">
        <v>2858</v>
      </c>
      <c r="D53" s="15">
        <v>936</v>
      </c>
      <c r="E53" s="16">
        <v>277.25</v>
      </c>
      <c r="F53" s="17">
        <v>3.8E-3</v>
      </c>
      <c r="G53" s="17"/>
    </row>
    <row r="54" spans="1:7" x14ac:dyDescent="0.35">
      <c r="A54" s="13" t="s">
        <v>2881</v>
      </c>
      <c r="B54" s="41" t="s">
        <v>2882</v>
      </c>
      <c r="C54" s="41" t="s">
        <v>2876</v>
      </c>
      <c r="D54" s="15">
        <v>4877</v>
      </c>
      <c r="E54" s="16">
        <v>208.27</v>
      </c>
      <c r="F54" s="17">
        <v>2.8999999999999998E-3</v>
      </c>
      <c r="G54" s="17"/>
    </row>
    <row r="55" spans="1:7" x14ac:dyDescent="0.35">
      <c r="A55" s="13" t="s">
        <v>2883</v>
      </c>
      <c r="B55" s="41" t="s">
        <v>2884</v>
      </c>
      <c r="C55" s="41" t="s">
        <v>2861</v>
      </c>
      <c r="D55" s="15">
        <v>1040</v>
      </c>
      <c r="E55" s="16">
        <v>206.01</v>
      </c>
      <c r="F55" s="17">
        <v>2.8E-3</v>
      </c>
      <c r="G55" s="17"/>
    </row>
    <row r="56" spans="1:7" x14ac:dyDescent="0.35">
      <c r="A56" s="13" t="s">
        <v>2885</v>
      </c>
      <c r="B56" s="41" t="s">
        <v>2886</v>
      </c>
      <c r="C56" s="41" t="s">
        <v>2861</v>
      </c>
      <c r="D56" s="15">
        <v>1046</v>
      </c>
      <c r="E56" s="16">
        <v>204.07</v>
      </c>
      <c r="F56" s="17">
        <v>2.8E-3</v>
      </c>
      <c r="G56" s="17"/>
    </row>
    <row r="57" spans="1:7" x14ac:dyDescent="0.35">
      <c r="A57" s="13" t="s">
        <v>2887</v>
      </c>
      <c r="B57" s="41" t="s">
        <v>2888</v>
      </c>
      <c r="C57" s="41" t="s">
        <v>2861</v>
      </c>
      <c r="D57" s="15">
        <v>152</v>
      </c>
      <c r="E57" s="16">
        <v>199.46</v>
      </c>
      <c r="F57" s="17">
        <v>2.7000000000000001E-3</v>
      </c>
      <c r="G57" s="17"/>
    </row>
    <row r="58" spans="1:7" x14ac:dyDescent="0.35">
      <c r="A58" s="13" t="s">
        <v>2889</v>
      </c>
      <c r="B58" s="41" t="s">
        <v>2890</v>
      </c>
      <c r="C58" s="41" t="s">
        <v>2858</v>
      </c>
      <c r="D58" s="15">
        <v>1366</v>
      </c>
      <c r="E58" s="16">
        <v>180.87</v>
      </c>
      <c r="F58" s="17">
        <v>2.5000000000000001E-3</v>
      </c>
      <c r="G58" s="17"/>
    </row>
    <row r="59" spans="1:7" x14ac:dyDescent="0.35">
      <c r="A59" s="13" t="s">
        <v>2891</v>
      </c>
      <c r="B59" s="41" t="s">
        <v>2892</v>
      </c>
      <c r="C59" s="41" t="s">
        <v>2861</v>
      </c>
      <c r="D59" s="15">
        <v>1269</v>
      </c>
      <c r="E59" s="16">
        <v>176.78</v>
      </c>
      <c r="F59" s="17">
        <v>2.3999999999999998E-3</v>
      </c>
      <c r="G59" s="17"/>
    </row>
    <row r="60" spans="1:7" x14ac:dyDescent="0.35">
      <c r="A60" s="13" t="s">
        <v>2893</v>
      </c>
      <c r="B60" s="41" t="s">
        <v>2894</v>
      </c>
      <c r="C60" s="41" t="s">
        <v>2858</v>
      </c>
      <c r="D60" s="15">
        <v>714</v>
      </c>
      <c r="E60" s="16">
        <v>172.99</v>
      </c>
      <c r="F60" s="17">
        <v>2.3999999999999998E-3</v>
      </c>
      <c r="G60" s="17"/>
    </row>
    <row r="61" spans="1:7" x14ac:dyDescent="0.35">
      <c r="A61" s="13" t="s">
        <v>2895</v>
      </c>
      <c r="B61" s="41" t="s">
        <v>2896</v>
      </c>
      <c r="C61" s="41" t="s">
        <v>2858</v>
      </c>
      <c r="D61" s="15">
        <v>563</v>
      </c>
      <c r="E61" s="16">
        <v>160.85</v>
      </c>
      <c r="F61" s="17">
        <v>2.2000000000000001E-3</v>
      </c>
      <c r="G61" s="17"/>
    </row>
    <row r="62" spans="1:7" x14ac:dyDescent="0.35">
      <c r="A62" s="13" t="s">
        <v>2897</v>
      </c>
      <c r="B62" s="41" t="s">
        <v>2898</v>
      </c>
      <c r="C62" s="41" t="s">
        <v>2858</v>
      </c>
      <c r="D62" s="15">
        <v>1119</v>
      </c>
      <c r="E62" s="16">
        <v>145.76</v>
      </c>
      <c r="F62" s="17">
        <v>2E-3</v>
      </c>
      <c r="G62" s="17"/>
    </row>
    <row r="63" spans="1:7" x14ac:dyDescent="0.35">
      <c r="A63" s="13" t="s">
        <v>2899</v>
      </c>
      <c r="B63" s="41" t="s">
        <v>2900</v>
      </c>
      <c r="C63" s="41" t="s">
        <v>2876</v>
      </c>
      <c r="D63" s="15">
        <v>311</v>
      </c>
      <c r="E63" s="16">
        <v>142.59</v>
      </c>
      <c r="F63" s="17">
        <v>2E-3</v>
      </c>
      <c r="G63" s="17"/>
    </row>
    <row r="64" spans="1:7" x14ac:dyDescent="0.35">
      <c r="A64" s="13" t="s">
        <v>2901</v>
      </c>
      <c r="B64" s="41" t="s">
        <v>2902</v>
      </c>
      <c r="C64" s="41" t="s">
        <v>2858</v>
      </c>
      <c r="D64" s="15">
        <v>501</v>
      </c>
      <c r="E64" s="16">
        <v>135.02000000000001</v>
      </c>
      <c r="F64" s="17">
        <v>1.9E-3</v>
      </c>
      <c r="G64" s="17"/>
    </row>
    <row r="65" spans="1:7" x14ac:dyDescent="0.35">
      <c r="A65" s="13" t="s">
        <v>2903</v>
      </c>
      <c r="B65" s="41" t="s">
        <v>2904</v>
      </c>
      <c r="C65" s="41" t="s">
        <v>2876</v>
      </c>
      <c r="D65" s="15">
        <v>1170</v>
      </c>
      <c r="E65" s="16">
        <v>125.81</v>
      </c>
      <c r="F65" s="17">
        <v>1.6999999999999999E-3</v>
      </c>
      <c r="G65" s="17"/>
    </row>
    <row r="66" spans="1:7" x14ac:dyDescent="0.35">
      <c r="A66" s="13" t="s">
        <v>2905</v>
      </c>
      <c r="B66" s="41" t="s">
        <v>2906</v>
      </c>
      <c r="C66" s="41" t="s">
        <v>2861</v>
      </c>
      <c r="D66" s="15">
        <v>735</v>
      </c>
      <c r="E66" s="16">
        <v>119.53</v>
      </c>
      <c r="F66" s="17">
        <v>1.6000000000000001E-3</v>
      </c>
      <c r="G66" s="17"/>
    </row>
    <row r="67" spans="1:7" x14ac:dyDescent="0.35">
      <c r="A67" s="13" t="s">
        <v>2907</v>
      </c>
      <c r="B67" s="41" t="s">
        <v>2908</v>
      </c>
      <c r="C67" s="41" t="s">
        <v>2861</v>
      </c>
      <c r="D67" s="15">
        <v>274</v>
      </c>
      <c r="E67" s="16">
        <v>111.15</v>
      </c>
      <c r="F67" s="17">
        <v>1.5E-3</v>
      </c>
      <c r="G67" s="17"/>
    </row>
    <row r="68" spans="1:7" x14ac:dyDescent="0.35">
      <c r="A68" s="13" t="s">
        <v>2909</v>
      </c>
      <c r="B68" s="41" t="s">
        <v>2910</v>
      </c>
      <c r="C68" s="41" t="s">
        <v>2876</v>
      </c>
      <c r="D68" s="15">
        <v>207</v>
      </c>
      <c r="E68" s="16">
        <v>88.48</v>
      </c>
      <c r="F68" s="17">
        <v>1.1999999999999999E-3</v>
      </c>
      <c r="G68" s="17"/>
    </row>
    <row r="69" spans="1:7" x14ac:dyDescent="0.35">
      <c r="A69" s="13" t="s">
        <v>2911</v>
      </c>
      <c r="B69" s="41" t="s">
        <v>2912</v>
      </c>
      <c r="C69" s="41" t="s">
        <v>1966</v>
      </c>
      <c r="D69" s="15">
        <v>309</v>
      </c>
      <c r="E69" s="16">
        <v>84.16</v>
      </c>
      <c r="F69" s="17">
        <v>1.1999999999999999E-3</v>
      </c>
      <c r="G69" s="17"/>
    </row>
    <row r="70" spans="1:7" x14ac:dyDescent="0.35">
      <c r="A70" s="13" t="s">
        <v>2913</v>
      </c>
      <c r="B70" s="41" t="s">
        <v>2914</v>
      </c>
      <c r="C70" s="41" t="s">
        <v>2861</v>
      </c>
      <c r="D70" s="15">
        <v>885</v>
      </c>
      <c r="E70" s="16">
        <v>83.97</v>
      </c>
      <c r="F70" s="17">
        <v>1.1999999999999999E-3</v>
      </c>
      <c r="G70" s="17"/>
    </row>
    <row r="71" spans="1:7" x14ac:dyDescent="0.35">
      <c r="A71" s="13" t="s">
        <v>2915</v>
      </c>
      <c r="B71" s="41" t="s">
        <v>2916</v>
      </c>
      <c r="C71" s="41" t="s">
        <v>2858</v>
      </c>
      <c r="D71" s="15">
        <v>746</v>
      </c>
      <c r="E71" s="16">
        <v>78.459999999999994</v>
      </c>
      <c r="F71" s="17">
        <v>1.1000000000000001E-3</v>
      </c>
      <c r="G71" s="17"/>
    </row>
    <row r="72" spans="1:7" x14ac:dyDescent="0.35">
      <c r="A72" s="13" t="s">
        <v>2917</v>
      </c>
      <c r="B72" s="41" t="s">
        <v>2918</v>
      </c>
      <c r="C72" s="41" t="s">
        <v>2876</v>
      </c>
      <c r="D72" s="15">
        <v>345</v>
      </c>
      <c r="E72" s="16">
        <v>70.63</v>
      </c>
      <c r="F72" s="17">
        <v>1E-3</v>
      </c>
      <c r="G72" s="17"/>
    </row>
    <row r="73" spans="1:7" x14ac:dyDescent="0.35">
      <c r="A73" s="13" t="s">
        <v>2919</v>
      </c>
      <c r="B73" s="41" t="s">
        <v>2920</v>
      </c>
      <c r="C73" s="41" t="s">
        <v>2861</v>
      </c>
      <c r="D73" s="15">
        <v>189</v>
      </c>
      <c r="E73" s="16">
        <v>69.92</v>
      </c>
      <c r="F73" s="17">
        <v>1E-3</v>
      </c>
      <c r="G73" s="17"/>
    </row>
    <row r="74" spans="1:7" x14ac:dyDescent="0.35">
      <c r="A74" s="13" t="s">
        <v>2921</v>
      </c>
      <c r="B74" s="41" t="s">
        <v>2922</v>
      </c>
      <c r="C74" s="41" t="s">
        <v>2861</v>
      </c>
      <c r="D74" s="15">
        <v>278</v>
      </c>
      <c r="E74" s="16">
        <v>57.77</v>
      </c>
      <c r="F74" s="17">
        <v>8.0000000000000004E-4</v>
      </c>
      <c r="G74" s="17"/>
    </row>
    <row r="75" spans="1:7" x14ac:dyDescent="0.35">
      <c r="A75" s="13" t="s">
        <v>2923</v>
      </c>
      <c r="B75" s="41" t="s">
        <v>2924</v>
      </c>
      <c r="C75" s="41" t="s">
        <v>2858</v>
      </c>
      <c r="D75" s="15">
        <v>245</v>
      </c>
      <c r="E75" s="16">
        <v>56.93</v>
      </c>
      <c r="F75" s="17">
        <v>8.0000000000000004E-4</v>
      </c>
      <c r="G75" s="17"/>
    </row>
    <row r="76" spans="1:7" x14ac:dyDescent="0.35">
      <c r="A76" s="13" t="s">
        <v>2925</v>
      </c>
      <c r="B76" s="41" t="s">
        <v>2926</v>
      </c>
      <c r="C76" s="41" t="s">
        <v>2861</v>
      </c>
      <c r="D76" s="15">
        <v>53</v>
      </c>
      <c r="E76" s="16">
        <v>54.75</v>
      </c>
      <c r="F76" s="17">
        <v>8.0000000000000004E-4</v>
      </c>
      <c r="G76" s="17"/>
    </row>
    <row r="77" spans="1:7" x14ac:dyDescent="0.35">
      <c r="A77" s="13" t="s">
        <v>2927</v>
      </c>
      <c r="B77" s="41" t="s">
        <v>2928</v>
      </c>
      <c r="C77" s="41" t="s">
        <v>2861</v>
      </c>
      <c r="D77" s="15">
        <v>719</v>
      </c>
      <c r="E77" s="16">
        <v>53.69</v>
      </c>
      <c r="F77" s="17">
        <v>6.9999999999999999E-4</v>
      </c>
      <c r="G77" s="17"/>
    </row>
    <row r="78" spans="1:7" x14ac:dyDescent="0.35">
      <c r="A78" s="13" t="s">
        <v>2929</v>
      </c>
      <c r="B78" s="41" t="s">
        <v>2930</v>
      </c>
      <c r="C78" s="41" t="s">
        <v>1966</v>
      </c>
      <c r="D78" s="15">
        <v>562</v>
      </c>
      <c r="E78" s="16">
        <v>42.38</v>
      </c>
      <c r="F78" s="17">
        <v>5.9999999999999995E-4</v>
      </c>
      <c r="G78" s="17"/>
    </row>
    <row r="79" spans="1:7" x14ac:dyDescent="0.35">
      <c r="A79" s="13" t="s">
        <v>2931</v>
      </c>
      <c r="B79" s="41" t="s">
        <v>2932</v>
      </c>
      <c r="C79" s="41" t="s">
        <v>2861</v>
      </c>
      <c r="D79" s="15">
        <v>599</v>
      </c>
      <c r="E79" s="16">
        <v>41.79</v>
      </c>
      <c r="F79" s="17">
        <v>5.9999999999999995E-4</v>
      </c>
      <c r="G79" s="17"/>
    </row>
    <row r="80" spans="1:7" x14ac:dyDescent="0.35">
      <c r="A80" s="13" t="s">
        <v>2933</v>
      </c>
      <c r="B80" s="41" t="s">
        <v>2934</v>
      </c>
      <c r="C80" s="41" t="s">
        <v>2861</v>
      </c>
      <c r="D80" s="15">
        <v>121</v>
      </c>
      <c r="E80" s="16">
        <v>41.28</v>
      </c>
      <c r="F80" s="17">
        <v>5.9999999999999995E-4</v>
      </c>
      <c r="G80" s="17"/>
    </row>
    <row r="81" spans="1:7" x14ac:dyDescent="0.35">
      <c r="A81" s="13" t="s">
        <v>2935</v>
      </c>
      <c r="B81" s="41" t="s">
        <v>2936</v>
      </c>
      <c r="C81" s="41" t="s">
        <v>2861</v>
      </c>
      <c r="D81" s="15">
        <v>196</v>
      </c>
      <c r="E81" s="16">
        <v>38.97</v>
      </c>
      <c r="F81" s="17">
        <v>5.0000000000000001E-4</v>
      </c>
      <c r="G81" s="17"/>
    </row>
    <row r="82" spans="1:7" x14ac:dyDescent="0.35">
      <c r="A82" s="13" t="s">
        <v>2937</v>
      </c>
      <c r="B82" s="41" t="s">
        <v>2938</v>
      </c>
      <c r="C82" s="41" t="s">
        <v>2861</v>
      </c>
      <c r="D82" s="15">
        <v>28</v>
      </c>
      <c r="E82" s="16">
        <v>37.65</v>
      </c>
      <c r="F82" s="17">
        <v>5.0000000000000001E-4</v>
      </c>
      <c r="G82" s="17"/>
    </row>
    <row r="83" spans="1:7" x14ac:dyDescent="0.35">
      <c r="A83" s="13" t="s">
        <v>2939</v>
      </c>
      <c r="B83" s="41" t="s">
        <v>2940</v>
      </c>
      <c r="C83" s="41" t="s">
        <v>2941</v>
      </c>
      <c r="D83" s="15">
        <v>1473</v>
      </c>
      <c r="E83" s="16">
        <v>29.13</v>
      </c>
      <c r="F83" s="17">
        <v>4.0000000000000002E-4</v>
      </c>
      <c r="G83" s="17"/>
    </row>
    <row r="84" spans="1:7" x14ac:dyDescent="0.35">
      <c r="A84" s="13" t="s">
        <v>2942</v>
      </c>
      <c r="B84" s="41" t="s">
        <v>2943</v>
      </c>
      <c r="C84" s="41" t="s">
        <v>2861</v>
      </c>
      <c r="D84" s="15">
        <v>485</v>
      </c>
      <c r="E84" s="16">
        <v>26.69</v>
      </c>
      <c r="F84" s="17">
        <v>4.0000000000000002E-4</v>
      </c>
      <c r="G84" s="17"/>
    </row>
    <row r="85" spans="1:7" x14ac:dyDescent="0.35">
      <c r="A85" s="13" t="s">
        <v>2944</v>
      </c>
      <c r="B85" s="41" t="s">
        <v>2945</v>
      </c>
      <c r="C85" s="41" t="s">
        <v>2861</v>
      </c>
      <c r="D85" s="15">
        <v>115</v>
      </c>
      <c r="E85" s="16">
        <v>23.83</v>
      </c>
      <c r="F85" s="17">
        <v>2.9999999999999997E-4</v>
      </c>
      <c r="G85" s="17"/>
    </row>
    <row r="86" spans="1:7" x14ac:dyDescent="0.35">
      <c r="A86" s="13" t="s">
        <v>2946</v>
      </c>
      <c r="B86" s="41" t="s">
        <v>2947</v>
      </c>
      <c r="C86" s="41" t="s">
        <v>2861</v>
      </c>
      <c r="D86" s="15">
        <v>232</v>
      </c>
      <c r="E86" s="16">
        <v>20.54</v>
      </c>
      <c r="F86" s="17">
        <v>2.9999999999999997E-4</v>
      </c>
      <c r="G86" s="17"/>
    </row>
    <row r="87" spans="1:7" x14ac:dyDescent="0.35">
      <c r="A87" s="13" t="s">
        <v>2948</v>
      </c>
      <c r="B87" s="41" t="s">
        <v>2949</v>
      </c>
      <c r="C87" s="41" t="s">
        <v>2876</v>
      </c>
      <c r="D87" s="15">
        <v>1082</v>
      </c>
      <c r="E87" s="16">
        <v>19.329999999999998</v>
      </c>
      <c r="F87" s="17">
        <v>2.9999999999999997E-4</v>
      </c>
      <c r="G87" s="17"/>
    </row>
    <row r="88" spans="1:7" x14ac:dyDescent="0.35">
      <c r="A88" s="13" t="s">
        <v>2950</v>
      </c>
      <c r="B88" s="41" t="s">
        <v>2951</v>
      </c>
      <c r="C88" s="41" t="s">
        <v>1966</v>
      </c>
      <c r="D88" s="15">
        <v>151</v>
      </c>
      <c r="E88" s="16">
        <v>17.54</v>
      </c>
      <c r="F88" s="17">
        <v>2.0000000000000001E-4</v>
      </c>
      <c r="G88" s="17"/>
    </row>
    <row r="89" spans="1:7" x14ac:dyDescent="0.35">
      <c r="A89" s="13" t="s">
        <v>2952</v>
      </c>
      <c r="B89" s="41" t="s">
        <v>2953</v>
      </c>
      <c r="C89" s="41" t="s">
        <v>2861</v>
      </c>
      <c r="D89" s="15">
        <v>49</v>
      </c>
      <c r="E89" s="16">
        <v>16.63</v>
      </c>
      <c r="F89" s="17">
        <v>2.0000000000000001E-4</v>
      </c>
      <c r="G89" s="17"/>
    </row>
    <row r="90" spans="1:7" x14ac:dyDescent="0.35">
      <c r="A90" s="13" t="s">
        <v>2954</v>
      </c>
      <c r="B90" s="41" t="s">
        <v>2955</v>
      </c>
      <c r="C90" s="41" t="s">
        <v>2861</v>
      </c>
      <c r="D90" s="15">
        <v>84</v>
      </c>
      <c r="E90" s="16">
        <v>16.18</v>
      </c>
      <c r="F90" s="17">
        <v>2.0000000000000001E-4</v>
      </c>
      <c r="G90" s="17"/>
    </row>
    <row r="91" spans="1:7" x14ac:dyDescent="0.35">
      <c r="A91" s="14" t="s">
        <v>149</v>
      </c>
      <c r="B91" s="42"/>
      <c r="C91" s="42"/>
      <c r="D91" s="18"/>
      <c r="E91" s="36">
        <v>19681.990000000002</v>
      </c>
      <c r="F91" s="37">
        <v>0.27079999999999999</v>
      </c>
      <c r="G91" s="21"/>
    </row>
    <row r="92" spans="1:7" x14ac:dyDescent="0.35">
      <c r="A92" s="13"/>
      <c r="B92" s="41"/>
      <c r="C92" s="41"/>
      <c r="D92" s="15"/>
      <c r="E92" s="16"/>
      <c r="F92" s="17"/>
      <c r="G92" s="17"/>
    </row>
    <row r="93" spans="1:7" x14ac:dyDescent="0.35">
      <c r="A93" s="22" t="s">
        <v>160</v>
      </c>
      <c r="B93" s="43"/>
      <c r="C93" s="43"/>
      <c r="D93" s="23"/>
      <c r="E93" s="36">
        <v>70624.47</v>
      </c>
      <c r="F93" s="37">
        <v>0.97150000000000003</v>
      </c>
      <c r="G93" s="21"/>
    </row>
    <row r="94" spans="1:7" x14ac:dyDescent="0.35">
      <c r="A94" s="13"/>
      <c r="B94" s="41"/>
      <c r="C94" s="41"/>
      <c r="D94" s="15"/>
      <c r="E94" s="16"/>
      <c r="F94" s="17"/>
      <c r="G94" s="17"/>
    </row>
    <row r="95" spans="1:7" x14ac:dyDescent="0.35">
      <c r="A95" s="13"/>
      <c r="B95" s="41"/>
      <c r="C95" s="41"/>
      <c r="D95" s="15"/>
      <c r="E95" s="16"/>
      <c r="F95" s="17"/>
      <c r="G95" s="17"/>
    </row>
    <row r="96" spans="1:7" x14ac:dyDescent="0.35">
      <c r="A96" s="14" t="s">
        <v>255</v>
      </c>
      <c r="B96" s="41"/>
      <c r="C96" s="41"/>
      <c r="D96" s="15"/>
      <c r="E96" s="16"/>
      <c r="F96" s="17"/>
      <c r="G96" s="17"/>
    </row>
    <row r="97" spans="1:7" x14ac:dyDescent="0.35">
      <c r="A97" s="13" t="s">
        <v>257</v>
      </c>
      <c r="B97" s="41"/>
      <c r="C97" s="41"/>
      <c r="D97" s="15"/>
      <c r="E97" s="16">
        <v>2186.0700000000002</v>
      </c>
      <c r="F97" s="17">
        <v>3.0099999999999998E-2</v>
      </c>
      <c r="G97" s="17">
        <v>5.1742000000000003E-2</v>
      </c>
    </row>
    <row r="98" spans="1:7" x14ac:dyDescent="0.35">
      <c r="A98" s="14" t="s">
        <v>149</v>
      </c>
      <c r="B98" s="42"/>
      <c r="C98" s="42"/>
      <c r="D98" s="18"/>
      <c r="E98" s="36">
        <v>2186.0700000000002</v>
      </c>
      <c r="F98" s="37">
        <v>3.0099999999999998E-2</v>
      </c>
      <c r="G98" s="21"/>
    </row>
    <row r="99" spans="1:7" x14ac:dyDescent="0.35">
      <c r="A99" s="13"/>
      <c r="B99" s="41"/>
      <c r="C99" s="41"/>
      <c r="D99" s="15"/>
      <c r="E99" s="16"/>
      <c r="F99" s="17"/>
      <c r="G99" s="17"/>
    </row>
    <row r="100" spans="1:7" x14ac:dyDescent="0.35">
      <c r="A100" s="22" t="s">
        <v>160</v>
      </c>
      <c r="B100" s="43"/>
      <c r="C100" s="43"/>
      <c r="D100" s="23"/>
      <c r="E100" s="36">
        <v>2186.0700000000002</v>
      </c>
      <c r="F100" s="37">
        <v>3.0099999999999998E-2</v>
      </c>
      <c r="G100" s="21"/>
    </row>
    <row r="101" spans="1:7" x14ac:dyDescent="0.35">
      <c r="A101" s="13" t="s">
        <v>258</v>
      </c>
      <c r="B101" s="41"/>
      <c r="C101" s="41"/>
      <c r="D101" s="15"/>
      <c r="E101" s="16">
        <v>0.6197899</v>
      </c>
      <c r="F101" s="17">
        <v>7.9999999999999996E-6</v>
      </c>
      <c r="G101" s="17"/>
    </row>
    <row r="102" spans="1:7" x14ac:dyDescent="0.35">
      <c r="A102" s="13" t="s">
        <v>259</v>
      </c>
      <c r="B102" s="41"/>
      <c r="C102" s="41"/>
      <c r="D102" s="15"/>
      <c r="E102" s="28">
        <v>-124.37978990000001</v>
      </c>
      <c r="F102" s="29">
        <v>-1.6080000000000001E-3</v>
      </c>
      <c r="G102" s="17">
        <v>5.1742000000000003E-2</v>
      </c>
    </row>
    <row r="103" spans="1:7" x14ac:dyDescent="0.35">
      <c r="A103" s="38" t="s">
        <v>260</v>
      </c>
      <c r="B103" s="44"/>
      <c r="C103" s="44"/>
      <c r="D103" s="39"/>
      <c r="E103" s="24">
        <v>72686.78</v>
      </c>
      <c r="F103" s="25">
        <v>1</v>
      </c>
      <c r="G103" s="25"/>
    </row>
    <row r="108" spans="1:7" x14ac:dyDescent="0.35">
      <c r="A108" s="1" t="s">
        <v>263</v>
      </c>
    </row>
    <row r="109" spans="1:7" x14ac:dyDescent="0.35">
      <c r="A109" s="47" t="s">
        <v>264</v>
      </c>
      <c r="B109" s="3" t="s">
        <v>146</v>
      </c>
    </row>
    <row r="110" spans="1:7" x14ac:dyDescent="0.35">
      <c r="A110" t="s">
        <v>265</v>
      </c>
    </row>
    <row r="111" spans="1:7" x14ac:dyDescent="0.35">
      <c r="A111" t="s">
        <v>266</v>
      </c>
      <c r="B111" t="s">
        <v>267</v>
      </c>
      <c r="C111" t="s">
        <v>267</v>
      </c>
    </row>
    <row r="112" spans="1:7" x14ac:dyDescent="0.35">
      <c r="B112" s="49">
        <v>46022</v>
      </c>
      <c r="C112" s="49">
        <v>46052</v>
      </c>
    </row>
    <row r="113" spans="1:3" x14ac:dyDescent="0.35">
      <c r="A113" t="s">
        <v>752</v>
      </c>
      <c r="B113">
        <v>12.660399999999999</v>
      </c>
      <c r="C113">
        <v>12.470700000000001</v>
      </c>
    </row>
    <row r="114" spans="1:3" x14ac:dyDescent="0.35">
      <c r="A114" t="s">
        <v>273</v>
      </c>
      <c r="B114">
        <v>12.660399999999999</v>
      </c>
      <c r="C114">
        <v>12.470700000000001</v>
      </c>
    </row>
    <row r="115" spans="1:3" x14ac:dyDescent="0.35">
      <c r="A115" t="s">
        <v>753</v>
      </c>
      <c r="B115">
        <v>12.2666</v>
      </c>
      <c r="C115">
        <v>12.066000000000001</v>
      </c>
    </row>
    <row r="116" spans="1:3" x14ac:dyDescent="0.35">
      <c r="A116" t="s">
        <v>709</v>
      </c>
      <c r="B116">
        <v>12.2666</v>
      </c>
      <c r="C116">
        <v>12.066000000000001</v>
      </c>
    </row>
    <row r="118" spans="1:3" x14ac:dyDescent="0.35">
      <c r="A118" t="s">
        <v>283</v>
      </c>
      <c r="B118" s="3" t="s">
        <v>146</v>
      </c>
    </row>
    <row r="119" spans="1:3" x14ac:dyDescent="0.35">
      <c r="A119" t="s">
        <v>284</v>
      </c>
      <c r="B119" s="3" t="s">
        <v>146</v>
      </c>
    </row>
    <row r="120" spans="1:3" ht="29" customHeight="1" x14ac:dyDescent="0.35">
      <c r="A120" s="47" t="s">
        <v>285</v>
      </c>
      <c r="B120" s="3" t="s">
        <v>146</v>
      </c>
    </row>
    <row r="121" spans="1:3" ht="29" customHeight="1" x14ac:dyDescent="0.35">
      <c r="A121" s="47" t="s">
        <v>286</v>
      </c>
      <c r="B121" s="48">
        <v>19681.9960417</v>
      </c>
    </row>
    <row r="122" spans="1:3" x14ac:dyDescent="0.35">
      <c r="A122" t="s">
        <v>1253</v>
      </c>
      <c r="B122" s="48">
        <v>4.5100000000000001E-2</v>
      </c>
    </row>
    <row r="123" spans="1:3" ht="43.5" customHeight="1" x14ac:dyDescent="0.35">
      <c r="A123" s="47" t="s">
        <v>887</v>
      </c>
      <c r="B123" s="3" t="s">
        <v>146</v>
      </c>
    </row>
    <row r="124" spans="1:3" x14ac:dyDescent="0.35">
      <c r="B124" s="3"/>
    </row>
    <row r="125" spans="1:3" ht="29" customHeight="1" x14ac:dyDescent="0.35">
      <c r="A125" s="47" t="s">
        <v>888</v>
      </c>
      <c r="B125" s="3" t="s">
        <v>146</v>
      </c>
    </row>
    <row r="126" spans="1:3" ht="29" customHeight="1" x14ac:dyDescent="0.35">
      <c r="A126" s="47" t="s">
        <v>889</v>
      </c>
      <c r="B126">
        <v>1913.51</v>
      </c>
    </row>
    <row r="127" spans="1:3" ht="29" customHeight="1" x14ac:dyDescent="0.35">
      <c r="A127" s="47" t="s">
        <v>890</v>
      </c>
      <c r="B127" s="3" t="s">
        <v>146</v>
      </c>
    </row>
    <row r="128" spans="1:3" ht="29" customHeight="1" x14ac:dyDescent="0.35">
      <c r="A128" s="47" t="s">
        <v>891</v>
      </c>
      <c r="B128" s="3" t="s">
        <v>146</v>
      </c>
    </row>
    <row r="130" spans="1:4" ht="70" customHeight="1" x14ac:dyDescent="0.35">
      <c r="A130" s="70" t="s">
        <v>303</v>
      </c>
      <c r="B130" s="70" t="s">
        <v>304</v>
      </c>
      <c r="C130" s="70" t="s">
        <v>4</v>
      </c>
      <c r="D130" s="70" t="s">
        <v>5</v>
      </c>
    </row>
    <row r="131" spans="1:4" ht="70" customHeight="1" x14ac:dyDescent="0.35">
      <c r="A131" s="70" t="s">
        <v>2956</v>
      </c>
      <c r="B131" s="70"/>
      <c r="C131" s="70" t="s">
        <v>111</v>
      </c>
      <c r="D131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G42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2957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2958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4" t="s">
        <v>2379</v>
      </c>
      <c r="B8" s="42"/>
      <c r="C8" s="42"/>
      <c r="D8" s="18"/>
      <c r="E8" s="26"/>
      <c r="F8" s="21"/>
      <c r="G8" s="17"/>
    </row>
    <row r="9" spans="1:7" x14ac:dyDescent="0.35">
      <c r="A9" s="14" t="s">
        <v>2959</v>
      </c>
      <c r="B9" s="42"/>
      <c r="C9" s="42"/>
      <c r="D9" s="18"/>
      <c r="E9" s="26"/>
      <c r="F9" s="21"/>
      <c r="G9" s="17"/>
    </row>
    <row r="10" spans="1:7" x14ac:dyDescent="0.35">
      <c r="A10" s="63" t="s">
        <v>2381</v>
      </c>
      <c r="B10" s="41" t="s">
        <v>2382</v>
      </c>
      <c r="C10" s="42"/>
      <c r="D10" s="63">
        <v>1015</v>
      </c>
      <c r="E10" s="26">
        <v>166854.83499999999</v>
      </c>
      <c r="F10" s="21">
        <f>E10/E19</f>
        <v>0.97923015314692319</v>
      </c>
      <c r="G10" s="17"/>
    </row>
    <row r="11" spans="1:7" x14ac:dyDescent="0.35">
      <c r="A11" s="22" t="s">
        <v>160</v>
      </c>
      <c r="B11" s="43"/>
      <c r="C11" s="43"/>
      <c r="D11" s="23"/>
      <c r="E11" s="36">
        <f>SUM(E10)</f>
        <v>166854.83499999999</v>
      </c>
      <c r="F11" s="37">
        <f>SUM(F10)</f>
        <v>0.97923015314692319</v>
      </c>
      <c r="G11" s="17"/>
    </row>
    <row r="12" spans="1:7" x14ac:dyDescent="0.35">
      <c r="A12" s="14" t="s">
        <v>255</v>
      </c>
      <c r="B12" s="41"/>
      <c r="C12" s="41"/>
      <c r="D12" s="15"/>
      <c r="E12" s="16"/>
      <c r="F12" s="17"/>
      <c r="G12" s="17"/>
    </row>
    <row r="13" spans="1:7" x14ac:dyDescent="0.35">
      <c r="A13" s="13" t="s">
        <v>257</v>
      </c>
      <c r="B13" s="41"/>
      <c r="C13" s="41"/>
      <c r="D13" s="15"/>
      <c r="E13" s="16">
        <v>13.99</v>
      </c>
      <c r="F13" s="17">
        <v>8.2000000000000001E-5</v>
      </c>
      <c r="G13" s="17">
        <v>5.1742000000000003E-2</v>
      </c>
    </row>
    <row r="14" spans="1:7" x14ac:dyDescent="0.35">
      <c r="A14" s="14" t="s">
        <v>149</v>
      </c>
      <c r="B14" s="42"/>
      <c r="C14" s="42"/>
      <c r="D14" s="18"/>
      <c r="E14" s="36">
        <v>13.99</v>
      </c>
      <c r="F14" s="37">
        <v>8.2000000000000001E-5</v>
      </c>
      <c r="G14" s="21"/>
    </row>
    <row r="15" spans="1:7" x14ac:dyDescent="0.35">
      <c r="A15" s="13"/>
      <c r="B15" s="41"/>
      <c r="C15" s="41"/>
      <c r="D15" s="15"/>
      <c r="E15" s="16"/>
      <c r="F15" s="17"/>
      <c r="G15" s="17"/>
    </row>
    <row r="16" spans="1:7" x14ac:dyDescent="0.35">
      <c r="A16" s="22" t="s">
        <v>160</v>
      </c>
      <c r="B16" s="43"/>
      <c r="C16" s="43"/>
      <c r="D16" s="23"/>
      <c r="E16" s="36">
        <v>13.99</v>
      </c>
      <c r="F16" s="37">
        <v>8.2000000000000001E-5</v>
      </c>
      <c r="G16" s="21"/>
    </row>
    <row r="17" spans="1:7" x14ac:dyDescent="0.35">
      <c r="A17" s="13" t="s">
        <v>258</v>
      </c>
      <c r="B17" s="41"/>
      <c r="C17" s="41"/>
      <c r="D17" s="15"/>
      <c r="E17" s="16">
        <v>3.9675999999999999E-3</v>
      </c>
      <c r="F17" s="17">
        <v>0</v>
      </c>
      <c r="G17" s="17"/>
    </row>
    <row r="18" spans="1:7" x14ac:dyDescent="0.35">
      <c r="A18" s="13" t="s">
        <v>259</v>
      </c>
      <c r="B18" s="41"/>
      <c r="C18" s="41"/>
      <c r="D18" s="15"/>
      <c r="E18" s="16">
        <v>3525.0560323999998</v>
      </c>
      <c r="F18" s="17">
        <v>2.07E-2</v>
      </c>
      <c r="G18" s="17">
        <v>5.1742000000000003E-2</v>
      </c>
    </row>
    <row r="19" spans="1:7" x14ac:dyDescent="0.35">
      <c r="A19" s="38" t="s">
        <v>260</v>
      </c>
      <c r="B19" s="44"/>
      <c r="C19" s="44"/>
      <c r="D19" s="39"/>
      <c r="E19" s="24">
        <v>170393.89</v>
      </c>
      <c r="F19" s="25">
        <v>1</v>
      </c>
      <c r="G19" s="25"/>
    </row>
    <row r="22" spans="1:7" x14ac:dyDescent="0.35">
      <c r="E22" s="64"/>
    </row>
    <row r="24" spans="1:7" x14ac:dyDescent="0.35">
      <c r="A24" s="1" t="s">
        <v>263</v>
      </c>
    </row>
    <row r="25" spans="1:7" x14ac:dyDescent="0.35">
      <c r="A25" s="47" t="s">
        <v>264</v>
      </c>
      <c r="B25" s="3" t="s">
        <v>146</v>
      </c>
    </row>
    <row r="26" spans="1:7" x14ac:dyDescent="0.35">
      <c r="A26" t="s">
        <v>265</v>
      </c>
    </row>
    <row r="27" spans="1:7" x14ac:dyDescent="0.35">
      <c r="A27" t="s">
        <v>266</v>
      </c>
      <c r="B27" t="s">
        <v>267</v>
      </c>
      <c r="C27" t="s">
        <v>267</v>
      </c>
    </row>
    <row r="28" spans="1:7" x14ac:dyDescent="0.35">
      <c r="B28" s="66">
        <v>46022</v>
      </c>
      <c r="C28" s="66">
        <v>46052</v>
      </c>
    </row>
    <row r="29" spans="1:7" x14ac:dyDescent="0.35">
      <c r="A29" t="s">
        <v>753</v>
      </c>
      <c r="B29">
        <v>132.69059999999999</v>
      </c>
      <c r="C29">
        <v>163.61009999999999</v>
      </c>
    </row>
    <row r="30" spans="1:7" x14ac:dyDescent="0.35">
      <c r="A30" t="s">
        <v>283</v>
      </c>
      <c r="B30" s="3" t="s">
        <v>146</v>
      </c>
    </row>
    <row r="31" spans="1:7" x14ac:dyDescent="0.35">
      <c r="A31" t="s">
        <v>284</v>
      </c>
      <c r="B31" s="3" t="s">
        <v>146</v>
      </c>
    </row>
    <row r="32" spans="1:7" ht="29" customHeight="1" x14ac:dyDescent="0.35">
      <c r="A32" s="47" t="s">
        <v>285</v>
      </c>
      <c r="B32" s="3" t="s">
        <v>146</v>
      </c>
    </row>
    <row r="33" spans="1:4" ht="29" customHeight="1" x14ac:dyDescent="0.35">
      <c r="A33" s="47" t="s">
        <v>286</v>
      </c>
      <c r="B33" s="3" t="s">
        <v>146</v>
      </c>
    </row>
    <row r="34" spans="1:4" ht="43.5" customHeight="1" x14ac:dyDescent="0.35">
      <c r="A34" s="47" t="s">
        <v>288</v>
      </c>
      <c r="B34" s="3" t="s">
        <v>146</v>
      </c>
    </row>
    <row r="35" spans="1:4" x14ac:dyDescent="0.35">
      <c r="B35" s="3"/>
    </row>
    <row r="36" spans="1:4" ht="29" customHeight="1" x14ac:dyDescent="0.35">
      <c r="A36" s="47" t="s">
        <v>289</v>
      </c>
      <c r="B36" s="3" t="s">
        <v>146</v>
      </c>
    </row>
    <row r="37" spans="1:4" ht="29" customHeight="1" x14ac:dyDescent="0.35">
      <c r="A37" s="47" t="s">
        <v>290</v>
      </c>
      <c r="B37">
        <v>169312.96</v>
      </c>
    </row>
    <row r="38" spans="1:4" ht="29" customHeight="1" x14ac:dyDescent="0.35">
      <c r="A38" s="47" t="s">
        <v>291</v>
      </c>
      <c r="B38" s="3" t="s">
        <v>146</v>
      </c>
    </row>
    <row r="39" spans="1:4" ht="29" customHeight="1" x14ac:dyDescent="0.35">
      <c r="A39" s="47" t="s">
        <v>292</v>
      </c>
      <c r="B39" s="3" t="s">
        <v>146</v>
      </c>
    </row>
    <row r="41" spans="1:4" ht="70" customHeight="1" x14ac:dyDescent="0.35">
      <c r="A41" s="70" t="s">
        <v>303</v>
      </c>
      <c r="B41" s="70" t="s">
        <v>304</v>
      </c>
      <c r="C41" s="70" t="s">
        <v>4</v>
      </c>
      <c r="D41" s="70" t="s">
        <v>5</v>
      </c>
    </row>
    <row r="42" spans="1:4" ht="70" customHeight="1" x14ac:dyDescent="0.35">
      <c r="A42" s="70" t="s">
        <v>2960</v>
      </c>
      <c r="B42" s="70"/>
      <c r="C42" s="70" t="s">
        <v>113</v>
      </c>
      <c r="D42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G49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2961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2962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3"/>
      <c r="B7" s="41"/>
      <c r="C7" s="41"/>
      <c r="D7" s="15"/>
      <c r="E7" s="16"/>
      <c r="F7" s="17"/>
      <c r="G7" s="17"/>
    </row>
    <row r="8" spans="1:7" x14ac:dyDescent="0.35">
      <c r="A8" s="14" t="s">
        <v>884</v>
      </c>
      <c r="B8" s="41"/>
      <c r="C8" s="41"/>
      <c r="D8" s="15"/>
      <c r="E8" s="16"/>
      <c r="F8" s="17"/>
      <c r="G8" s="17"/>
    </row>
    <row r="9" spans="1:7" x14ac:dyDescent="0.35">
      <c r="A9" s="13" t="s">
        <v>2505</v>
      </c>
      <c r="B9" s="41" t="s">
        <v>2506</v>
      </c>
      <c r="C9" s="41"/>
      <c r="D9" s="15">
        <v>99454043</v>
      </c>
      <c r="E9" s="16">
        <v>164894.79999999999</v>
      </c>
      <c r="F9" s="17">
        <v>0.53490000000000004</v>
      </c>
      <c r="G9" s="17"/>
    </row>
    <row r="10" spans="1:7" x14ac:dyDescent="0.35">
      <c r="A10" s="13" t="s">
        <v>2507</v>
      </c>
      <c r="B10" s="41" t="s">
        <v>2508</v>
      </c>
      <c r="C10" s="41"/>
      <c r="D10" s="15">
        <v>47443680</v>
      </c>
      <c r="E10" s="16">
        <v>140959.92000000001</v>
      </c>
      <c r="F10" s="17">
        <v>0.45729999999999998</v>
      </c>
      <c r="G10" s="17"/>
    </row>
    <row r="11" spans="1:7" x14ac:dyDescent="0.35">
      <c r="A11" s="14" t="s">
        <v>149</v>
      </c>
      <c r="B11" s="42"/>
      <c r="C11" s="42"/>
      <c r="D11" s="18"/>
      <c r="E11" s="36">
        <v>305854.71999999997</v>
      </c>
      <c r="F11" s="37">
        <v>0.99219999999999997</v>
      </c>
      <c r="G11" s="21"/>
    </row>
    <row r="12" spans="1:7" x14ac:dyDescent="0.35">
      <c r="A12" s="13"/>
      <c r="B12" s="41"/>
      <c r="C12" s="41"/>
      <c r="D12" s="15"/>
      <c r="E12" s="16"/>
      <c r="F12" s="17"/>
      <c r="G12" s="17"/>
    </row>
    <row r="13" spans="1:7" x14ac:dyDescent="0.35">
      <c r="A13" s="22" t="s">
        <v>160</v>
      </c>
      <c r="B13" s="43"/>
      <c r="C13" s="43"/>
      <c r="D13" s="23"/>
      <c r="E13" s="36">
        <v>305854.71999999997</v>
      </c>
      <c r="F13" s="37">
        <v>0.99219999999999997</v>
      </c>
      <c r="G13" s="21"/>
    </row>
    <row r="14" spans="1:7" x14ac:dyDescent="0.35">
      <c r="A14" s="13"/>
      <c r="B14" s="41"/>
      <c r="C14" s="41"/>
      <c r="D14" s="15"/>
      <c r="E14" s="16"/>
      <c r="F14" s="17"/>
      <c r="G14" s="17"/>
    </row>
    <row r="15" spans="1:7" x14ac:dyDescent="0.35">
      <c r="A15" s="14" t="s">
        <v>255</v>
      </c>
      <c r="B15" s="41"/>
      <c r="C15" s="41"/>
      <c r="D15" s="15"/>
      <c r="E15" s="16"/>
      <c r="F15" s="17"/>
      <c r="G15" s="17"/>
    </row>
    <row r="16" spans="1:7" x14ac:dyDescent="0.35">
      <c r="A16" s="13" t="s">
        <v>257</v>
      </c>
      <c r="B16" s="41"/>
      <c r="C16" s="41"/>
      <c r="D16" s="15"/>
      <c r="E16" s="16">
        <v>6232.35</v>
      </c>
      <c r="F16" s="17">
        <v>2.0199999999999999E-2</v>
      </c>
      <c r="G16" s="17">
        <v>5.1742000000000003E-2</v>
      </c>
    </row>
    <row r="17" spans="1:7" x14ac:dyDescent="0.35">
      <c r="A17" s="14" t="s">
        <v>149</v>
      </c>
      <c r="B17" s="42"/>
      <c r="C17" s="42"/>
      <c r="D17" s="18"/>
      <c r="E17" s="36">
        <v>6232.35</v>
      </c>
      <c r="F17" s="37">
        <v>2.0199999999999999E-2</v>
      </c>
      <c r="G17" s="21"/>
    </row>
    <row r="18" spans="1:7" x14ac:dyDescent="0.35">
      <c r="A18" s="13"/>
      <c r="B18" s="41"/>
      <c r="C18" s="41"/>
      <c r="D18" s="15"/>
      <c r="E18" s="16"/>
      <c r="F18" s="17"/>
      <c r="G18" s="17"/>
    </row>
    <row r="19" spans="1:7" x14ac:dyDescent="0.35">
      <c r="A19" s="22" t="s">
        <v>160</v>
      </c>
      <c r="B19" s="43"/>
      <c r="C19" s="43"/>
      <c r="D19" s="23"/>
      <c r="E19" s="36">
        <v>6232.35</v>
      </c>
      <c r="F19" s="37">
        <v>2.0199999999999999E-2</v>
      </c>
      <c r="G19" s="21"/>
    </row>
    <row r="20" spans="1:7" x14ac:dyDescent="0.35">
      <c r="A20" s="13" t="s">
        <v>258</v>
      </c>
      <c r="B20" s="41"/>
      <c r="C20" s="41"/>
      <c r="D20" s="15"/>
      <c r="E20" s="16">
        <v>1.7669820999999999</v>
      </c>
      <c r="F20" s="17">
        <v>5.0000000000000004E-6</v>
      </c>
      <c r="G20" s="17"/>
    </row>
    <row r="21" spans="1:7" x14ac:dyDescent="0.35">
      <c r="A21" s="13" t="s">
        <v>259</v>
      </c>
      <c r="B21" s="41"/>
      <c r="C21" s="41"/>
      <c r="D21" s="15"/>
      <c r="E21" s="28">
        <v>-3827.8769821000001</v>
      </c>
      <c r="F21" s="29">
        <v>-1.2404999999999999E-2</v>
      </c>
      <c r="G21" s="17">
        <v>5.1742000000000003E-2</v>
      </c>
    </row>
    <row r="22" spans="1:7" x14ac:dyDescent="0.35">
      <c r="A22" s="38" t="s">
        <v>260</v>
      </c>
      <c r="B22" s="44"/>
      <c r="C22" s="44"/>
      <c r="D22" s="39"/>
      <c r="E22" s="24">
        <v>308260.96000000002</v>
      </c>
      <c r="F22" s="25">
        <v>1</v>
      </c>
      <c r="G22" s="25"/>
    </row>
    <row r="27" spans="1:7" x14ac:dyDescent="0.35">
      <c r="A27" s="1" t="s">
        <v>263</v>
      </c>
    </row>
    <row r="28" spans="1:7" x14ac:dyDescent="0.35">
      <c r="A28" s="47" t="s">
        <v>264</v>
      </c>
      <c r="B28" s="3" t="s">
        <v>146</v>
      </c>
    </row>
    <row r="29" spans="1:7" x14ac:dyDescent="0.35">
      <c r="A29" t="s">
        <v>265</v>
      </c>
    </row>
    <row r="30" spans="1:7" x14ac:dyDescent="0.35">
      <c r="A30" t="s">
        <v>266</v>
      </c>
      <c r="B30" t="s">
        <v>267</v>
      </c>
      <c r="C30" t="s">
        <v>267</v>
      </c>
    </row>
    <row r="31" spans="1:7" x14ac:dyDescent="0.35">
      <c r="B31" s="49">
        <v>46022</v>
      </c>
      <c r="C31" s="49">
        <v>46052</v>
      </c>
    </row>
    <row r="32" spans="1:7" x14ac:dyDescent="0.35">
      <c r="A32" t="s">
        <v>272</v>
      </c>
      <c r="B32">
        <v>31.527999999999999</v>
      </c>
      <c r="C32">
        <v>40.340000000000003</v>
      </c>
    </row>
    <row r="33" spans="1:4" x14ac:dyDescent="0.35">
      <c r="A33" t="s">
        <v>273</v>
      </c>
      <c r="B33">
        <v>31.527999999999999</v>
      </c>
      <c r="C33">
        <v>40.340000000000003</v>
      </c>
    </row>
    <row r="34" spans="1:4" x14ac:dyDescent="0.35">
      <c r="A34" t="s">
        <v>708</v>
      </c>
      <c r="B34">
        <v>31.11</v>
      </c>
      <c r="C34">
        <v>39.792999999999999</v>
      </c>
    </row>
    <row r="35" spans="1:4" x14ac:dyDescent="0.35">
      <c r="A35" t="s">
        <v>709</v>
      </c>
      <c r="B35">
        <v>31.11</v>
      </c>
      <c r="C35">
        <v>39.792999999999999</v>
      </c>
    </row>
    <row r="37" spans="1:4" x14ac:dyDescent="0.35">
      <c r="A37" t="s">
        <v>283</v>
      </c>
      <c r="B37" s="3" t="s">
        <v>146</v>
      </c>
    </row>
    <row r="38" spans="1:4" x14ac:dyDescent="0.35">
      <c r="A38" t="s">
        <v>284</v>
      </c>
      <c r="B38" s="3" t="s">
        <v>146</v>
      </c>
    </row>
    <row r="39" spans="1:4" ht="29" customHeight="1" x14ac:dyDescent="0.35">
      <c r="A39" s="47" t="s">
        <v>285</v>
      </c>
      <c r="B39" s="3" t="s">
        <v>146</v>
      </c>
    </row>
    <row r="40" spans="1:4" ht="29" customHeight="1" x14ac:dyDescent="0.35">
      <c r="A40" s="47" t="s">
        <v>286</v>
      </c>
      <c r="B40" s="3" t="s">
        <v>146</v>
      </c>
    </row>
    <row r="41" spans="1:4" ht="43.5" customHeight="1" x14ac:dyDescent="0.35">
      <c r="A41" s="47" t="s">
        <v>887</v>
      </c>
      <c r="B41" s="3" t="s">
        <v>146</v>
      </c>
    </row>
    <row r="42" spans="1:4" x14ac:dyDescent="0.35">
      <c r="B42" s="3"/>
    </row>
    <row r="43" spans="1:4" ht="29" customHeight="1" x14ac:dyDescent="0.35">
      <c r="A43" s="47" t="s">
        <v>888</v>
      </c>
      <c r="B43" s="3" t="s">
        <v>146</v>
      </c>
    </row>
    <row r="44" spans="1:4" ht="29" customHeight="1" x14ac:dyDescent="0.35">
      <c r="A44" s="47" t="s">
        <v>889</v>
      </c>
      <c r="B44" t="s">
        <v>146</v>
      </c>
    </row>
    <row r="45" spans="1:4" ht="29" customHeight="1" x14ac:dyDescent="0.35">
      <c r="A45" s="47" t="s">
        <v>890</v>
      </c>
      <c r="B45" s="3" t="s">
        <v>146</v>
      </c>
    </row>
    <row r="46" spans="1:4" ht="29" customHeight="1" x14ac:dyDescent="0.35">
      <c r="A46" s="47" t="s">
        <v>891</v>
      </c>
      <c r="B46" s="3" t="s">
        <v>146</v>
      </c>
    </row>
    <row r="48" spans="1:4" ht="70" customHeight="1" x14ac:dyDescent="0.35">
      <c r="A48" s="70" t="s">
        <v>303</v>
      </c>
      <c r="B48" s="70" t="s">
        <v>304</v>
      </c>
      <c r="C48" s="70" t="s">
        <v>4</v>
      </c>
      <c r="D48" s="70" t="s">
        <v>5</v>
      </c>
    </row>
    <row r="49" spans="1:4" ht="70" customHeight="1" x14ac:dyDescent="0.35">
      <c r="A49" s="70" t="s">
        <v>2963</v>
      </c>
      <c r="B49" s="70"/>
      <c r="C49" s="70" t="s">
        <v>115</v>
      </c>
      <c r="D49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G188"/>
  <sheetViews>
    <sheetView showGridLines="0" workbookViewId="0">
      <pane ySplit="4" topLeftCell="A92" activePane="bottomLeft" state="frozen"/>
      <selection activeCell="H1" sqref="H1:H1048576"/>
      <selection pane="bottomLeft" activeCell="A102" sqref="A102"/>
    </sheetView>
  </sheetViews>
  <sheetFormatPr defaultRowHeight="14.5" x14ac:dyDescent="0.35"/>
  <cols>
    <col min="1" max="1" width="26" bestFit="1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2964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2965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147</v>
      </c>
      <c r="B9" s="41"/>
      <c r="C9" s="41"/>
      <c r="D9" s="15"/>
      <c r="E9" s="16"/>
      <c r="F9" s="17"/>
      <c r="G9" s="17"/>
    </row>
    <row r="10" spans="1:7" x14ac:dyDescent="0.35">
      <c r="A10" s="14" t="s">
        <v>307</v>
      </c>
      <c r="B10" s="41"/>
      <c r="C10" s="41"/>
      <c r="D10" s="15"/>
      <c r="E10" s="16"/>
      <c r="F10" s="17"/>
      <c r="G10" s="17"/>
    </row>
    <row r="11" spans="1:7" x14ac:dyDescent="0.35">
      <c r="A11" s="13" t="s">
        <v>2966</v>
      </c>
      <c r="B11" s="41" t="s">
        <v>2967</v>
      </c>
      <c r="C11" s="41" t="s">
        <v>317</v>
      </c>
      <c r="D11" s="15">
        <v>30000000</v>
      </c>
      <c r="E11" s="16">
        <v>30000.54</v>
      </c>
      <c r="F11" s="17">
        <v>2.9600000000000001E-2</v>
      </c>
      <c r="G11" s="17">
        <v>6.8600999999999995E-2</v>
      </c>
    </row>
    <row r="12" spans="1:7" x14ac:dyDescent="0.35">
      <c r="A12" s="14" t="s">
        <v>149</v>
      </c>
      <c r="B12" s="42"/>
      <c r="C12" s="42"/>
      <c r="D12" s="18"/>
      <c r="E12" s="36">
        <v>30000.54</v>
      </c>
      <c r="F12" s="37">
        <v>2.9600000000000001E-2</v>
      </c>
      <c r="G12" s="21"/>
    </row>
    <row r="13" spans="1:7" x14ac:dyDescent="0.35">
      <c r="A13" s="14" t="s">
        <v>150</v>
      </c>
      <c r="B13" s="41"/>
      <c r="C13" s="41"/>
      <c r="D13" s="15"/>
      <c r="E13" s="16"/>
      <c r="F13" s="17"/>
      <c r="G13" s="17"/>
    </row>
    <row r="14" spans="1:7" x14ac:dyDescent="0.35">
      <c r="A14" s="13" t="s">
        <v>151</v>
      </c>
      <c r="B14" s="41" t="s">
        <v>152</v>
      </c>
      <c r="C14" s="41" t="s">
        <v>153</v>
      </c>
      <c r="D14" s="15">
        <v>2500000</v>
      </c>
      <c r="E14" s="16">
        <v>2501.85</v>
      </c>
      <c r="F14" s="17">
        <v>2.5000000000000001E-3</v>
      </c>
      <c r="G14" s="17">
        <v>5.5108999999999998E-2</v>
      </c>
    </row>
    <row r="15" spans="1:7" x14ac:dyDescent="0.35">
      <c r="A15" s="13" t="s">
        <v>154</v>
      </c>
      <c r="B15" s="41" t="s">
        <v>155</v>
      </c>
      <c r="C15" s="41" t="s">
        <v>153</v>
      </c>
      <c r="D15" s="15">
        <v>500000</v>
      </c>
      <c r="E15" s="16">
        <v>500.37</v>
      </c>
      <c r="F15" s="17">
        <v>5.0000000000000001E-4</v>
      </c>
      <c r="G15" s="17">
        <v>5.4731000000000002E-2</v>
      </c>
    </row>
    <row r="16" spans="1:7" x14ac:dyDescent="0.35">
      <c r="A16" s="14" t="s">
        <v>149</v>
      </c>
      <c r="B16" s="42"/>
      <c r="C16" s="42"/>
      <c r="D16" s="18"/>
      <c r="E16" s="36">
        <v>3002.22</v>
      </c>
      <c r="F16" s="37">
        <v>3.0000000000000001E-3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13"/>
      <c r="B18" s="41"/>
      <c r="C18" s="41"/>
      <c r="D18" s="15"/>
      <c r="E18" s="16"/>
      <c r="F18" s="17"/>
      <c r="G18" s="17"/>
    </row>
    <row r="19" spans="1:7" x14ac:dyDescent="0.35">
      <c r="A19" s="14" t="s">
        <v>158</v>
      </c>
      <c r="B19" s="41"/>
      <c r="C19" s="41"/>
      <c r="D19" s="15"/>
      <c r="E19" s="16"/>
      <c r="F19" s="17"/>
      <c r="G19" s="17"/>
    </row>
    <row r="20" spans="1:7" x14ac:dyDescent="0.35">
      <c r="A20" s="14" t="s">
        <v>149</v>
      </c>
      <c r="B20" s="41"/>
      <c r="C20" s="41"/>
      <c r="D20" s="15"/>
      <c r="E20" s="45" t="s">
        <v>146</v>
      </c>
      <c r="F20" s="46" t="s">
        <v>146</v>
      </c>
      <c r="G20" s="17"/>
    </row>
    <row r="21" spans="1:7" x14ac:dyDescent="0.35">
      <c r="A21" s="13"/>
      <c r="B21" s="41"/>
      <c r="C21" s="41"/>
      <c r="D21" s="15"/>
      <c r="E21" s="16"/>
      <c r="F21" s="17"/>
      <c r="G21" s="17"/>
    </row>
    <row r="22" spans="1:7" x14ac:dyDescent="0.35">
      <c r="A22" s="14" t="s">
        <v>159</v>
      </c>
      <c r="B22" s="41"/>
      <c r="C22" s="41"/>
      <c r="D22" s="15"/>
      <c r="E22" s="16"/>
      <c r="F22" s="17"/>
      <c r="G22" s="17"/>
    </row>
    <row r="23" spans="1:7" x14ac:dyDescent="0.35">
      <c r="A23" s="14" t="s">
        <v>149</v>
      </c>
      <c r="B23" s="41"/>
      <c r="C23" s="41"/>
      <c r="D23" s="15"/>
      <c r="E23" s="45" t="s">
        <v>146</v>
      </c>
      <c r="F23" s="46" t="s">
        <v>146</v>
      </c>
      <c r="G23" s="17"/>
    </row>
    <row r="24" spans="1:7" x14ac:dyDescent="0.35">
      <c r="A24" s="13"/>
      <c r="B24" s="41"/>
      <c r="C24" s="41"/>
      <c r="D24" s="15"/>
      <c r="E24" s="16"/>
      <c r="F24" s="17"/>
      <c r="G24" s="17"/>
    </row>
    <row r="25" spans="1:7" x14ac:dyDescent="0.35">
      <c r="A25" s="22" t="s">
        <v>160</v>
      </c>
      <c r="B25" s="43"/>
      <c r="C25" s="43"/>
      <c r="D25" s="23"/>
      <c r="E25" s="36">
        <v>33002.76</v>
      </c>
      <c r="F25" s="37">
        <v>3.2599999999999997E-2</v>
      </c>
      <c r="G25" s="21"/>
    </row>
    <row r="26" spans="1:7" x14ac:dyDescent="0.35">
      <c r="A26" s="13"/>
      <c r="B26" s="41"/>
      <c r="C26" s="41"/>
      <c r="D26" s="15"/>
      <c r="E26" s="16"/>
      <c r="F26" s="17"/>
      <c r="G26" s="17"/>
    </row>
    <row r="27" spans="1:7" x14ac:dyDescent="0.35">
      <c r="A27" s="14" t="s">
        <v>161</v>
      </c>
      <c r="B27" s="41"/>
      <c r="C27" s="41"/>
      <c r="D27" s="15"/>
      <c r="E27" s="16"/>
      <c r="F27" s="17"/>
      <c r="G27" s="17"/>
    </row>
    <row r="28" spans="1:7" x14ac:dyDescent="0.35">
      <c r="A28" s="13"/>
      <c r="B28" s="41"/>
      <c r="C28" s="41"/>
      <c r="D28" s="15"/>
      <c r="E28" s="16"/>
      <c r="F28" s="17"/>
      <c r="G28" s="17"/>
    </row>
    <row r="29" spans="1:7" x14ac:dyDescent="0.35">
      <c r="A29" s="14" t="s">
        <v>162</v>
      </c>
      <c r="B29" s="41"/>
      <c r="C29" s="41"/>
      <c r="D29" s="15"/>
      <c r="E29" s="16"/>
      <c r="F29" s="17"/>
      <c r="G29" s="17"/>
    </row>
    <row r="30" spans="1:7" x14ac:dyDescent="0.35">
      <c r="A30" s="13" t="s">
        <v>2968</v>
      </c>
      <c r="B30" s="41" t="s">
        <v>2969</v>
      </c>
      <c r="C30" s="41" t="s">
        <v>153</v>
      </c>
      <c r="D30" s="15">
        <v>60000000</v>
      </c>
      <c r="E30" s="16">
        <v>59604.66</v>
      </c>
      <c r="F30" s="17">
        <v>5.8900000000000001E-2</v>
      </c>
      <c r="G30" s="17">
        <v>5.2629000000000002E-2</v>
      </c>
    </row>
    <row r="31" spans="1:7" x14ac:dyDescent="0.35">
      <c r="A31" s="13" t="s">
        <v>927</v>
      </c>
      <c r="B31" s="41" t="s">
        <v>928</v>
      </c>
      <c r="C31" s="41" t="s">
        <v>153</v>
      </c>
      <c r="D31" s="15">
        <v>20000000</v>
      </c>
      <c r="E31" s="16">
        <v>19969.3</v>
      </c>
      <c r="F31" s="17">
        <v>1.9699999999999999E-2</v>
      </c>
      <c r="G31" s="17">
        <v>5.1012000000000002E-2</v>
      </c>
    </row>
    <row r="32" spans="1:7" x14ac:dyDescent="0.35">
      <c r="A32" s="13" t="s">
        <v>2970</v>
      </c>
      <c r="B32" s="41" t="s">
        <v>2971</v>
      </c>
      <c r="C32" s="41" t="s">
        <v>153</v>
      </c>
      <c r="D32" s="15">
        <v>20000000</v>
      </c>
      <c r="E32" s="16">
        <v>19927.599999999999</v>
      </c>
      <c r="F32" s="17">
        <v>1.9699999999999999E-2</v>
      </c>
      <c r="G32" s="17">
        <v>5.1004000000000001E-2</v>
      </c>
    </row>
    <row r="33" spans="1:7" x14ac:dyDescent="0.35">
      <c r="A33" s="13" t="s">
        <v>2972</v>
      </c>
      <c r="B33" s="41" t="s">
        <v>2973</v>
      </c>
      <c r="C33" s="41" t="s">
        <v>153</v>
      </c>
      <c r="D33" s="15">
        <v>20000000</v>
      </c>
      <c r="E33" s="16">
        <v>19890.7</v>
      </c>
      <c r="F33" s="17">
        <v>1.9599999999999999E-2</v>
      </c>
      <c r="G33" s="17">
        <v>5.1428000000000001E-2</v>
      </c>
    </row>
    <row r="34" spans="1:7" x14ac:dyDescent="0.35">
      <c r="A34" s="13" t="s">
        <v>2974</v>
      </c>
      <c r="B34" s="41" t="s">
        <v>2975</v>
      </c>
      <c r="C34" s="41" t="s">
        <v>153</v>
      </c>
      <c r="D34" s="15">
        <v>15000000</v>
      </c>
      <c r="E34" s="16">
        <v>14960.28</v>
      </c>
      <c r="F34" s="17">
        <v>1.4800000000000001E-2</v>
      </c>
      <c r="G34" s="17">
        <v>5.1005000000000002E-2</v>
      </c>
    </row>
    <row r="35" spans="1:7" x14ac:dyDescent="0.35">
      <c r="A35" s="13" t="s">
        <v>2976</v>
      </c>
      <c r="B35" s="41" t="s">
        <v>2977</v>
      </c>
      <c r="C35" s="41" t="s">
        <v>153</v>
      </c>
      <c r="D35" s="15">
        <v>14500000</v>
      </c>
      <c r="E35" s="16">
        <v>14404.46</v>
      </c>
      <c r="F35" s="17">
        <v>1.4200000000000001E-2</v>
      </c>
      <c r="G35" s="17">
        <v>5.2629000000000002E-2</v>
      </c>
    </row>
    <row r="36" spans="1:7" x14ac:dyDescent="0.35">
      <c r="A36" s="13" t="s">
        <v>2978</v>
      </c>
      <c r="B36" s="41" t="s">
        <v>2979</v>
      </c>
      <c r="C36" s="41" t="s">
        <v>153</v>
      </c>
      <c r="D36" s="15">
        <v>14000000</v>
      </c>
      <c r="E36" s="16">
        <v>13949.32</v>
      </c>
      <c r="F36" s="17">
        <v>1.38E-2</v>
      </c>
      <c r="G36" s="17">
        <v>5.1004000000000001E-2</v>
      </c>
    </row>
    <row r="37" spans="1:7" x14ac:dyDescent="0.35">
      <c r="A37" s="14" t="s">
        <v>149</v>
      </c>
      <c r="B37" s="42"/>
      <c r="C37" s="42"/>
      <c r="D37" s="18"/>
      <c r="E37" s="36">
        <v>162706.32</v>
      </c>
      <c r="F37" s="37">
        <v>0.16070000000000001</v>
      </c>
      <c r="G37" s="21"/>
    </row>
    <row r="38" spans="1:7" x14ac:dyDescent="0.35">
      <c r="A38" s="14" t="s">
        <v>173</v>
      </c>
      <c r="B38" s="41"/>
      <c r="C38" s="41"/>
      <c r="D38" s="15"/>
      <c r="E38" s="16"/>
      <c r="F38" s="17"/>
      <c r="G38" s="17"/>
    </row>
    <row r="39" spans="1:7" x14ac:dyDescent="0.35">
      <c r="A39" s="13" t="s">
        <v>2980</v>
      </c>
      <c r="B39" s="41" t="s">
        <v>2981</v>
      </c>
      <c r="C39" s="41" t="s">
        <v>176</v>
      </c>
      <c r="D39" s="15">
        <v>55000000</v>
      </c>
      <c r="E39" s="16">
        <v>54678.86</v>
      </c>
      <c r="F39" s="17">
        <v>5.3999999999999999E-2</v>
      </c>
      <c r="G39" s="17">
        <v>6.6991999999999996E-2</v>
      </c>
    </row>
    <row r="40" spans="1:7" x14ac:dyDescent="0.35">
      <c r="A40" s="13" t="s">
        <v>2982</v>
      </c>
      <c r="B40" s="41" t="s">
        <v>2983</v>
      </c>
      <c r="C40" s="41" t="s">
        <v>703</v>
      </c>
      <c r="D40" s="15">
        <v>45000000</v>
      </c>
      <c r="E40" s="16">
        <v>44582.63</v>
      </c>
      <c r="F40" s="17">
        <v>4.3999999999999997E-2</v>
      </c>
      <c r="G40" s="17">
        <v>6.7001000000000005E-2</v>
      </c>
    </row>
    <row r="41" spans="1:7" x14ac:dyDescent="0.35">
      <c r="A41" s="13" t="s">
        <v>2984</v>
      </c>
      <c r="B41" s="41" t="s">
        <v>2985</v>
      </c>
      <c r="C41" s="41" t="s">
        <v>183</v>
      </c>
      <c r="D41" s="15">
        <v>35000000</v>
      </c>
      <c r="E41" s="16">
        <v>34791.47</v>
      </c>
      <c r="F41" s="17">
        <v>3.44E-2</v>
      </c>
      <c r="G41" s="17">
        <v>6.6294000000000006E-2</v>
      </c>
    </row>
    <row r="42" spans="1:7" x14ac:dyDescent="0.35">
      <c r="A42" s="13" t="s">
        <v>2986</v>
      </c>
      <c r="B42" s="41" t="s">
        <v>2987</v>
      </c>
      <c r="C42" s="41" t="s">
        <v>176</v>
      </c>
      <c r="D42" s="15">
        <v>30000000</v>
      </c>
      <c r="E42" s="16">
        <v>29803.919999999998</v>
      </c>
      <c r="F42" s="17">
        <v>2.9399999999999999E-2</v>
      </c>
      <c r="G42" s="17">
        <v>6.6703999999999999E-2</v>
      </c>
    </row>
    <row r="43" spans="1:7" x14ac:dyDescent="0.35">
      <c r="A43" s="13" t="s">
        <v>2988</v>
      </c>
      <c r="B43" s="41" t="s">
        <v>2989</v>
      </c>
      <c r="C43" s="41" t="s">
        <v>176</v>
      </c>
      <c r="D43" s="15">
        <v>25000000</v>
      </c>
      <c r="E43" s="16">
        <v>24924.5</v>
      </c>
      <c r="F43" s="17">
        <v>2.46E-2</v>
      </c>
      <c r="G43" s="17">
        <v>6.5047999999999995E-2</v>
      </c>
    </row>
    <row r="44" spans="1:7" x14ac:dyDescent="0.35">
      <c r="A44" s="13" t="s">
        <v>2990</v>
      </c>
      <c r="B44" s="41" t="s">
        <v>2991</v>
      </c>
      <c r="C44" s="41" t="s">
        <v>703</v>
      </c>
      <c r="D44" s="15">
        <v>25000000</v>
      </c>
      <c r="E44" s="16">
        <v>24795.18</v>
      </c>
      <c r="F44" s="17">
        <v>2.4500000000000001E-2</v>
      </c>
      <c r="G44" s="17">
        <v>6.7002999999999993E-2</v>
      </c>
    </row>
    <row r="45" spans="1:7" x14ac:dyDescent="0.35">
      <c r="A45" s="13" t="s">
        <v>2992</v>
      </c>
      <c r="B45" s="41" t="s">
        <v>2993</v>
      </c>
      <c r="C45" s="41" t="s">
        <v>176</v>
      </c>
      <c r="D45" s="15">
        <v>20000000</v>
      </c>
      <c r="E45" s="16">
        <v>19890.96</v>
      </c>
      <c r="F45" s="17">
        <v>1.9599999999999999E-2</v>
      </c>
      <c r="G45" s="17">
        <v>6.6701999999999997E-2</v>
      </c>
    </row>
    <row r="46" spans="1:7" x14ac:dyDescent="0.35">
      <c r="A46" s="13" t="s">
        <v>2994</v>
      </c>
      <c r="B46" s="41" t="s">
        <v>2995</v>
      </c>
      <c r="C46" s="41" t="s">
        <v>176</v>
      </c>
      <c r="D46" s="15">
        <v>20000000</v>
      </c>
      <c r="E46" s="16">
        <v>19882.96</v>
      </c>
      <c r="F46" s="17">
        <v>1.9599999999999999E-2</v>
      </c>
      <c r="G46" s="17">
        <v>6.7147999999999999E-2</v>
      </c>
    </row>
    <row r="47" spans="1:7" x14ac:dyDescent="0.35">
      <c r="A47" s="13" t="s">
        <v>2996</v>
      </c>
      <c r="B47" s="41" t="s">
        <v>2997</v>
      </c>
      <c r="C47" s="41" t="s">
        <v>176</v>
      </c>
      <c r="D47" s="15">
        <v>17500000</v>
      </c>
      <c r="E47" s="16">
        <v>17490.740000000002</v>
      </c>
      <c r="F47" s="17">
        <v>1.7299999999999999E-2</v>
      </c>
      <c r="G47" s="17">
        <v>6.4395999999999995E-2</v>
      </c>
    </row>
    <row r="48" spans="1:7" x14ac:dyDescent="0.35">
      <c r="A48" s="13" t="s">
        <v>2998</v>
      </c>
      <c r="B48" s="41" t="s">
        <v>2999</v>
      </c>
      <c r="C48" s="41" t="s">
        <v>183</v>
      </c>
      <c r="D48" s="15">
        <v>17500000</v>
      </c>
      <c r="E48" s="16">
        <v>17408.3</v>
      </c>
      <c r="F48" s="17">
        <v>1.72E-2</v>
      </c>
      <c r="G48" s="17">
        <v>6.6298999999999997E-2</v>
      </c>
    </row>
    <row r="49" spans="1:7" x14ac:dyDescent="0.35">
      <c r="A49" s="13" t="s">
        <v>3000</v>
      </c>
      <c r="B49" s="41" t="s">
        <v>3001</v>
      </c>
      <c r="C49" s="41" t="s">
        <v>188</v>
      </c>
      <c r="D49" s="15">
        <v>10000000</v>
      </c>
      <c r="E49" s="16">
        <v>9998.51</v>
      </c>
      <c r="F49" s="17">
        <v>9.9000000000000008E-3</v>
      </c>
      <c r="G49" s="17">
        <v>5.4392999999999997E-2</v>
      </c>
    </row>
    <row r="50" spans="1:7" x14ac:dyDescent="0.35">
      <c r="A50" s="13" t="s">
        <v>3002</v>
      </c>
      <c r="B50" s="41" t="s">
        <v>3003</v>
      </c>
      <c r="C50" s="41" t="s">
        <v>703</v>
      </c>
      <c r="D50" s="15">
        <v>10000000</v>
      </c>
      <c r="E50" s="16">
        <v>9991.18</v>
      </c>
      <c r="F50" s="17">
        <v>9.9000000000000008E-3</v>
      </c>
      <c r="G50" s="17">
        <v>6.4443E-2</v>
      </c>
    </row>
    <row r="51" spans="1:7" x14ac:dyDescent="0.35">
      <c r="A51" s="13" t="s">
        <v>3004</v>
      </c>
      <c r="B51" s="41" t="s">
        <v>3005</v>
      </c>
      <c r="C51" s="41" t="s">
        <v>183</v>
      </c>
      <c r="D51" s="15">
        <v>10000000</v>
      </c>
      <c r="E51" s="16">
        <v>9940.14</v>
      </c>
      <c r="F51" s="17">
        <v>9.7999999999999997E-3</v>
      </c>
      <c r="G51" s="17">
        <v>6.6613000000000006E-2</v>
      </c>
    </row>
    <row r="52" spans="1:7" x14ac:dyDescent="0.35">
      <c r="A52" s="13" t="s">
        <v>3006</v>
      </c>
      <c r="B52" s="41" t="s">
        <v>3007</v>
      </c>
      <c r="C52" s="41" t="s">
        <v>183</v>
      </c>
      <c r="D52" s="15">
        <v>10000000</v>
      </c>
      <c r="E52" s="16">
        <v>9931.4500000000007</v>
      </c>
      <c r="F52" s="17">
        <v>9.7999999999999997E-3</v>
      </c>
      <c r="G52" s="17">
        <v>6.6298999999999997E-2</v>
      </c>
    </row>
    <row r="53" spans="1:7" x14ac:dyDescent="0.35">
      <c r="A53" s="13" t="s">
        <v>3008</v>
      </c>
      <c r="B53" s="41" t="s">
        <v>3009</v>
      </c>
      <c r="C53" s="41" t="s">
        <v>176</v>
      </c>
      <c r="D53" s="15">
        <v>10000000</v>
      </c>
      <c r="E53" s="16">
        <v>9929.4500000000007</v>
      </c>
      <c r="F53" s="17">
        <v>9.7999999999999997E-3</v>
      </c>
      <c r="G53" s="17">
        <v>6.6497000000000001E-2</v>
      </c>
    </row>
    <row r="54" spans="1:7" x14ac:dyDescent="0.35">
      <c r="A54" s="13" t="s">
        <v>3010</v>
      </c>
      <c r="B54" s="41" t="s">
        <v>3011</v>
      </c>
      <c r="C54" s="41" t="s">
        <v>176</v>
      </c>
      <c r="D54" s="15">
        <v>10000000</v>
      </c>
      <c r="E54" s="16">
        <v>9922.0300000000007</v>
      </c>
      <c r="F54" s="17">
        <v>9.7999999999999997E-3</v>
      </c>
      <c r="G54" s="17">
        <v>6.6703999999999999E-2</v>
      </c>
    </row>
    <row r="55" spans="1:7" x14ac:dyDescent="0.35">
      <c r="A55" s="13" t="s">
        <v>3012</v>
      </c>
      <c r="B55" s="41" t="s">
        <v>3013</v>
      </c>
      <c r="C55" s="41" t="s">
        <v>176</v>
      </c>
      <c r="D55" s="15">
        <v>7500000</v>
      </c>
      <c r="E55" s="16">
        <v>7465.41</v>
      </c>
      <c r="F55" s="17">
        <v>7.4000000000000003E-3</v>
      </c>
      <c r="G55" s="17">
        <v>6.5051999999999999E-2</v>
      </c>
    </row>
    <row r="56" spans="1:7" x14ac:dyDescent="0.35">
      <c r="A56" s="13" t="s">
        <v>3014</v>
      </c>
      <c r="B56" s="41" t="s">
        <v>3015</v>
      </c>
      <c r="C56" s="41" t="s">
        <v>188</v>
      </c>
      <c r="D56" s="15">
        <v>7500000</v>
      </c>
      <c r="E56" s="16">
        <v>7447.24</v>
      </c>
      <c r="F56" s="17">
        <v>7.4000000000000003E-3</v>
      </c>
      <c r="G56" s="17">
        <v>6.6311999999999996E-2</v>
      </c>
    </row>
    <row r="57" spans="1:7" x14ac:dyDescent="0.35">
      <c r="A57" s="13" t="s">
        <v>3016</v>
      </c>
      <c r="B57" s="41" t="s">
        <v>3017</v>
      </c>
      <c r="C57" s="41" t="s">
        <v>183</v>
      </c>
      <c r="D57" s="15">
        <v>5000000</v>
      </c>
      <c r="E57" s="16">
        <v>4999.25</v>
      </c>
      <c r="F57" s="17">
        <v>4.8999999999999998E-3</v>
      </c>
      <c r="G57" s="17">
        <v>5.5122999999999998E-2</v>
      </c>
    </row>
    <row r="58" spans="1:7" x14ac:dyDescent="0.35">
      <c r="A58" s="13" t="s">
        <v>3018</v>
      </c>
      <c r="B58" s="41" t="s">
        <v>3019</v>
      </c>
      <c r="C58" s="41" t="s">
        <v>176</v>
      </c>
      <c r="D58" s="15">
        <v>5000000</v>
      </c>
      <c r="E58" s="16">
        <v>4997.38</v>
      </c>
      <c r="F58" s="17">
        <v>4.8999999999999998E-3</v>
      </c>
      <c r="G58" s="17">
        <v>6.3968999999999998E-2</v>
      </c>
    </row>
    <row r="59" spans="1:7" x14ac:dyDescent="0.35">
      <c r="A59" s="13" t="s">
        <v>3020</v>
      </c>
      <c r="B59" s="41" t="s">
        <v>3021</v>
      </c>
      <c r="C59" s="41" t="s">
        <v>176</v>
      </c>
      <c r="D59" s="15">
        <v>5000000</v>
      </c>
      <c r="E59" s="16">
        <v>4966.5200000000004</v>
      </c>
      <c r="F59" s="17">
        <v>4.8999999999999998E-3</v>
      </c>
      <c r="G59" s="17">
        <v>6.6500000000000004E-2</v>
      </c>
    </row>
    <row r="60" spans="1:7" x14ac:dyDescent="0.35">
      <c r="A60" s="13" t="s">
        <v>3022</v>
      </c>
      <c r="B60" s="41" t="s">
        <v>3023</v>
      </c>
      <c r="C60" s="41" t="s">
        <v>176</v>
      </c>
      <c r="D60" s="15">
        <v>5000000</v>
      </c>
      <c r="E60" s="16">
        <v>4959.22</v>
      </c>
      <c r="F60" s="17">
        <v>4.8999999999999998E-3</v>
      </c>
      <c r="G60" s="17">
        <v>6.6697999999999993E-2</v>
      </c>
    </row>
    <row r="61" spans="1:7" x14ac:dyDescent="0.35">
      <c r="A61" s="14" t="s">
        <v>149</v>
      </c>
      <c r="B61" s="42"/>
      <c r="C61" s="42"/>
      <c r="D61" s="18"/>
      <c r="E61" s="36">
        <v>382797.3</v>
      </c>
      <c r="F61" s="37">
        <v>0.378</v>
      </c>
      <c r="G61" s="21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4" t="s">
        <v>225</v>
      </c>
      <c r="B63" s="41"/>
      <c r="C63" s="41"/>
      <c r="D63" s="15"/>
      <c r="E63" s="16"/>
      <c r="F63" s="17"/>
      <c r="G63" s="17"/>
    </row>
    <row r="64" spans="1:7" x14ac:dyDescent="0.35">
      <c r="A64" s="13" t="s">
        <v>3024</v>
      </c>
      <c r="B64" s="41" t="s">
        <v>3025</v>
      </c>
      <c r="C64" s="41" t="s">
        <v>176</v>
      </c>
      <c r="D64" s="15">
        <v>30000000</v>
      </c>
      <c r="E64" s="16">
        <v>29741.13</v>
      </c>
      <c r="F64" s="17">
        <v>2.9399999999999999E-2</v>
      </c>
      <c r="G64" s="17">
        <v>6.7599999999999993E-2</v>
      </c>
    </row>
    <row r="65" spans="1:7" x14ac:dyDescent="0.35">
      <c r="A65" s="13" t="s">
        <v>3026</v>
      </c>
      <c r="B65" s="41" t="s">
        <v>3027</v>
      </c>
      <c r="C65" s="41" t="s">
        <v>176</v>
      </c>
      <c r="D65" s="15">
        <v>25000000</v>
      </c>
      <c r="E65" s="16">
        <v>24794.18</v>
      </c>
      <c r="F65" s="17">
        <v>2.4500000000000001E-2</v>
      </c>
      <c r="G65" s="17">
        <v>6.7336999999999994E-2</v>
      </c>
    </row>
    <row r="66" spans="1:7" x14ac:dyDescent="0.35">
      <c r="A66" s="13" t="s">
        <v>3028</v>
      </c>
      <c r="B66" s="41" t="s">
        <v>3029</v>
      </c>
      <c r="C66" s="41" t="s">
        <v>176</v>
      </c>
      <c r="D66" s="15">
        <v>25000000</v>
      </c>
      <c r="E66" s="16">
        <v>24785.1</v>
      </c>
      <c r="F66" s="17">
        <v>2.4500000000000001E-2</v>
      </c>
      <c r="G66" s="17">
        <v>6.7338999999999996E-2</v>
      </c>
    </row>
    <row r="67" spans="1:7" x14ac:dyDescent="0.35">
      <c r="A67" s="13" t="s">
        <v>3030</v>
      </c>
      <c r="B67" s="41" t="s">
        <v>3031</v>
      </c>
      <c r="C67" s="41" t="s">
        <v>176</v>
      </c>
      <c r="D67" s="15">
        <v>20000000</v>
      </c>
      <c r="E67" s="16">
        <v>19939.32</v>
      </c>
      <c r="F67" s="17">
        <v>1.9699999999999999E-2</v>
      </c>
      <c r="G67" s="17">
        <v>6.5351000000000006E-2</v>
      </c>
    </row>
    <row r="68" spans="1:7" x14ac:dyDescent="0.35">
      <c r="A68" s="13" t="s">
        <v>3032</v>
      </c>
      <c r="B68" s="41" t="s">
        <v>3033</v>
      </c>
      <c r="C68" s="41" t="s">
        <v>176</v>
      </c>
      <c r="D68" s="15">
        <v>15000000</v>
      </c>
      <c r="E68" s="16">
        <v>14922.95</v>
      </c>
      <c r="F68" s="17">
        <v>1.47E-2</v>
      </c>
      <c r="G68" s="17">
        <v>7.2495000000000004E-2</v>
      </c>
    </row>
    <row r="69" spans="1:7" x14ac:dyDescent="0.35">
      <c r="A69" s="13" t="s">
        <v>3034</v>
      </c>
      <c r="B69" s="41" t="s">
        <v>3035</v>
      </c>
      <c r="C69" s="41" t="s">
        <v>176</v>
      </c>
      <c r="D69" s="15">
        <v>15000000</v>
      </c>
      <c r="E69" s="16">
        <v>14897.3</v>
      </c>
      <c r="F69" s="17">
        <v>1.47E-2</v>
      </c>
      <c r="G69" s="17">
        <v>7.6254000000000002E-2</v>
      </c>
    </row>
    <row r="70" spans="1:7" x14ac:dyDescent="0.35">
      <c r="A70" s="13" t="s">
        <v>3036</v>
      </c>
      <c r="B70" s="41" t="s">
        <v>3037</v>
      </c>
      <c r="C70" s="41" t="s">
        <v>176</v>
      </c>
      <c r="D70" s="15">
        <v>15000000</v>
      </c>
      <c r="E70" s="16">
        <v>14878.58</v>
      </c>
      <c r="F70" s="17">
        <v>1.47E-2</v>
      </c>
      <c r="G70" s="17">
        <v>6.7699999999999996E-2</v>
      </c>
    </row>
    <row r="71" spans="1:7" x14ac:dyDescent="0.35">
      <c r="A71" s="13" t="s">
        <v>3038</v>
      </c>
      <c r="B71" s="41" t="s">
        <v>3039</v>
      </c>
      <c r="C71" s="41" t="s">
        <v>176</v>
      </c>
      <c r="D71" s="15">
        <v>15000000</v>
      </c>
      <c r="E71" s="16">
        <v>14875.85</v>
      </c>
      <c r="F71" s="17">
        <v>1.47E-2</v>
      </c>
      <c r="G71" s="17">
        <v>6.7699999999999996E-2</v>
      </c>
    </row>
    <row r="72" spans="1:7" x14ac:dyDescent="0.35">
      <c r="A72" s="13" t="s">
        <v>3040</v>
      </c>
      <c r="B72" s="41" t="s">
        <v>3041</v>
      </c>
      <c r="C72" s="41" t="s">
        <v>176</v>
      </c>
      <c r="D72" s="15">
        <v>12500000</v>
      </c>
      <c r="E72" s="16">
        <v>12443.65</v>
      </c>
      <c r="F72" s="17">
        <v>1.23E-2</v>
      </c>
      <c r="G72" s="17">
        <v>7.1872000000000005E-2</v>
      </c>
    </row>
    <row r="73" spans="1:7" x14ac:dyDescent="0.35">
      <c r="A73" s="13" t="s">
        <v>3042</v>
      </c>
      <c r="B73" s="41" t="s">
        <v>3043</v>
      </c>
      <c r="C73" s="41" t="s">
        <v>183</v>
      </c>
      <c r="D73" s="15">
        <v>12500000</v>
      </c>
      <c r="E73" s="16">
        <v>12430.84</v>
      </c>
      <c r="F73" s="17">
        <v>1.23E-2</v>
      </c>
      <c r="G73" s="17">
        <v>6.7693000000000003E-2</v>
      </c>
    </row>
    <row r="74" spans="1:7" x14ac:dyDescent="0.35">
      <c r="A74" s="13" t="s">
        <v>3044</v>
      </c>
      <c r="B74" s="41" t="s">
        <v>3045</v>
      </c>
      <c r="C74" s="41" t="s">
        <v>183</v>
      </c>
      <c r="D74" s="15">
        <v>10000000</v>
      </c>
      <c r="E74" s="16">
        <v>9983.75</v>
      </c>
      <c r="F74" s="17">
        <v>9.9000000000000008E-3</v>
      </c>
      <c r="G74" s="17">
        <v>6.6009999999999999E-2</v>
      </c>
    </row>
    <row r="75" spans="1:7" x14ac:dyDescent="0.35">
      <c r="A75" s="13" t="s">
        <v>3046</v>
      </c>
      <c r="B75" s="41" t="s">
        <v>3047</v>
      </c>
      <c r="C75" s="41" t="s">
        <v>176</v>
      </c>
      <c r="D75" s="15">
        <v>10000000</v>
      </c>
      <c r="E75" s="16">
        <v>9961.3700000000008</v>
      </c>
      <c r="F75" s="17">
        <v>9.7999999999999997E-3</v>
      </c>
      <c r="G75" s="17">
        <v>7.4508000000000005E-2</v>
      </c>
    </row>
    <row r="76" spans="1:7" x14ac:dyDescent="0.35">
      <c r="A76" s="13" t="s">
        <v>3048</v>
      </c>
      <c r="B76" s="41" t="s">
        <v>3049</v>
      </c>
      <c r="C76" s="41" t="s">
        <v>176</v>
      </c>
      <c r="D76" s="15">
        <v>10000000</v>
      </c>
      <c r="E76" s="16">
        <v>9956.3700000000008</v>
      </c>
      <c r="F76" s="17">
        <v>9.7999999999999997E-3</v>
      </c>
      <c r="G76" s="17">
        <v>7.2703000000000004E-2</v>
      </c>
    </row>
    <row r="77" spans="1:7" x14ac:dyDescent="0.35">
      <c r="A77" s="13" t="s">
        <v>3050</v>
      </c>
      <c r="B77" s="41" t="s">
        <v>3051</v>
      </c>
      <c r="C77" s="41" t="s">
        <v>176</v>
      </c>
      <c r="D77" s="15">
        <v>10000000</v>
      </c>
      <c r="E77" s="16">
        <v>9929.18</v>
      </c>
      <c r="F77" s="17">
        <v>9.7999999999999997E-3</v>
      </c>
      <c r="G77" s="17">
        <v>6.6753000000000007E-2</v>
      </c>
    </row>
    <row r="78" spans="1:7" x14ac:dyDescent="0.35">
      <c r="A78" s="13" t="s">
        <v>3052</v>
      </c>
      <c r="B78" s="41" t="s">
        <v>3053</v>
      </c>
      <c r="C78" s="41" t="s">
        <v>176</v>
      </c>
      <c r="D78" s="15">
        <v>10000000</v>
      </c>
      <c r="E78" s="16">
        <v>9926.69</v>
      </c>
      <c r="F78" s="17">
        <v>9.7999999999999997E-3</v>
      </c>
      <c r="G78" s="17">
        <v>7.2853000000000001E-2</v>
      </c>
    </row>
    <row r="79" spans="1:7" x14ac:dyDescent="0.35">
      <c r="A79" s="13" t="s">
        <v>3054</v>
      </c>
      <c r="B79" s="41" t="s">
        <v>3055</v>
      </c>
      <c r="C79" s="41" t="s">
        <v>176</v>
      </c>
      <c r="D79" s="15">
        <v>10000000</v>
      </c>
      <c r="E79" s="16">
        <v>9924.15</v>
      </c>
      <c r="F79" s="17">
        <v>9.7999999999999997E-3</v>
      </c>
      <c r="G79" s="17">
        <v>7.5397000000000006E-2</v>
      </c>
    </row>
    <row r="80" spans="1:7" x14ac:dyDescent="0.35">
      <c r="A80" s="13" t="s">
        <v>3056</v>
      </c>
      <c r="B80" s="41" t="s">
        <v>3057</v>
      </c>
      <c r="C80" s="41" t="s">
        <v>176</v>
      </c>
      <c r="D80" s="15">
        <v>10000000</v>
      </c>
      <c r="E80" s="16">
        <v>9923.92</v>
      </c>
      <c r="F80" s="17">
        <v>9.7999999999999997E-3</v>
      </c>
      <c r="G80" s="17">
        <v>7.1748999999999993E-2</v>
      </c>
    </row>
    <row r="81" spans="1:7" x14ac:dyDescent="0.35">
      <c r="A81" s="13" t="s">
        <v>3058</v>
      </c>
      <c r="B81" s="41" t="s">
        <v>3059</v>
      </c>
      <c r="C81" s="41" t="s">
        <v>176</v>
      </c>
      <c r="D81" s="15">
        <v>10000000</v>
      </c>
      <c r="E81" s="16">
        <v>9908.9</v>
      </c>
      <c r="F81" s="17">
        <v>9.7999999999999997E-3</v>
      </c>
      <c r="G81" s="17">
        <v>7.1398000000000003E-2</v>
      </c>
    </row>
    <row r="82" spans="1:7" x14ac:dyDescent="0.35">
      <c r="A82" s="13" t="s">
        <v>3060</v>
      </c>
      <c r="B82" s="41" t="s">
        <v>3061</v>
      </c>
      <c r="C82" s="41" t="s">
        <v>176</v>
      </c>
      <c r="D82" s="15">
        <v>10000000</v>
      </c>
      <c r="E82" s="16">
        <v>9908.4599999999991</v>
      </c>
      <c r="F82" s="17">
        <v>9.7999999999999997E-3</v>
      </c>
      <c r="G82" s="17">
        <v>7.1746000000000004E-2</v>
      </c>
    </row>
    <row r="83" spans="1:7" x14ac:dyDescent="0.35">
      <c r="A83" s="13" t="s">
        <v>3062</v>
      </c>
      <c r="B83" s="41" t="s">
        <v>3063</v>
      </c>
      <c r="C83" s="41" t="s">
        <v>176</v>
      </c>
      <c r="D83" s="15">
        <v>10000000</v>
      </c>
      <c r="E83" s="16">
        <v>9907.07</v>
      </c>
      <c r="F83" s="17">
        <v>9.7999999999999997E-3</v>
      </c>
      <c r="G83" s="17">
        <v>7.2849999999999998E-2</v>
      </c>
    </row>
    <row r="84" spans="1:7" x14ac:dyDescent="0.35">
      <c r="A84" s="13" t="s">
        <v>3064</v>
      </c>
      <c r="B84" s="41" t="s">
        <v>3065</v>
      </c>
      <c r="C84" s="41" t="s">
        <v>176</v>
      </c>
      <c r="D84" s="15">
        <v>10000000</v>
      </c>
      <c r="E84" s="16">
        <v>9900.99</v>
      </c>
      <c r="F84" s="17">
        <v>9.7999999999999997E-3</v>
      </c>
      <c r="G84" s="17">
        <v>7.2999999999999995E-2</v>
      </c>
    </row>
    <row r="85" spans="1:7" x14ac:dyDescent="0.35">
      <c r="A85" s="13" t="s">
        <v>3066</v>
      </c>
      <c r="B85" s="41" t="s">
        <v>3067</v>
      </c>
      <c r="C85" s="41" t="s">
        <v>176</v>
      </c>
      <c r="D85" s="15">
        <v>7500000</v>
      </c>
      <c r="E85" s="16">
        <v>7470.2</v>
      </c>
      <c r="F85" s="17">
        <v>7.4000000000000003E-3</v>
      </c>
      <c r="G85" s="17">
        <v>7.6657000000000003E-2</v>
      </c>
    </row>
    <row r="86" spans="1:7" x14ac:dyDescent="0.35">
      <c r="A86" s="13" t="s">
        <v>3068</v>
      </c>
      <c r="B86" s="41" t="s">
        <v>3069</v>
      </c>
      <c r="C86" s="41" t="s">
        <v>176</v>
      </c>
      <c r="D86" s="15">
        <v>7500000</v>
      </c>
      <c r="E86" s="16">
        <v>7449.52</v>
      </c>
      <c r="F86" s="17">
        <v>7.4000000000000003E-3</v>
      </c>
      <c r="G86" s="17">
        <v>7.7301999999999996E-2</v>
      </c>
    </row>
    <row r="87" spans="1:7" x14ac:dyDescent="0.35">
      <c r="A87" s="13" t="s">
        <v>3070</v>
      </c>
      <c r="B87" s="41" t="s">
        <v>3071</v>
      </c>
      <c r="C87" s="41" t="s">
        <v>176</v>
      </c>
      <c r="D87" s="15">
        <v>7500000</v>
      </c>
      <c r="E87" s="16">
        <v>7429.2</v>
      </c>
      <c r="F87" s="17">
        <v>7.3000000000000001E-3</v>
      </c>
      <c r="G87" s="17">
        <v>7.7299000000000007E-2</v>
      </c>
    </row>
    <row r="88" spans="1:7" x14ac:dyDescent="0.35">
      <c r="A88" s="13" t="s">
        <v>3072</v>
      </c>
      <c r="B88" s="41" t="s">
        <v>3073</v>
      </c>
      <c r="C88" s="41" t="s">
        <v>183</v>
      </c>
      <c r="D88" s="15">
        <v>5000000</v>
      </c>
      <c r="E88" s="16">
        <v>4989.13</v>
      </c>
      <c r="F88" s="17">
        <v>4.8999999999999998E-3</v>
      </c>
      <c r="G88" s="17">
        <v>6.6299999999999998E-2</v>
      </c>
    </row>
    <row r="89" spans="1:7" x14ac:dyDescent="0.35">
      <c r="A89" s="13" t="s">
        <v>3074</v>
      </c>
      <c r="B89" s="41" t="s">
        <v>3075</v>
      </c>
      <c r="C89" s="41" t="s">
        <v>176</v>
      </c>
      <c r="D89" s="15">
        <v>5000000</v>
      </c>
      <c r="E89" s="16">
        <v>4984.3599999999997</v>
      </c>
      <c r="F89" s="17">
        <v>4.8999999999999998E-3</v>
      </c>
      <c r="G89" s="17">
        <v>7.1604000000000001E-2</v>
      </c>
    </row>
    <row r="90" spans="1:7" x14ac:dyDescent="0.35">
      <c r="A90" s="13" t="s">
        <v>3076</v>
      </c>
      <c r="B90" s="41" t="s">
        <v>3077</v>
      </c>
      <c r="C90" s="41" t="s">
        <v>176</v>
      </c>
      <c r="D90" s="15">
        <v>5000000</v>
      </c>
      <c r="E90" s="16">
        <v>4983.3999999999996</v>
      </c>
      <c r="F90" s="17">
        <v>4.8999999999999998E-3</v>
      </c>
      <c r="G90" s="17">
        <v>7.1552000000000004E-2</v>
      </c>
    </row>
    <row r="91" spans="1:7" x14ac:dyDescent="0.35">
      <c r="A91" s="13" t="s">
        <v>3078</v>
      </c>
      <c r="B91" s="41" t="s">
        <v>3079</v>
      </c>
      <c r="C91" s="41" t="s">
        <v>176</v>
      </c>
      <c r="D91" s="15">
        <v>5000000</v>
      </c>
      <c r="E91" s="16">
        <v>4977.6499999999996</v>
      </c>
      <c r="F91" s="17">
        <v>4.8999999999999998E-3</v>
      </c>
      <c r="G91" s="17">
        <v>6.8293999999999994E-2</v>
      </c>
    </row>
    <row r="92" spans="1:7" x14ac:dyDescent="0.35">
      <c r="A92" s="13" t="s">
        <v>3080</v>
      </c>
      <c r="B92" s="41" t="s">
        <v>3081</v>
      </c>
      <c r="C92" s="41" t="s">
        <v>176</v>
      </c>
      <c r="D92" s="15">
        <v>5000000</v>
      </c>
      <c r="E92" s="16">
        <v>4961.8599999999997</v>
      </c>
      <c r="F92" s="17">
        <v>4.8999999999999998E-3</v>
      </c>
      <c r="G92" s="17">
        <v>7.3846999999999996E-2</v>
      </c>
    </row>
    <row r="93" spans="1:7" x14ac:dyDescent="0.35">
      <c r="A93" s="13" t="s">
        <v>3082</v>
      </c>
      <c r="B93" s="41" t="s">
        <v>3083</v>
      </c>
      <c r="C93" s="41" t="s">
        <v>176</v>
      </c>
      <c r="D93" s="15">
        <v>5000000</v>
      </c>
      <c r="E93" s="16">
        <v>4961.38</v>
      </c>
      <c r="F93" s="17">
        <v>4.8999999999999998E-3</v>
      </c>
      <c r="G93" s="17">
        <v>7.2850999999999999E-2</v>
      </c>
    </row>
    <row r="94" spans="1:7" x14ac:dyDescent="0.35">
      <c r="A94" s="13" t="s">
        <v>3084</v>
      </c>
      <c r="B94" s="41" t="s">
        <v>3085</v>
      </c>
      <c r="C94" s="41" t="s">
        <v>183</v>
      </c>
      <c r="D94" s="15">
        <v>5000000</v>
      </c>
      <c r="E94" s="16">
        <v>4905.1000000000004</v>
      </c>
      <c r="F94" s="17">
        <v>4.7999999999999996E-3</v>
      </c>
      <c r="G94" s="17">
        <v>8.0251000000000003E-2</v>
      </c>
    </row>
    <row r="95" spans="1:7" x14ac:dyDescent="0.35">
      <c r="A95" s="13" t="s">
        <v>3086</v>
      </c>
      <c r="B95" s="41" t="s">
        <v>3087</v>
      </c>
      <c r="C95" s="41" t="s">
        <v>176</v>
      </c>
      <c r="D95" s="15">
        <v>5000000</v>
      </c>
      <c r="E95" s="16">
        <v>4899.59</v>
      </c>
      <c r="F95" s="17">
        <v>4.7999999999999996E-3</v>
      </c>
      <c r="G95" s="17">
        <v>8.5001999999999994E-2</v>
      </c>
    </row>
    <row r="96" spans="1:7" x14ac:dyDescent="0.35">
      <c r="A96" s="14" t="s">
        <v>149</v>
      </c>
      <c r="B96" s="42"/>
      <c r="C96" s="42"/>
      <c r="D96" s="18"/>
      <c r="E96" s="36">
        <v>354951.14</v>
      </c>
      <c r="F96" s="37">
        <v>0.35049999999999998</v>
      </c>
      <c r="G96" s="21"/>
    </row>
    <row r="97" spans="1:7" x14ac:dyDescent="0.35">
      <c r="A97" s="13"/>
      <c r="B97" s="41"/>
      <c r="C97" s="41"/>
      <c r="D97" s="15"/>
      <c r="E97" s="16"/>
      <c r="F97" s="17"/>
      <c r="G97" s="17"/>
    </row>
    <row r="98" spans="1:7" x14ac:dyDescent="0.35">
      <c r="A98" s="22" t="s">
        <v>160</v>
      </c>
      <c r="B98" s="43"/>
      <c r="C98" s="43"/>
      <c r="D98" s="23"/>
      <c r="E98" s="36">
        <v>900454.76</v>
      </c>
      <c r="F98" s="37">
        <v>0.88919999999999999</v>
      </c>
      <c r="G98" s="21"/>
    </row>
    <row r="99" spans="1:7" x14ac:dyDescent="0.35">
      <c r="A99" s="13"/>
      <c r="B99" s="41"/>
      <c r="C99" s="41"/>
      <c r="D99" s="15"/>
      <c r="E99" s="16"/>
      <c r="F99" s="17"/>
      <c r="G99" s="17"/>
    </row>
    <row r="100" spans="1:7" x14ac:dyDescent="0.35">
      <c r="A100" s="13"/>
      <c r="B100" s="41"/>
      <c r="C100" s="41"/>
      <c r="D100" s="15"/>
      <c r="E100" s="16"/>
      <c r="F100" s="17"/>
      <c r="G100" s="17"/>
    </row>
    <row r="101" spans="1:7" x14ac:dyDescent="0.35">
      <c r="A101" s="14" t="s">
        <v>252</v>
      </c>
      <c r="B101" s="41"/>
      <c r="C101" s="41"/>
      <c r="D101" s="15"/>
      <c r="E101" s="16"/>
      <c r="F101" s="17"/>
      <c r="G101" s="17"/>
    </row>
    <row r="102" spans="1:7" x14ac:dyDescent="0.35">
      <c r="A102" s="13" t="s">
        <v>253</v>
      </c>
      <c r="B102" s="41" t="s">
        <v>254</v>
      </c>
      <c r="C102" s="41"/>
      <c r="D102" s="15">
        <v>24043.156999999999</v>
      </c>
      <c r="E102" s="16">
        <v>2788.74</v>
      </c>
      <c r="F102" s="17">
        <v>2.8E-3</v>
      </c>
      <c r="G102" s="17"/>
    </row>
    <row r="103" spans="1:7" x14ac:dyDescent="0.35">
      <c r="A103" s="13"/>
      <c r="B103" s="41"/>
      <c r="C103" s="41"/>
      <c r="D103" s="15"/>
      <c r="E103" s="16"/>
      <c r="F103" s="17"/>
      <c r="G103" s="17"/>
    </row>
    <row r="104" spans="1:7" x14ac:dyDescent="0.35">
      <c r="A104" s="22" t="s">
        <v>160</v>
      </c>
      <c r="B104" s="43"/>
      <c r="C104" s="43"/>
      <c r="D104" s="23"/>
      <c r="E104" s="36">
        <v>2788.74</v>
      </c>
      <c r="F104" s="37">
        <v>2.8E-3</v>
      </c>
      <c r="G104" s="21"/>
    </row>
    <row r="105" spans="1:7" x14ac:dyDescent="0.35">
      <c r="A105" s="13"/>
      <c r="B105" s="41"/>
      <c r="C105" s="41"/>
      <c r="D105" s="15"/>
      <c r="E105" s="16"/>
      <c r="F105" s="17"/>
      <c r="G105" s="17"/>
    </row>
    <row r="106" spans="1:7" x14ac:dyDescent="0.35">
      <c r="A106" s="14" t="s">
        <v>255</v>
      </c>
      <c r="B106" s="41"/>
      <c r="C106" s="41"/>
      <c r="D106" s="15"/>
      <c r="E106" s="16"/>
      <c r="F106" s="17"/>
      <c r="G106" s="17"/>
    </row>
    <row r="107" spans="1:7" x14ac:dyDescent="0.35">
      <c r="A107" s="13" t="s">
        <v>257</v>
      </c>
      <c r="B107" s="41"/>
      <c r="C107" s="41"/>
      <c r="D107" s="15"/>
      <c r="E107" s="16">
        <v>75076.070000000007</v>
      </c>
      <c r="F107" s="17">
        <v>7.4099999999999999E-2</v>
      </c>
      <c r="G107" s="17">
        <v>5.1742000000000003E-2</v>
      </c>
    </row>
    <row r="108" spans="1:7" x14ac:dyDescent="0.35">
      <c r="A108" s="14" t="s">
        <v>149</v>
      </c>
      <c r="B108" s="42"/>
      <c r="C108" s="42"/>
      <c r="D108" s="18"/>
      <c r="E108" s="36">
        <v>75076.070000000007</v>
      </c>
      <c r="F108" s="37">
        <v>7.4099999999999999E-2</v>
      </c>
      <c r="G108" s="21"/>
    </row>
    <row r="109" spans="1:7" x14ac:dyDescent="0.35">
      <c r="A109" s="13"/>
      <c r="B109" s="41"/>
      <c r="C109" s="41"/>
      <c r="D109" s="15"/>
      <c r="E109" s="16"/>
      <c r="F109" s="17"/>
      <c r="G109" s="17"/>
    </row>
    <row r="110" spans="1:7" x14ac:dyDescent="0.35">
      <c r="A110" s="22" t="s">
        <v>160</v>
      </c>
      <c r="B110" s="43"/>
      <c r="C110" s="43"/>
      <c r="D110" s="23"/>
      <c r="E110" s="36">
        <v>75076.070000000007</v>
      </c>
      <c r="F110" s="37">
        <v>7.4099999999999999E-2</v>
      </c>
      <c r="G110" s="21"/>
    </row>
    <row r="111" spans="1:7" x14ac:dyDescent="0.35">
      <c r="A111" s="13" t="s">
        <v>258</v>
      </c>
      <c r="B111" s="41"/>
      <c r="C111" s="41"/>
      <c r="D111" s="15"/>
      <c r="E111" s="16">
        <v>1124.721037</v>
      </c>
      <c r="F111" s="17">
        <v>1.1100000000000001E-3</v>
      </c>
      <c r="G111" s="17"/>
    </row>
    <row r="112" spans="1:7" x14ac:dyDescent="0.35">
      <c r="A112" s="13" t="s">
        <v>259</v>
      </c>
      <c r="B112" s="41"/>
      <c r="C112" s="41"/>
      <c r="D112" s="15"/>
      <c r="E112" s="16">
        <v>47.908963</v>
      </c>
      <c r="F112" s="17">
        <v>1.9000000000000001E-4</v>
      </c>
      <c r="G112" s="17">
        <v>5.1742000000000003E-2</v>
      </c>
    </row>
    <row r="113" spans="1:7" x14ac:dyDescent="0.35">
      <c r="A113" s="38" t="s">
        <v>260</v>
      </c>
      <c r="B113" s="44"/>
      <c r="C113" s="44"/>
      <c r="D113" s="39"/>
      <c r="E113" s="24">
        <v>1012494.96</v>
      </c>
      <c r="F113" s="25">
        <v>1</v>
      </c>
      <c r="G113" s="25"/>
    </row>
    <row r="115" spans="1:7" x14ac:dyDescent="0.35">
      <c r="A115" s="1" t="s">
        <v>261</v>
      </c>
    </row>
    <row r="116" spans="1:7" x14ac:dyDescent="0.35">
      <c r="A116" s="1" t="s">
        <v>262</v>
      </c>
    </row>
    <row r="118" spans="1:7" x14ac:dyDescent="0.35">
      <c r="A118" s="1" t="s">
        <v>263</v>
      </c>
    </row>
    <row r="119" spans="1:7" ht="29" customHeight="1" x14ac:dyDescent="0.35">
      <c r="A119" s="47" t="s">
        <v>264</v>
      </c>
      <c r="B119" s="3" t="s">
        <v>146</v>
      </c>
    </row>
    <row r="120" spans="1:7" x14ac:dyDescent="0.35">
      <c r="A120" t="s">
        <v>265</v>
      </c>
    </row>
    <row r="121" spans="1:7" x14ac:dyDescent="0.35">
      <c r="A121" t="s">
        <v>471</v>
      </c>
      <c r="B121" t="s">
        <v>267</v>
      </c>
      <c r="C121" t="s">
        <v>267</v>
      </c>
    </row>
    <row r="122" spans="1:7" x14ac:dyDescent="0.35">
      <c r="B122" s="49">
        <v>46022</v>
      </c>
      <c r="C122" s="49">
        <v>46053</v>
      </c>
    </row>
    <row r="123" spans="1:7" x14ac:dyDescent="0.35">
      <c r="A123" t="s">
        <v>268</v>
      </c>
      <c r="B123">
        <v>3509.2683999999999</v>
      </c>
      <c r="C123">
        <v>3524.8674000000001</v>
      </c>
    </row>
    <row r="124" spans="1:7" x14ac:dyDescent="0.35">
      <c r="A124" t="s">
        <v>269</v>
      </c>
      <c r="B124">
        <v>2041.6421</v>
      </c>
      <c r="C124">
        <v>2050.7170000000001</v>
      </c>
    </row>
    <row r="125" spans="1:7" x14ac:dyDescent="0.35">
      <c r="A125" t="s">
        <v>1155</v>
      </c>
      <c r="B125">
        <v>1171.8563999999999</v>
      </c>
      <c r="C125">
        <v>1177.0654</v>
      </c>
    </row>
    <row r="126" spans="1:7" x14ac:dyDescent="0.35">
      <c r="A126" t="s">
        <v>704</v>
      </c>
      <c r="B126">
        <v>2474.6264999999999</v>
      </c>
      <c r="C126">
        <v>2474.0963000000002</v>
      </c>
    </row>
    <row r="127" spans="1:7" x14ac:dyDescent="0.35">
      <c r="A127" t="s">
        <v>272</v>
      </c>
      <c r="B127">
        <v>3509.2928000000002</v>
      </c>
      <c r="C127">
        <v>3524.8919000000001</v>
      </c>
    </row>
    <row r="128" spans="1:7" x14ac:dyDescent="0.35">
      <c r="A128" t="s">
        <v>273</v>
      </c>
      <c r="B128">
        <v>3509.3063999999999</v>
      </c>
      <c r="C128">
        <v>3524.9054999999998</v>
      </c>
    </row>
    <row r="129" spans="1:3" x14ac:dyDescent="0.35">
      <c r="A129" t="s">
        <v>705</v>
      </c>
      <c r="B129">
        <v>1005.4054</v>
      </c>
      <c r="C129">
        <v>1005.2411</v>
      </c>
    </row>
    <row r="130" spans="1:3" x14ac:dyDescent="0.35">
      <c r="A130" t="s">
        <v>706</v>
      </c>
      <c r="B130">
        <v>2174.1597999999999</v>
      </c>
      <c r="C130">
        <v>2174.3524000000002</v>
      </c>
    </row>
    <row r="131" spans="1:3" x14ac:dyDescent="0.35">
      <c r="A131" t="s">
        <v>3088</v>
      </c>
      <c r="B131">
        <v>2378.2419</v>
      </c>
      <c r="C131">
        <v>2388.6408999999999</v>
      </c>
    </row>
    <row r="132" spans="1:3" x14ac:dyDescent="0.35">
      <c r="A132" t="s">
        <v>281</v>
      </c>
      <c r="B132">
        <v>2002.2825</v>
      </c>
      <c r="C132">
        <v>2011.0333000000001</v>
      </c>
    </row>
    <row r="133" spans="1:3" x14ac:dyDescent="0.35">
      <c r="A133" t="s">
        <v>3089</v>
      </c>
      <c r="B133">
        <v>1272.694</v>
      </c>
      <c r="C133">
        <v>1278.2588000000001</v>
      </c>
    </row>
    <row r="134" spans="1:3" x14ac:dyDescent="0.35">
      <c r="A134" t="s">
        <v>718</v>
      </c>
      <c r="B134">
        <v>2154.1008000000002</v>
      </c>
      <c r="C134">
        <v>2153.6415999999999</v>
      </c>
    </row>
    <row r="135" spans="1:3" x14ac:dyDescent="0.35">
      <c r="A135" t="s">
        <v>3090</v>
      </c>
      <c r="B135">
        <v>3437.1939000000002</v>
      </c>
      <c r="C135">
        <v>3452.2233000000001</v>
      </c>
    </row>
    <row r="136" spans="1:3" x14ac:dyDescent="0.35">
      <c r="A136" t="s">
        <v>2549</v>
      </c>
      <c r="B136">
        <v>3437.1968000000002</v>
      </c>
      <c r="C136">
        <v>3452.2260999999999</v>
      </c>
    </row>
    <row r="137" spans="1:3" x14ac:dyDescent="0.35">
      <c r="A137" t="s">
        <v>2210</v>
      </c>
      <c r="B137">
        <v>1083.6305</v>
      </c>
      <c r="C137">
        <v>1083.4529</v>
      </c>
    </row>
    <row r="138" spans="1:3" x14ac:dyDescent="0.35">
      <c r="A138" t="s">
        <v>3091</v>
      </c>
      <c r="B138">
        <v>1215.8194000000001</v>
      </c>
      <c r="C138">
        <v>1215.9190000000001</v>
      </c>
    </row>
    <row r="139" spans="1:3" x14ac:dyDescent="0.35">
      <c r="A139" t="s">
        <v>3092</v>
      </c>
      <c r="B139" t="s">
        <v>270</v>
      </c>
      <c r="C139" t="s">
        <v>271</v>
      </c>
    </row>
    <row r="140" spans="1:3" x14ac:dyDescent="0.35">
      <c r="A140" t="s">
        <v>3093</v>
      </c>
      <c r="B140" t="s">
        <v>270</v>
      </c>
      <c r="C140" t="s">
        <v>271</v>
      </c>
    </row>
    <row r="141" spans="1:3" x14ac:dyDescent="0.35">
      <c r="A141" t="s">
        <v>3094</v>
      </c>
      <c r="B141">
        <v>1120.0673999999999</v>
      </c>
      <c r="C141">
        <v>1124.9782</v>
      </c>
    </row>
    <row r="142" spans="1:3" x14ac:dyDescent="0.35">
      <c r="A142" t="s">
        <v>3095</v>
      </c>
      <c r="B142" t="s">
        <v>270</v>
      </c>
      <c r="C142" t="s">
        <v>271</v>
      </c>
    </row>
    <row r="143" spans="1:3" x14ac:dyDescent="0.35">
      <c r="A143" t="s">
        <v>3096</v>
      </c>
      <c r="B143">
        <v>3125.8476000000001</v>
      </c>
      <c r="C143">
        <v>3139.5151000000001</v>
      </c>
    </row>
    <row r="144" spans="1:3" x14ac:dyDescent="0.35">
      <c r="A144" t="s">
        <v>3097</v>
      </c>
      <c r="B144" t="s">
        <v>270</v>
      </c>
      <c r="C144" t="s">
        <v>271</v>
      </c>
    </row>
    <row r="145" spans="1:4" x14ac:dyDescent="0.35">
      <c r="A145" t="s">
        <v>3098</v>
      </c>
      <c r="B145">
        <v>1244.9650999999999</v>
      </c>
      <c r="C145">
        <v>1244.7620999999999</v>
      </c>
    </row>
    <row r="146" spans="1:4" x14ac:dyDescent="0.35">
      <c r="A146" t="s">
        <v>3099</v>
      </c>
      <c r="B146">
        <v>1231.5886</v>
      </c>
      <c r="C146">
        <v>1231.6887999999999</v>
      </c>
    </row>
    <row r="147" spans="1:4" x14ac:dyDescent="0.35">
      <c r="A147" t="s">
        <v>1158</v>
      </c>
      <c r="B147" t="s">
        <v>270</v>
      </c>
      <c r="C147" t="s">
        <v>271</v>
      </c>
    </row>
    <row r="148" spans="1:4" x14ac:dyDescent="0.35">
      <c r="A148" t="s">
        <v>1159</v>
      </c>
      <c r="B148" t="s">
        <v>270</v>
      </c>
      <c r="C148" t="s">
        <v>271</v>
      </c>
    </row>
    <row r="149" spans="1:4" x14ac:dyDescent="0.35">
      <c r="A149" t="s">
        <v>1160</v>
      </c>
      <c r="B149" t="s">
        <v>270</v>
      </c>
      <c r="C149" t="s">
        <v>271</v>
      </c>
    </row>
    <row r="150" spans="1:4" x14ac:dyDescent="0.35">
      <c r="A150" t="s">
        <v>1161</v>
      </c>
      <c r="B150" t="s">
        <v>270</v>
      </c>
      <c r="C150" t="s">
        <v>271</v>
      </c>
    </row>
    <row r="151" spans="1:4" x14ac:dyDescent="0.35">
      <c r="A151" t="s">
        <v>282</v>
      </c>
    </row>
    <row r="153" spans="1:4" x14ac:dyDescent="0.35">
      <c r="A153" t="s">
        <v>712</v>
      </c>
    </row>
    <row r="155" spans="1:4" x14ac:dyDescent="0.35">
      <c r="A155" s="50" t="s">
        <v>713</v>
      </c>
      <c r="B155" s="50" t="s">
        <v>714</v>
      </c>
      <c r="C155" s="50" t="s">
        <v>715</v>
      </c>
      <c r="D155" s="50" t="s">
        <v>716</v>
      </c>
    </row>
    <row r="156" spans="1:4" x14ac:dyDescent="0.35">
      <c r="A156" s="50" t="s">
        <v>717</v>
      </c>
      <c r="B156" s="50"/>
      <c r="C156" s="50">
        <v>11.5116935</v>
      </c>
      <c r="D156" s="50">
        <v>11.5116935</v>
      </c>
    </row>
    <row r="157" spans="1:4" x14ac:dyDescent="0.35">
      <c r="A157" s="50" t="s">
        <v>2209</v>
      </c>
      <c r="B157" s="50"/>
      <c r="C157" s="50">
        <v>4.6289309000000003</v>
      </c>
      <c r="D157" s="50">
        <v>4.6289309000000003</v>
      </c>
    </row>
    <row r="158" spans="1:4" x14ac:dyDescent="0.35">
      <c r="A158" s="50" t="s">
        <v>931</v>
      </c>
      <c r="B158" s="50"/>
      <c r="C158" s="50">
        <v>9.4532807000000005</v>
      </c>
      <c r="D158" s="50">
        <v>9.4532807000000005</v>
      </c>
    </row>
    <row r="159" spans="1:4" x14ac:dyDescent="0.35">
      <c r="A159" s="50" t="s">
        <v>718</v>
      </c>
      <c r="B159" s="50"/>
      <c r="C159" s="50">
        <v>9.8701789000000009</v>
      </c>
      <c r="D159" s="50">
        <v>9.8701789000000009</v>
      </c>
    </row>
    <row r="160" spans="1:4" x14ac:dyDescent="0.35">
      <c r="A160" s="50" t="s">
        <v>2210</v>
      </c>
      <c r="B160" s="50"/>
      <c r="C160" s="50">
        <v>4.9112688999999996</v>
      </c>
      <c r="D160" s="50">
        <v>4.9112688999999996</v>
      </c>
    </row>
    <row r="161" spans="1:4" x14ac:dyDescent="0.35">
      <c r="A161" s="50" t="s">
        <v>3091</v>
      </c>
      <c r="B161" s="50"/>
      <c r="C161" s="50">
        <v>5.2085090000000003</v>
      </c>
      <c r="D161" s="50">
        <v>5.2085090000000003</v>
      </c>
    </row>
    <row r="162" spans="1:4" x14ac:dyDescent="0.35">
      <c r="A162" s="50" t="s">
        <v>3100</v>
      </c>
      <c r="B162" s="50"/>
      <c r="C162" s="50">
        <v>5.6452748000000001</v>
      </c>
      <c r="D162" s="50">
        <v>5.6452748000000001</v>
      </c>
    </row>
    <row r="163" spans="1:4" x14ac:dyDescent="0.35">
      <c r="A163" s="50" t="s">
        <v>3101</v>
      </c>
      <c r="B163" s="50"/>
      <c r="C163" s="50">
        <v>5.2738458000000001</v>
      </c>
      <c r="D163" s="50">
        <v>5.2738458000000001</v>
      </c>
    </row>
    <row r="165" spans="1:4" x14ac:dyDescent="0.35">
      <c r="A165" t="s">
        <v>284</v>
      </c>
      <c r="B165" s="3" t="s">
        <v>146</v>
      </c>
    </row>
    <row r="166" spans="1:4" ht="58" customHeight="1" x14ac:dyDescent="0.35">
      <c r="A166" s="47" t="s">
        <v>285</v>
      </c>
      <c r="B166" s="3" t="s">
        <v>146</v>
      </c>
    </row>
    <row r="167" spans="1:4" ht="43.5" customHeight="1" x14ac:dyDescent="0.35">
      <c r="A167" s="47" t="s">
        <v>286</v>
      </c>
      <c r="B167" s="3" t="s">
        <v>146</v>
      </c>
    </row>
    <row r="168" spans="1:4" x14ac:dyDescent="0.35">
      <c r="A168" t="s">
        <v>287</v>
      </c>
      <c r="B168" s="48">
        <f>B183</f>
        <v>8.5785709532101531E-2</v>
      </c>
    </row>
    <row r="169" spans="1:4" ht="72.5" customHeight="1" x14ac:dyDescent="0.35">
      <c r="A169" s="47" t="s">
        <v>288</v>
      </c>
      <c r="B169" s="3" t="s">
        <v>146</v>
      </c>
    </row>
    <row r="170" spans="1:4" x14ac:dyDescent="0.35">
      <c r="B170" s="3"/>
    </row>
    <row r="171" spans="1:4" ht="58" customHeight="1" x14ac:dyDescent="0.35">
      <c r="A171" s="47" t="s">
        <v>289</v>
      </c>
      <c r="B171" s="3" t="s">
        <v>146</v>
      </c>
    </row>
    <row r="172" spans="1:4" ht="58" customHeight="1" x14ac:dyDescent="0.35">
      <c r="A172" s="47" t="s">
        <v>290</v>
      </c>
      <c r="B172">
        <v>207332.87</v>
      </c>
    </row>
    <row r="173" spans="1:4" ht="43.5" customHeight="1" x14ac:dyDescent="0.35">
      <c r="A173" s="47" t="s">
        <v>291</v>
      </c>
      <c r="B173" s="3" t="s">
        <v>146</v>
      </c>
    </row>
    <row r="174" spans="1:4" ht="43.5" customHeight="1" x14ac:dyDescent="0.35">
      <c r="A174" s="47" t="s">
        <v>292</v>
      </c>
      <c r="B174" s="3" t="s">
        <v>146</v>
      </c>
    </row>
    <row r="176" spans="1:4" x14ac:dyDescent="0.35">
      <c r="A176" t="s">
        <v>293</v>
      </c>
    </row>
    <row r="177" spans="1:6" x14ac:dyDescent="0.35">
      <c r="A177" s="51" t="s">
        <v>295</v>
      </c>
      <c r="B177" s="51" t="s">
        <v>3102</v>
      </c>
    </row>
    <row r="178" spans="1:6" x14ac:dyDescent="0.35">
      <c r="A178" s="51" t="s">
        <v>297</v>
      </c>
      <c r="B178" s="51" t="s">
        <v>3103</v>
      </c>
    </row>
    <row r="179" spans="1:6" x14ac:dyDescent="0.35">
      <c r="A179" s="51"/>
      <c r="B179" s="51"/>
    </row>
    <row r="180" spans="1:6" x14ac:dyDescent="0.35">
      <c r="A180" s="51" t="s">
        <v>299</v>
      </c>
      <c r="B180" s="52">
        <v>6.4176157866889314</v>
      </c>
    </row>
    <row r="181" spans="1:6" x14ac:dyDescent="0.35">
      <c r="A181" s="51"/>
      <c r="B181" s="51"/>
    </row>
    <row r="182" spans="1:6" x14ac:dyDescent="0.35">
      <c r="A182" s="51" t="s">
        <v>300</v>
      </c>
      <c r="B182" s="53">
        <v>8.8400000000000006E-2</v>
      </c>
    </row>
    <row r="183" spans="1:6" x14ac:dyDescent="0.35">
      <c r="A183" s="51" t="s">
        <v>301</v>
      </c>
      <c r="B183" s="53">
        <v>8.5785709532101531E-2</v>
      </c>
    </row>
    <row r="184" spans="1:6" x14ac:dyDescent="0.35">
      <c r="A184" s="51"/>
      <c r="B184" s="51"/>
    </row>
    <row r="185" spans="1:6" x14ac:dyDescent="0.35">
      <c r="A185" s="51" t="s">
        <v>302</v>
      </c>
      <c r="B185" s="54">
        <v>46053</v>
      </c>
    </row>
    <row r="187" spans="1:6" ht="70" customHeight="1" x14ac:dyDescent="0.35">
      <c r="A187" s="70" t="s">
        <v>303</v>
      </c>
      <c r="B187" s="70" t="s">
        <v>304</v>
      </c>
      <c r="C187" s="70" t="s">
        <v>4</v>
      </c>
      <c r="D187" s="70" t="s">
        <v>5</v>
      </c>
      <c r="E187" s="70" t="s">
        <v>4</v>
      </c>
      <c r="F187" s="70" t="s">
        <v>5</v>
      </c>
    </row>
    <row r="188" spans="1:6" ht="70" customHeight="1" x14ac:dyDescent="0.35">
      <c r="A188" s="70" t="s">
        <v>3102</v>
      </c>
      <c r="B188" s="70"/>
      <c r="C188" s="70" t="s">
        <v>117</v>
      </c>
      <c r="D188" s="70"/>
      <c r="E188" s="70" t="s">
        <v>118</v>
      </c>
      <c r="F188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G46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3104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3105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3106</v>
      </c>
      <c r="B7" s="41"/>
      <c r="C7" s="41"/>
      <c r="D7" s="15"/>
      <c r="E7" s="16"/>
      <c r="F7" s="17"/>
      <c r="G7" s="17"/>
    </row>
    <row r="8" spans="1:7" x14ac:dyDescent="0.35">
      <c r="A8" s="14" t="s">
        <v>3107</v>
      </c>
      <c r="B8" s="42"/>
      <c r="C8" s="42"/>
      <c r="D8" s="18"/>
      <c r="E8" s="26"/>
      <c r="F8" s="21"/>
      <c r="G8" s="21"/>
    </row>
    <row r="9" spans="1:7" x14ac:dyDescent="0.35">
      <c r="A9" s="13" t="s">
        <v>3108</v>
      </c>
      <c r="B9" s="41" t="s">
        <v>3109</v>
      </c>
      <c r="C9" s="41"/>
      <c r="D9" s="15">
        <v>68777.444000000003</v>
      </c>
      <c r="E9" s="16">
        <v>14183.27</v>
      </c>
      <c r="F9" s="17">
        <v>0.98470000000000002</v>
      </c>
      <c r="G9" s="17"/>
    </row>
    <row r="10" spans="1:7" x14ac:dyDescent="0.35">
      <c r="A10" s="14" t="s">
        <v>149</v>
      </c>
      <c r="B10" s="42"/>
      <c r="C10" s="42"/>
      <c r="D10" s="18"/>
      <c r="E10" s="36">
        <v>14183.27</v>
      </c>
      <c r="F10" s="37">
        <v>0.98470000000000002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14183.27</v>
      </c>
      <c r="F12" s="37">
        <v>0.98470000000000002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227.9</v>
      </c>
      <c r="F15" s="17">
        <v>1.5800000000000002E-2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227.9</v>
      </c>
      <c r="F16" s="37">
        <v>1.5800000000000002E-2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227.9</v>
      </c>
      <c r="F18" s="37">
        <v>1.5800000000000002E-2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6.4614599999999994E-2</v>
      </c>
      <c r="F19" s="17">
        <v>3.9999999999999998E-6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-7.8046145999999998</v>
      </c>
      <c r="F20" s="29">
        <v>-5.04E-4</v>
      </c>
      <c r="G20" s="17">
        <v>5.1742000000000003E-2</v>
      </c>
    </row>
    <row r="21" spans="1:7" x14ac:dyDescent="0.35">
      <c r="A21" s="38" t="s">
        <v>260</v>
      </c>
      <c r="B21" s="44"/>
      <c r="C21" s="44"/>
      <c r="D21" s="39"/>
      <c r="E21" s="24">
        <v>14403.43</v>
      </c>
      <c r="F21" s="25">
        <v>1</v>
      </c>
      <c r="G21" s="25"/>
    </row>
    <row r="26" spans="1:7" x14ac:dyDescent="0.35">
      <c r="A26" s="1" t="s">
        <v>263</v>
      </c>
    </row>
    <row r="27" spans="1:7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46021</v>
      </c>
      <c r="C30" s="49">
        <v>46052</v>
      </c>
    </row>
    <row r="31" spans="1:7" x14ac:dyDescent="0.35">
      <c r="A31" t="s">
        <v>272</v>
      </c>
      <c r="B31">
        <v>36.703000000000003</v>
      </c>
      <c r="C31">
        <v>38.712000000000003</v>
      </c>
    </row>
    <row r="32" spans="1:7" x14ac:dyDescent="0.35">
      <c r="A32" t="s">
        <v>708</v>
      </c>
      <c r="B32">
        <v>32.773000000000003</v>
      </c>
      <c r="C32">
        <v>34.545000000000002</v>
      </c>
    </row>
    <row r="34" spans="1:4" x14ac:dyDescent="0.35">
      <c r="A34" t="s">
        <v>283</v>
      </c>
      <c r="B34" s="3" t="s">
        <v>146</v>
      </c>
    </row>
    <row r="35" spans="1:4" x14ac:dyDescent="0.35">
      <c r="A35" t="s">
        <v>284</v>
      </c>
      <c r="B35" s="3" t="s">
        <v>146</v>
      </c>
    </row>
    <row r="36" spans="1:4" ht="29" customHeight="1" x14ac:dyDescent="0.35">
      <c r="A36" s="47" t="s">
        <v>285</v>
      </c>
      <c r="B36" s="3" t="s">
        <v>146</v>
      </c>
    </row>
    <row r="37" spans="1:4" ht="29" customHeight="1" x14ac:dyDescent="0.35">
      <c r="A37" s="47" t="s">
        <v>286</v>
      </c>
      <c r="B37" s="48">
        <v>14183.269725</v>
      </c>
    </row>
    <row r="38" spans="1:4" ht="43.5" customHeight="1" x14ac:dyDescent="0.35">
      <c r="A38" s="47" t="s">
        <v>887</v>
      </c>
      <c r="B38" s="3" t="s">
        <v>146</v>
      </c>
    </row>
    <row r="39" spans="1:4" x14ac:dyDescent="0.35">
      <c r="B39" s="3"/>
    </row>
    <row r="40" spans="1:4" ht="29" customHeight="1" x14ac:dyDescent="0.35">
      <c r="A40" s="47" t="s">
        <v>888</v>
      </c>
      <c r="B40" s="3" t="s">
        <v>146</v>
      </c>
    </row>
    <row r="41" spans="1:4" ht="29" customHeight="1" x14ac:dyDescent="0.35">
      <c r="A41" s="47" t="s">
        <v>889</v>
      </c>
      <c r="B41" t="s">
        <v>146</v>
      </c>
    </row>
    <row r="42" spans="1:4" ht="29" customHeight="1" x14ac:dyDescent="0.35">
      <c r="A42" s="47" t="s">
        <v>890</v>
      </c>
      <c r="B42" s="3" t="s">
        <v>146</v>
      </c>
    </row>
    <row r="43" spans="1:4" ht="29" customHeight="1" x14ac:dyDescent="0.35">
      <c r="A43" s="47" t="s">
        <v>891</v>
      </c>
      <c r="B43" s="3" t="s">
        <v>146</v>
      </c>
    </row>
    <row r="45" spans="1:4" ht="70" customHeight="1" x14ac:dyDescent="0.35">
      <c r="A45" s="70" t="s">
        <v>303</v>
      </c>
      <c r="B45" s="70" t="s">
        <v>304</v>
      </c>
      <c r="C45" s="70" t="s">
        <v>4</v>
      </c>
      <c r="D45" s="70" t="s">
        <v>5</v>
      </c>
    </row>
    <row r="46" spans="1:4" ht="70" customHeight="1" x14ac:dyDescent="0.35">
      <c r="A46" s="70" t="s">
        <v>3110</v>
      </c>
      <c r="B46" s="70"/>
      <c r="C46" s="70" t="s">
        <v>120</v>
      </c>
      <c r="D4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G47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3111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3112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3106</v>
      </c>
      <c r="B7" s="41"/>
      <c r="C7" s="41"/>
      <c r="D7" s="15"/>
      <c r="E7" s="16"/>
      <c r="F7" s="17"/>
      <c r="G7" s="17"/>
    </row>
    <row r="8" spans="1:7" x14ac:dyDescent="0.35">
      <c r="A8" s="14" t="s">
        <v>3107</v>
      </c>
      <c r="B8" s="42"/>
      <c r="C8" s="42"/>
      <c r="D8" s="18"/>
      <c r="E8" s="26"/>
      <c r="F8" s="21"/>
      <c r="G8" s="21"/>
    </row>
    <row r="9" spans="1:7" x14ac:dyDescent="0.35">
      <c r="A9" s="13" t="s">
        <v>3113</v>
      </c>
      <c r="B9" s="41" t="s">
        <v>3114</v>
      </c>
      <c r="C9" s="41"/>
      <c r="D9" s="15">
        <v>759410.84600000002</v>
      </c>
      <c r="E9" s="16">
        <v>146151.21</v>
      </c>
      <c r="F9" s="17">
        <v>0.53339999999999999</v>
      </c>
      <c r="G9" s="17"/>
    </row>
    <row r="10" spans="1:7" x14ac:dyDescent="0.35">
      <c r="A10" s="13" t="s">
        <v>3115</v>
      </c>
      <c r="B10" s="41" t="s">
        <v>3116</v>
      </c>
      <c r="C10" s="41"/>
      <c r="D10" s="15">
        <v>413168.96100000001</v>
      </c>
      <c r="E10" s="16">
        <v>118108</v>
      </c>
      <c r="F10" s="17">
        <v>0.43099999999999999</v>
      </c>
      <c r="G10" s="17"/>
    </row>
    <row r="11" spans="1:7" x14ac:dyDescent="0.35">
      <c r="A11" s="14" t="s">
        <v>149</v>
      </c>
      <c r="B11" s="42"/>
      <c r="C11" s="42"/>
      <c r="D11" s="18"/>
      <c r="E11" s="36">
        <v>264259.21000000002</v>
      </c>
      <c r="F11" s="37">
        <v>0.96440000000000003</v>
      </c>
      <c r="G11" s="21"/>
    </row>
    <row r="12" spans="1:7" x14ac:dyDescent="0.35">
      <c r="A12" s="13"/>
      <c r="B12" s="41"/>
      <c r="C12" s="41"/>
      <c r="D12" s="15"/>
      <c r="E12" s="16"/>
      <c r="F12" s="17"/>
      <c r="G12" s="17"/>
    </row>
    <row r="13" spans="1:7" x14ac:dyDescent="0.35">
      <c r="A13" s="22" t="s">
        <v>160</v>
      </c>
      <c r="B13" s="43"/>
      <c r="C13" s="43"/>
      <c r="D13" s="23"/>
      <c r="E13" s="36">
        <v>264259.21000000002</v>
      </c>
      <c r="F13" s="37">
        <v>0.96440000000000003</v>
      </c>
      <c r="G13" s="21"/>
    </row>
    <row r="14" spans="1:7" x14ac:dyDescent="0.35">
      <c r="A14" s="13"/>
      <c r="B14" s="41"/>
      <c r="C14" s="41"/>
      <c r="D14" s="15"/>
      <c r="E14" s="16"/>
      <c r="F14" s="17"/>
      <c r="G14" s="17"/>
    </row>
    <row r="15" spans="1:7" x14ac:dyDescent="0.35">
      <c r="A15" s="14" t="s">
        <v>255</v>
      </c>
      <c r="B15" s="41"/>
      <c r="C15" s="41"/>
      <c r="D15" s="15"/>
      <c r="E15" s="16"/>
      <c r="F15" s="17"/>
      <c r="G15" s="17"/>
    </row>
    <row r="16" spans="1:7" x14ac:dyDescent="0.35">
      <c r="A16" s="13" t="s">
        <v>257</v>
      </c>
      <c r="B16" s="41"/>
      <c r="C16" s="41"/>
      <c r="D16" s="15"/>
      <c r="E16" s="16">
        <v>10495.54</v>
      </c>
      <c r="F16" s="17">
        <v>3.8300000000000001E-2</v>
      </c>
      <c r="G16" s="17">
        <v>5.1742000000000003E-2</v>
      </c>
    </row>
    <row r="17" spans="1:7" x14ac:dyDescent="0.35">
      <c r="A17" s="14" t="s">
        <v>149</v>
      </c>
      <c r="B17" s="42"/>
      <c r="C17" s="42"/>
      <c r="D17" s="18"/>
      <c r="E17" s="36">
        <v>10495.54</v>
      </c>
      <c r="F17" s="37">
        <v>3.8300000000000001E-2</v>
      </c>
      <c r="G17" s="21"/>
    </row>
    <row r="18" spans="1:7" x14ac:dyDescent="0.35">
      <c r="A18" s="13"/>
      <c r="B18" s="41"/>
      <c r="C18" s="41"/>
      <c r="D18" s="15"/>
      <c r="E18" s="16"/>
      <c r="F18" s="17"/>
      <c r="G18" s="17"/>
    </row>
    <row r="19" spans="1:7" x14ac:dyDescent="0.35">
      <c r="A19" s="22" t="s">
        <v>160</v>
      </c>
      <c r="B19" s="43"/>
      <c r="C19" s="43"/>
      <c r="D19" s="23"/>
      <c r="E19" s="36">
        <v>10495.54</v>
      </c>
      <c r="F19" s="37">
        <v>3.8300000000000001E-2</v>
      </c>
      <c r="G19" s="21"/>
    </row>
    <row r="20" spans="1:7" x14ac:dyDescent="0.35">
      <c r="A20" s="13" t="s">
        <v>258</v>
      </c>
      <c r="B20" s="41"/>
      <c r="C20" s="41"/>
      <c r="D20" s="15"/>
      <c r="E20" s="16">
        <v>2.9756714999999998</v>
      </c>
      <c r="F20" s="17">
        <v>1.0000000000000001E-5</v>
      </c>
      <c r="G20" s="17"/>
    </row>
    <row r="21" spans="1:7" x14ac:dyDescent="0.35">
      <c r="A21" s="13" t="s">
        <v>259</v>
      </c>
      <c r="B21" s="41"/>
      <c r="C21" s="41"/>
      <c r="D21" s="15"/>
      <c r="E21" s="28">
        <v>-743.80567150000002</v>
      </c>
      <c r="F21" s="29">
        <v>-2.7100000000000002E-3</v>
      </c>
      <c r="G21" s="17">
        <v>5.1742000000000003E-2</v>
      </c>
    </row>
    <row r="22" spans="1:7" x14ac:dyDescent="0.35">
      <c r="A22" s="38" t="s">
        <v>260</v>
      </c>
      <c r="B22" s="44"/>
      <c r="C22" s="44"/>
      <c r="D22" s="39"/>
      <c r="E22" s="24">
        <v>274013.92</v>
      </c>
      <c r="F22" s="25">
        <v>1</v>
      </c>
      <c r="G22" s="25"/>
    </row>
    <row r="27" spans="1:7" x14ac:dyDescent="0.35">
      <c r="A27" s="1" t="s">
        <v>263</v>
      </c>
    </row>
    <row r="28" spans="1:7" x14ac:dyDescent="0.35">
      <c r="A28" s="47" t="s">
        <v>264</v>
      </c>
      <c r="B28" s="3" t="s">
        <v>146</v>
      </c>
    </row>
    <row r="29" spans="1:7" x14ac:dyDescent="0.35">
      <c r="A29" t="s">
        <v>265</v>
      </c>
    </row>
    <row r="30" spans="1:7" x14ac:dyDescent="0.35">
      <c r="A30" t="s">
        <v>266</v>
      </c>
      <c r="B30" t="s">
        <v>267</v>
      </c>
      <c r="C30" t="s">
        <v>267</v>
      </c>
    </row>
    <row r="31" spans="1:7" x14ac:dyDescent="0.35">
      <c r="B31" s="49">
        <v>46021</v>
      </c>
      <c r="C31" s="49">
        <v>46052</v>
      </c>
    </row>
    <row r="32" spans="1:7" x14ac:dyDescent="0.35">
      <c r="A32" t="s">
        <v>272</v>
      </c>
      <c r="B32">
        <v>59.314999999999998</v>
      </c>
      <c r="C32">
        <v>63.27</v>
      </c>
    </row>
    <row r="33" spans="1:4" x14ac:dyDescent="0.35">
      <c r="A33" t="s">
        <v>708</v>
      </c>
      <c r="B33">
        <v>52.567999999999998</v>
      </c>
      <c r="C33">
        <v>56.033000000000001</v>
      </c>
    </row>
    <row r="35" spans="1:4" x14ac:dyDescent="0.35">
      <c r="A35" t="s">
        <v>283</v>
      </c>
      <c r="B35" s="3" t="s">
        <v>146</v>
      </c>
    </row>
    <row r="36" spans="1:4" x14ac:dyDescent="0.35">
      <c r="A36" t="s">
        <v>284</v>
      </c>
      <c r="B36" s="3" t="s">
        <v>146</v>
      </c>
    </row>
    <row r="37" spans="1:4" ht="29" customHeight="1" x14ac:dyDescent="0.35">
      <c r="A37" s="47" t="s">
        <v>285</v>
      </c>
      <c r="B37" s="3" t="s">
        <v>146</v>
      </c>
    </row>
    <row r="38" spans="1:4" ht="29" customHeight="1" x14ac:dyDescent="0.35">
      <c r="A38" s="47" t="s">
        <v>286</v>
      </c>
      <c r="B38" s="48">
        <v>264259.21925859997</v>
      </c>
    </row>
    <row r="39" spans="1:4" ht="43.5" customHeight="1" x14ac:dyDescent="0.35">
      <c r="A39" s="47" t="s">
        <v>887</v>
      </c>
      <c r="B39" s="3" t="s">
        <v>146</v>
      </c>
    </row>
    <row r="40" spans="1:4" x14ac:dyDescent="0.35">
      <c r="B40" s="3"/>
    </row>
    <row r="41" spans="1:4" ht="29" customHeight="1" x14ac:dyDescent="0.35">
      <c r="A41" s="47" t="s">
        <v>888</v>
      </c>
      <c r="B41" s="3" t="s">
        <v>146</v>
      </c>
    </row>
    <row r="42" spans="1:4" ht="29" customHeight="1" x14ac:dyDescent="0.35">
      <c r="A42" s="47" t="s">
        <v>889</v>
      </c>
      <c r="B42" t="s">
        <v>146</v>
      </c>
    </row>
    <row r="43" spans="1:4" ht="29" customHeight="1" x14ac:dyDescent="0.35">
      <c r="A43" s="47" t="s">
        <v>890</v>
      </c>
      <c r="B43" s="3" t="s">
        <v>146</v>
      </c>
    </row>
    <row r="44" spans="1:4" ht="29" customHeight="1" x14ac:dyDescent="0.35">
      <c r="A44" s="47" t="s">
        <v>891</v>
      </c>
      <c r="B44" s="3" t="s">
        <v>146</v>
      </c>
    </row>
    <row r="46" spans="1:4" ht="70" customHeight="1" x14ac:dyDescent="0.35">
      <c r="A46" s="70" t="s">
        <v>303</v>
      </c>
      <c r="B46" s="70" t="s">
        <v>304</v>
      </c>
      <c r="C46" s="70" t="s">
        <v>4</v>
      </c>
      <c r="D46" s="70" t="s">
        <v>5</v>
      </c>
    </row>
    <row r="47" spans="1:4" ht="70" customHeight="1" x14ac:dyDescent="0.35">
      <c r="A47" s="70" t="s">
        <v>3117</v>
      </c>
      <c r="B47" s="70"/>
      <c r="C47" s="70" t="s">
        <v>122</v>
      </c>
      <c r="D47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G97"/>
  <sheetViews>
    <sheetView showGridLines="0" workbookViewId="0">
      <pane ySplit="4" topLeftCell="A7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3118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3119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4" t="s">
        <v>145</v>
      </c>
      <c r="B6" s="41"/>
      <c r="C6" s="41"/>
      <c r="D6" s="15"/>
      <c r="E6" s="16"/>
      <c r="F6" s="17"/>
      <c r="G6" s="17"/>
    </row>
    <row r="7" spans="1:7" x14ac:dyDescent="0.35">
      <c r="A7" s="14" t="s">
        <v>1175</v>
      </c>
      <c r="B7" s="41"/>
      <c r="C7" s="41"/>
      <c r="D7" s="15"/>
      <c r="E7" s="16"/>
      <c r="F7" s="17"/>
      <c r="G7" s="17"/>
    </row>
    <row r="8" spans="1:7" x14ac:dyDescent="0.35">
      <c r="A8" s="13" t="s">
        <v>1237</v>
      </c>
      <c r="B8" s="41" t="s">
        <v>1238</v>
      </c>
      <c r="C8" s="41" t="s">
        <v>1234</v>
      </c>
      <c r="D8" s="15">
        <v>114045</v>
      </c>
      <c r="E8" s="16">
        <v>1819.36</v>
      </c>
      <c r="F8" s="17">
        <v>0.109</v>
      </c>
      <c r="G8" s="17"/>
    </row>
    <row r="9" spans="1:7" x14ac:dyDescent="0.35">
      <c r="A9" s="13" t="s">
        <v>1227</v>
      </c>
      <c r="B9" s="41" t="s">
        <v>1228</v>
      </c>
      <c r="C9" s="41" t="s">
        <v>1229</v>
      </c>
      <c r="D9" s="15">
        <v>12815</v>
      </c>
      <c r="E9" s="16">
        <v>891.99</v>
      </c>
      <c r="F9" s="17">
        <v>5.3499999999999999E-2</v>
      </c>
      <c r="G9" s="17"/>
    </row>
    <row r="10" spans="1:7" x14ac:dyDescent="0.35">
      <c r="A10" s="13" t="s">
        <v>2183</v>
      </c>
      <c r="B10" s="41" t="s">
        <v>2184</v>
      </c>
      <c r="C10" s="41" t="s">
        <v>1234</v>
      </c>
      <c r="D10" s="15">
        <v>67192</v>
      </c>
      <c r="E10" s="16">
        <v>889.62</v>
      </c>
      <c r="F10" s="17">
        <v>5.33E-2</v>
      </c>
      <c r="G10" s="17"/>
    </row>
    <row r="11" spans="1:7" x14ac:dyDescent="0.35">
      <c r="A11" s="13" t="s">
        <v>1449</v>
      </c>
      <c r="B11" s="41" t="s">
        <v>1450</v>
      </c>
      <c r="C11" s="41" t="s">
        <v>1229</v>
      </c>
      <c r="D11" s="15">
        <v>92427</v>
      </c>
      <c r="E11" s="16">
        <v>884.34</v>
      </c>
      <c r="F11" s="17">
        <v>5.2999999999999999E-2</v>
      </c>
      <c r="G11" s="17"/>
    </row>
    <row r="12" spans="1:7" x14ac:dyDescent="0.35">
      <c r="A12" s="13" t="s">
        <v>1403</v>
      </c>
      <c r="B12" s="41" t="s">
        <v>1404</v>
      </c>
      <c r="C12" s="41" t="s">
        <v>1234</v>
      </c>
      <c r="D12" s="15">
        <v>14196</v>
      </c>
      <c r="E12" s="16">
        <v>859</v>
      </c>
      <c r="F12" s="17">
        <v>5.1499999999999997E-2</v>
      </c>
      <c r="G12" s="17"/>
    </row>
    <row r="13" spans="1:7" x14ac:dyDescent="0.35">
      <c r="A13" s="13" t="s">
        <v>1239</v>
      </c>
      <c r="B13" s="41" t="s">
        <v>1240</v>
      </c>
      <c r="C13" s="41" t="s">
        <v>1234</v>
      </c>
      <c r="D13" s="15">
        <v>64464</v>
      </c>
      <c r="E13" s="16">
        <v>785.24</v>
      </c>
      <c r="F13" s="17">
        <v>4.7100000000000003E-2</v>
      </c>
      <c r="G13" s="17"/>
    </row>
    <row r="14" spans="1:7" x14ac:dyDescent="0.35">
      <c r="A14" s="13" t="s">
        <v>1506</v>
      </c>
      <c r="B14" s="41" t="s">
        <v>1507</v>
      </c>
      <c r="C14" s="41" t="s">
        <v>1234</v>
      </c>
      <c r="D14" s="15">
        <v>29853</v>
      </c>
      <c r="E14" s="16">
        <v>642.67999999999995</v>
      </c>
      <c r="F14" s="17">
        <v>3.85E-2</v>
      </c>
      <c r="G14" s="17"/>
    </row>
    <row r="15" spans="1:7" x14ac:dyDescent="0.35">
      <c r="A15" s="13" t="s">
        <v>1232</v>
      </c>
      <c r="B15" s="41" t="s">
        <v>1233</v>
      </c>
      <c r="C15" s="41" t="s">
        <v>1234</v>
      </c>
      <c r="D15" s="15">
        <v>14076</v>
      </c>
      <c r="E15" s="16">
        <v>557.52</v>
      </c>
      <c r="F15" s="17">
        <v>3.3399999999999999E-2</v>
      </c>
      <c r="G15" s="17"/>
    </row>
    <row r="16" spans="1:7" x14ac:dyDescent="0.35">
      <c r="A16" s="13" t="s">
        <v>1361</v>
      </c>
      <c r="B16" s="41" t="s">
        <v>1362</v>
      </c>
      <c r="C16" s="41" t="s">
        <v>1229</v>
      </c>
      <c r="D16" s="15">
        <v>58314</v>
      </c>
      <c r="E16" s="16">
        <v>496.54</v>
      </c>
      <c r="F16" s="17">
        <v>2.98E-2</v>
      </c>
      <c r="G16" s="17"/>
    </row>
    <row r="17" spans="1:7" x14ac:dyDescent="0.35">
      <c r="A17" s="13" t="s">
        <v>1455</v>
      </c>
      <c r="B17" s="41" t="s">
        <v>1456</v>
      </c>
      <c r="C17" s="41" t="s">
        <v>1234</v>
      </c>
      <c r="D17" s="15">
        <v>41697</v>
      </c>
      <c r="E17" s="16">
        <v>402.38</v>
      </c>
      <c r="F17" s="17">
        <v>2.41E-2</v>
      </c>
      <c r="G17" s="17"/>
    </row>
    <row r="18" spans="1:7" x14ac:dyDescent="0.35">
      <c r="A18" s="13" t="s">
        <v>1293</v>
      </c>
      <c r="B18" s="41" t="s">
        <v>1294</v>
      </c>
      <c r="C18" s="41" t="s">
        <v>1234</v>
      </c>
      <c r="D18" s="15">
        <v>31058</v>
      </c>
      <c r="E18" s="16">
        <v>375.09</v>
      </c>
      <c r="F18" s="17">
        <v>2.2499999999999999E-2</v>
      </c>
      <c r="G18" s="17"/>
    </row>
    <row r="19" spans="1:7" x14ac:dyDescent="0.35">
      <c r="A19" s="13" t="s">
        <v>1281</v>
      </c>
      <c r="B19" s="41" t="s">
        <v>1282</v>
      </c>
      <c r="C19" s="41" t="s">
        <v>1234</v>
      </c>
      <c r="D19" s="15">
        <v>18444</v>
      </c>
      <c r="E19" s="16">
        <v>371.81</v>
      </c>
      <c r="F19" s="17">
        <v>2.23E-2</v>
      </c>
      <c r="G19" s="17"/>
    </row>
    <row r="20" spans="1:7" x14ac:dyDescent="0.35">
      <c r="A20" s="13" t="s">
        <v>1492</v>
      </c>
      <c r="B20" s="41" t="s">
        <v>1493</v>
      </c>
      <c r="C20" s="41" t="s">
        <v>1234</v>
      </c>
      <c r="D20" s="15">
        <v>5683</v>
      </c>
      <c r="E20" s="16">
        <v>322.64999999999998</v>
      </c>
      <c r="F20" s="17">
        <v>1.9300000000000001E-2</v>
      </c>
      <c r="G20" s="17"/>
    </row>
    <row r="21" spans="1:7" x14ac:dyDescent="0.35">
      <c r="A21" s="13" t="s">
        <v>2075</v>
      </c>
      <c r="B21" s="41" t="s">
        <v>2076</v>
      </c>
      <c r="C21" s="41" t="s">
        <v>1234</v>
      </c>
      <c r="D21" s="15">
        <v>14715</v>
      </c>
      <c r="E21" s="16">
        <v>312.55</v>
      </c>
      <c r="F21" s="17">
        <v>1.8700000000000001E-2</v>
      </c>
      <c r="G21" s="17"/>
    </row>
    <row r="22" spans="1:7" x14ac:dyDescent="0.35">
      <c r="A22" s="13" t="s">
        <v>2026</v>
      </c>
      <c r="B22" s="41" t="s">
        <v>2027</v>
      </c>
      <c r="C22" s="41" t="s">
        <v>1234</v>
      </c>
      <c r="D22" s="15">
        <v>16579</v>
      </c>
      <c r="E22" s="16">
        <v>243.84</v>
      </c>
      <c r="F22" s="17">
        <v>1.46E-2</v>
      </c>
      <c r="G22" s="17"/>
    </row>
    <row r="23" spans="1:7" x14ac:dyDescent="0.35">
      <c r="A23" s="13" t="s">
        <v>1466</v>
      </c>
      <c r="B23" s="41" t="s">
        <v>1467</v>
      </c>
      <c r="C23" s="41" t="s">
        <v>1234</v>
      </c>
      <c r="D23" s="15">
        <v>63550</v>
      </c>
      <c r="E23" s="16">
        <v>233.1</v>
      </c>
      <c r="F23" s="17">
        <v>1.4E-2</v>
      </c>
      <c r="G23" s="17"/>
    </row>
    <row r="24" spans="1:7" x14ac:dyDescent="0.35">
      <c r="A24" s="13" t="s">
        <v>2230</v>
      </c>
      <c r="B24" s="41" t="s">
        <v>2231</v>
      </c>
      <c r="C24" s="41" t="s">
        <v>1234</v>
      </c>
      <c r="D24" s="15">
        <v>23915</v>
      </c>
      <c r="E24" s="16">
        <v>211.72</v>
      </c>
      <c r="F24" s="17">
        <v>1.2699999999999999E-2</v>
      </c>
      <c r="G24" s="17"/>
    </row>
    <row r="25" spans="1:7" x14ac:dyDescent="0.35">
      <c r="A25" s="13" t="s">
        <v>2555</v>
      </c>
      <c r="B25" s="41" t="s">
        <v>2556</v>
      </c>
      <c r="C25" s="41" t="s">
        <v>1234</v>
      </c>
      <c r="D25" s="15">
        <v>8810</v>
      </c>
      <c r="E25" s="16">
        <v>162.69</v>
      </c>
      <c r="F25" s="17">
        <v>9.7999999999999997E-3</v>
      </c>
      <c r="G25" s="17"/>
    </row>
    <row r="26" spans="1:7" x14ac:dyDescent="0.35">
      <c r="A26" s="13" t="s">
        <v>1927</v>
      </c>
      <c r="B26" s="41" t="s">
        <v>1928</v>
      </c>
      <c r="C26" s="41" t="s">
        <v>1229</v>
      </c>
      <c r="D26" s="15">
        <v>27706</v>
      </c>
      <c r="E26" s="16">
        <v>152.97999999999999</v>
      </c>
      <c r="F26" s="17">
        <v>9.1999999999999998E-3</v>
      </c>
      <c r="G26" s="17"/>
    </row>
    <row r="27" spans="1:7" x14ac:dyDescent="0.35">
      <c r="A27" s="13" t="s">
        <v>2408</v>
      </c>
      <c r="B27" s="41" t="s">
        <v>2409</v>
      </c>
      <c r="C27" s="41" t="s">
        <v>1229</v>
      </c>
      <c r="D27" s="15">
        <v>8500</v>
      </c>
      <c r="E27" s="16">
        <v>150.27000000000001</v>
      </c>
      <c r="F27" s="17">
        <v>8.9999999999999993E-3</v>
      </c>
      <c r="G27" s="17"/>
    </row>
    <row r="28" spans="1:7" x14ac:dyDescent="0.35">
      <c r="A28" s="13" t="s">
        <v>2090</v>
      </c>
      <c r="B28" s="41" t="s">
        <v>2091</v>
      </c>
      <c r="C28" s="41" t="s">
        <v>1234</v>
      </c>
      <c r="D28" s="15">
        <v>5196</v>
      </c>
      <c r="E28" s="16">
        <v>144.55000000000001</v>
      </c>
      <c r="F28" s="17">
        <v>8.6999999999999994E-3</v>
      </c>
      <c r="G28" s="17"/>
    </row>
    <row r="29" spans="1:7" x14ac:dyDescent="0.35">
      <c r="A29" s="13" t="s">
        <v>2296</v>
      </c>
      <c r="B29" s="41" t="s">
        <v>2297</v>
      </c>
      <c r="C29" s="41" t="s">
        <v>1234</v>
      </c>
      <c r="D29" s="15">
        <v>5033</v>
      </c>
      <c r="E29" s="16">
        <v>120.87</v>
      </c>
      <c r="F29" s="17">
        <v>7.1999999999999998E-3</v>
      </c>
      <c r="G29" s="17"/>
    </row>
    <row r="30" spans="1:7" x14ac:dyDescent="0.35">
      <c r="A30" s="13" t="s">
        <v>2589</v>
      </c>
      <c r="B30" s="41" t="s">
        <v>2590</v>
      </c>
      <c r="C30" s="41" t="s">
        <v>1234</v>
      </c>
      <c r="D30" s="15">
        <v>71081</v>
      </c>
      <c r="E30" s="16">
        <v>109.95</v>
      </c>
      <c r="F30" s="17">
        <v>6.6E-3</v>
      </c>
      <c r="G30" s="17"/>
    </row>
    <row r="31" spans="1:7" x14ac:dyDescent="0.35">
      <c r="A31" s="13" t="s">
        <v>1557</v>
      </c>
      <c r="B31" s="41" t="s">
        <v>1558</v>
      </c>
      <c r="C31" s="41" t="s">
        <v>1229</v>
      </c>
      <c r="D31" s="15">
        <v>21547</v>
      </c>
      <c r="E31" s="16">
        <v>102.01</v>
      </c>
      <c r="F31" s="17">
        <v>6.1000000000000004E-3</v>
      </c>
      <c r="G31" s="17"/>
    </row>
    <row r="32" spans="1:7" x14ac:dyDescent="0.35">
      <c r="A32" s="13" t="s">
        <v>2301</v>
      </c>
      <c r="B32" s="41" t="s">
        <v>2302</v>
      </c>
      <c r="C32" s="41" t="s">
        <v>1229</v>
      </c>
      <c r="D32" s="15">
        <v>9582</v>
      </c>
      <c r="E32" s="16">
        <v>100.98</v>
      </c>
      <c r="F32" s="17">
        <v>6.1000000000000004E-3</v>
      </c>
      <c r="G32" s="17"/>
    </row>
    <row r="33" spans="1:7" x14ac:dyDescent="0.35">
      <c r="A33" s="14" t="s">
        <v>149</v>
      </c>
      <c r="B33" s="42"/>
      <c r="C33" s="42"/>
      <c r="D33" s="18"/>
      <c r="E33" s="36">
        <v>11343.73</v>
      </c>
      <c r="F33" s="37">
        <v>0.68</v>
      </c>
      <c r="G33" s="21"/>
    </row>
    <row r="34" spans="1:7" x14ac:dyDescent="0.35">
      <c r="A34" s="14" t="s">
        <v>1914</v>
      </c>
      <c r="B34" s="41"/>
      <c r="C34" s="41"/>
      <c r="D34" s="15"/>
      <c r="E34" s="16"/>
      <c r="F34" s="17"/>
      <c r="G34" s="17"/>
    </row>
    <row r="35" spans="1:7" x14ac:dyDescent="0.35">
      <c r="A35" s="14" t="s">
        <v>149</v>
      </c>
      <c r="B35" s="41"/>
      <c r="C35" s="41"/>
      <c r="D35" s="15"/>
      <c r="E35" s="45" t="s">
        <v>146</v>
      </c>
      <c r="F35" s="46" t="s">
        <v>146</v>
      </c>
      <c r="G35" s="17"/>
    </row>
    <row r="36" spans="1:7" x14ac:dyDescent="0.35">
      <c r="A36" s="13"/>
      <c r="B36" s="41"/>
      <c r="C36" s="41"/>
      <c r="D36" s="15"/>
      <c r="E36" s="16"/>
      <c r="F36" s="17"/>
      <c r="G36" s="17"/>
    </row>
    <row r="37" spans="1:7" x14ac:dyDescent="0.35">
      <c r="A37" s="14" t="s">
        <v>2852</v>
      </c>
      <c r="B37" s="41"/>
      <c r="C37" s="41"/>
      <c r="D37" s="15"/>
      <c r="E37" s="16"/>
      <c r="F37" s="17"/>
      <c r="G37" s="17"/>
    </row>
    <row r="38" spans="1:7" x14ac:dyDescent="0.35">
      <c r="A38" s="13" t="s">
        <v>3120</v>
      </c>
      <c r="B38" s="41" t="s">
        <v>3121</v>
      </c>
      <c r="C38" s="41" t="s">
        <v>3122</v>
      </c>
      <c r="D38" s="15">
        <v>1098</v>
      </c>
      <c r="E38" s="16">
        <v>1046.53</v>
      </c>
      <c r="F38" s="17">
        <v>6.2700000000000006E-2</v>
      </c>
      <c r="G38" s="17"/>
    </row>
    <row r="39" spans="1:7" x14ac:dyDescent="0.35">
      <c r="A39" s="13" t="s">
        <v>3123</v>
      </c>
      <c r="B39" s="41" t="s">
        <v>3124</v>
      </c>
      <c r="C39" s="41" t="s">
        <v>3122</v>
      </c>
      <c r="D39" s="15">
        <v>3288</v>
      </c>
      <c r="E39" s="16">
        <v>686.66</v>
      </c>
      <c r="F39" s="17">
        <v>4.1200000000000001E-2</v>
      </c>
      <c r="G39" s="17"/>
    </row>
    <row r="40" spans="1:7" x14ac:dyDescent="0.35">
      <c r="A40" s="13" t="s">
        <v>3125</v>
      </c>
      <c r="B40" s="41" t="s">
        <v>3126</v>
      </c>
      <c r="C40" s="41" t="s">
        <v>3127</v>
      </c>
      <c r="D40" s="15">
        <v>2411</v>
      </c>
      <c r="E40" s="16">
        <v>494.12</v>
      </c>
      <c r="F40" s="17">
        <v>2.9600000000000001E-2</v>
      </c>
      <c r="G40" s="17"/>
    </row>
    <row r="41" spans="1:7" x14ac:dyDescent="0.35">
      <c r="A41" s="13" t="s">
        <v>3128</v>
      </c>
      <c r="B41" s="41" t="s">
        <v>3129</v>
      </c>
      <c r="C41" s="41" t="s">
        <v>3122</v>
      </c>
      <c r="D41" s="15">
        <v>2595</v>
      </c>
      <c r="E41" s="16">
        <v>354.57</v>
      </c>
      <c r="F41" s="17">
        <v>2.1299999999999999E-2</v>
      </c>
      <c r="G41" s="17"/>
    </row>
    <row r="42" spans="1:7" x14ac:dyDescent="0.35">
      <c r="A42" s="13" t="s">
        <v>3130</v>
      </c>
      <c r="B42" s="41" t="s">
        <v>3131</v>
      </c>
      <c r="C42" s="41" t="s">
        <v>3122</v>
      </c>
      <c r="D42" s="15">
        <v>3410</v>
      </c>
      <c r="E42" s="16">
        <v>345.56</v>
      </c>
      <c r="F42" s="17">
        <v>2.07E-2</v>
      </c>
      <c r="G42" s="17"/>
    </row>
    <row r="43" spans="1:7" x14ac:dyDescent="0.35">
      <c r="A43" s="13" t="s">
        <v>3132</v>
      </c>
      <c r="B43" s="41" t="s">
        <v>3133</v>
      </c>
      <c r="C43" s="41" t="s">
        <v>3134</v>
      </c>
      <c r="D43" s="15">
        <v>516</v>
      </c>
      <c r="E43" s="16">
        <v>274.37</v>
      </c>
      <c r="F43" s="17">
        <v>1.6400000000000001E-2</v>
      </c>
      <c r="G43" s="17"/>
    </row>
    <row r="44" spans="1:7" x14ac:dyDescent="0.35">
      <c r="A44" s="13" t="s">
        <v>3135</v>
      </c>
      <c r="B44" s="41" t="s">
        <v>3136</v>
      </c>
      <c r="C44" s="41" t="s">
        <v>1234</v>
      </c>
      <c r="D44" s="15">
        <v>4396</v>
      </c>
      <c r="E44" s="16">
        <v>240.09</v>
      </c>
      <c r="F44" s="17">
        <v>1.44E-2</v>
      </c>
      <c r="G44" s="17"/>
    </row>
    <row r="45" spans="1:7" x14ac:dyDescent="0.35">
      <c r="A45" s="13" t="s">
        <v>3137</v>
      </c>
      <c r="B45" s="41" t="s">
        <v>3138</v>
      </c>
      <c r="C45" s="41" t="s">
        <v>3139</v>
      </c>
      <c r="D45" s="15">
        <v>2376</v>
      </c>
      <c r="E45" s="16">
        <v>238.66</v>
      </c>
      <c r="F45" s="17">
        <v>1.43E-2</v>
      </c>
      <c r="G45" s="17"/>
    </row>
    <row r="46" spans="1:7" x14ac:dyDescent="0.35">
      <c r="A46" s="13" t="s">
        <v>3140</v>
      </c>
      <c r="B46" s="41" t="s">
        <v>3141</v>
      </c>
      <c r="C46" s="41" t="s">
        <v>3127</v>
      </c>
      <c r="D46" s="15">
        <v>735</v>
      </c>
      <c r="E46" s="16">
        <v>230.92</v>
      </c>
      <c r="F46" s="17">
        <v>1.38E-2</v>
      </c>
      <c r="G46" s="17"/>
    </row>
    <row r="47" spans="1:7" x14ac:dyDescent="0.35">
      <c r="A47" s="13" t="s">
        <v>3142</v>
      </c>
      <c r="B47" s="41" t="s">
        <v>3143</v>
      </c>
      <c r="C47" s="41" t="s">
        <v>3139</v>
      </c>
      <c r="D47" s="15">
        <v>490</v>
      </c>
      <c r="E47" s="16">
        <v>227.05</v>
      </c>
      <c r="F47" s="17">
        <v>1.3599999999999999E-2</v>
      </c>
      <c r="G47" s="17"/>
    </row>
    <row r="48" spans="1:7" x14ac:dyDescent="0.35">
      <c r="A48" s="13" t="s">
        <v>3144</v>
      </c>
      <c r="B48" s="41" t="s">
        <v>3145</v>
      </c>
      <c r="C48" s="41" t="s">
        <v>3127</v>
      </c>
      <c r="D48" s="15">
        <v>1694</v>
      </c>
      <c r="E48" s="16">
        <v>220.98</v>
      </c>
      <c r="F48" s="17">
        <v>1.32E-2</v>
      </c>
      <c r="G48" s="17"/>
    </row>
    <row r="49" spans="1:7" x14ac:dyDescent="0.35">
      <c r="A49" s="13" t="s">
        <v>3146</v>
      </c>
      <c r="B49" s="41" t="s">
        <v>3147</v>
      </c>
      <c r="C49" s="41" t="s">
        <v>3139</v>
      </c>
      <c r="D49" s="15">
        <v>880</v>
      </c>
      <c r="E49" s="16">
        <v>177.02</v>
      </c>
      <c r="F49" s="17">
        <v>1.06E-2</v>
      </c>
      <c r="G49" s="17"/>
    </row>
    <row r="50" spans="1:7" x14ac:dyDescent="0.35">
      <c r="A50" s="13" t="s">
        <v>3148</v>
      </c>
      <c r="B50" s="41" t="s">
        <v>3149</v>
      </c>
      <c r="C50" s="41" t="s">
        <v>3139</v>
      </c>
      <c r="D50" s="15">
        <v>1751</v>
      </c>
      <c r="E50" s="16">
        <v>165.68</v>
      </c>
      <c r="F50" s="17">
        <v>9.9000000000000008E-3</v>
      </c>
      <c r="G50" s="17"/>
    </row>
    <row r="51" spans="1:7" x14ac:dyDescent="0.35">
      <c r="A51" s="13" t="s">
        <v>3150</v>
      </c>
      <c r="B51" s="41" t="s">
        <v>3151</v>
      </c>
      <c r="C51" s="41" t="s">
        <v>3139</v>
      </c>
      <c r="D51" s="15">
        <v>470</v>
      </c>
      <c r="E51" s="16">
        <v>159.62</v>
      </c>
      <c r="F51" s="17">
        <v>9.5999999999999992E-3</v>
      </c>
      <c r="G51" s="17"/>
    </row>
    <row r="52" spans="1:7" x14ac:dyDescent="0.35">
      <c r="A52" s="13" t="s">
        <v>3152</v>
      </c>
      <c r="B52" s="41" t="s">
        <v>3153</v>
      </c>
      <c r="C52" s="41" t="s">
        <v>3127</v>
      </c>
      <c r="D52" s="15">
        <v>351</v>
      </c>
      <c r="E52" s="16">
        <v>151.57</v>
      </c>
      <c r="F52" s="17">
        <v>9.1000000000000004E-3</v>
      </c>
      <c r="G52" s="17"/>
    </row>
    <row r="53" spans="1:7" x14ac:dyDescent="0.35">
      <c r="A53" s="13" t="s">
        <v>3154</v>
      </c>
      <c r="B53" s="41" t="s">
        <v>3155</v>
      </c>
      <c r="C53" s="41" t="s">
        <v>3122</v>
      </c>
      <c r="D53" s="15">
        <v>143</v>
      </c>
      <c r="E53" s="16">
        <v>97.44</v>
      </c>
      <c r="F53" s="17">
        <v>5.7999999999999996E-3</v>
      </c>
      <c r="G53" s="17"/>
    </row>
    <row r="54" spans="1:7" x14ac:dyDescent="0.35">
      <c r="A54" s="13" t="s">
        <v>3156</v>
      </c>
      <c r="B54" s="41" t="s">
        <v>3157</v>
      </c>
      <c r="C54" s="41" t="s">
        <v>3139</v>
      </c>
      <c r="D54" s="15">
        <v>392</v>
      </c>
      <c r="E54" s="16">
        <v>73.3</v>
      </c>
      <c r="F54" s="17">
        <v>4.4000000000000003E-3</v>
      </c>
      <c r="G54" s="17"/>
    </row>
    <row r="55" spans="1:7" x14ac:dyDescent="0.35">
      <c r="A55" s="13" t="s">
        <v>3158</v>
      </c>
      <c r="B55" s="41" t="s">
        <v>3159</v>
      </c>
      <c r="C55" s="41" t="s">
        <v>3134</v>
      </c>
      <c r="D55" s="15">
        <v>233</v>
      </c>
      <c r="E55" s="16">
        <v>49.28</v>
      </c>
      <c r="F55" s="17">
        <v>3.0000000000000001E-3</v>
      </c>
      <c r="G55" s="17"/>
    </row>
    <row r="56" spans="1:7" x14ac:dyDescent="0.35">
      <c r="A56" s="13" t="s">
        <v>3160</v>
      </c>
      <c r="B56" s="41" t="s">
        <v>3161</v>
      </c>
      <c r="C56" s="41" t="s">
        <v>3134</v>
      </c>
      <c r="D56" s="15">
        <v>388</v>
      </c>
      <c r="E56" s="16">
        <v>47.73</v>
      </c>
      <c r="F56" s="17">
        <v>2.8999999999999998E-3</v>
      </c>
      <c r="G56" s="17"/>
    </row>
    <row r="57" spans="1:7" x14ac:dyDescent="0.35">
      <c r="A57" s="13" t="s">
        <v>3162</v>
      </c>
      <c r="B57" s="41" t="s">
        <v>3163</v>
      </c>
      <c r="C57" s="41" t="s">
        <v>3134</v>
      </c>
      <c r="D57" s="15">
        <v>211</v>
      </c>
      <c r="E57" s="16">
        <v>28.08</v>
      </c>
      <c r="F57" s="17">
        <v>1.6999999999999999E-3</v>
      </c>
      <c r="G57" s="17"/>
    </row>
    <row r="58" spans="1:7" x14ac:dyDescent="0.35">
      <c r="A58" s="14" t="s">
        <v>149</v>
      </c>
      <c r="B58" s="42"/>
      <c r="C58" s="42"/>
      <c r="D58" s="18"/>
      <c r="E58" s="36">
        <v>5309.23</v>
      </c>
      <c r="F58" s="37">
        <v>0.31819999999999998</v>
      </c>
      <c r="G58" s="21"/>
    </row>
    <row r="59" spans="1:7" x14ac:dyDescent="0.35">
      <c r="A59" s="13"/>
      <c r="B59" s="41"/>
      <c r="C59" s="41"/>
      <c r="D59" s="15"/>
      <c r="E59" s="16"/>
      <c r="F59" s="17"/>
      <c r="G59" s="17"/>
    </row>
    <row r="60" spans="1:7" x14ac:dyDescent="0.35">
      <c r="A60" s="22" t="s">
        <v>160</v>
      </c>
      <c r="B60" s="43"/>
      <c r="C60" s="43"/>
      <c r="D60" s="23"/>
      <c r="E60" s="36">
        <v>16652.96</v>
      </c>
      <c r="F60" s="37">
        <v>0.99819999999999998</v>
      </c>
      <c r="G60" s="21"/>
    </row>
    <row r="61" spans="1:7" x14ac:dyDescent="0.35">
      <c r="A61" s="13"/>
      <c r="B61" s="41"/>
      <c r="C61" s="41"/>
      <c r="D61" s="15"/>
      <c r="E61" s="16"/>
      <c r="F61" s="17"/>
      <c r="G61" s="17"/>
    </row>
    <row r="62" spans="1:7" x14ac:dyDescent="0.35">
      <c r="A62" s="13"/>
      <c r="B62" s="41"/>
      <c r="C62" s="41"/>
      <c r="D62" s="15"/>
      <c r="E62" s="16"/>
      <c r="F62" s="17"/>
      <c r="G62" s="17"/>
    </row>
    <row r="63" spans="1:7" x14ac:dyDescent="0.35">
      <c r="A63" s="14" t="s">
        <v>255</v>
      </c>
      <c r="B63" s="41"/>
      <c r="C63" s="41"/>
      <c r="D63" s="15"/>
      <c r="E63" s="16"/>
      <c r="F63" s="17"/>
      <c r="G63" s="17"/>
    </row>
    <row r="64" spans="1:7" x14ac:dyDescent="0.35">
      <c r="A64" s="13" t="s">
        <v>257</v>
      </c>
      <c r="B64" s="41"/>
      <c r="C64" s="41"/>
      <c r="D64" s="15"/>
      <c r="E64" s="16">
        <v>44.98</v>
      </c>
      <c r="F64" s="17">
        <v>2.7000000000000001E-3</v>
      </c>
      <c r="G64" s="17">
        <v>5.1742000000000003E-2</v>
      </c>
    </row>
    <row r="65" spans="1:7" x14ac:dyDescent="0.35">
      <c r="A65" s="14" t="s">
        <v>149</v>
      </c>
      <c r="B65" s="42"/>
      <c r="C65" s="42"/>
      <c r="D65" s="18"/>
      <c r="E65" s="36">
        <v>44.98</v>
      </c>
      <c r="F65" s="37">
        <v>2.7000000000000001E-3</v>
      </c>
      <c r="G65" s="21"/>
    </row>
    <row r="66" spans="1:7" x14ac:dyDescent="0.35">
      <c r="A66" s="13"/>
      <c r="B66" s="41"/>
      <c r="C66" s="41"/>
      <c r="D66" s="15"/>
      <c r="E66" s="16"/>
      <c r="F66" s="17"/>
      <c r="G66" s="17"/>
    </row>
    <row r="67" spans="1:7" x14ac:dyDescent="0.35">
      <c r="A67" s="22" t="s">
        <v>160</v>
      </c>
      <c r="B67" s="43"/>
      <c r="C67" s="43"/>
      <c r="D67" s="23"/>
      <c r="E67" s="36">
        <v>44.98</v>
      </c>
      <c r="F67" s="37">
        <v>2.7000000000000001E-3</v>
      </c>
      <c r="G67" s="21"/>
    </row>
    <row r="68" spans="1:7" x14ac:dyDescent="0.35">
      <c r="A68" s="13" t="s">
        <v>258</v>
      </c>
      <c r="B68" s="41"/>
      <c r="C68" s="41"/>
      <c r="D68" s="15"/>
      <c r="E68" s="16">
        <v>1.2752899999999999E-2</v>
      </c>
      <c r="F68" s="17">
        <v>0</v>
      </c>
      <c r="G68" s="17"/>
    </row>
    <row r="69" spans="1:7" x14ac:dyDescent="0.35">
      <c r="A69" s="13" t="s">
        <v>259</v>
      </c>
      <c r="B69" s="41"/>
      <c r="C69" s="41"/>
      <c r="D69" s="15"/>
      <c r="E69" s="28">
        <v>-13.3927529</v>
      </c>
      <c r="F69" s="29">
        <v>-8.9999999999999998E-4</v>
      </c>
      <c r="G69" s="17">
        <v>5.1741000000000002E-2</v>
      </c>
    </row>
    <row r="70" spans="1:7" x14ac:dyDescent="0.35">
      <c r="A70" s="38" t="s">
        <v>260</v>
      </c>
      <c r="B70" s="44"/>
      <c r="C70" s="44"/>
      <c r="D70" s="39"/>
      <c r="E70" s="24">
        <v>16684.560000000001</v>
      </c>
      <c r="F70" s="25">
        <v>1</v>
      </c>
      <c r="G70" s="25"/>
    </row>
    <row r="75" spans="1:7" x14ac:dyDescent="0.35">
      <c r="A75" s="1" t="s">
        <v>263</v>
      </c>
    </row>
    <row r="76" spans="1:7" x14ac:dyDescent="0.35">
      <c r="A76" s="47" t="s">
        <v>264</v>
      </c>
      <c r="B76" s="3" t="s">
        <v>146</v>
      </c>
    </row>
    <row r="77" spans="1:7" x14ac:dyDescent="0.35">
      <c r="A77" t="s">
        <v>265</v>
      </c>
    </row>
    <row r="78" spans="1:7" x14ac:dyDescent="0.35">
      <c r="A78" t="s">
        <v>266</v>
      </c>
      <c r="B78" t="s">
        <v>267</v>
      </c>
      <c r="C78" t="s">
        <v>267</v>
      </c>
    </row>
    <row r="79" spans="1:7" x14ac:dyDescent="0.35">
      <c r="B79" s="49">
        <v>46022</v>
      </c>
      <c r="C79" s="49">
        <v>46052</v>
      </c>
    </row>
    <row r="80" spans="1:7" x14ac:dyDescent="0.35">
      <c r="A80" t="s">
        <v>272</v>
      </c>
      <c r="B80">
        <v>21.433</v>
      </c>
      <c r="C80">
        <v>20.939499999999999</v>
      </c>
    </row>
    <row r="81" spans="1:4" x14ac:dyDescent="0.35">
      <c r="A81" t="s">
        <v>273</v>
      </c>
      <c r="B81">
        <v>21.433</v>
      </c>
      <c r="C81">
        <v>20.939499999999999</v>
      </c>
    </row>
    <row r="82" spans="1:4" x14ac:dyDescent="0.35">
      <c r="A82" t="s">
        <v>708</v>
      </c>
      <c r="B82">
        <v>20.810099999999998</v>
      </c>
      <c r="C82">
        <v>20.321899999999999</v>
      </c>
    </row>
    <row r="83" spans="1:4" x14ac:dyDescent="0.35">
      <c r="A83" t="s">
        <v>709</v>
      </c>
      <c r="B83">
        <v>20.810099999999998</v>
      </c>
      <c r="C83">
        <v>20.321899999999999</v>
      </c>
    </row>
    <row r="85" spans="1:4" x14ac:dyDescent="0.35">
      <c r="A85" t="s">
        <v>283</v>
      </c>
      <c r="B85" s="3" t="s">
        <v>146</v>
      </c>
    </row>
    <row r="86" spans="1:4" x14ac:dyDescent="0.35">
      <c r="A86" t="s">
        <v>284</v>
      </c>
      <c r="B86" s="3" t="s">
        <v>146</v>
      </c>
    </row>
    <row r="87" spans="1:4" ht="29" customHeight="1" x14ac:dyDescent="0.35">
      <c r="A87" s="47" t="s">
        <v>285</v>
      </c>
      <c r="B87" s="3" t="s">
        <v>146</v>
      </c>
    </row>
    <row r="88" spans="1:4" ht="29" customHeight="1" x14ac:dyDescent="0.35">
      <c r="A88" s="47" t="s">
        <v>286</v>
      </c>
      <c r="B88" s="48">
        <v>5309.2196064999998</v>
      </c>
    </row>
    <row r="89" spans="1:4" ht="43.5" customHeight="1" x14ac:dyDescent="0.35">
      <c r="A89" s="47" t="s">
        <v>887</v>
      </c>
      <c r="B89" s="3" t="s">
        <v>146</v>
      </c>
    </row>
    <row r="90" spans="1:4" x14ac:dyDescent="0.35">
      <c r="B90" s="3"/>
    </row>
    <row r="91" spans="1:4" ht="29" customHeight="1" x14ac:dyDescent="0.35">
      <c r="A91" s="47" t="s">
        <v>888</v>
      </c>
      <c r="B91" s="3" t="s">
        <v>146</v>
      </c>
    </row>
    <row r="92" spans="1:4" ht="29" customHeight="1" x14ac:dyDescent="0.35">
      <c r="A92" s="47" t="s">
        <v>889</v>
      </c>
      <c r="B92" t="s">
        <v>146</v>
      </c>
    </row>
    <row r="93" spans="1:4" ht="29" customHeight="1" x14ac:dyDescent="0.35">
      <c r="A93" s="47" t="s">
        <v>890</v>
      </c>
      <c r="B93" s="3" t="s">
        <v>146</v>
      </c>
    </row>
    <row r="94" spans="1:4" ht="29" customHeight="1" x14ac:dyDescent="0.35">
      <c r="A94" s="47" t="s">
        <v>891</v>
      </c>
      <c r="B94" s="3" t="s">
        <v>146</v>
      </c>
    </row>
    <row r="96" spans="1:4" ht="70" customHeight="1" x14ac:dyDescent="0.35">
      <c r="A96" s="70" t="s">
        <v>303</v>
      </c>
      <c r="B96" s="70" t="s">
        <v>304</v>
      </c>
      <c r="C96" s="70" t="s">
        <v>4</v>
      </c>
      <c r="D96" s="70" t="s">
        <v>5</v>
      </c>
    </row>
    <row r="97" spans="1:4" ht="70" customHeight="1" x14ac:dyDescent="0.35">
      <c r="A97" s="70" t="s">
        <v>3164</v>
      </c>
      <c r="B97" s="70"/>
      <c r="C97" s="70" t="s">
        <v>124</v>
      </c>
      <c r="D97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G46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3165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3166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3106</v>
      </c>
      <c r="B7" s="41"/>
      <c r="C7" s="41"/>
      <c r="D7" s="15"/>
      <c r="E7" s="16"/>
      <c r="F7" s="17"/>
      <c r="G7" s="17"/>
    </row>
    <row r="8" spans="1:7" x14ac:dyDescent="0.35">
      <c r="A8" s="14" t="s">
        <v>3107</v>
      </c>
      <c r="B8" s="42"/>
      <c r="C8" s="42"/>
      <c r="D8" s="18"/>
      <c r="E8" s="26"/>
      <c r="F8" s="21"/>
      <c r="G8" s="21"/>
    </row>
    <row r="9" spans="1:7" x14ac:dyDescent="0.35">
      <c r="A9" s="13" t="s">
        <v>3167</v>
      </c>
      <c r="B9" s="41" t="s">
        <v>3168</v>
      </c>
      <c r="C9" s="41"/>
      <c r="D9" s="15">
        <v>310146.44799999997</v>
      </c>
      <c r="E9" s="16">
        <v>20636.98</v>
      </c>
      <c r="F9" s="17">
        <v>0.95689999999999997</v>
      </c>
      <c r="G9" s="17"/>
    </row>
    <row r="10" spans="1:7" x14ac:dyDescent="0.35">
      <c r="A10" s="14" t="s">
        <v>149</v>
      </c>
      <c r="B10" s="42"/>
      <c r="C10" s="42"/>
      <c r="D10" s="18"/>
      <c r="E10" s="36">
        <v>20636.98</v>
      </c>
      <c r="F10" s="37">
        <v>0.95689999999999997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20636.98</v>
      </c>
      <c r="F12" s="37">
        <v>0.95689999999999997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968.59</v>
      </c>
      <c r="F15" s="17">
        <v>4.4900000000000002E-2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968.59</v>
      </c>
      <c r="F16" s="37">
        <v>4.4900000000000002E-2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968.59</v>
      </c>
      <c r="F18" s="37">
        <v>4.4900000000000002E-2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0.27461200000000002</v>
      </c>
      <c r="F19" s="17">
        <v>1.2E-5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-38.934612000000001</v>
      </c>
      <c r="F20" s="29">
        <v>-1.812E-3</v>
      </c>
      <c r="G20" s="17">
        <v>5.1742000000000003E-2</v>
      </c>
    </row>
    <row r="21" spans="1:7" x14ac:dyDescent="0.35">
      <c r="A21" s="38" t="s">
        <v>260</v>
      </c>
      <c r="B21" s="44"/>
      <c r="C21" s="44"/>
      <c r="D21" s="39"/>
      <c r="E21" s="24">
        <v>21566.91</v>
      </c>
      <c r="F21" s="25">
        <v>1</v>
      </c>
      <c r="G21" s="25"/>
    </row>
    <row r="26" spans="1:7" x14ac:dyDescent="0.35">
      <c r="A26" s="1" t="s">
        <v>263</v>
      </c>
    </row>
    <row r="27" spans="1:7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46021</v>
      </c>
      <c r="C30" s="49">
        <v>46052</v>
      </c>
    </row>
    <row r="31" spans="1:7" x14ac:dyDescent="0.35">
      <c r="A31" t="s">
        <v>272</v>
      </c>
      <c r="B31">
        <v>30.568999999999999</v>
      </c>
      <c r="C31">
        <v>32.591999999999999</v>
      </c>
    </row>
    <row r="32" spans="1:7" x14ac:dyDescent="0.35">
      <c r="A32" t="s">
        <v>708</v>
      </c>
      <c r="B32">
        <v>27.602499999999999</v>
      </c>
      <c r="C32">
        <v>29.407900000000001</v>
      </c>
    </row>
    <row r="34" spans="1:4" x14ac:dyDescent="0.35">
      <c r="A34" t="s">
        <v>283</v>
      </c>
      <c r="B34" s="3" t="s">
        <v>146</v>
      </c>
    </row>
    <row r="35" spans="1:4" x14ac:dyDescent="0.35">
      <c r="A35" t="s">
        <v>284</v>
      </c>
      <c r="B35" s="3" t="s">
        <v>146</v>
      </c>
    </row>
    <row r="36" spans="1:4" ht="29" customHeight="1" x14ac:dyDescent="0.35">
      <c r="A36" s="47" t="s">
        <v>285</v>
      </c>
      <c r="B36" s="3" t="s">
        <v>146</v>
      </c>
    </row>
    <row r="37" spans="1:4" ht="29" customHeight="1" x14ac:dyDescent="0.35">
      <c r="A37" s="47" t="s">
        <v>286</v>
      </c>
      <c r="B37" s="48">
        <v>20636.9766542</v>
      </c>
    </row>
    <row r="38" spans="1:4" ht="43.5" customHeight="1" x14ac:dyDescent="0.35">
      <c r="A38" s="47" t="s">
        <v>887</v>
      </c>
      <c r="B38" s="3" t="s">
        <v>146</v>
      </c>
    </row>
    <row r="39" spans="1:4" x14ac:dyDescent="0.35">
      <c r="B39" s="3"/>
    </row>
    <row r="40" spans="1:4" ht="29" customHeight="1" x14ac:dyDescent="0.35">
      <c r="A40" s="47" t="s">
        <v>888</v>
      </c>
      <c r="B40" s="3" t="s">
        <v>146</v>
      </c>
    </row>
    <row r="41" spans="1:4" ht="29" customHeight="1" x14ac:dyDescent="0.35">
      <c r="A41" s="47" t="s">
        <v>889</v>
      </c>
      <c r="B41" t="s">
        <v>146</v>
      </c>
    </row>
    <row r="42" spans="1:4" ht="29" customHeight="1" x14ac:dyDescent="0.35">
      <c r="A42" s="47" t="s">
        <v>890</v>
      </c>
      <c r="B42" s="3" t="s">
        <v>146</v>
      </c>
    </row>
    <row r="43" spans="1:4" ht="29" customHeight="1" x14ac:dyDescent="0.35">
      <c r="A43" s="47" t="s">
        <v>891</v>
      </c>
      <c r="B43" s="3" t="s">
        <v>146</v>
      </c>
    </row>
    <row r="45" spans="1:4" ht="70" customHeight="1" x14ac:dyDescent="0.35">
      <c r="A45" s="70" t="s">
        <v>303</v>
      </c>
      <c r="B45" s="70" t="s">
        <v>304</v>
      </c>
      <c r="C45" s="70" t="s">
        <v>4</v>
      </c>
      <c r="D45" s="70" t="s">
        <v>5</v>
      </c>
    </row>
    <row r="46" spans="1:4" ht="70" customHeight="1" x14ac:dyDescent="0.35">
      <c r="A46" s="70" t="s">
        <v>3169</v>
      </c>
      <c r="B46" s="70"/>
      <c r="C46" s="70" t="s">
        <v>126</v>
      </c>
      <c r="D4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G46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3170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3171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3106</v>
      </c>
      <c r="B7" s="41"/>
      <c r="C7" s="41"/>
      <c r="D7" s="15"/>
      <c r="E7" s="16"/>
      <c r="F7" s="17"/>
      <c r="G7" s="17"/>
    </row>
    <row r="8" spans="1:7" x14ac:dyDescent="0.35">
      <c r="A8" s="14" t="s">
        <v>3107</v>
      </c>
      <c r="B8" s="42"/>
      <c r="C8" s="42"/>
      <c r="D8" s="18"/>
      <c r="E8" s="26"/>
      <c r="F8" s="21"/>
      <c r="G8" s="21"/>
    </row>
    <row r="9" spans="1:7" x14ac:dyDescent="0.35">
      <c r="A9" s="13" t="s">
        <v>3172</v>
      </c>
      <c r="B9" s="41" t="s">
        <v>3173</v>
      </c>
      <c r="C9" s="41"/>
      <c r="D9" s="15">
        <v>96681.934309999997</v>
      </c>
      <c r="E9" s="16">
        <v>18514.37</v>
      </c>
      <c r="F9" s="17">
        <v>0.96779999999999999</v>
      </c>
      <c r="G9" s="17"/>
    </row>
    <row r="10" spans="1:7" x14ac:dyDescent="0.35">
      <c r="A10" s="14" t="s">
        <v>149</v>
      </c>
      <c r="B10" s="42"/>
      <c r="C10" s="42"/>
      <c r="D10" s="18"/>
      <c r="E10" s="36">
        <v>18514.37</v>
      </c>
      <c r="F10" s="37">
        <v>0.96779999999999999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18514.37</v>
      </c>
      <c r="F12" s="37">
        <v>0.96779999999999999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667.72</v>
      </c>
      <c r="F15" s="17">
        <v>3.49E-2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667.72</v>
      </c>
      <c r="F16" s="37">
        <v>3.49E-2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667.72</v>
      </c>
      <c r="F18" s="37">
        <v>3.49E-2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0.18930939999999999</v>
      </c>
      <c r="F19" s="17">
        <v>9.0000000000000002E-6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-52.819309400000002</v>
      </c>
      <c r="F20" s="29">
        <v>-2.709E-3</v>
      </c>
      <c r="G20" s="17">
        <v>5.1741000000000002E-2</v>
      </c>
    </row>
    <row r="21" spans="1:7" x14ac:dyDescent="0.35">
      <c r="A21" s="38" t="s">
        <v>260</v>
      </c>
      <c r="B21" s="44"/>
      <c r="C21" s="44"/>
      <c r="D21" s="39"/>
      <c r="E21" s="24">
        <v>19129.46</v>
      </c>
      <c r="F21" s="25">
        <v>1</v>
      </c>
      <c r="G21" s="25"/>
    </row>
    <row r="26" spans="1:7" x14ac:dyDescent="0.35">
      <c r="A26" s="1" t="s">
        <v>263</v>
      </c>
    </row>
    <row r="27" spans="1:7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46021</v>
      </c>
      <c r="C30" s="49">
        <v>46052</v>
      </c>
    </row>
    <row r="31" spans="1:7" x14ac:dyDescent="0.35">
      <c r="A31" t="s">
        <v>272</v>
      </c>
      <c r="B31">
        <v>23.148900000000001</v>
      </c>
      <c r="C31">
        <v>26.059100000000001</v>
      </c>
    </row>
    <row r="32" spans="1:7" x14ac:dyDescent="0.35">
      <c r="A32" t="s">
        <v>708</v>
      </c>
      <c r="B32">
        <v>21.222999999999999</v>
      </c>
      <c r="C32">
        <v>23.8735</v>
      </c>
    </row>
    <row r="34" spans="1:4" x14ac:dyDescent="0.35">
      <c r="A34" t="s">
        <v>283</v>
      </c>
      <c r="B34" s="3" t="s">
        <v>146</v>
      </c>
    </row>
    <row r="35" spans="1:4" x14ac:dyDescent="0.35">
      <c r="A35" t="s">
        <v>284</v>
      </c>
      <c r="B35" s="3" t="s">
        <v>146</v>
      </c>
    </row>
    <row r="36" spans="1:4" ht="29" customHeight="1" x14ac:dyDescent="0.35">
      <c r="A36" s="47" t="s">
        <v>285</v>
      </c>
      <c r="B36" s="3" t="s">
        <v>146</v>
      </c>
    </row>
    <row r="37" spans="1:4" ht="29" customHeight="1" x14ac:dyDescent="0.35">
      <c r="A37" s="47" t="s">
        <v>286</v>
      </c>
      <c r="B37" s="48">
        <v>18514.365879000001</v>
      </c>
    </row>
    <row r="38" spans="1:4" ht="43.5" customHeight="1" x14ac:dyDescent="0.35">
      <c r="A38" s="47" t="s">
        <v>887</v>
      </c>
      <c r="B38" s="3" t="s">
        <v>146</v>
      </c>
    </row>
    <row r="39" spans="1:4" x14ac:dyDescent="0.35">
      <c r="B39" s="3"/>
    </row>
    <row r="40" spans="1:4" ht="29" customHeight="1" x14ac:dyDescent="0.35">
      <c r="A40" s="47" t="s">
        <v>888</v>
      </c>
      <c r="B40" s="3" t="s">
        <v>146</v>
      </c>
    </row>
    <row r="41" spans="1:4" ht="29" customHeight="1" x14ac:dyDescent="0.35">
      <c r="A41" s="47" t="s">
        <v>889</v>
      </c>
      <c r="B41" t="s">
        <v>146</v>
      </c>
    </row>
    <row r="42" spans="1:4" ht="29" customHeight="1" x14ac:dyDescent="0.35">
      <c r="A42" s="47" t="s">
        <v>890</v>
      </c>
      <c r="B42" s="3" t="s">
        <v>146</v>
      </c>
    </row>
    <row r="43" spans="1:4" ht="29" customHeight="1" x14ac:dyDescent="0.35">
      <c r="A43" s="47" t="s">
        <v>891</v>
      </c>
      <c r="B43" s="3" t="s">
        <v>146</v>
      </c>
    </row>
    <row r="45" spans="1:4" ht="70" customHeight="1" x14ac:dyDescent="0.35">
      <c r="A45" s="70" t="s">
        <v>303</v>
      </c>
      <c r="B45" s="70" t="s">
        <v>304</v>
      </c>
      <c r="C45" s="70" t="s">
        <v>4</v>
      </c>
      <c r="D45" s="70" t="s">
        <v>5</v>
      </c>
    </row>
    <row r="46" spans="1:4" ht="70" customHeight="1" x14ac:dyDescent="0.35">
      <c r="A46" s="70" t="s">
        <v>3174</v>
      </c>
      <c r="B46" s="70"/>
      <c r="C46" s="70" t="s">
        <v>128</v>
      </c>
      <c r="D4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G46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3175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3176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3106</v>
      </c>
      <c r="B7" s="41"/>
      <c r="C7" s="41"/>
      <c r="D7" s="15"/>
      <c r="E7" s="16"/>
      <c r="F7" s="17"/>
      <c r="G7" s="17"/>
    </row>
    <row r="8" spans="1:7" x14ac:dyDescent="0.35">
      <c r="A8" s="14" t="s">
        <v>3107</v>
      </c>
      <c r="B8" s="42"/>
      <c r="C8" s="42"/>
      <c r="D8" s="18"/>
      <c r="E8" s="26"/>
      <c r="F8" s="21"/>
      <c r="G8" s="21"/>
    </row>
    <row r="9" spans="1:7" x14ac:dyDescent="0.35">
      <c r="A9" s="13" t="s">
        <v>3177</v>
      </c>
      <c r="B9" s="41" t="s">
        <v>3178</v>
      </c>
      <c r="C9" s="41"/>
      <c r="D9" s="15">
        <v>49999.133000000002</v>
      </c>
      <c r="E9" s="16">
        <v>20050.02</v>
      </c>
      <c r="F9" s="17">
        <v>0.99070000000000003</v>
      </c>
      <c r="G9" s="17"/>
    </row>
    <row r="10" spans="1:7" x14ac:dyDescent="0.35">
      <c r="A10" s="14" t="s">
        <v>149</v>
      </c>
      <c r="B10" s="42"/>
      <c r="C10" s="42"/>
      <c r="D10" s="18"/>
      <c r="E10" s="36">
        <v>20050.02</v>
      </c>
      <c r="F10" s="37">
        <v>0.99070000000000003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20050.02</v>
      </c>
      <c r="F12" s="37">
        <v>0.99070000000000003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232.9</v>
      </c>
      <c r="F15" s="17">
        <v>1.15E-2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232.9</v>
      </c>
      <c r="F16" s="37">
        <v>1.15E-2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232.9</v>
      </c>
      <c r="F18" s="37">
        <v>1.15E-2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6.6031599999999996E-2</v>
      </c>
      <c r="F19" s="17">
        <v>3.0000000000000001E-6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-45.166031599999997</v>
      </c>
      <c r="F20" s="29">
        <v>-2.2030000000000001E-3</v>
      </c>
      <c r="G20" s="17">
        <v>5.1742000000000003E-2</v>
      </c>
    </row>
    <row r="21" spans="1:7" x14ac:dyDescent="0.35">
      <c r="A21" s="38" t="s">
        <v>260</v>
      </c>
      <c r="B21" s="44"/>
      <c r="C21" s="44"/>
      <c r="D21" s="39"/>
      <c r="E21" s="24">
        <v>20237.82</v>
      </c>
      <c r="F21" s="25">
        <v>1</v>
      </c>
      <c r="G21" s="25"/>
    </row>
    <row r="26" spans="1:7" x14ac:dyDescent="0.35">
      <c r="A26" s="1" t="s">
        <v>263</v>
      </c>
    </row>
    <row r="27" spans="1:7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46021</v>
      </c>
      <c r="C30" s="49">
        <v>46052</v>
      </c>
    </row>
    <row r="31" spans="1:7" x14ac:dyDescent="0.35">
      <c r="A31" t="s">
        <v>272</v>
      </c>
      <c r="B31">
        <v>40.673699999999997</v>
      </c>
      <c r="C31">
        <v>42.695799999999998</v>
      </c>
    </row>
    <row r="32" spans="1:7" x14ac:dyDescent="0.35">
      <c r="A32" t="s">
        <v>708</v>
      </c>
      <c r="B32">
        <v>36.6434</v>
      </c>
      <c r="C32">
        <v>38.434600000000003</v>
      </c>
    </row>
    <row r="34" spans="1:4" x14ac:dyDescent="0.35">
      <c r="A34" t="s">
        <v>283</v>
      </c>
      <c r="B34" s="3" t="s">
        <v>146</v>
      </c>
    </row>
    <row r="35" spans="1:4" x14ac:dyDescent="0.35">
      <c r="A35" t="s">
        <v>284</v>
      </c>
      <c r="B35" s="3" t="s">
        <v>146</v>
      </c>
    </row>
    <row r="36" spans="1:4" ht="29" customHeight="1" x14ac:dyDescent="0.35">
      <c r="A36" s="47" t="s">
        <v>285</v>
      </c>
      <c r="B36" s="3" t="s">
        <v>146</v>
      </c>
    </row>
    <row r="37" spans="1:4" ht="29" customHeight="1" x14ac:dyDescent="0.35">
      <c r="A37" s="47" t="s">
        <v>286</v>
      </c>
      <c r="B37" s="48">
        <v>20050.023424399998</v>
      </c>
    </row>
    <row r="38" spans="1:4" ht="43.5" customHeight="1" x14ac:dyDescent="0.35">
      <c r="A38" s="47" t="s">
        <v>887</v>
      </c>
      <c r="B38" s="3" t="s">
        <v>146</v>
      </c>
    </row>
    <row r="39" spans="1:4" x14ac:dyDescent="0.35">
      <c r="B39" s="3"/>
    </row>
    <row r="40" spans="1:4" ht="29" customHeight="1" x14ac:dyDescent="0.35">
      <c r="A40" s="47" t="s">
        <v>888</v>
      </c>
      <c r="B40" s="3" t="s">
        <v>146</v>
      </c>
    </row>
    <row r="41" spans="1:4" ht="29" customHeight="1" x14ac:dyDescent="0.35">
      <c r="A41" s="47" t="s">
        <v>889</v>
      </c>
      <c r="B41" t="s">
        <v>146</v>
      </c>
    </row>
    <row r="42" spans="1:4" ht="29" customHeight="1" x14ac:dyDescent="0.35">
      <c r="A42" s="47" t="s">
        <v>890</v>
      </c>
      <c r="B42" s="3" t="s">
        <v>146</v>
      </c>
    </row>
    <row r="43" spans="1:4" ht="29" customHeight="1" x14ac:dyDescent="0.35">
      <c r="A43" s="47" t="s">
        <v>891</v>
      </c>
      <c r="B43" s="3" t="s">
        <v>146</v>
      </c>
    </row>
    <row r="45" spans="1:4" ht="70" customHeight="1" x14ac:dyDescent="0.35">
      <c r="A45" s="70" t="s">
        <v>303</v>
      </c>
      <c r="B45" s="70" t="s">
        <v>304</v>
      </c>
      <c r="C45" s="70" t="s">
        <v>4</v>
      </c>
      <c r="D45" s="70" t="s">
        <v>5</v>
      </c>
    </row>
    <row r="46" spans="1:4" ht="70" customHeight="1" x14ac:dyDescent="0.35">
      <c r="A46" s="70" t="s">
        <v>3179</v>
      </c>
      <c r="B46" s="70"/>
      <c r="C46" s="70" t="s">
        <v>130</v>
      </c>
      <c r="D4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G46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3180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3181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3106</v>
      </c>
      <c r="B7" s="41"/>
      <c r="C7" s="41"/>
      <c r="D7" s="15"/>
      <c r="E7" s="16"/>
      <c r="F7" s="17"/>
      <c r="G7" s="17"/>
    </row>
    <row r="8" spans="1:7" x14ac:dyDescent="0.35">
      <c r="A8" s="14" t="s">
        <v>3107</v>
      </c>
      <c r="B8" s="42"/>
      <c r="C8" s="42"/>
      <c r="D8" s="18"/>
      <c r="E8" s="26"/>
      <c r="F8" s="21"/>
      <c r="G8" s="21"/>
    </row>
    <row r="9" spans="1:7" x14ac:dyDescent="0.35">
      <c r="A9" s="13" t="s">
        <v>3182</v>
      </c>
      <c r="B9" s="41" t="s">
        <v>3183</v>
      </c>
      <c r="C9" s="41"/>
      <c r="D9" s="15">
        <v>1089401.5530000001</v>
      </c>
      <c r="E9" s="16">
        <v>354514.22</v>
      </c>
      <c r="F9" s="17">
        <v>0.96240000000000003</v>
      </c>
      <c r="G9" s="17"/>
    </row>
    <row r="10" spans="1:7" x14ac:dyDescent="0.35">
      <c r="A10" s="14" t="s">
        <v>149</v>
      </c>
      <c r="B10" s="42"/>
      <c r="C10" s="42"/>
      <c r="D10" s="18"/>
      <c r="E10" s="36">
        <v>354514.22</v>
      </c>
      <c r="F10" s="37">
        <v>0.96240000000000003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354514.22</v>
      </c>
      <c r="F12" s="37">
        <v>0.96240000000000003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15387.46</v>
      </c>
      <c r="F15" s="17">
        <v>4.1799999999999997E-2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15387.46</v>
      </c>
      <c r="F16" s="37">
        <v>4.1799999999999997E-2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15387.46</v>
      </c>
      <c r="F18" s="37">
        <v>4.1799999999999997E-2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4.3626177999999998</v>
      </c>
      <c r="F19" s="17">
        <v>1.1E-5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-1557.2726178</v>
      </c>
      <c r="F20" s="29">
        <v>-4.2110000000000003E-3</v>
      </c>
      <c r="G20" s="17">
        <v>5.1741000000000002E-2</v>
      </c>
    </row>
    <row r="21" spans="1:7" x14ac:dyDescent="0.35">
      <c r="A21" s="38" t="s">
        <v>260</v>
      </c>
      <c r="B21" s="44"/>
      <c r="C21" s="44"/>
      <c r="D21" s="39"/>
      <c r="E21" s="24">
        <v>368348.77</v>
      </c>
      <c r="F21" s="25">
        <v>1</v>
      </c>
      <c r="G21" s="25"/>
    </row>
    <row r="26" spans="1:7" x14ac:dyDescent="0.35">
      <c r="A26" s="1" t="s">
        <v>263</v>
      </c>
    </row>
    <row r="27" spans="1:7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46021</v>
      </c>
      <c r="C30" s="49">
        <v>46052</v>
      </c>
    </row>
    <row r="31" spans="1:7" x14ac:dyDescent="0.35">
      <c r="A31" t="s">
        <v>272</v>
      </c>
      <c r="B31">
        <v>34.612099999999998</v>
      </c>
      <c r="C31">
        <v>34.816699999999997</v>
      </c>
    </row>
    <row r="32" spans="1:7" x14ac:dyDescent="0.35">
      <c r="A32" t="s">
        <v>708</v>
      </c>
      <c r="B32">
        <v>32.734400000000001</v>
      </c>
      <c r="C32">
        <v>32.903399999999998</v>
      </c>
    </row>
    <row r="34" spans="1:4" x14ac:dyDescent="0.35">
      <c r="A34" t="s">
        <v>283</v>
      </c>
      <c r="B34" s="3" t="s">
        <v>146</v>
      </c>
    </row>
    <row r="35" spans="1:4" x14ac:dyDescent="0.35">
      <c r="A35" t="s">
        <v>284</v>
      </c>
      <c r="B35" s="3" t="s">
        <v>146</v>
      </c>
    </row>
    <row r="36" spans="1:4" ht="29" customHeight="1" x14ac:dyDescent="0.35">
      <c r="A36" s="47" t="s">
        <v>285</v>
      </c>
      <c r="B36" s="3" t="s">
        <v>146</v>
      </c>
    </row>
    <row r="37" spans="1:4" ht="29" customHeight="1" x14ac:dyDescent="0.35">
      <c r="A37" s="47" t="s">
        <v>286</v>
      </c>
      <c r="B37" s="48">
        <v>354514.21917589998</v>
      </c>
    </row>
    <row r="38" spans="1:4" ht="43.5" customHeight="1" x14ac:dyDescent="0.35">
      <c r="A38" s="47" t="s">
        <v>887</v>
      </c>
      <c r="B38" s="3" t="s">
        <v>146</v>
      </c>
    </row>
    <row r="39" spans="1:4" x14ac:dyDescent="0.35">
      <c r="B39" s="3"/>
    </row>
    <row r="40" spans="1:4" ht="29" customHeight="1" x14ac:dyDescent="0.35">
      <c r="A40" s="47" t="s">
        <v>888</v>
      </c>
      <c r="B40" s="3" t="s">
        <v>146</v>
      </c>
    </row>
    <row r="41" spans="1:4" ht="29" customHeight="1" x14ac:dyDescent="0.35">
      <c r="A41" s="47" t="s">
        <v>889</v>
      </c>
      <c r="B41" t="s">
        <v>146</v>
      </c>
    </row>
    <row r="42" spans="1:4" ht="29" customHeight="1" x14ac:dyDescent="0.35">
      <c r="A42" s="47" t="s">
        <v>890</v>
      </c>
      <c r="B42" s="3" t="s">
        <v>146</v>
      </c>
    </row>
    <row r="43" spans="1:4" ht="29" customHeight="1" x14ac:dyDescent="0.35">
      <c r="A43" s="47" t="s">
        <v>891</v>
      </c>
      <c r="B43" s="3" t="s">
        <v>146</v>
      </c>
    </row>
    <row r="45" spans="1:4" ht="70" customHeight="1" x14ac:dyDescent="0.35">
      <c r="A45" s="70" t="s">
        <v>303</v>
      </c>
      <c r="B45" s="70" t="s">
        <v>304</v>
      </c>
      <c r="C45" s="70" t="s">
        <v>4</v>
      </c>
      <c r="D45" s="70" t="s">
        <v>5</v>
      </c>
    </row>
    <row r="46" spans="1:4" ht="70" customHeight="1" x14ac:dyDescent="0.35">
      <c r="A46" s="70" t="s">
        <v>3184</v>
      </c>
      <c r="B46" s="70"/>
      <c r="C46" s="70" t="s">
        <v>132</v>
      </c>
      <c r="D4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G46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3185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3186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3"/>
      <c r="B7" s="41"/>
      <c r="C7" s="41"/>
      <c r="D7" s="15"/>
      <c r="E7" s="16"/>
      <c r="F7" s="17"/>
      <c r="G7" s="17"/>
    </row>
    <row r="8" spans="1:7" x14ac:dyDescent="0.35">
      <c r="A8" s="14" t="s">
        <v>884</v>
      </c>
      <c r="B8" s="41"/>
      <c r="C8" s="41"/>
      <c r="D8" s="15"/>
      <c r="E8" s="16"/>
      <c r="F8" s="17"/>
      <c r="G8" s="17"/>
    </row>
    <row r="9" spans="1:7" x14ac:dyDescent="0.35">
      <c r="A9" s="13" t="s">
        <v>2507</v>
      </c>
      <c r="B9" s="41" t="s">
        <v>2508</v>
      </c>
      <c r="C9" s="41"/>
      <c r="D9" s="15">
        <v>4725286</v>
      </c>
      <c r="E9" s="16">
        <v>14039.3</v>
      </c>
      <c r="F9" s="17">
        <v>0.99429999999999996</v>
      </c>
      <c r="G9" s="17"/>
    </row>
    <row r="10" spans="1:7" x14ac:dyDescent="0.35">
      <c r="A10" s="14" t="s">
        <v>149</v>
      </c>
      <c r="B10" s="42"/>
      <c r="C10" s="42"/>
      <c r="D10" s="18"/>
      <c r="E10" s="36">
        <v>14039.3</v>
      </c>
      <c r="F10" s="37">
        <v>0.99429999999999996</v>
      </c>
      <c r="G10" s="21"/>
    </row>
    <row r="11" spans="1:7" x14ac:dyDescent="0.35">
      <c r="A11" s="13"/>
      <c r="B11" s="41"/>
      <c r="C11" s="41"/>
      <c r="D11" s="15"/>
      <c r="E11" s="16"/>
      <c r="F11" s="17"/>
      <c r="G11" s="17"/>
    </row>
    <row r="12" spans="1:7" x14ac:dyDescent="0.35">
      <c r="A12" s="22" t="s">
        <v>160</v>
      </c>
      <c r="B12" s="43"/>
      <c r="C12" s="43"/>
      <c r="D12" s="23"/>
      <c r="E12" s="36">
        <v>14039.3</v>
      </c>
      <c r="F12" s="37">
        <v>0.99429999999999996</v>
      </c>
      <c r="G12" s="21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635.73</v>
      </c>
      <c r="F15" s="17">
        <v>4.4999999999999998E-2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635.73</v>
      </c>
      <c r="F16" s="37">
        <v>4.4999999999999998E-2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635.73</v>
      </c>
      <c r="F18" s="37">
        <v>4.4999999999999998E-2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0.1802407</v>
      </c>
      <c r="F19" s="17">
        <v>1.2E-5</v>
      </c>
      <c r="G19" s="17"/>
    </row>
    <row r="20" spans="1:7" x14ac:dyDescent="0.35">
      <c r="A20" s="13" t="s">
        <v>259</v>
      </c>
      <c r="B20" s="41"/>
      <c r="C20" s="41"/>
      <c r="D20" s="15"/>
      <c r="E20" s="28">
        <v>-554.9402407</v>
      </c>
      <c r="F20" s="29">
        <v>-3.9312E-2</v>
      </c>
      <c r="G20" s="17">
        <v>5.1742000000000003E-2</v>
      </c>
    </row>
    <row r="21" spans="1:7" x14ac:dyDescent="0.35">
      <c r="A21" s="38" t="s">
        <v>260</v>
      </c>
      <c r="B21" s="44"/>
      <c r="C21" s="44"/>
      <c r="D21" s="39"/>
      <c r="E21" s="24">
        <v>14120.27</v>
      </c>
      <c r="F21" s="25">
        <v>1</v>
      </c>
      <c r="G21" s="25"/>
    </row>
    <row r="26" spans="1:7" x14ac:dyDescent="0.35">
      <c r="A26" s="1" t="s">
        <v>263</v>
      </c>
    </row>
    <row r="27" spans="1:7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46022</v>
      </c>
      <c r="C30" s="49">
        <v>46052</v>
      </c>
    </row>
    <row r="31" spans="1:7" x14ac:dyDescent="0.35">
      <c r="A31" t="s">
        <v>752</v>
      </c>
      <c r="B31">
        <v>9.9868000000000006</v>
      </c>
      <c r="C31">
        <v>12.895300000000001</v>
      </c>
    </row>
    <row r="32" spans="1:7" x14ac:dyDescent="0.35">
      <c r="A32" t="s">
        <v>753</v>
      </c>
      <c r="B32">
        <v>9.9863999999999997</v>
      </c>
      <c r="C32">
        <v>12.8896</v>
      </c>
    </row>
    <row r="34" spans="1:4" x14ac:dyDescent="0.35">
      <c r="A34" t="s">
        <v>283</v>
      </c>
      <c r="B34" s="3" t="s">
        <v>146</v>
      </c>
    </row>
    <row r="35" spans="1:4" x14ac:dyDescent="0.35">
      <c r="A35" t="s">
        <v>284</v>
      </c>
      <c r="B35" s="3" t="s">
        <v>146</v>
      </c>
    </row>
    <row r="36" spans="1:4" ht="29" customHeight="1" x14ac:dyDescent="0.35">
      <c r="A36" s="47" t="s">
        <v>285</v>
      </c>
      <c r="B36" s="3" t="s">
        <v>146</v>
      </c>
    </row>
    <row r="37" spans="1:4" ht="29" customHeight="1" x14ac:dyDescent="0.35">
      <c r="A37" s="47" t="s">
        <v>286</v>
      </c>
      <c r="B37" s="3" t="s">
        <v>146</v>
      </c>
    </row>
    <row r="38" spans="1:4" ht="43.5" customHeight="1" x14ac:dyDescent="0.35">
      <c r="A38" s="47" t="s">
        <v>887</v>
      </c>
      <c r="B38" s="3" t="s">
        <v>146</v>
      </c>
    </row>
    <row r="39" spans="1:4" x14ac:dyDescent="0.35">
      <c r="B39" s="3"/>
    </row>
    <row r="40" spans="1:4" ht="29" customHeight="1" x14ac:dyDescent="0.35">
      <c r="A40" s="47" t="s">
        <v>888</v>
      </c>
      <c r="B40" s="3" t="s">
        <v>146</v>
      </c>
    </row>
    <row r="41" spans="1:4" ht="29" customHeight="1" x14ac:dyDescent="0.35">
      <c r="A41" s="47" t="s">
        <v>889</v>
      </c>
      <c r="B41" t="s">
        <v>146</v>
      </c>
    </row>
    <row r="42" spans="1:4" ht="29" customHeight="1" x14ac:dyDescent="0.35">
      <c r="A42" s="47" t="s">
        <v>890</v>
      </c>
      <c r="B42" s="3" t="s">
        <v>146</v>
      </c>
    </row>
    <row r="43" spans="1:4" ht="29" customHeight="1" x14ac:dyDescent="0.35">
      <c r="A43" s="47" t="s">
        <v>891</v>
      </c>
      <c r="B43" s="3" t="s">
        <v>146</v>
      </c>
    </row>
    <row r="45" spans="1:4" ht="70" customHeight="1" x14ac:dyDescent="0.35">
      <c r="A45" s="70" t="s">
        <v>303</v>
      </c>
      <c r="B45" s="70" t="s">
        <v>304</v>
      </c>
      <c r="C45" s="70" t="s">
        <v>4</v>
      </c>
      <c r="D45" s="70" t="s">
        <v>5</v>
      </c>
    </row>
    <row r="46" spans="1:4" ht="70" customHeight="1" x14ac:dyDescent="0.35">
      <c r="A46" s="70" t="s">
        <v>3187</v>
      </c>
      <c r="B46" s="70"/>
      <c r="C46" s="70"/>
      <c r="D46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G44"/>
  <sheetViews>
    <sheetView showGridLines="0" workbookViewId="0">
      <pane ySplit="4" topLeftCell="A5" activePane="bottomLeft" state="frozen"/>
      <selection activeCell="H1" sqref="H1:H1048576"/>
      <selection pane="bottomLeft" activeCell="H1" sqref="H1:H1048576"/>
    </sheetView>
  </sheetViews>
  <sheetFormatPr defaultRowHeight="14.5" x14ac:dyDescent="0.35"/>
  <cols>
    <col min="1" max="1" width="50.54296875" customWidth="1"/>
    <col min="2" max="2" width="22" bestFit="1" customWidth="1"/>
    <col min="3" max="3" width="26.7265625" customWidth="1"/>
    <col min="4" max="4" width="22" customWidth="1"/>
    <col min="5" max="5" width="16.453125" customWidth="1"/>
    <col min="6" max="6" width="22" customWidth="1"/>
    <col min="7" max="7" width="6.1796875" style="2" bestFit="1" customWidth="1"/>
    <col min="11" max="11" width="70.26953125" bestFit="1" customWidth="1"/>
    <col min="12" max="12" width="10.81640625" bestFit="1" customWidth="1"/>
    <col min="13" max="13" width="10.54296875" bestFit="1" customWidth="1"/>
    <col min="14" max="14" width="12" bestFit="1" customWidth="1"/>
    <col min="15" max="15" width="12.54296875" customWidth="1"/>
  </cols>
  <sheetData>
    <row r="1" spans="1:7" ht="36.75" customHeight="1" x14ac:dyDescent="0.35">
      <c r="A1" s="73" t="s">
        <v>3188</v>
      </c>
      <c r="B1" s="74"/>
      <c r="C1" s="74"/>
      <c r="D1" s="74"/>
      <c r="E1" s="74"/>
      <c r="F1" s="74"/>
      <c r="G1" s="75"/>
    </row>
    <row r="2" spans="1:7" ht="19.5" customHeight="1" x14ac:dyDescent="0.35">
      <c r="A2" s="73" t="s">
        <v>3189</v>
      </c>
      <c r="B2" s="74"/>
      <c r="C2" s="74"/>
      <c r="D2" s="74"/>
      <c r="E2" s="74"/>
      <c r="F2" s="74"/>
      <c r="G2" s="75"/>
    </row>
    <row r="4" spans="1:7" ht="48" customHeight="1" x14ac:dyDescent="0.35">
      <c r="A4" s="4" t="s">
        <v>138</v>
      </c>
      <c r="B4" s="4" t="s">
        <v>139</v>
      </c>
      <c r="C4" s="4" t="s">
        <v>140</v>
      </c>
      <c r="D4" s="5" t="s">
        <v>141</v>
      </c>
      <c r="E4" s="6" t="s">
        <v>142</v>
      </c>
      <c r="F4" s="6" t="s">
        <v>143</v>
      </c>
      <c r="G4" s="7" t="s">
        <v>144</v>
      </c>
    </row>
    <row r="5" spans="1:7" x14ac:dyDescent="0.35">
      <c r="A5" s="8"/>
      <c r="B5" s="40"/>
      <c r="C5" s="40"/>
      <c r="D5" s="9"/>
      <c r="E5" s="10"/>
      <c r="F5" s="11"/>
      <c r="G5" s="12"/>
    </row>
    <row r="6" spans="1:7" x14ac:dyDescent="0.35">
      <c r="A6" s="13"/>
      <c r="B6" s="41"/>
      <c r="C6" s="41"/>
      <c r="D6" s="15"/>
      <c r="E6" s="16"/>
      <c r="F6" s="17"/>
      <c r="G6" s="17"/>
    </row>
    <row r="7" spans="1:7" x14ac:dyDescent="0.35">
      <c r="A7" s="14" t="s">
        <v>145</v>
      </c>
      <c r="B7" s="41"/>
      <c r="C7" s="41"/>
      <c r="D7" s="15"/>
      <c r="E7" s="16" t="s">
        <v>146</v>
      </c>
      <c r="F7" s="17" t="s">
        <v>146</v>
      </c>
      <c r="G7" s="17"/>
    </row>
    <row r="8" spans="1:7" x14ac:dyDescent="0.35">
      <c r="A8" s="13"/>
      <c r="B8" s="41"/>
      <c r="C8" s="41"/>
      <c r="D8" s="15"/>
      <c r="E8" s="16"/>
      <c r="F8" s="17"/>
      <c r="G8" s="17"/>
    </row>
    <row r="9" spans="1:7" x14ac:dyDescent="0.35">
      <c r="A9" s="14" t="s">
        <v>2379</v>
      </c>
      <c r="B9" s="42"/>
      <c r="C9" s="42"/>
      <c r="D9" s="18"/>
      <c r="E9" s="26"/>
      <c r="F9" s="21"/>
      <c r="G9" s="17"/>
    </row>
    <row r="10" spans="1:7" x14ac:dyDescent="0.35">
      <c r="A10" s="14" t="s">
        <v>3190</v>
      </c>
      <c r="B10" s="42"/>
      <c r="C10" s="42"/>
      <c r="D10" s="18"/>
      <c r="E10" s="26"/>
      <c r="F10" s="21"/>
      <c r="G10" s="17"/>
    </row>
    <row r="11" spans="1:7" x14ac:dyDescent="0.35">
      <c r="A11" s="63" t="s">
        <v>2384</v>
      </c>
      <c r="B11" s="67" t="s">
        <v>2385</v>
      </c>
      <c r="C11" s="42"/>
      <c r="D11" s="65">
        <v>54559.282800000001</v>
      </c>
      <c r="E11" s="26">
        <v>181841.72482979999</v>
      </c>
      <c r="F11" s="21">
        <f>E11/E21</f>
        <v>0.98805625428297184</v>
      </c>
      <c r="G11" s="17"/>
    </row>
    <row r="12" spans="1:7" x14ac:dyDescent="0.35">
      <c r="A12" s="22" t="s">
        <v>160</v>
      </c>
      <c r="B12" s="43"/>
      <c r="C12" s="43"/>
      <c r="D12" s="23"/>
      <c r="E12" s="36">
        <f>SUM(E11)</f>
        <v>181841.72482979999</v>
      </c>
      <c r="F12" s="21">
        <f>F11</f>
        <v>0.98805625428297184</v>
      </c>
      <c r="G12" s="17"/>
    </row>
    <row r="13" spans="1:7" x14ac:dyDescent="0.35">
      <c r="A13" s="13"/>
      <c r="B13" s="41"/>
      <c r="C13" s="41"/>
      <c r="D13" s="15"/>
      <c r="E13" s="16"/>
      <c r="F13" s="17"/>
      <c r="G13" s="17"/>
    </row>
    <row r="14" spans="1:7" x14ac:dyDescent="0.35">
      <c r="A14" s="14" t="s">
        <v>255</v>
      </c>
      <c r="B14" s="41"/>
      <c r="C14" s="41"/>
      <c r="D14" s="15"/>
      <c r="E14" s="16"/>
      <c r="F14" s="17"/>
      <c r="G14" s="17"/>
    </row>
    <row r="15" spans="1:7" x14ac:dyDescent="0.35">
      <c r="A15" s="13" t="s">
        <v>257</v>
      </c>
      <c r="B15" s="41"/>
      <c r="C15" s="41"/>
      <c r="D15" s="15"/>
      <c r="E15" s="16">
        <v>51.98</v>
      </c>
      <c r="F15" s="17">
        <v>2.8200000000000002E-4</v>
      </c>
      <c r="G15" s="17">
        <v>5.1742000000000003E-2</v>
      </c>
    </row>
    <row r="16" spans="1:7" x14ac:dyDescent="0.35">
      <c r="A16" s="14" t="s">
        <v>149</v>
      </c>
      <c r="B16" s="42"/>
      <c r="C16" s="42"/>
      <c r="D16" s="18"/>
      <c r="E16" s="36">
        <v>51.98</v>
      </c>
      <c r="F16" s="37">
        <v>2.8200000000000002E-4</v>
      </c>
      <c r="G16" s="21"/>
    </row>
    <row r="17" spans="1:7" x14ac:dyDescent="0.35">
      <c r="A17" s="13"/>
      <c r="B17" s="41"/>
      <c r="C17" s="41"/>
      <c r="D17" s="15"/>
      <c r="E17" s="16"/>
      <c r="F17" s="17"/>
      <c r="G17" s="17"/>
    </row>
    <row r="18" spans="1:7" x14ac:dyDescent="0.35">
      <c r="A18" s="22" t="s">
        <v>160</v>
      </c>
      <c r="B18" s="43"/>
      <c r="C18" s="43"/>
      <c r="D18" s="23"/>
      <c r="E18" s="36">
        <v>51.98</v>
      </c>
      <c r="F18" s="37">
        <v>2.8200000000000002E-4</v>
      </c>
      <c r="G18" s="21"/>
    </row>
    <row r="19" spans="1:7" x14ac:dyDescent="0.35">
      <c r="A19" s="13" t="s">
        <v>258</v>
      </c>
      <c r="B19" s="41"/>
      <c r="C19" s="41"/>
      <c r="D19" s="15"/>
      <c r="E19" s="16">
        <v>1.47367E-2</v>
      </c>
      <c r="F19" s="17">
        <v>0</v>
      </c>
      <c r="G19" s="17"/>
    </row>
    <row r="20" spans="1:7" x14ac:dyDescent="0.35">
      <c r="A20" s="13" t="s">
        <v>259</v>
      </c>
      <c r="B20" s="41"/>
      <c r="C20" s="41"/>
      <c r="D20" s="15"/>
      <c r="E20" s="16">
        <v>2146.1352633000001</v>
      </c>
      <c r="F20" s="17">
        <v>1.1599999999999999E-2</v>
      </c>
      <c r="G20" s="17">
        <v>5.1741000000000002E-2</v>
      </c>
    </row>
    <row r="21" spans="1:7" x14ac:dyDescent="0.35">
      <c r="A21" s="38" t="s">
        <v>260</v>
      </c>
      <c r="B21" s="44"/>
      <c r="C21" s="44"/>
      <c r="D21" s="39"/>
      <c r="E21" s="24">
        <v>184039.85</v>
      </c>
      <c r="F21" s="25">
        <v>1</v>
      </c>
      <c r="G21" s="25"/>
    </row>
    <row r="24" spans="1:7" x14ac:dyDescent="0.35">
      <c r="E24" s="64"/>
    </row>
    <row r="26" spans="1:7" x14ac:dyDescent="0.35">
      <c r="A26" s="1" t="s">
        <v>263</v>
      </c>
    </row>
    <row r="27" spans="1:7" x14ac:dyDescent="0.35">
      <c r="A27" s="47" t="s">
        <v>264</v>
      </c>
      <c r="B27" s="3" t="s">
        <v>146</v>
      </c>
    </row>
    <row r="28" spans="1:7" x14ac:dyDescent="0.35">
      <c r="A28" t="s">
        <v>265</v>
      </c>
    </row>
    <row r="29" spans="1:7" x14ac:dyDescent="0.35">
      <c r="A29" t="s">
        <v>266</v>
      </c>
      <c r="B29" t="s">
        <v>267</v>
      </c>
      <c r="C29" t="s">
        <v>267</v>
      </c>
    </row>
    <row r="30" spans="1:7" x14ac:dyDescent="0.35">
      <c r="B30" s="49">
        <v>46022</v>
      </c>
      <c r="C30" s="49">
        <v>46052</v>
      </c>
    </row>
    <row r="31" spans="1:7" x14ac:dyDescent="0.35">
      <c r="A31" t="s">
        <v>753</v>
      </c>
      <c r="B31">
        <v>227.84180000000001</v>
      </c>
      <c r="C31">
        <v>329.0754</v>
      </c>
    </row>
    <row r="32" spans="1:7" x14ac:dyDescent="0.35">
      <c r="A32" t="s">
        <v>283</v>
      </c>
      <c r="B32" s="3" t="s">
        <v>146</v>
      </c>
    </row>
    <row r="33" spans="1:4" x14ac:dyDescent="0.35">
      <c r="A33" t="s">
        <v>284</v>
      </c>
      <c r="B33" s="3" t="s">
        <v>146</v>
      </c>
    </row>
    <row r="34" spans="1:4" ht="29" customHeight="1" x14ac:dyDescent="0.35">
      <c r="A34" s="47" t="s">
        <v>285</v>
      </c>
      <c r="B34" s="3" t="s">
        <v>146</v>
      </c>
    </row>
    <row r="35" spans="1:4" ht="29" customHeight="1" x14ac:dyDescent="0.35">
      <c r="A35" s="47" t="s">
        <v>286</v>
      </c>
      <c r="B35" s="3" t="s">
        <v>146</v>
      </c>
    </row>
    <row r="36" spans="1:4" ht="43.5" customHeight="1" x14ac:dyDescent="0.35">
      <c r="A36" s="47" t="s">
        <v>288</v>
      </c>
      <c r="B36" s="3" t="s">
        <v>146</v>
      </c>
    </row>
    <row r="37" spans="1:4" x14ac:dyDescent="0.35">
      <c r="B37" s="3"/>
    </row>
    <row r="38" spans="1:4" ht="29" customHeight="1" x14ac:dyDescent="0.35">
      <c r="A38" s="47" t="s">
        <v>289</v>
      </c>
      <c r="B38" s="3" t="s">
        <v>146</v>
      </c>
    </row>
    <row r="39" spans="1:4" ht="29" customHeight="1" x14ac:dyDescent="0.35">
      <c r="A39" s="47" t="s">
        <v>290</v>
      </c>
      <c r="B39">
        <v>159303.19</v>
      </c>
    </row>
    <row r="40" spans="1:4" ht="29" customHeight="1" x14ac:dyDescent="0.35">
      <c r="A40" s="47" t="s">
        <v>291</v>
      </c>
      <c r="B40" s="3" t="s">
        <v>146</v>
      </c>
    </row>
    <row r="41" spans="1:4" ht="29" customHeight="1" x14ac:dyDescent="0.35">
      <c r="A41" s="47" t="s">
        <v>292</v>
      </c>
      <c r="B41" s="3" t="s">
        <v>146</v>
      </c>
    </row>
    <row r="43" spans="1:4" ht="70" customHeight="1" x14ac:dyDescent="0.35">
      <c r="A43" s="70" t="s">
        <v>303</v>
      </c>
      <c r="B43" s="70" t="s">
        <v>304</v>
      </c>
      <c r="C43" s="70" t="s">
        <v>4</v>
      </c>
      <c r="D43" s="70" t="s">
        <v>5</v>
      </c>
    </row>
    <row r="44" spans="1:4" ht="70" customHeight="1" x14ac:dyDescent="0.35">
      <c r="A44" s="70" t="s">
        <v>3191</v>
      </c>
      <c r="B44" s="70"/>
      <c r="C44" s="70" t="s">
        <v>135</v>
      </c>
      <c r="D44" s="70"/>
    </row>
  </sheetData>
  <mergeCells count="2">
    <mergeCell ref="A2:G2"/>
    <mergeCell ref="A1:G1"/>
  </mergeCells>
  <pageMargins left="0.7" right="0.7" top="0.75" bottom="0.75" header="0.3" footer="0.3"/>
  <pageSetup orientation="portrait" horizontalDpi="300" verticalDpi="300"/>
  <headerFooter>
    <oddHeader>&amp;L&amp;"Arial"&amp;1 &amp;K0078D7INTERNAL#</oddHeader>
  </headerFooter>
  <drawing r:id="rId1"/>
</worksheet>
</file>

<file path=docMetadata/LabelInfo.xml><?xml version="1.0" encoding="utf-8"?>
<clbl:labelList xmlns:clbl="http://schemas.microsoft.com/office/2020/mipLabelMetadata">
  <clbl:label id="{fae7b159-da8a-4f43-b4ed-ba6115f6e9fb}" enabled="1" method="Standard" siteId="{76fd78b2-83b7-4fc7-b5ba-5f59f5beb8c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69</vt:i4>
      </vt:variant>
    </vt:vector>
  </HeadingPairs>
  <TitlesOfParts>
    <vt:vector size="69" baseType="lpstr">
      <vt:lpstr>Index</vt:lpstr>
      <vt:lpstr>EDACBF</vt:lpstr>
      <vt:lpstr>EDBE30</vt:lpstr>
      <vt:lpstr>EDBE31</vt:lpstr>
      <vt:lpstr>EDBE32</vt:lpstr>
      <vt:lpstr>EDBE33</vt:lpstr>
      <vt:lpstr>EDBPDF</vt:lpstr>
      <vt:lpstr>EDCF27</vt:lpstr>
      <vt:lpstr>EDCF28</vt:lpstr>
      <vt:lpstr>EDCG27</vt:lpstr>
      <vt:lpstr>EDCG28</vt:lpstr>
      <vt:lpstr>EDCG37</vt:lpstr>
      <vt:lpstr>EDCSDF</vt:lpstr>
      <vt:lpstr>EDFF30</vt:lpstr>
      <vt:lpstr>EDFF31</vt:lpstr>
      <vt:lpstr>EDFF32</vt:lpstr>
      <vt:lpstr>EDFF33</vt:lpstr>
      <vt:lpstr>EDGSEC</vt:lpstr>
      <vt:lpstr>EDLDUF</vt:lpstr>
      <vt:lpstr>EDN1LE</vt:lpstr>
      <vt:lpstr>EDNP27</vt:lpstr>
      <vt:lpstr>EDNPSF</vt:lpstr>
      <vt:lpstr>EDONTF</vt:lpstr>
      <vt:lpstr>EEALVF</vt:lpstr>
      <vt:lpstr>EEARBF</vt:lpstr>
      <vt:lpstr>EEARFD</vt:lpstr>
      <vt:lpstr>EEBCIE</vt:lpstr>
      <vt:lpstr>EEBCYF</vt:lpstr>
      <vt:lpstr>EEBIEF</vt:lpstr>
      <vt:lpstr>EECONF</vt:lpstr>
      <vt:lpstr>EEDGEF</vt:lpstr>
      <vt:lpstr>EEECRF</vt:lpstr>
      <vt:lpstr>EEELSS</vt:lpstr>
      <vt:lpstr>EEEQTF</vt:lpstr>
      <vt:lpstr>EEESCF</vt:lpstr>
      <vt:lpstr>EEESSF</vt:lpstr>
      <vt:lpstr>EEFOCF</vt:lpstr>
      <vt:lpstr>EEIAFF</vt:lpstr>
      <vt:lpstr>EEIF30</vt:lpstr>
      <vt:lpstr>EEIF50</vt:lpstr>
      <vt:lpstr>EELMFE</vt:lpstr>
      <vt:lpstr>EELMIF</vt:lpstr>
      <vt:lpstr>EEM150</vt:lpstr>
      <vt:lpstr>EEMAAF</vt:lpstr>
      <vt:lpstr>EEMCPF</vt:lpstr>
      <vt:lpstr>EEMMQE</vt:lpstr>
      <vt:lpstr>EEMMQI</vt:lpstr>
      <vt:lpstr>EEMOF1</vt:lpstr>
      <vt:lpstr>EEMOFF</vt:lpstr>
      <vt:lpstr>EEN50E</vt:lpstr>
      <vt:lpstr>EENBEF</vt:lpstr>
      <vt:lpstr>EENN50</vt:lpstr>
      <vt:lpstr>EEPRUA</vt:lpstr>
      <vt:lpstr>EES250</vt:lpstr>
      <vt:lpstr>EES30E</vt:lpstr>
      <vt:lpstr>EESMCF</vt:lpstr>
      <vt:lpstr>EETECF</vt:lpstr>
      <vt:lpstr>EGOLDE</vt:lpstr>
      <vt:lpstr>EGSFOF</vt:lpstr>
      <vt:lpstr>ELLIQF</vt:lpstr>
      <vt:lpstr>EOASEF</vt:lpstr>
      <vt:lpstr>EOCHIF</vt:lpstr>
      <vt:lpstr>EODWHF</vt:lpstr>
      <vt:lpstr>EOEDOF</vt:lpstr>
      <vt:lpstr>EOEMOP</vt:lpstr>
      <vt:lpstr>EOUSEF</vt:lpstr>
      <vt:lpstr>EOUSTF</vt:lpstr>
      <vt:lpstr>ESEFOF</vt:lpstr>
      <vt:lpstr>ESLVRE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Harishchandra Lagali, Nagraj</dc:creator>
  <cp:lastModifiedBy>Sudesh Ummadi - AMC</cp:lastModifiedBy>
  <dcterms:created xsi:type="dcterms:W3CDTF">2015-12-17T12:36:10Z</dcterms:created>
  <dcterms:modified xsi:type="dcterms:W3CDTF">2026-02-10T04:55:01Z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0e60c6-cef6-4cc0-a98d-364c7249d74b_Enabled">
    <vt:lpwstr>true</vt:lpwstr>
  </property>
  <property fmtid="{D5CDD505-2E9C-101B-9397-08002B2CF9AE}" pid="3" name="MSIP_Label_840e60c6-cef6-4cc0-a98d-364c7249d74b_SetDate">
    <vt:lpwstr>2022-12-30T16:56:26Z</vt:lpwstr>
  </property>
  <property fmtid="{D5CDD505-2E9C-101B-9397-08002B2CF9AE}" pid="4" name="MSIP_Label_840e60c6-cef6-4cc0-a98d-364c7249d74b_Method">
    <vt:lpwstr>Privileged</vt:lpwstr>
  </property>
  <property fmtid="{D5CDD505-2E9C-101B-9397-08002B2CF9AE}" pid="5" name="MSIP_Label_840e60c6-cef6-4cc0-a98d-364c7249d74b_Name">
    <vt:lpwstr>840e60c6-cef6-4cc0-a98d-364c7249d74b</vt:lpwstr>
  </property>
  <property fmtid="{D5CDD505-2E9C-101B-9397-08002B2CF9AE}" pid="6" name="MSIP_Label_840e60c6-cef6-4cc0-a98d-364c7249d74b_SiteId">
    <vt:lpwstr>b44900f1-2def-4c3b-9ec6-9020d604e19e</vt:lpwstr>
  </property>
  <property fmtid="{D5CDD505-2E9C-101B-9397-08002B2CF9AE}" pid="7" name="MSIP_Label_840e60c6-cef6-4cc0-a98d-364c7249d74b_ActionId">
    <vt:lpwstr>b468514f-ab85-4530-83ef-dc29102cc69a</vt:lpwstr>
  </property>
  <property fmtid="{D5CDD505-2E9C-101B-9397-08002B2CF9AE}" pid="8" name="MSIP_Label_840e60c6-cef6-4cc0-a98d-364c7249d74b_ContentBits">
    <vt:lpwstr>1</vt:lpwstr>
  </property>
</Properties>
</file>