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541E7F54-061E-44EE-AF05-BF3663495F35}" xr6:coauthVersionLast="47" xr6:coauthVersionMax="47" xr10:uidLastSave="{00000000-0000-0000-0000-000000000000}"/>
  <bookViews>
    <workbookView xWindow="-108" yWindow="-108" windowWidth="41496" windowHeight="16896" xr2:uid="{85BC6E85-4086-4F92-B35B-316ABEE6CE95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F81" i="1"/>
  <c r="G77" i="1"/>
  <c r="F77" i="1"/>
</calcChain>
</file>

<file path=xl/sharedStrings.xml><?xml version="1.0" encoding="utf-8"?>
<sst xmlns="http://schemas.openxmlformats.org/spreadsheetml/2006/main" count="319" uniqueCount="280">
  <si>
    <t>IDF300</t>
  </si>
  <si>
    <t>INDEX</t>
  </si>
  <si>
    <t>Portfolio Statement as on February 28,2025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</si>
  <si>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</si>
  <si>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</si>
  <si>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</si>
  <si>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</si>
  <si>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</si>
  <si>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</si>
  <si>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</si>
  <si>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</si>
  <si>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</si>
  <si>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</si>
  <si>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</si>
  <si>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</si>
  <si>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</si>
  <si>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</si>
  <si>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</si>
  <si>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</si>
  <si>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</si>
  <si>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</si>
  <si>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ASPH02</t>
  </si>
  <si>
    <t>AstraZeneca Pharma India Limited</t>
  </si>
  <si>
    <t>INE203A01020</t>
  </si>
  <si>
    <t>Pharmaceuticals &amp; Biotechnology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</si>
  <si>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</si>
  <si>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</si>
  <si>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</si>
  <si>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</si>
  <si>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</si>
  <si>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</si>
  <si>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</si>
  <si>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IBCL05</t>
  </si>
  <si>
    <t>ICICI Bank Limited</t>
  </si>
  <si>
    <t>INE090A01021</t>
  </si>
  <si>
    <t>Banks</t>
  </si>
  <si>
    <t>BTVL03</t>
  </si>
  <si>
    <t>Bharti Airtel Limited</t>
  </si>
  <si>
    <t>IN9397D01014</t>
  </si>
  <si>
    <t>Telecom - Services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</si>
  <si>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</si>
  <si>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</si>
  <si>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</si>
  <si>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</si>
  <si>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</si>
  <si>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</si>
  <si>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</si>
  <si>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IT - Software</t>
  </si>
  <si>
    <t>VNBL03</t>
  </si>
  <si>
    <t>Varun Beverages Limited</t>
  </si>
  <si>
    <t>INE200M01039</t>
  </si>
  <si>
    <t>Beverages</t>
  </si>
  <si>
    <t>ZLSP01</t>
  </si>
  <si>
    <t>Zinka Logistics Solution Limited</t>
  </si>
  <si>
    <t>INE0UIZ01018</t>
  </si>
  <si>
    <t>Transport Services</t>
  </si>
  <si>
    <t>JUIL01</t>
  </si>
  <si>
    <t>Jubilant Ingrevia Limited</t>
  </si>
  <si>
    <t>INE0BY001018</t>
  </si>
  <si>
    <t>Chemicals &amp; Petrochemicals</t>
  </si>
  <si>
    <t>IEIN01</t>
  </si>
  <si>
    <t>Info Edge (India) Limited</t>
  </si>
  <si>
    <t>INE663F01024</t>
  </si>
  <si>
    <t>SYNI01</t>
  </si>
  <si>
    <t>Syngene International Limited</t>
  </si>
  <si>
    <t>INE398R01022</t>
  </si>
  <si>
    <t>Healthcare Services</t>
  </si>
  <si>
    <t>AMBE01</t>
  </si>
  <si>
    <t>Amber Enterprises India Limited</t>
  </si>
  <si>
    <t>INE371P01015</t>
  </si>
  <si>
    <t>Consumer Durables</t>
  </si>
  <si>
    <t>LUPL02</t>
  </si>
  <si>
    <t>Lupin Limited</t>
  </si>
  <si>
    <t>INE326A01037</t>
  </si>
  <si>
    <t>MEDP01</t>
  </si>
  <si>
    <t>MedPlus Health Services Limited</t>
  </si>
  <si>
    <t>INE804L01022</t>
  </si>
  <si>
    <t>STOV02</t>
  </si>
  <si>
    <t>Stove Kraft Limited</t>
  </si>
  <si>
    <t>INE00IN01015</t>
  </si>
  <si>
    <t>GLPH03</t>
  </si>
  <si>
    <t>Glenmark Pharmaceuticals Limited</t>
  </si>
  <si>
    <t>INE935A01035</t>
  </si>
  <si>
    <t>ZAGL01</t>
  </si>
  <si>
    <t>Zaggle Prepaid Ocean Services Limited</t>
  </si>
  <si>
    <t>INE07K301024</t>
  </si>
  <si>
    <t>IT - Services</t>
  </si>
  <si>
    <t>NSDL02</t>
  </si>
  <si>
    <t>Protean eGov Technologies Limited</t>
  </si>
  <si>
    <t>INE004A01022</t>
  </si>
  <si>
    <t>AFFI02</t>
  </si>
  <si>
    <t>Affle (India) Limited</t>
  </si>
  <si>
    <t>INE00WC01027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</si>
  <si>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</si>
  <si>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</si>
  <si>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</si>
  <si>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</si>
  <si>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</si>
  <si>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</si>
  <si>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</si>
  <si>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</si>
  <si>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</si>
  <si>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</si>
  <si>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</si>
  <si>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</si>
  <si>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</si>
  <si>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</si>
  <si>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</si>
  <si>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</si>
  <si>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ETHO01</t>
  </si>
  <si>
    <t>ETHOS LTD.</t>
  </si>
  <si>
    <t>INE04TZ01018</t>
  </si>
  <si>
    <t>VORC03</t>
  </si>
  <si>
    <t>Jubilant Pharmova Limited</t>
  </si>
  <si>
    <t>INE700A01033</t>
  </si>
  <si>
    <t>DEVY01</t>
  </si>
  <si>
    <t>Devyani International Limited</t>
  </si>
  <si>
    <t>INE872J01023</t>
  </si>
  <si>
    <t>Leisure Services</t>
  </si>
  <si>
    <t>PRAJ02</t>
  </si>
  <si>
    <t>Praj Industries Limited</t>
  </si>
  <si>
    <t>INE074A01025</t>
  </si>
  <si>
    <t>Industrial Manufacturing</t>
  </si>
  <si>
    <t>SONB01</t>
  </si>
  <si>
    <t>Sona BLW Precision Forgings Limited</t>
  </si>
  <si>
    <t>INE073K01018</t>
  </si>
  <si>
    <t>Auto Components</t>
  </si>
  <si>
    <t>SMCL03</t>
  </si>
  <si>
    <t>Shilpa Medicare Limited</t>
  </si>
  <si>
    <t>INE790G01031</t>
  </si>
  <si>
    <t>ADHL01</t>
  </si>
  <si>
    <t>Aster DM Healthcare Limited</t>
  </si>
  <si>
    <t>INE914M01019</t>
  </si>
  <si>
    <t>PRUD01</t>
  </si>
  <si>
    <t>Prudent Corporate Advisory Services Limited</t>
  </si>
  <si>
    <t>INE00F201020</t>
  </si>
  <si>
    <t>Capital Markets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</si>
  <si>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</si>
  <si>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</si>
  <si>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</si>
  <si>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</si>
  <si>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</si>
  <si>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</si>
  <si>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</si>
  <si>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VEDF01</t>
  </si>
  <si>
    <t>Vedant Fashions Limited</t>
  </si>
  <si>
    <t>INE825V01034</t>
  </si>
  <si>
    <t>BIRM01</t>
  </si>
  <si>
    <t>3M India Limited</t>
  </si>
  <si>
    <t>INE470A01017</t>
  </si>
  <si>
    <t>Diversified</t>
  </si>
  <si>
    <t>MAXI02</t>
  </si>
  <si>
    <t>Max Financial Services Limited</t>
  </si>
  <si>
    <t>INE180A01020</t>
  </si>
  <si>
    <t>Insurance</t>
  </si>
  <si>
    <t>GPIS03</t>
  </si>
  <si>
    <t>Godawari Power And Ispat limited</t>
  </si>
  <si>
    <t>INE177H01039</t>
  </si>
  <si>
    <t>Industrial Products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</si>
  <si>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</si>
  <si>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</si>
  <si>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</si>
  <si>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</si>
  <si>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</si>
  <si>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</si>
  <si>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</si>
  <si>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</si>
  <si>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BALN01</t>
  </si>
  <si>
    <t>Bajaj Auto Limited</t>
  </si>
  <si>
    <t>INE917I01010</t>
  </si>
  <si>
    <t>THAN01</t>
  </si>
  <si>
    <t>Thangamayil Jewellery Limited</t>
  </si>
  <si>
    <t>INE085J01014</t>
  </si>
  <si>
    <t>KRNH01</t>
  </si>
  <si>
    <t>KRN Heat Exchanger And Refrigeration Limited</t>
  </si>
  <si>
    <t>INE0Q3J01015</t>
  </si>
  <si>
    <t>SKDL01</t>
  </si>
  <si>
    <t>Suraksha Diagnostic Limited</t>
  </si>
  <si>
    <t>INE877V01027</t>
  </si>
  <si>
    <t>ILOM01</t>
  </si>
  <si>
    <t>ICICI Lombard General Insurance Company Limited</t>
  </si>
  <si>
    <t>INE765G01017</t>
  </si>
  <si>
    <t>GRCO02</t>
  </si>
  <si>
    <t>Saregama India Limited</t>
  </si>
  <si>
    <t>INE979A01025</t>
  </si>
  <si>
    <t>Entertainment</t>
  </si>
  <si>
    <t>CENT02</t>
  </si>
  <si>
    <t>Aditya Birla Real Estate Limited</t>
  </si>
  <si>
    <t>INE055A01016</t>
  </si>
  <si>
    <t>Paper, Forest &amp; Jute Products</t>
  </si>
  <si>
    <t>POWM01</t>
  </si>
  <si>
    <t>Power Mech Projects Limited</t>
  </si>
  <si>
    <t>INE211R01019</t>
  </si>
  <si>
    <t>Construction</t>
  </si>
  <si>
    <t>GUAM02</t>
  </si>
  <si>
    <t>Ambuja Cements Limited</t>
  </si>
  <si>
    <t>INE079A01024</t>
  </si>
  <si>
    <t>TEGA01</t>
  </si>
  <si>
    <t>Tega Industries Limited</t>
  </si>
  <si>
    <t>INE011K01018</t>
  </si>
  <si>
    <t>TLNR01</t>
  </si>
  <si>
    <t>Tilaknagar Industries Limited</t>
  </si>
  <si>
    <t>INE133E01013</t>
  </si>
  <si>
    <t>RASH01</t>
  </si>
  <si>
    <t>Rashi Peripherals Limited</t>
  </si>
  <si>
    <t>INE0J1F01024</t>
  </si>
  <si>
    <t>IT - Hardware</t>
  </si>
  <si>
    <t>VCBL01</t>
  </si>
  <si>
    <t>Vintage Coffee And Beverages Limited</t>
  </si>
  <si>
    <t>INE498Q01014</t>
  </si>
  <si>
    <t>Commercial Services &amp; Supplies</t>
  </si>
  <si>
    <t>ADTL01</t>
  </si>
  <si>
    <t>Adani Energy Solutions Limited</t>
  </si>
  <si>
    <t>INE931S01010</t>
  </si>
  <si>
    <t>Power</t>
  </si>
  <si>
    <t>ALLI02</t>
  </si>
  <si>
    <t>GE Vernova T&amp;D India Limited</t>
  </si>
  <si>
    <t>INE200A01026</t>
  </si>
  <si>
    <t>KELV01</t>
  </si>
  <si>
    <t>Whirlpool of India Limited</t>
  </si>
  <si>
    <t>INE716A01013</t>
  </si>
  <si>
    <t>ELMA01</t>
  </si>
  <si>
    <t>Electronics Mart India Limited</t>
  </si>
  <si>
    <t>INE02YR01019</t>
  </si>
  <si>
    <t>E2EN01</t>
  </si>
  <si>
    <t>E2E Networks Limited</t>
  </si>
  <si>
    <t>INE255Z01019</t>
  </si>
  <si>
    <t>BHEL02</t>
  </si>
  <si>
    <t>Bharat Electronics Limited</t>
  </si>
  <si>
    <t>INE263A01024</t>
  </si>
  <si>
    <t>Aerospace &amp; Defense</t>
  </si>
  <si>
    <t>OPIN01</t>
  </si>
  <si>
    <t>Optiemus Infracom Ltd</t>
  </si>
  <si>
    <t>INE350C01017</t>
  </si>
  <si>
    <t>Telecom - Equipment &amp; Accessories</t>
  </si>
  <si>
    <t>WABT01</t>
  </si>
  <si>
    <t>ZF Commercial Vehicle Control Systems India Limited</t>
  </si>
  <si>
    <t>INE342J01019</t>
  </si>
  <si>
    <t>TLFH01</t>
  </si>
  <si>
    <t>Tube Investments of India Limited</t>
  </si>
  <si>
    <t>INE974X01010</t>
  </si>
  <si>
    <t>HMTP01</t>
  </si>
  <si>
    <t>Happiest Minds Technologies Limited</t>
  </si>
  <si>
    <t>INE419U01012</t>
  </si>
  <si>
    <t>YHTC01</t>
  </si>
  <si>
    <t>Yatharth Hospital And Trauma Care Services Limited</t>
  </si>
  <si>
    <t>INE0JO301016</t>
  </si>
  <si>
    <t>CMAC02</t>
  </si>
  <si>
    <t>Centum Electronics Limited</t>
  </si>
  <si>
    <t>INE320B01020</t>
  </si>
  <si>
    <t>STHA01</t>
  </si>
  <si>
    <t>Sanathan Textiles Limited</t>
  </si>
  <si>
    <t>INE0JPD01013</t>
  </si>
  <si>
    <t>Textiles &amp; Apparels</t>
  </si>
  <si>
    <t>Subtotal</t>
  </si>
  <si>
    <t>(b) UNLISTED</t>
  </si>
  <si>
    <t>SECH04</t>
  </si>
  <si>
    <t>UPL Limited **</t>
  </si>
  <si>
    <t>IN9628A01018</t>
  </si>
  <si>
    <t>Fertilizers &amp; Agrochemicals</t>
  </si>
  <si>
    <t>THAN01RF</t>
  </si>
  <si>
    <t>Thangamayil Jewellery Limited **</t>
  </si>
  <si>
    <t>INE085J20014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</si>
  <si>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</si>
  <si>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</si>
  <si>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</si>
  <si>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</si>
  <si>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</si>
  <si>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</si>
  <si>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</si>
  <si>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</si>
  <si>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</si>
  <si>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</si>
  <si>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</si>
  <si>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</si>
  <si>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</si>
  <si>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^^ Thangamayil Jewellery Limited is unlisted as on 28th Feb 2025 on account of rights offer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</si>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</sst>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4AC6F-EB21-4A8D-8704-56CD26166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02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571500</xdr:colOff>
      <xdr:row>113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8C3C2-34B8-4735-84BD-EEE6937CE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6802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85C7-513F-4AA2-818E-A3739F7F4D25}">
  <sheetPr codeName="Sheet59">
    <outlinePr summaryBelow="0"/>
  </sheetPr>
  <dimension ref="A1:H102"/>
  <sheetViews>
    <sheetView tabSelected="1" topLeftCell="A69" workbookViewId="0">
      <selection activeCell="G87" sqref="G87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2235374</v>
      </c>
      <c r="F8" s="18">
        <v>4964.7700000000004</v>
      </c>
      <c r="G8" s="19">
        <v>3.9600000000000003E-2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52479</v>
      </c>
      <c r="F9" s="18">
        <v>4476.62</v>
      </c>
      <c r="G9" s="19">
        <v>3.5700000000000003E-2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66556</v>
      </c>
      <c r="F10" s="18">
        <v>4458.3500000000004</v>
      </c>
      <c r="G10" s="19">
        <v>3.5499999999999997E-2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614847</v>
      </c>
      <c r="F11" s="18">
        <v>4395.8500000000004</v>
      </c>
      <c r="G11" s="19">
        <v>3.5000000000000003E-2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291930</v>
      </c>
      <c r="F12" s="18">
        <v>4089.21</v>
      </c>
      <c r="G12" s="19">
        <v>3.2599999999999997E-2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319322</v>
      </c>
      <c r="F13" s="18">
        <v>3844.96</v>
      </c>
      <c r="G13" s="19">
        <v>3.0599999999999999E-2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335534</v>
      </c>
      <c r="F14" s="18">
        <v>3743.89</v>
      </c>
      <c r="G14" s="19">
        <v>2.98E-2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139129</v>
      </c>
      <c r="F15" s="18">
        <v>3596.62</v>
      </c>
      <c r="G15" s="19">
        <v>2.87E-2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47690</v>
      </c>
      <c r="F16" s="18">
        <v>3511.01</v>
      </c>
      <c r="G16" s="19">
        <v>2.8000000000000001E-2</v>
      </c>
      <c r="H16" s="20"/>
    </row>
    <row r="17" spans="1:8" ht="12.9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787203</v>
      </c>
      <c r="F17" s="18">
        <v>3432.6</v>
      </c>
      <c r="G17" s="19">
        <v>2.7400000000000001E-2</v>
      </c>
      <c r="H17" s="20"/>
    </row>
    <row r="18" spans="1:8" ht="12.9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668018</v>
      </c>
      <c r="F18" s="18">
        <v>2823.71</v>
      </c>
      <c r="G18" s="19">
        <v>2.2499999999999999E-2</v>
      </c>
      <c r="H18" s="20"/>
    </row>
    <row r="19" spans="1:8" ht="12.9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453079</v>
      </c>
      <c r="F19" s="18">
        <v>2791.87</v>
      </c>
      <c r="G19" s="19">
        <v>2.2200000000000001E-2</v>
      </c>
      <c r="H19" s="20"/>
    </row>
    <row r="20" spans="1:8" ht="12.9" customHeight="1">
      <c r="A20" s="15" t="s">
        <v>60</v>
      </c>
      <c r="B20" s="16" t="s">
        <v>61</v>
      </c>
      <c r="C20" s="12" t="s">
        <v>62</v>
      </c>
      <c r="D20" s="13" t="s">
        <v>16</v>
      </c>
      <c r="E20" s="17">
        <v>38437</v>
      </c>
      <c r="F20" s="18">
        <v>2687.76</v>
      </c>
      <c r="G20" s="19">
        <v>2.1399999999999999E-2</v>
      </c>
      <c r="H20" s="20"/>
    </row>
    <row r="21" spans="1:8" ht="12.9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411242</v>
      </c>
      <c r="F21" s="18">
        <v>2682.94</v>
      </c>
      <c r="G21" s="19">
        <v>2.1399999999999999E-2</v>
      </c>
      <c r="H21" s="20"/>
    </row>
    <row r="22" spans="1:8" ht="12.9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41017</v>
      </c>
      <c r="F22" s="18">
        <v>2308.6999999999998</v>
      </c>
      <c r="G22" s="19">
        <v>1.84E-2</v>
      </c>
      <c r="H22" s="20"/>
    </row>
    <row r="23" spans="1:8" ht="12.9" customHeight="1">
      <c r="A23" s="15" t="s">
        <v>71</v>
      </c>
      <c r="B23" s="16" t="s">
        <v>72</v>
      </c>
      <c r="C23" s="12" t="s">
        <v>73</v>
      </c>
      <c r="D23" s="13" t="s">
        <v>24</v>
      </c>
      <c r="E23" s="17">
        <v>119877</v>
      </c>
      <c r="F23" s="18">
        <v>2283.2399999999998</v>
      </c>
      <c r="G23" s="19">
        <v>1.8200000000000001E-2</v>
      </c>
      <c r="H23" s="20"/>
    </row>
    <row r="24" spans="1:8" ht="12.9" customHeight="1">
      <c r="A24" s="15" t="s">
        <v>74</v>
      </c>
      <c r="B24" s="16" t="s">
        <v>75</v>
      </c>
      <c r="C24" s="12" t="s">
        <v>76</v>
      </c>
      <c r="D24" s="13" t="s">
        <v>16</v>
      </c>
      <c r="E24" s="17">
        <v>304969</v>
      </c>
      <c r="F24" s="18">
        <v>2179.31</v>
      </c>
      <c r="G24" s="19">
        <v>1.7399999999999999E-2</v>
      </c>
      <c r="H24" s="20"/>
    </row>
    <row r="25" spans="1:8" ht="12.9" customHeight="1">
      <c r="A25" s="15" t="s">
        <v>77</v>
      </c>
      <c r="B25" s="16" t="s">
        <v>78</v>
      </c>
      <c r="C25" s="12" t="s">
        <v>79</v>
      </c>
      <c r="D25" s="13" t="s">
        <v>70</v>
      </c>
      <c r="E25" s="17">
        <v>298882</v>
      </c>
      <c r="F25" s="18">
        <v>2136.71</v>
      </c>
      <c r="G25" s="19">
        <v>1.7000000000000001E-2</v>
      </c>
      <c r="H25" s="20"/>
    </row>
    <row r="26" spans="1:8" ht="12.9" customHeight="1">
      <c r="A26" s="15" t="s">
        <v>80</v>
      </c>
      <c r="B26" s="16" t="s">
        <v>81</v>
      </c>
      <c r="C26" s="12" t="s">
        <v>82</v>
      </c>
      <c r="D26" s="13" t="s">
        <v>24</v>
      </c>
      <c r="E26" s="17">
        <v>159027</v>
      </c>
      <c r="F26" s="18">
        <v>2033.88</v>
      </c>
      <c r="G26" s="19">
        <v>1.6199999999999999E-2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552428</v>
      </c>
      <c r="F27" s="18">
        <v>1917.48</v>
      </c>
      <c r="G27" s="19">
        <v>1.5299999999999999E-2</v>
      </c>
      <c r="H27" s="20"/>
    </row>
    <row r="28" spans="1:8" ht="12.9" customHeight="1">
      <c r="A28" s="15" t="s">
        <v>87</v>
      </c>
      <c r="B28" s="16" t="s">
        <v>88</v>
      </c>
      <c r="C28" s="12" t="s">
        <v>89</v>
      </c>
      <c r="D28" s="13" t="s">
        <v>86</v>
      </c>
      <c r="E28" s="17">
        <v>143397</v>
      </c>
      <c r="F28" s="18">
        <v>1891.62</v>
      </c>
      <c r="G28" s="19">
        <v>1.5100000000000001E-2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86</v>
      </c>
      <c r="E29" s="17">
        <v>130574</v>
      </c>
      <c r="F29" s="18">
        <v>1828.36</v>
      </c>
      <c r="G29" s="19">
        <v>1.46E-2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47</v>
      </c>
      <c r="E30" s="17">
        <v>51140</v>
      </c>
      <c r="F30" s="18">
        <v>1781.33</v>
      </c>
      <c r="G30" s="19">
        <v>1.4200000000000001E-2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24</v>
      </c>
      <c r="E31" s="17">
        <v>30363</v>
      </c>
      <c r="F31" s="18">
        <v>1663.97</v>
      </c>
      <c r="G31" s="19">
        <v>1.3299999999999999E-2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55</v>
      </c>
      <c r="E32" s="17">
        <v>35551</v>
      </c>
      <c r="F32" s="18">
        <v>1591.72</v>
      </c>
      <c r="G32" s="19">
        <v>1.2699999999999999E-2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47</v>
      </c>
      <c r="E33" s="17">
        <v>103033</v>
      </c>
      <c r="F33" s="18">
        <v>1532.98</v>
      </c>
      <c r="G33" s="19">
        <v>1.2200000000000001E-2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265056</v>
      </c>
      <c r="F34" s="18">
        <v>1517.71</v>
      </c>
      <c r="G34" s="19">
        <v>1.21E-2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70</v>
      </c>
      <c r="E35" s="17">
        <v>59538</v>
      </c>
      <c r="F35" s="18">
        <v>1499.61</v>
      </c>
      <c r="G35" s="19">
        <v>1.1900000000000001E-2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24</v>
      </c>
      <c r="E36" s="17">
        <v>164819</v>
      </c>
      <c r="F36" s="18">
        <v>1487.82</v>
      </c>
      <c r="G36" s="19">
        <v>1.1900000000000001E-2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879078</v>
      </c>
      <c r="F37" s="18">
        <v>1450.65</v>
      </c>
      <c r="G37" s="19">
        <v>1.1599999999999999E-2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296366</v>
      </c>
      <c r="F38" s="18">
        <v>1447.6</v>
      </c>
      <c r="G38" s="19">
        <v>1.15E-2</v>
      </c>
      <c r="H38" s="20"/>
    </row>
    <row r="39" spans="1:8" ht="12.9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292496</v>
      </c>
      <c r="F39" s="18">
        <v>1444.64</v>
      </c>
      <c r="G39" s="19">
        <v>1.15E-2</v>
      </c>
      <c r="H39" s="20"/>
    </row>
    <row r="40" spans="1:8" ht="12.9" customHeight="1">
      <c r="A40" s="15" t="s">
        <v>127</v>
      </c>
      <c r="B40" s="16" t="s">
        <v>128</v>
      </c>
      <c r="C40" s="12" t="s">
        <v>129</v>
      </c>
      <c r="D40" s="13" t="s">
        <v>24</v>
      </c>
      <c r="E40" s="17">
        <v>226054</v>
      </c>
      <c r="F40" s="18">
        <v>1379.16</v>
      </c>
      <c r="G40" s="19">
        <v>1.0999999999999999E-2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66</v>
      </c>
      <c r="E41" s="17">
        <v>329804</v>
      </c>
      <c r="F41" s="18">
        <v>1328.95</v>
      </c>
      <c r="G41" s="19">
        <v>1.06E-2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79390</v>
      </c>
      <c r="F42" s="18">
        <v>1313.63</v>
      </c>
      <c r="G42" s="19">
        <v>1.0500000000000001E-2</v>
      </c>
      <c r="H42" s="20"/>
    </row>
    <row r="43" spans="1:8" ht="12.9" customHeight="1">
      <c r="A43" s="15" t="s">
        <v>137</v>
      </c>
      <c r="B43" s="16" t="s">
        <v>138</v>
      </c>
      <c r="C43" s="12" t="s">
        <v>139</v>
      </c>
      <c r="D43" s="13" t="s">
        <v>24</v>
      </c>
      <c r="E43" s="17">
        <v>11972</v>
      </c>
      <c r="F43" s="18">
        <v>1270.3499999999999</v>
      </c>
      <c r="G43" s="19">
        <v>1.01E-2</v>
      </c>
      <c r="H43" s="20"/>
    </row>
    <row r="44" spans="1:8" ht="12.9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105733</v>
      </c>
      <c r="F44" s="18">
        <v>1269.43</v>
      </c>
      <c r="G44" s="19">
        <v>1.01E-2</v>
      </c>
      <c r="H44" s="20"/>
    </row>
    <row r="45" spans="1:8" ht="12.9" customHeight="1">
      <c r="A45" s="15" t="s">
        <v>144</v>
      </c>
      <c r="B45" s="16" t="s">
        <v>145</v>
      </c>
      <c r="C45" s="12" t="s">
        <v>146</v>
      </c>
      <c r="D45" s="13" t="s">
        <v>16</v>
      </c>
      <c r="E45" s="17">
        <v>150337</v>
      </c>
      <c r="F45" s="18">
        <v>1267.57</v>
      </c>
      <c r="G45" s="19">
        <v>1.01E-2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4779</v>
      </c>
      <c r="F46" s="18">
        <v>1256.75</v>
      </c>
      <c r="G46" s="19">
        <v>0.01</v>
      </c>
      <c r="H46" s="20"/>
    </row>
    <row r="47" spans="1:8" ht="12.9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125172</v>
      </c>
      <c r="F47" s="18">
        <v>1249.3399999999999</v>
      </c>
      <c r="G47" s="19">
        <v>0.01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800606</v>
      </c>
      <c r="F48" s="18">
        <v>1246.94</v>
      </c>
      <c r="G48" s="19">
        <v>9.9000000000000008E-3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52798</v>
      </c>
      <c r="F49" s="18">
        <v>1217.8699999999999</v>
      </c>
      <c r="G49" s="19">
        <v>9.7000000000000003E-3</v>
      </c>
      <c r="H49" s="20"/>
    </row>
    <row r="50" spans="1:8" ht="12.9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307088</v>
      </c>
      <c r="F50" s="18">
        <v>1212.23</v>
      </c>
      <c r="G50" s="19">
        <v>9.7000000000000003E-3</v>
      </c>
      <c r="H50" s="20"/>
    </row>
    <row r="51" spans="1:8" ht="12.9" customHeight="1">
      <c r="A51" s="15" t="s">
        <v>167</v>
      </c>
      <c r="B51" s="16" t="s">
        <v>168</v>
      </c>
      <c r="C51" s="12" t="s">
        <v>169</v>
      </c>
      <c r="D51" s="13" t="s">
        <v>43</v>
      </c>
      <c r="E51" s="17">
        <v>15241</v>
      </c>
      <c r="F51" s="18">
        <v>1204.48</v>
      </c>
      <c r="G51" s="19">
        <v>9.5999999999999992E-3</v>
      </c>
      <c r="H51" s="20"/>
    </row>
    <row r="52" spans="1:8" ht="12.9" customHeight="1">
      <c r="A52" s="15" t="s">
        <v>170</v>
      </c>
      <c r="B52" s="16" t="s">
        <v>171</v>
      </c>
      <c r="C52" s="12" t="s">
        <v>172</v>
      </c>
      <c r="D52" s="13" t="s">
        <v>70</v>
      </c>
      <c r="E52" s="17">
        <v>63707</v>
      </c>
      <c r="F52" s="18">
        <v>1203.04</v>
      </c>
      <c r="G52" s="19">
        <v>9.5999999999999992E-3</v>
      </c>
      <c r="H52" s="20"/>
    </row>
    <row r="53" spans="1:8" ht="12.9" customHeight="1">
      <c r="A53" s="15" t="s">
        <v>173</v>
      </c>
      <c r="B53" s="16" t="s">
        <v>174</v>
      </c>
      <c r="C53" s="12" t="s">
        <v>175</v>
      </c>
      <c r="D53" s="13" t="s">
        <v>158</v>
      </c>
      <c r="E53" s="17">
        <v>134722</v>
      </c>
      <c r="F53" s="18">
        <v>1176.5899999999999</v>
      </c>
      <c r="G53" s="19">
        <v>9.4000000000000004E-3</v>
      </c>
      <c r="H53" s="20"/>
    </row>
    <row r="54" spans="1:8" ht="12.9" customHeight="1">
      <c r="A54" s="15" t="s">
        <v>176</v>
      </c>
      <c r="B54" s="16" t="s">
        <v>177</v>
      </c>
      <c r="C54" s="12" t="s">
        <v>178</v>
      </c>
      <c r="D54" s="13" t="s">
        <v>66</v>
      </c>
      <c r="E54" s="17">
        <v>444115</v>
      </c>
      <c r="F54" s="18">
        <v>1167.58</v>
      </c>
      <c r="G54" s="19">
        <v>9.2999999999999992E-3</v>
      </c>
      <c r="H54" s="20"/>
    </row>
    <row r="55" spans="1:8" ht="12.9" customHeight="1">
      <c r="A55" s="15" t="s">
        <v>179</v>
      </c>
      <c r="B55" s="16" t="s">
        <v>180</v>
      </c>
      <c r="C55" s="12" t="s">
        <v>181</v>
      </c>
      <c r="D55" s="13" t="s">
        <v>154</v>
      </c>
      <c r="E55" s="17">
        <v>67889</v>
      </c>
      <c r="F55" s="18">
        <v>1147.97</v>
      </c>
      <c r="G55" s="19">
        <v>9.1000000000000004E-3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257170</v>
      </c>
      <c r="F56" s="18">
        <v>1141.19</v>
      </c>
      <c r="G56" s="19">
        <v>9.1000000000000004E-3</v>
      </c>
      <c r="H56" s="20"/>
    </row>
    <row r="57" spans="1:8" ht="12.9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59842</v>
      </c>
      <c r="F57" s="18">
        <v>1114.92</v>
      </c>
      <c r="G57" s="19">
        <v>8.8999999999999999E-3</v>
      </c>
      <c r="H57" s="20"/>
    </row>
    <row r="58" spans="1:8" ht="12.9" customHeight="1">
      <c r="A58" s="15" t="s">
        <v>190</v>
      </c>
      <c r="B58" s="16" t="s">
        <v>191</v>
      </c>
      <c r="C58" s="12" t="s">
        <v>192</v>
      </c>
      <c r="D58" s="13" t="s">
        <v>193</v>
      </c>
      <c r="E58" s="17">
        <v>56275</v>
      </c>
      <c r="F58" s="18">
        <v>1014.22</v>
      </c>
      <c r="G58" s="19">
        <v>8.0999999999999996E-3</v>
      </c>
      <c r="H58" s="20"/>
    </row>
    <row r="59" spans="1:8" ht="12.9" customHeight="1">
      <c r="A59" s="15" t="s">
        <v>194</v>
      </c>
      <c r="B59" s="16" t="s">
        <v>195</v>
      </c>
      <c r="C59" s="12" t="s">
        <v>196</v>
      </c>
      <c r="D59" s="13" t="s">
        <v>162</v>
      </c>
      <c r="E59" s="17">
        <v>213969</v>
      </c>
      <c r="F59" s="18">
        <v>994.85</v>
      </c>
      <c r="G59" s="19">
        <v>7.9000000000000008E-3</v>
      </c>
      <c r="H59" s="20"/>
    </row>
    <row r="60" spans="1:8" ht="12.9" customHeight="1">
      <c r="A60" s="15" t="s">
        <v>197</v>
      </c>
      <c r="B60" s="16" t="s">
        <v>198</v>
      </c>
      <c r="C60" s="12" t="s">
        <v>199</v>
      </c>
      <c r="D60" s="13" t="s">
        <v>122</v>
      </c>
      <c r="E60" s="17">
        <v>73436</v>
      </c>
      <c r="F60" s="18">
        <v>971.45</v>
      </c>
      <c r="G60" s="19">
        <v>7.7000000000000002E-3</v>
      </c>
      <c r="H60" s="20"/>
    </row>
    <row r="61" spans="1:8" ht="12.9" customHeight="1">
      <c r="A61" s="15" t="s">
        <v>200</v>
      </c>
      <c r="B61" s="16" t="s">
        <v>201</v>
      </c>
      <c r="C61" s="12" t="s">
        <v>202</v>
      </c>
      <c r="D61" s="13" t="s">
        <v>51</v>
      </c>
      <c r="E61" s="17">
        <v>423785</v>
      </c>
      <c r="F61" s="18">
        <v>939.53</v>
      </c>
      <c r="G61" s="19">
        <v>7.4999999999999997E-3</v>
      </c>
      <c r="H61" s="20"/>
    </row>
    <row r="62" spans="1:8" ht="12.9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349650</v>
      </c>
      <c r="F62" s="18">
        <v>914.86</v>
      </c>
      <c r="G62" s="19">
        <v>7.3000000000000001E-3</v>
      </c>
      <c r="H62" s="20"/>
    </row>
    <row r="63" spans="1:8" ht="12.9" customHeight="1">
      <c r="A63" s="15" t="s">
        <v>207</v>
      </c>
      <c r="B63" s="16" t="s">
        <v>208</v>
      </c>
      <c r="C63" s="12" t="s">
        <v>209</v>
      </c>
      <c r="D63" s="13" t="s">
        <v>210</v>
      </c>
      <c r="E63" s="17">
        <v>1116770</v>
      </c>
      <c r="F63" s="18">
        <v>910.73</v>
      </c>
      <c r="G63" s="19">
        <v>7.3000000000000001E-3</v>
      </c>
      <c r="H63" s="20"/>
    </row>
    <row r="64" spans="1:8" ht="12.9" customHeight="1">
      <c r="A64" s="15" t="s">
        <v>211</v>
      </c>
      <c r="B64" s="16" t="s">
        <v>212</v>
      </c>
      <c r="C64" s="12" t="s">
        <v>213</v>
      </c>
      <c r="D64" s="13" t="s">
        <v>214</v>
      </c>
      <c r="E64" s="17">
        <v>134665</v>
      </c>
      <c r="F64" s="18">
        <v>876.53</v>
      </c>
      <c r="G64" s="19">
        <v>7.0000000000000001E-3</v>
      </c>
      <c r="H64" s="20"/>
    </row>
    <row r="65" spans="1:8" ht="12.9" customHeight="1">
      <c r="A65" s="15" t="s">
        <v>215</v>
      </c>
      <c r="B65" s="16" t="s">
        <v>216</v>
      </c>
      <c r="C65" s="12" t="s">
        <v>217</v>
      </c>
      <c r="D65" s="13" t="s">
        <v>108</v>
      </c>
      <c r="E65" s="17">
        <v>64199</v>
      </c>
      <c r="F65" s="18">
        <v>859.18</v>
      </c>
      <c r="G65" s="19">
        <v>6.7999999999999996E-3</v>
      </c>
      <c r="H65" s="20"/>
    </row>
    <row r="66" spans="1:8" ht="12.9" customHeight="1">
      <c r="A66" s="15" t="s">
        <v>218</v>
      </c>
      <c r="B66" s="16" t="s">
        <v>219</v>
      </c>
      <c r="C66" s="12" t="s">
        <v>220</v>
      </c>
      <c r="D66" s="13" t="s">
        <v>70</v>
      </c>
      <c r="E66" s="17">
        <v>83373</v>
      </c>
      <c r="F66" s="18">
        <v>773.74</v>
      </c>
      <c r="G66" s="19">
        <v>6.1999999999999998E-3</v>
      </c>
      <c r="H66" s="20"/>
    </row>
    <row r="67" spans="1:8" ht="12.9" customHeight="1">
      <c r="A67" s="15" t="s">
        <v>221</v>
      </c>
      <c r="B67" s="16" t="s">
        <v>222</v>
      </c>
      <c r="C67" s="12" t="s">
        <v>223</v>
      </c>
      <c r="D67" s="13" t="s">
        <v>16</v>
      </c>
      <c r="E67" s="17">
        <v>609693</v>
      </c>
      <c r="F67" s="18">
        <v>768.4</v>
      </c>
      <c r="G67" s="19">
        <v>6.1000000000000004E-3</v>
      </c>
      <c r="H67" s="20"/>
    </row>
    <row r="68" spans="1:8" ht="12.9" customHeight="1">
      <c r="A68" s="15" t="s">
        <v>224</v>
      </c>
      <c r="B68" s="16" t="s">
        <v>225</v>
      </c>
      <c r="C68" s="12" t="s">
        <v>226</v>
      </c>
      <c r="D68" s="13" t="s">
        <v>86</v>
      </c>
      <c r="E68" s="17">
        <v>42169</v>
      </c>
      <c r="F68" s="18">
        <v>763.64</v>
      </c>
      <c r="G68" s="19">
        <v>6.1000000000000004E-3</v>
      </c>
      <c r="H68" s="20"/>
    </row>
    <row r="69" spans="1:8" ht="12.9" customHeight="1">
      <c r="A69" s="15" t="s">
        <v>227</v>
      </c>
      <c r="B69" s="16" t="s">
        <v>228</v>
      </c>
      <c r="C69" s="12" t="s">
        <v>229</v>
      </c>
      <c r="D69" s="13" t="s">
        <v>230</v>
      </c>
      <c r="E69" s="17">
        <v>259556</v>
      </c>
      <c r="F69" s="18">
        <v>639.16</v>
      </c>
      <c r="G69" s="19">
        <v>5.1000000000000004E-3</v>
      </c>
      <c r="H69" s="20"/>
    </row>
    <row r="70" spans="1:8" ht="12.9" customHeight="1">
      <c r="A70" s="15" t="s">
        <v>231</v>
      </c>
      <c r="B70" s="16" t="s">
        <v>232</v>
      </c>
      <c r="C70" s="12" t="s">
        <v>233</v>
      </c>
      <c r="D70" s="13" t="s">
        <v>234</v>
      </c>
      <c r="E70" s="17">
        <v>134735</v>
      </c>
      <c r="F70" s="18">
        <v>594.45000000000005</v>
      </c>
      <c r="G70" s="19">
        <v>4.7000000000000002E-3</v>
      </c>
      <c r="H70" s="20"/>
    </row>
    <row r="71" spans="1:8" ht="12.9" customHeight="1">
      <c r="A71" s="15" t="s">
        <v>235</v>
      </c>
      <c r="B71" s="16" t="s">
        <v>236</v>
      </c>
      <c r="C71" s="12" t="s">
        <v>237</v>
      </c>
      <c r="D71" s="13" t="s">
        <v>126</v>
      </c>
      <c r="E71" s="17">
        <v>5097</v>
      </c>
      <c r="F71" s="18">
        <v>557.71</v>
      </c>
      <c r="G71" s="19">
        <v>4.4000000000000003E-3</v>
      </c>
      <c r="H71" s="20"/>
    </row>
    <row r="72" spans="1:8" ht="12.9" customHeight="1">
      <c r="A72" s="15" t="s">
        <v>238</v>
      </c>
      <c r="B72" s="16" t="s">
        <v>239</v>
      </c>
      <c r="C72" s="12" t="s">
        <v>240</v>
      </c>
      <c r="D72" s="13" t="s">
        <v>126</v>
      </c>
      <c r="E72" s="17">
        <v>22000</v>
      </c>
      <c r="F72" s="18">
        <v>541.66999999999996</v>
      </c>
      <c r="G72" s="19">
        <v>4.3E-3</v>
      </c>
      <c r="H72" s="20"/>
    </row>
    <row r="73" spans="1:8" ht="12.9" customHeight="1">
      <c r="A73" s="15" t="s">
        <v>241</v>
      </c>
      <c r="B73" s="16" t="s">
        <v>242</v>
      </c>
      <c r="C73" s="12" t="s">
        <v>243</v>
      </c>
      <c r="D73" s="13" t="s">
        <v>47</v>
      </c>
      <c r="E73" s="17">
        <v>78631</v>
      </c>
      <c r="F73" s="18">
        <v>539.64</v>
      </c>
      <c r="G73" s="19">
        <v>4.3E-3</v>
      </c>
      <c r="H73" s="20"/>
    </row>
    <row r="74" spans="1:8" ht="12.9" customHeight="1">
      <c r="A74" s="15" t="s">
        <v>244</v>
      </c>
      <c r="B74" s="16" t="s">
        <v>245</v>
      </c>
      <c r="C74" s="12" t="s">
        <v>246</v>
      </c>
      <c r="D74" s="13" t="s">
        <v>66</v>
      </c>
      <c r="E74" s="17">
        <v>131292</v>
      </c>
      <c r="F74" s="18">
        <v>471.14</v>
      </c>
      <c r="G74" s="19">
        <v>3.8E-3</v>
      </c>
      <c r="H74" s="20"/>
    </row>
    <row r="75" spans="1:8" ht="12.9" customHeight="1">
      <c r="A75" s="15" t="s">
        <v>247</v>
      </c>
      <c r="B75" s="16" t="s">
        <v>248</v>
      </c>
      <c r="C75" s="12" t="s">
        <v>249</v>
      </c>
      <c r="D75" s="13" t="s">
        <v>122</v>
      </c>
      <c r="E75" s="17">
        <v>24062</v>
      </c>
      <c r="F75" s="18">
        <v>289.61</v>
      </c>
      <c r="G75" s="19">
        <v>2.3E-3</v>
      </c>
      <c r="H75" s="20"/>
    </row>
    <row r="76" spans="1:8" ht="12.9" customHeight="1">
      <c r="A76" s="15" t="s">
        <v>250</v>
      </c>
      <c r="B76" s="16" t="s">
        <v>251</v>
      </c>
      <c r="C76" s="12" t="s">
        <v>252</v>
      </c>
      <c r="D76" s="13" t="s">
        <v>253</v>
      </c>
      <c r="E76" s="17">
        <v>69851</v>
      </c>
      <c r="F76" s="18">
        <v>210.04</v>
      </c>
      <c r="G76" s="19">
        <v>1.6999999999999999E-3</v>
      </c>
      <c r="H76" s="20"/>
    </row>
    <row r="77" spans="1:8" ht="12.9" customHeight="1">
      <c r="A77" s="4"/>
      <c r="B77" s="21" t="s">
        <v>254</v>
      </c>
      <c r="C77" s="22"/>
      <c r="D77" s="21"/>
      <c r="E77" s="21"/>
      <c r="F77" s="23">
        <f>SUM(F8:F76)</f>
        <v>119296.02999999998</v>
      </c>
      <c r="G77" s="24">
        <f>SUM(G8:G76)</f>
        <v>0.95079999999999987</v>
      </c>
      <c r="H77" s="25"/>
    </row>
    <row r="78" spans="1:8" ht="12.9" customHeight="1">
      <c r="A78" s="4"/>
      <c r="B78" s="11" t="s">
        <v>255</v>
      </c>
      <c r="C78" s="26"/>
      <c r="D78" s="27"/>
      <c r="E78" s="27"/>
      <c r="F78" s="28"/>
      <c r="G78" s="28"/>
      <c r="H78" s="25"/>
    </row>
    <row r="79" spans="1:8" ht="12.9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165448</v>
      </c>
      <c r="F79" s="18">
        <v>600.49</v>
      </c>
      <c r="G79" s="19">
        <v>4.7999999999999996E-3</v>
      </c>
      <c r="H79" s="20"/>
    </row>
    <row r="80" spans="1:8" ht="12.9" customHeight="1">
      <c r="A80" s="15" t="s">
        <v>260</v>
      </c>
      <c r="B80" s="16" t="s">
        <v>261</v>
      </c>
      <c r="C80" s="12" t="s">
        <v>262</v>
      </c>
      <c r="D80" s="13" t="s">
        <v>70</v>
      </c>
      <c r="E80" s="17">
        <v>8970</v>
      </c>
      <c r="F80" s="18">
        <v>43.81</v>
      </c>
      <c r="G80" s="19">
        <v>2.9999999999999997E-4</v>
      </c>
      <c r="H80" s="20"/>
    </row>
    <row r="81" spans="1:8" ht="12.9" customHeight="1">
      <c r="A81" s="4"/>
      <c r="B81" s="21" t="s">
        <v>254</v>
      </c>
      <c r="C81" s="26"/>
      <c r="D81" s="27"/>
      <c r="E81" s="27"/>
      <c r="F81" s="23">
        <f>SUM(F79:F80)</f>
        <v>644.29999999999995</v>
      </c>
      <c r="G81" s="24">
        <f>SUM(G79:G80)</f>
        <v>5.0999999999999995E-3</v>
      </c>
      <c r="H81" s="25"/>
    </row>
    <row r="82" spans="1:8" ht="12.9" customHeight="1">
      <c r="A82" s="4"/>
      <c r="B82" s="21" t="s">
        <v>263</v>
      </c>
      <c r="C82" s="26"/>
      <c r="D82" s="27"/>
      <c r="E82" s="29"/>
      <c r="F82" s="30">
        <v>119940.33</v>
      </c>
      <c r="G82" s="31">
        <v>0.95589999999999997</v>
      </c>
      <c r="H82" s="32"/>
    </row>
    <row r="83" spans="1:8" ht="12.9" customHeight="1">
      <c r="A83" s="4"/>
      <c r="B83" s="11" t="s">
        <v>264</v>
      </c>
      <c r="C83" s="12"/>
      <c r="D83" s="13"/>
      <c r="E83" s="13"/>
      <c r="F83" s="13"/>
      <c r="G83" s="13"/>
      <c r="H83" s="14"/>
    </row>
    <row r="84" spans="1:8" ht="12.9" customHeight="1">
      <c r="A84" s="4"/>
      <c r="B84" s="33" t="s">
        <v>265</v>
      </c>
      <c r="C84" s="12"/>
      <c r="D84" s="13"/>
      <c r="E84" s="13"/>
      <c r="F84" s="13"/>
      <c r="G84" s="13"/>
      <c r="H84" s="14"/>
    </row>
    <row r="85" spans="1:8" ht="12.9" customHeight="1">
      <c r="A85" s="15" t="s">
        <v>266</v>
      </c>
      <c r="B85" s="16" t="s">
        <v>267</v>
      </c>
      <c r="C85" s="12"/>
      <c r="D85" s="13"/>
      <c r="E85" s="34"/>
      <c r="F85" s="18">
        <v>5611.36</v>
      </c>
      <c r="G85" s="19">
        <v>4.4699999999999997E-2</v>
      </c>
      <c r="H85" s="20">
        <v>6.2618999999999994E-2</v>
      </c>
    </row>
    <row r="86" spans="1:8" ht="12.9" customHeight="1">
      <c r="A86" s="4"/>
      <c r="B86" s="21" t="s">
        <v>263</v>
      </c>
      <c r="C86" s="26"/>
      <c r="D86" s="27"/>
      <c r="E86" s="29"/>
      <c r="F86" s="30">
        <v>5611.36</v>
      </c>
      <c r="G86" s="31">
        <v>4.4699999999999997E-2</v>
      </c>
      <c r="H86" s="32"/>
    </row>
    <row r="87" spans="1:8" ht="12.9" customHeight="1">
      <c r="A87" s="4"/>
      <c r="B87" s="33" t="s">
        <v>268</v>
      </c>
      <c r="C87" s="35"/>
      <c r="D87" s="36"/>
      <c r="E87" s="36"/>
      <c r="F87" s="36"/>
      <c r="G87" s="36"/>
      <c r="H87" s="37"/>
    </row>
    <row r="88" spans="1:8" ht="12.9" customHeight="1">
      <c r="A88" s="4"/>
      <c r="B88" s="27" t="s">
        <v>269</v>
      </c>
      <c r="C88" s="26"/>
      <c r="D88" s="27"/>
      <c r="E88" s="27"/>
      <c r="F88" s="23">
        <v>38.32</v>
      </c>
      <c r="G88" s="24">
        <v>2.9999999999999997E-4</v>
      </c>
      <c r="H88" s="37"/>
    </row>
    <row r="89" spans="1:8" ht="12.9" customHeight="1">
      <c r="A89" s="4"/>
      <c r="B89" s="21" t="s">
        <v>254</v>
      </c>
      <c r="C89" s="22"/>
      <c r="D89" s="21"/>
      <c r="E89" s="21"/>
      <c r="F89" s="23">
        <v>38.32</v>
      </c>
      <c r="G89" s="24">
        <v>2.9999999999999997E-4</v>
      </c>
      <c r="H89" s="37"/>
    </row>
    <row r="90" spans="1:8" ht="12.9" customHeight="1">
      <c r="A90" s="4"/>
      <c r="B90" s="27" t="s">
        <v>270</v>
      </c>
      <c r="C90" s="26"/>
      <c r="D90" s="27"/>
      <c r="E90" s="27"/>
      <c r="F90" s="23">
        <v>200</v>
      </c>
      <c r="G90" s="24">
        <v>1.6000000000000001E-3</v>
      </c>
      <c r="H90" s="37"/>
    </row>
    <row r="91" spans="1:8" ht="12.9" customHeight="1">
      <c r="A91" s="4"/>
      <c r="B91" s="36" t="s">
        <v>271</v>
      </c>
      <c r="C91" s="35"/>
      <c r="D91" s="36"/>
      <c r="E91" s="36"/>
      <c r="F91" s="38">
        <v>75.16</v>
      </c>
      <c r="G91" s="39">
        <v>5.9999999999999995E-4</v>
      </c>
      <c r="H91" s="37"/>
    </row>
    <row r="92" spans="1:8" ht="12.9" customHeight="1">
      <c r="A92" s="4"/>
      <c r="B92" s="36" t="s">
        <v>272</v>
      </c>
      <c r="C92" s="35"/>
      <c r="D92" s="36"/>
      <c r="E92" s="36"/>
      <c r="F92" s="40">
        <v>-374.3</v>
      </c>
      <c r="G92" s="39">
        <v>-3.0999999999999999E-3</v>
      </c>
      <c r="H92" s="37"/>
    </row>
    <row r="93" spans="1:8" ht="12.9" customHeight="1">
      <c r="A93" s="4"/>
      <c r="B93" s="21" t="s">
        <v>273</v>
      </c>
      <c r="C93" s="26"/>
      <c r="D93" s="27"/>
      <c r="E93" s="27"/>
      <c r="F93" s="23">
        <v>-99.14</v>
      </c>
      <c r="G93" s="41">
        <v>-8.9999999999999998E-4</v>
      </c>
      <c r="H93" s="37"/>
    </row>
    <row r="94" spans="1:8" ht="12.9" customHeight="1" thickBot="1">
      <c r="A94" s="4"/>
      <c r="B94" s="42" t="s">
        <v>274</v>
      </c>
      <c r="C94" s="43"/>
      <c r="D94" s="44"/>
      <c r="E94" s="44"/>
      <c r="F94" s="45">
        <v>125490.86772736641</v>
      </c>
      <c r="G94" s="46">
        <v>1</v>
      </c>
      <c r="H94" s="47"/>
    </row>
    <row r="95" spans="1:8" ht="12.9" customHeight="1">
      <c r="A95" s="4"/>
      <c r="B95" s="48"/>
      <c r="C95" s="4"/>
      <c r="D95" s="4"/>
      <c r="E95" s="4"/>
      <c r="F95" s="4"/>
      <c r="G95" s="4"/>
      <c r="H95" s="4"/>
    </row>
    <row r="96" spans="1:8" ht="12.9" customHeight="1">
      <c r="A96" s="4"/>
      <c r="B96" s="49" t="s">
        <v>275</v>
      </c>
      <c r="C96" s="4"/>
      <c r="D96" s="4"/>
      <c r="E96" s="4"/>
      <c r="F96" s="4"/>
      <c r="G96" s="4"/>
      <c r="H96" s="4"/>
    </row>
    <row r="97" spans="1:8" ht="12.9" customHeight="1">
      <c r="A97" s="4"/>
      <c r="B97" s="49" t="s">
        <v>276</v>
      </c>
      <c r="C97" s="4"/>
      <c r="D97" s="4"/>
      <c r="E97" s="4"/>
      <c r="F97" s="4"/>
      <c r="G97" s="4"/>
      <c r="H97" s="4"/>
    </row>
    <row r="98" spans="1:8" ht="12.9" customHeight="1">
      <c r="A98" s="4"/>
      <c r="B98" s="48"/>
      <c r="C98" s="4"/>
      <c r="D98" s="4"/>
      <c r="E98" s="4"/>
      <c r="F98" s="4"/>
      <c r="G98" s="4"/>
      <c r="H98" s="4"/>
    </row>
    <row r="99" spans="1:8" ht="12.9" customHeight="1">
      <c r="A99" s="4"/>
      <c r="B99" s="50"/>
      <c r="C99" s="50"/>
      <c r="D99" s="50"/>
      <c r="E99" s="4"/>
      <c r="F99" s="4"/>
      <c r="G99" s="4"/>
      <c r="H99" s="4"/>
    </row>
    <row r="100" spans="1:8" ht="12.9" customHeight="1">
      <c r="A100" s="4"/>
      <c r="B100" s="48"/>
      <c r="C100" s="4"/>
      <c r="D100" s="4"/>
      <c r="E100" s="4"/>
      <c r="F100" s="4"/>
      <c r="G100" s="4"/>
      <c r="H100" s="4"/>
    </row>
    <row r="101" spans="1:8">
      <c r="F101" s="51" t="s">
        <v>277</v>
      </c>
    </row>
    <row r="102" spans="1:8">
      <c r="B102" s="51" t="s">
        <v>278</v>
      </c>
      <c r="F102" s="51" t="s">
        <v>279</v>
      </c>
    </row>
  </sheetData>
  <mergeCells count="3">
    <mergeCell ref="B2:G2"/>
    <mergeCell ref="B3:G3"/>
    <mergeCell ref="B99:D9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2025-03-06T13:13:45Z</dcterms:created>
  <dcterms:modified xsi:type="dcterms:W3CDTF">2025-03-06T13:13:46Z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3c79e026-d103-4de3-8000-8c03632ad103</vt:lpwstr>
  </property>
  <property fmtid="{D5CDD505-2E9C-101B-9397-08002B2CF9AE}" pid="8" name="MSIP_Label_af1741f6-9e47-426e-a683-937c37d4ebc5_ContentBits">
    <vt:lpwstr>3</vt:lpwstr>
  </property>
</Properties>
</file>